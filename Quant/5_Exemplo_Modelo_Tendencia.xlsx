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Quantamental Dropbox\Rafael Lavrado\Quant_Expert\Quant_Expert\"/>
    </mc:Choice>
  </mc:AlternateContent>
  <xr:revisionPtr revIDLastSave="0" documentId="13_ncr:1_{4E527510-8E98-4722-9FDC-A8F9EC2E9D97}" xr6:coauthVersionLast="45" xr6:coauthVersionMax="45" xr10:uidLastSave="{00000000-0000-0000-0000-000000000000}"/>
  <bookViews>
    <workbookView xWindow="-108" yWindow="-108" windowWidth="23256" windowHeight="13176" xr2:uid="{2893AE9D-E51C-4E1F-8257-03CCAD099D53}"/>
  </bookViews>
  <sheets>
    <sheet name="MA" sheetId="3" r:id="rId1"/>
    <sheet name="Backtest" sheetId="1" r:id="rId2"/>
    <sheet name="Trades" sheetId="2" r:id="rId3"/>
  </sheets>
  <definedNames>
    <definedName name="solver_adj" localSheetId="1" hidden="1">Backtest!$Q$51:$Q$52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itr" localSheetId="1" hidden="1">2147483647</definedName>
    <definedName name="solver_lhs1" localSheetId="1" hidden="1">Backtest!$Q$51</definedName>
    <definedName name="solver_lhs2" localSheetId="1" hidden="1">Backtest!$Q$51:$Q$52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um" localSheetId="1" hidden="1">2</definedName>
    <definedName name="solver_num" localSheetId="2" hidden="1">0</definedName>
    <definedName name="solver_nwt" localSheetId="1" hidden="1">1</definedName>
    <definedName name="solver_opt" localSheetId="1" hidden="1">Backtest!$Q$55</definedName>
    <definedName name="solver_opt" localSheetId="2" hidden="1">Trades!$G$9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1</definedName>
    <definedName name="solver_rhs1" localSheetId="1" hidden="1">0.98</definedName>
    <definedName name="solver_rhs2" localSheetId="1" hidden="1">1.02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52" i="1" l="1"/>
  <c r="G52" i="1" l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51" i="1"/>
  <c r="U53" i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U985" i="1" s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U1002" i="1" s="1"/>
  <c r="U1003" i="1" s="1"/>
  <c r="U1004" i="1" s="1"/>
  <c r="U1005" i="1" s="1"/>
  <c r="U1006" i="1" s="1"/>
  <c r="U1007" i="1" s="1"/>
  <c r="U1008" i="1" s="1"/>
  <c r="U1009" i="1" s="1"/>
  <c r="U1010" i="1" s="1"/>
  <c r="U1011" i="1" s="1"/>
  <c r="U1012" i="1" s="1"/>
  <c r="U1013" i="1" s="1"/>
  <c r="U1014" i="1" s="1"/>
  <c r="U1015" i="1" s="1"/>
  <c r="U1016" i="1" s="1"/>
  <c r="U1017" i="1" s="1"/>
  <c r="U1018" i="1" s="1"/>
  <c r="U1019" i="1" s="1"/>
  <c r="U1020" i="1" s="1"/>
  <c r="U1021" i="1" s="1"/>
  <c r="U1022" i="1" s="1"/>
  <c r="U1023" i="1" s="1"/>
  <c r="U1024" i="1" s="1"/>
  <c r="U1025" i="1" s="1"/>
  <c r="U1026" i="1" s="1"/>
  <c r="U1027" i="1" s="1"/>
  <c r="U1028" i="1" s="1"/>
  <c r="U1029" i="1" s="1"/>
  <c r="U1030" i="1" s="1"/>
  <c r="U1031" i="1" s="1"/>
  <c r="U1032" i="1" s="1"/>
  <c r="U1033" i="1" s="1"/>
  <c r="U1034" i="1" s="1"/>
  <c r="U1035" i="1" s="1"/>
  <c r="U1036" i="1" s="1"/>
  <c r="U1037" i="1" s="1"/>
  <c r="U1038" i="1" s="1"/>
  <c r="U1039" i="1" s="1"/>
  <c r="U1040" i="1" s="1"/>
  <c r="U1041" i="1" s="1"/>
  <c r="U1042" i="1" s="1"/>
  <c r="U1043" i="1" s="1"/>
  <c r="U1044" i="1" s="1"/>
  <c r="U1045" i="1" s="1"/>
  <c r="U1046" i="1" s="1"/>
  <c r="U1047" i="1" s="1"/>
  <c r="U1048" i="1" s="1"/>
  <c r="U1049" i="1" s="1"/>
  <c r="U1050" i="1" s="1"/>
  <c r="U1051" i="1" s="1"/>
  <c r="U1052" i="1" s="1"/>
  <c r="U1053" i="1" s="1"/>
  <c r="U1054" i="1" s="1"/>
  <c r="U1055" i="1" s="1"/>
  <c r="U1056" i="1" s="1"/>
  <c r="U1057" i="1" s="1"/>
  <c r="U1058" i="1" s="1"/>
  <c r="U1059" i="1" s="1"/>
  <c r="U1060" i="1" s="1"/>
  <c r="U1061" i="1" s="1"/>
  <c r="U1062" i="1" s="1"/>
  <c r="U1063" i="1" s="1"/>
  <c r="U1064" i="1" s="1"/>
  <c r="U1065" i="1" s="1"/>
  <c r="U1066" i="1" s="1"/>
  <c r="U1067" i="1" s="1"/>
  <c r="U1068" i="1" s="1"/>
  <c r="U1069" i="1" s="1"/>
  <c r="U1070" i="1" s="1"/>
  <c r="U1071" i="1" s="1"/>
  <c r="U1072" i="1" s="1"/>
  <c r="U1073" i="1" s="1"/>
  <c r="U1074" i="1" s="1"/>
  <c r="U1075" i="1" s="1"/>
  <c r="U1076" i="1" s="1"/>
  <c r="U1077" i="1" s="1"/>
  <c r="U1078" i="1" s="1"/>
  <c r="U1079" i="1" s="1"/>
  <c r="U1080" i="1" s="1"/>
  <c r="U1081" i="1" s="1"/>
  <c r="U1082" i="1" s="1"/>
  <c r="U1083" i="1" s="1"/>
  <c r="U1084" i="1" s="1"/>
  <c r="U1085" i="1" s="1"/>
  <c r="U1086" i="1" s="1"/>
  <c r="U1087" i="1" s="1"/>
  <c r="U1088" i="1" s="1"/>
  <c r="U1089" i="1" s="1"/>
  <c r="U1090" i="1" s="1"/>
  <c r="U1091" i="1" s="1"/>
  <c r="U1092" i="1" s="1"/>
  <c r="U1093" i="1" s="1"/>
  <c r="U1094" i="1" s="1"/>
  <c r="U1095" i="1" s="1"/>
  <c r="U1096" i="1" s="1"/>
  <c r="U1097" i="1" s="1"/>
  <c r="U1098" i="1" s="1"/>
  <c r="U1099" i="1" s="1"/>
  <c r="U1100" i="1" s="1"/>
  <c r="U1101" i="1" s="1"/>
  <c r="U1102" i="1" s="1"/>
  <c r="U1103" i="1" s="1"/>
  <c r="U1104" i="1" s="1"/>
  <c r="U1105" i="1" s="1"/>
  <c r="U1106" i="1" s="1"/>
  <c r="U1107" i="1" s="1"/>
  <c r="U1108" i="1" s="1"/>
  <c r="U1109" i="1" s="1"/>
  <c r="U1110" i="1" s="1"/>
  <c r="U1111" i="1" s="1"/>
  <c r="U1112" i="1" s="1"/>
  <c r="U1113" i="1" s="1"/>
  <c r="U1114" i="1" s="1"/>
  <c r="U1115" i="1" s="1"/>
  <c r="U1116" i="1" s="1"/>
  <c r="U1117" i="1" s="1"/>
  <c r="U1118" i="1" s="1"/>
  <c r="U1119" i="1" s="1"/>
  <c r="U1120" i="1" s="1"/>
  <c r="U1121" i="1" s="1"/>
  <c r="U1122" i="1" s="1"/>
  <c r="U1123" i="1" s="1"/>
  <c r="U1124" i="1" s="1"/>
  <c r="U1125" i="1" s="1"/>
  <c r="U1126" i="1" s="1"/>
  <c r="U1127" i="1" s="1"/>
  <c r="U1128" i="1" s="1"/>
  <c r="U1129" i="1" s="1"/>
  <c r="U1130" i="1" s="1"/>
  <c r="U1131" i="1" s="1"/>
  <c r="U1132" i="1" s="1"/>
  <c r="U1133" i="1" s="1"/>
  <c r="U1134" i="1" s="1"/>
  <c r="U1135" i="1" s="1"/>
  <c r="U1136" i="1" s="1"/>
  <c r="U1137" i="1" s="1"/>
  <c r="U1138" i="1" s="1"/>
  <c r="U1139" i="1" s="1"/>
  <c r="U1140" i="1" s="1"/>
  <c r="U1141" i="1" s="1"/>
  <c r="U1142" i="1" s="1"/>
  <c r="U1143" i="1" s="1"/>
  <c r="U1144" i="1" s="1"/>
  <c r="U1145" i="1" s="1"/>
  <c r="U1146" i="1" s="1"/>
  <c r="U1147" i="1" s="1"/>
  <c r="U1148" i="1" s="1"/>
  <c r="U1149" i="1" s="1"/>
  <c r="U1150" i="1" s="1"/>
  <c r="U1151" i="1" s="1"/>
  <c r="U1152" i="1" s="1"/>
  <c r="U1153" i="1" s="1"/>
  <c r="U1154" i="1" s="1"/>
  <c r="U1155" i="1" s="1"/>
  <c r="U1156" i="1" s="1"/>
  <c r="U1157" i="1" s="1"/>
  <c r="U1158" i="1" s="1"/>
  <c r="U1159" i="1" s="1"/>
  <c r="U1160" i="1" s="1"/>
  <c r="U1161" i="1" s="1"/>
  <c r="U1162" i="1" s="1"/>
  <c r="U1163" i="1" s="1"/>
  <c r="U1164" i="1" s="1"/>
  <c r="U1165" i="1" s="1"/>
  <c r="U1166" i="1" s="1"/>
  <c r="U1167" i="1" s="1"/>
  <c r="U1168" i="1" s="1"/>
  <c r="U1169" i="1" s="1"/>
  <c r="U1170" i="1" s="1"/>
  <c r="U1171" i="1" s="1"/>
  <c r="U1172" i="1" s="1"/>
  <c r="U1173" i="1" s="1"/>
  <c r="U1174" i="1" s="1"/>
  <c r="U1175" i="1" s="1"/>
  <c r="U1176" i="1" s="1"/>
  <c r="U1177" i="1" s="1"/>
  <c r="U1178" i="1" s="1"/>
  <c r="U1179" i="1" s="1"/>
  <c r="U1180" i="1" s="1"/>
  <c r="U1181" i="1" s="1"/>
  <c r="U1182" i="1" s="1"/>
  <c r="U1183" i="1" s="1"/>
  <c r="U1184" i="1" s="1"/>
  <c r="U1185" i="1" s="1"/>
  <c r="U1186" i="1" s="1"/>
  <c r="U1187" i="1" s="1"/>
  <c r="U1188" i="1" s="1"/>
  <c r="U1189" i="1" s="1"/>
  <c r="U1190" i="1" s="1"/>
  <c r="U1191" i="1" s="1"/>
  <c r="U1192" i="1" s="1"/>
  <c r="U1193" i="1" s="1"/>
  <c r="U1194" i="1" s="1"/>
  <c r="U1195" i="1" s="1"/>
  <c r="U1196" i="1" s="1"/>
  <c r="U1197" i="1" s="1"/>
  <c r="U1198" i="1" s="1"/>
  <c r="U1199" i="1" s="1"/>
  <c r="U1200" i="1" s="1"/>
  <c r="U1201" i="1" s="1"/>
  <c r="U1202" i="1" s="1"/>
  <c r="U1203" i="1" s="1"/>
  <c r="U1204" i="1" s="1"/>
  <c r="U1205" i="1" s="1"/>
  <c r="U1206" i="1" s="1"/>
  <c r="U1207" i="1" s="1"/>
  <c r="U1208" i="1" s="1"/>
  <c r="U1209" i="1" s="1"/>
  <c r="U1210" i="1" s="1"/>
  <c r="U1211" i="1" s="1"/>
  <c r="U1212" i="1" s="1"/>
  <c r="U1213" i="1" s="1"/>
  <c r="U1214" i="1" s="1"/>
  <c r="U1215" i="1" s="1"/>
  <c r="U1216" i="1" s="1"/>
  <c r="U1217" i="1" s="1"/>
  <c r="U1218" i="1" s="1"/>
  <c r="U1219" i="1" s="1"/>
  <c r="U1220" i="1" s="1"/>
  <c r="U1221" i="1" s="1"/>
  <c r="U1222" i="1" s="1"/>
  <c r="U1223" i="1" s="1"/>
  <c r="U1224" i="1" s="1"/>
  <c r="U1225" i="1" s="1"/>
  <c r="U1226" i="1" s="1"/>
  <c r="U1227" i="1" s="1"/>
  <c r="U1228" i="1" s="1"/>
  <c r="U1229" i="1" s="1"/>
  <c r="U1230" i="1" s="1"/>
  <c r="U1231" i="1" s="1"/>
  <c r="U1232" i="1" s="1"/>
  <c r="U1233" i="1" s="1"/>
  <c r="U1234" i="1" s="1"/>
  <c r="U1235" i="1" s="1"/>
  <c r="U1236" i="1" s="1"/>
  <c r="U1237" i="1" s="1"/>
  <c r="U1238" i="1" s="1"/>
  <c r="U1239" i="1" s="1"/>
  <c r="U1240" i="1" s="1"/>
  <c r="U1241" i="1" s="1"/>
  <c r="U1242" i="1" s="1"/>
  <c r="U1243" i="1" s="1"/>
  <c r="U1244" i="1" s="1"/>
  <c r="U1245" i="1" s="1"/>
  <c r="U1246" i="1" s="1"/>
  <c r="U1247" i="1" s="1"/>
  <c r="U1248" i="1" s="1"/>
  <c r="U1249" i="1" s="1"/>
  <c r="U1250" i="1" s="1"/>
  <c r="U1251" i="1" s="1"/>
  <c r="U1252" i="1" s="1"/>
  <c r="U1253" i="1" s="1"/>
  <c r="U1254" i="1" s="1"/>
  <c r="U1255" i="1" s="1"/>
  <c r="U1256" i="1" s="1"/>
  <c r="U1257" i="1" s="1"/>
  <c r="U1258" i="1" s="1"/>
  <c r="U1259" i="1" s="1"/>
  <c r="U1260" i="1" s="1"/>
  <c r="U1261" i="1" s="1"/>
  <c r="U1262" i="1" s="1"/>
  <c r="U1263" i="1" s="1"/>
  <c r="U1264" i="1" s="1"/>
  <c r="U1265" i="1" s="1"/>
  <c r="U1266" i="1" s="1"/>
  <c r="U1267" i="1" s="1"/>
  <c r="U1268" i="1" s="1"/>
  <c r="U1269" i="1" s="1"/>
  <c r="U1270" i="1" s="1"/>
  <c r="U1271" i="1" s="1"/>
  <c r="U1272" i="1" s="1"/>
  <c r="U1273" i="1" s="1"/>
  <c r="U1274" i="1" s="1"/>
  <c r="U1275" i="1" s="1"/>
  <c r="U1276" i="1" s="1"/>
  <c r="U1277" i="1" s="1"/>
  <c r="U1278" i="1" s="1"/>
  <c r="U1279" i="1" s="1"/>
  <c r="U1280" i="1" s="1"/>
  <c r="U1281" i="1" s="1"/>
  <c r="U1282" i="1" s="1"/>
  <c r="U1283" i="1" s="1"/>
  <c r="U1284" i="1" s="1"/>
  <c r="U1285" i="1" s="1"/>
  <c r="U1286" i="1" s="1"/>
  <c r="U1287" i="1" s="1"/>
  <c r="U1288" i="1" s="1"/>
  <c r="U1289" i="1" s="1"/>
  <c r="U1290" i="1" s="1"/>
  <c r="U1291" i="1" s="1"/>
  <c r="U1292" i="1" s="1"/>
  <c r="U1293" i="1" s="1"/>
  <c r="U1294" i="1" s="1"/>
  <c r="U1295" i="1" s="1"/>
  <c r="U1296" i="1" s="1"/>
  <c r="U1297" i="1" s="1"/>
  <c r="U1298" i="1" s="1"/>
  <c r="U1299" i="1" s="1"/>
  <c r="U1300" i="1" s="1"/>
  <c r="U1301" i="1" s="1"/>
  <c r="U1302" i="1" s="1"/>
  <c r="U1303" i="1" s="1"/>
  <c r="U1304" i="1" s="1"/>
  <c r="U1305" i="1" s="1"/>
  <c r="U1306" i="1" s="1"/>
  <c r="U1307" i="1" s="1"/>
  <c r="U1308" i="1" s="1"/>
  <c r="U1309" i="1" s="1"/>
  <c r="U1310" i="1" s="1"/>
  <c r="U1311" i="1" s="1"/>
  <c r="U1312" i="1" s="1"/>
  <c r="U1313" i="1" s="1"/>
  <c r="U1314" i="1" s="1"/>
  <c r="U1315" i="1" s="1"/>
  <c r="U1316" i="1" s="1"/>
  <c r="U1317" i="1" s="1"/>
  <c r="U1318" i="1" s="1"/>
  <c r="U1319" i="1" s="1"/>
  <c r="U1320" i="1" s="1"/>
  <c r="U1321" i="1" s="1"/>
  <c r="U1322" i="1" s="1"/>
  <c r="U1323" i="1" s="1"/>
  <c r="U1324" i="1" s="1"/>
  <c r="U1325" i="1" s="1"/>
  <c r="U1326" i="1" s="1"/>
  <c r="U1327" i="1" s="1"/>
  <c r="U1328" i="1" s="1"/>
  <c r="U1329" i="1" s="1"/>
  <c r="U1330" i="1" s="1"/>
  <c r="U1331" i="1" s="1"/>
  <c r="U1332" i="1" s="1"/>
  <c r="U1333" i="1" s="1"/>
  <c r="U1334" i="1" s="1"/>
  <c r="U1335" i="1" s="1"/>
  <c r="U1336" i="1" s="1"/>
  <c r="U1337" i="1" s="1"/>
  <c r="U1338" i="1" s="1"/>
  <c r="U1339" i="1" s="1"/>
  <c r="U1340" i="1" s="1"/>
  <c r="U1341" i="1" s="1"/>
  <c r="U1342" i="1" s="1"/>
  <c r="U1343" i="1" s="1"/>
  <c r="U1344" i="1" s="1"/>
  <c r="U1345" i="1" s="1"/>
  <c r="U1346" i="1" s="1"/>
  <c r="U1347" i="1" s="1"/>
  <c r="U1348" i="1" s="1"/>
  <c r="U1349" i="1" s="1"/>
  <c r="U1350" i="1" s="1"/>
  <c r="U1351" i="1" s="1"/>
  <c r="U1352" i="1" s="1"/>
  <c r="U1353" i="1" s="1"/>
  <c r="U1354" i="1" s="1"/>
  <c r="U1355" i="1" s="1"/>
  <c r="U1356" i="1" s="1"/>
  <c r="U1357" i="1" s="1"/>
  <c r="U1358" i="1" s="1"/>
  <c r="U1359" i="1" s="1"/>
  <c r="U1360" i="1" s="1"/>
  <c r="U1361" i="1" s="1"/>
  <c r="U1362" i="1" s="1"/>
  <c r="U1363" i="1" s="1"/>
  <c r="U1364" i="1" s="1"/>
  <c r="U1365" i="1" s="1"/>
  <c r="U1366" i="1" s="1"/>
  <c r="U1367" i="1" s="1"/>
  <c r="U1368" i="1" s="1"/>
  <c r="U1369" i="1" s="1"/>
  <c r="U1370" i="1" s="1"/>
  <c r="U1371" i="1" s="1"/>
  <c r="U1372" i="1" s="1"/>
  <c r="U1373" i="1" s="1"/>
  <c r="U1374" i="1" s="1"/>
  <c r="U1375" i="1" s="1"/>
  <c r="U1376" i="1" s="1"/>
  <c r="U1377" i="1" s="1"/>
  <c r="U1378" i="1" s="1"/>
  <c r="U1379" i="1" s="1"/>
  <c r="U1380" i="1" s="1"/>
  <c r="U1381" i="1" s="1"/>
  <c r="U1382" i="1" s="1"/>
  <c r="U1383" i="1" s="1"/>
  <c r="U1384" i="1" s="1"/>
  <c r="U1385" i="1" s="1"/>
  <c r="U1386" i="1" s="1"/>
  <c r="U1387" i="1" s="1"/>
  <c r="U1388" i="1" s="1"/>
  <c r="U1389" i="1" s="1"/>
  <c r="U1390" i="1" s="1"/>
  <c r="U1391" i="1" s="1"/>
  <c r="U1392" i="1" s="1"/>
  <c r="U1393" i="1" s="1"/>
  <c r="U1394" i="1" s="1"/>
  <c r="U1395" i="1" s="1"/>
  <c r="U1396" i="1" s="1"/>
  <c r="U1397" i="1" s="1"/>
  <c r="U1398" i="1" s="1"/>
  <c r="U1399" i="1" s="1"/>
  <c r="U1400" i="1" s="1"/>
  <c r="U1401" i="1" s="1"/>
  <c r="U1402" i="1" s="1"/>
  <c r="U1403" i="1" s="1"/>
  <c r="U1404" i="1" s="1"/>
  <c r="U1405" i="1" s="1"/>
  <c r="U1406" i="1" s="1"/>
  <c r="U1407" i="1" s="1"/>
  <c r="U1408" i="1" s="1"/>
  <c r="U1409" i="1" s="1"/>
  <c r="U1410" i="1" s="1"/>
  <c r="U1411" i="1" s="1"/>
  <c r="U1412" i="1" s="1"/>
  <c r="U1413" i="1" s="1"/>
  <c r="U1414" i="1" s="1"/>
  <c r="U1415" i="1" s="1"/>
  <c r="U1416" i="1" s="1"/>
  <c r="U1417" i="1" s="1"/>
  <c r="U1418" i="1" s="1"/>
  <c r="U1419" i="1" s="1"/>
  <c r="U1420" i="1" s="1"/>
  <c r="U1421" i="1" s="1"/>
  <c r="U1422" i="1" s="1"/>
  <c r="U1423" i="1" s="1"/>
  <c r="U1424" i="1" s="1"/>
  <c r="U1425" i="1" s="1"/>
  <c r="U1426" i="1" s="1"/>
  <c r="U1427" i="1" s="1"/>
  <c r="U1428" i="1" s="1"/>
  <c r="U1429" i="1" s="1"/>
  <c r="U1430" i="1" s="1"/>
  <c r="U1431" i="1" s="1"/>
  <c r="U1432" i="1" s="1"/>
  <c r="U1433" i="1" s="1"/>
  <c r="U1434" i="1" s="1"/>
  <c r="U1435" i="1" s="1"/>
  <c r="U1436" i="1" s="1"/>
  <c r="U1437" i="1" s="1"/>
  <c r="U1438" i="1" s="1"/>
  <c r="U1439" i="1" s="1"/>
  <c r="U1440" i="1" s="1"/>
  <c r="U1441" i="1" s="1"/>
  <c r="U1442" i="1" s="1"/>
  <c r="U1443" i="1" s="1"/>
  <c r="U1444" i="1" s="1"/>
  <c r="U1445" i="1" s="1"/>
  <c r="U1446" i="1" s="1"/>
  <c r="U1447" i="1" s="1"/>
  <c r="U1448" i="1" s="1"/>
  <c r="U1449" i="1" s="1"/>
  <c r="U1450" i="1" s="1"/>
  <c r="U1451" i="1" s="1"/>
  <c r="U1452" i="1" s="1"/>
  <c r="U1453" i="1" s="1"/>
  <c r="U1454" i="1" s="1"/>
  <c r="U1455" i="1" s="1"/>
  <c r="U1456" i="1" s="1"/>
  <c r="U1457" i="1" s="1"/>
  <c r="U1458" i="1" s="1"/>
  <c r="U1459" i="1" s="1"/>
  <c r="U1460" i="1" s="1"/>
  <c r="U1461" i="1" s="1"/>
  <c r="U1462" i="1" s="1"/>
  <c r="U1463" i="1" s="1"/>
  <c r="U1464" i="1" s="1"/>
  <c r="U1465" i="1" s="1"/>
  <c r="U1466" i="1" s="1"/>
  <c r="U1467" i="1" s="1"/>
  <c r="U1468" i="1" s="1"/>
  <c r="U1469" i="1" s="1"/>
  <c r="U1470" i="1" s="1"/>
  <c r="U1471" i="1" s="1"/>
  <c r="U1472" i="1" s="1"/>
  <c r="U1473" i="1" s="1"/>
  <c r="U1474" i="1" s="1"/>
  <c r="U1475" i="1" s="1"/>
  <c r="U1476" i="1" s="1"/>
  <c r="U1477" i="1" s="1"/>
  <c r="U1478" i="1" s="1"/>
  <c r="U1479" i="1" s="1"/>
  <c r="U1480" i="1" s="1"/>
  <c r="U1481" i="1" s="1"/>
  <c r="U1482" i="1" s="1"/>
  <c r="U1483" i="1" s="1"/>
  <c r="U1484" i="1" s="1"/>
  <c r="U1485" i="1" s="1"/>
  <c r="U1486" i="1" s="1"/>
  <c r="U1487" i="1" s="1"/>
  <c r="U1488" i="1" s="1"/>
  <c r="U1489" i="1" s="1"/>
  <c r="U1490" i="1" s="1"/>
  <c r="U1491" i="1" s="1"/>
  <c r="U1492" i="1" s="1"/>
  <c r="U1493" i="1" s="1"/>
  <c r="U1494" i="1" s="1"/>
  <c r="U1495" i="1" s="1"/>
  <c r="U1496" i="1" s="1"/>
  <c r="U1497" i="1" s="1"/>
  <c r="U1498" i="1" s="1"/>
  <c r="U1499" i="1" s="1"/>
  <c r="U1500" i="1" s="1"/>
  <c r="U1501" i="1" s="1"/>
  <c r="U1502" i="1" s="1"/>
  <c r="U1503" i="1" s="1"/>
  <c r="U1504" i="1" s="1"/>
  <c r="U1505" i="1" s="1"/>
  <c r="U1506" i="1" s="1"/>
  <c r="U1507" i="1" s="1"/>
  <c r="U1508" i="1" s="1"/>
  <c r="U1509" i="1" s="1"/>
  <c r="U1510" i="1" s="1"/>
  <c r="U1511" i="1" s="1"/>
  <c r="U1512" i="1" s="1"/>
  <c r="U1513" i="1" s="1"/>
  <c r="U1514" i="1" s="1"/>
  <c r="U1515" i="1" s="1"/>
  <c r="U1516" i="1" s="1"/>
  <c r="U1517" i="1" s="1"/>
  <c r="U1518" i="1" s="1"/>
  <c r="U1519" i="1" s="1"/>
  <c r="U1520" i="1" s="1"/>
  <c r="U1521" i="1" s="1"/>
  <c r="U1522" i="1" s="1"/>
  <c r="U1523" i="1" s="1"/>
  <c r="U1524" i="1" s="1"/>
  <c r="U1525" i="1" s="1"/>
  <c r="U1526" i="1" s="1"/>
  <c r="U1527" i="1" s="1"/>
  <c r="U1528" i="1" s="1"/>
  <c r="U1529" i="1" s="1"/>
  <c r="U1530" i="1" s="1"/>
  <c r="U1531" i="1" s="1"/>
  <c r="U1532" i="1" s="1"/>
  <c r="U1533" i="1" s="1"/>
  <c r="U1534" i="1" s="1"/>
  <c r="U1535" i="1" s="1"/>
  <c r="U1536" i="1" s="1"/>
  <c r="U1537" i="1" s="1"/>
  <c r="U1538" i="1" s="1"/>
  <c r="U1539" i="1" s="1"/>
  <c r="U1540" i="1" s="1"/>
  <c r="U1541" i="1" s="1"/>
  <c r="U1542" i="1" s="1"/>
  <c r="U1543" i="1" s="1"/>
  <c r="U1544" i="1" s="1"/>
  <c r="U1545" i="1" s="1"/>
  <c r="U1546" i="1" s="1"/>
  <c r="U1547" i="1" s="1"/>
  <c r="U1548" i="1" s="1"/>
  <c r="U1549" i="1" s="1"/>
  <c r="U1550" i="1" s="1"/>
  <c r="U1551" i="1" s="1"/>
  <c r="U1552" i="1" s="1"/>
  <c r="U1553" i="1" s="1"/>
  <c r="U1554" i="1" s="1"/>
  <c r="U1555" i="1" s="1"/>
  <c r="U1556" i="1" s="1"/>
  <c r="U1557" i="1" s="1"/>
  <c r="U1558" i="1" s="1"/>
  <c r="U1559" i="1" s="1"/>
  <c r="U1560" i="1" s="1"/>
  <c r="U1561" i="1" s="1"/>
  <c r="U1562" i="1" s="1"/>
  <c r="U1563" i="1" s="1"/>
  <c r="U1564" i="1" s="1"/>
  <c r="U1565" i="1" s="1"/>
  <c r="U1566" i="1" s="1"/>
  <c r="U1567" i="1" s="1"/>
  <c r="U1568" i="1" s="1"/>
  <c r="U1569" i="1" s="1"/>
  <c r="U1570" i="1" s="1"/>
  <c r="U1571" i="1" s="1"/>
  <c r="U1572" i="1" s="1"/>
  <c r="U1573" i="1" s="1"/>
  <c r="U1574" i="1" s="1"/>
  <c r="U1575" i="1" s="1"/>
  <c r="U1576" i="1" s="1"/>
  <c r="U1577" i="1" s="1"/>
  <c r="U1578" i="1" s="1"/>
  <c r="U1579" i="1" s="1"/>
  <c r="U1580" i="1" s="1"/>
  <c r="U1581" i="1" s="1"/>
  <c r="U1582" i="1" s="1"/>
  <c r="U1583" i="1" s="1"/>
  <c r="U1584" i="1" s="1"/>
  <c r="U1585" i="1" s="1"/>
  <c r="U1586" i="1" s="1"/>
  <c r="U1587" i="1" s="1"/>
  <c r="U1588" i="1" s="1"/>
  <c r="U1589" i="1" s="1"/>
  <c r="U1590" i="1" s="1"/>
  <c r="U1591" i="1" s="1"/>
  <c r="U1592" i="1" s="1"/>
  <c r="U1593" i="1" s="1"/>
  <c r="U1594" i="1" s="1"/>
  <c r="U1595" i="1" s="1"/>
  <c r="U1596" i="1" s="1"/>
  <c r="U1597" i="1" s="1"/>
  <c r="U1598" i="1" s="1"/>
  <c r="U1599" i="1" s="1"/>
  <c r="U1600" i="1" s="1"/>
  <c r="U1601" i="1" s="1"/>
  <c r="U1602" i="1" s="1"/>
  <c r="U1603" i="1" s="1"/>
  <c r="U1604" i="1" s="1"/>
  <c r="U1605" i="1" s="1"/>
  <c r="U1606" i="1" s="1"/>
  <c r="U1607" i="1" s="1"/>
  <c r="U1608" i="1" s="1"/>
  <c r="U1609" i="1" s="1"/>
  <c r="U1610" i="1" s="1"/>
  <c r="U1611" i="1" s="1"/>
  <c r="U1612" i="1" s="1"/>
  <c r="U1613" i="1" s="1"/>
  <c r="U1614" i="1" s="1"/>
  <c r="U1615" i="1" s="1"/>
  <c r="U1616" i="1" s="1"/>
  <c r="U1617" i="1" s="1"/>
  <c r="U1618" i="1" s="1"/>
  <c r="U1619" i="1" s="1"/>
  <c r="U1620" i="1" s="1"/>
  <c r="U1621" i="1" s="1"/>
  <c r="U1622" i="1" s="1"/>
  <c r="U1623" i="1" s="1"/>
  <c r="U1624" i="1" s="1"/>
  <c r="U1625" i="1" s="1"/>
  <c r="U1626" i="1" s="1"/>
  <c r="U1627" i="1" s="1"/>
  <c r="U1628" i="1" s="1"/>
  <c r="U1629" i="1" s="1"/>
  <c r="U1630" i="1" s="1"/>
  <c r="U1631" i="1" s="1"/>
  <c r="U1632" i="1" s="1"/>
  <c r="U1633" i="1" s="1"/>
  <c r="U1634" i="1" s="1"/>
  <c r="U1635" i="1" s="1"/>
  <c r="U1636" i="1" s="1"/>
  <c r="U1637" i="1" s="1"/>
  <c r="U1638" i="1" s="1"/>
  <c r="U1639" i="1" s="1"/>
  <c r="U1640" i="1" s="1"/>
  <c r="U1641" i="1" s="1"/>
  <c r="U1642" i="1" s="1"/>
  <c r="U1643" i="1" s="1"/>
  <c r="U1644" i="1" s="1"/>
  <c r="U1645" i="1" s="1"/>
  <c r="U1646" i="1" s="1"/>
  <c r="U1647" i="1" s="1"/>
  <c r="U1648" i="1" s="1"/>
  <c r="U1649" i="1" s="1"/>
  <c r="U1650" i="1" s="1"/>
  <c r="U1651" i="1" s="1"/>
  <c r="U1652" i="1" s="1"/>
  <c r="U1653" i="1" s="1"/>
  <c r="U1654" i="1" s="1"/>
  <c r="U1655" i="1" s="1"/>
  <c r="U1656" i="1" s="1"/>
  <c r="U1657" i="1" s="1"/>
  <c r="U1658" i="1" s="1"/>
  <c r="U1659" i="1" s="1"/>
  <c r="U1660" i="1" s="1"/>
  <c r="U1661" i="1" s="1"/>
  <c r="U1662" i="1" s="1"/>
  <c r="U1663" i="1" s="1"/>
  <c r="U1664" i="1" s="1"/>
  <c r="U1665" i="1" s="1"/>
  <c r="U1666" i="1" s="1"/>
  <c r="U1667" i="1" s="1"/>
  <c r="U1668" i="1" s="1"/>
  <c r="U1669" i="1" s="1"/>
  <c r="U1670" i="1" s="1"/>
  <c r="U1671" i="1" s="1"/>
  <c r="U1672" i="1" s="1"/>
  <c r="U1673" i="1" s="1"/>
  <c r="U1674" i="1" s="1"/>
  <c r="U1675" i="1" s="1"/>
  <c r="U1676" i="1" s="1"/>
  <c r="U1677" i="1" s="1"/>
  <c r="U1678" i="1" s="1"/>
  <c r="U1679" i="1" s="1"/>
  <c r="U1680" i="1" s="1"/>
  <c r="U1681" i="1" s="1"/>
  <c r="U1682" i="1" s="1"/>
  <c r="U1683" i="1" s="1"/>
  <c r="U1684" i="1" s="1"/>
  <c r="U1685" i="1" s="1"/>
  <c r="U1686" i="1" s="1"/>
  <c r="U1687" i="1" s="1"/>
  <c r="U1688" i="1" s="1"/>
  <c r="U1689" i="1" s="1"/>
  <c r="U1690" i="1" s="1"/>
  <c r="U1691" i="1" s="1"/>
  <c r="U1692" i="1" s="1"/>
  <c r="U1693" i="1" s="1"/>
  <c r="U1694" i="1" s="1"/>
  <c r="U1695" i="1" s="1"/>
  <c r="U1696" i="1" s="1"/>
  <c r="U1697" i="1" s="1"/>
  <c r="U1698" i="1" s="1"/>
  <c r="U1699" i="1" s="1"/>
  <c r="U1700" i="1" s="1"/>
  <c r="U1701" i="1" s="1"/>
  <c r="U1702" i="1" s="1"/>
  <c r="U1703" i="1" s="1"/>
  <c r="U1704" i="1" s="1"/>
  <c r="U1705" i="1" s="1"/>
  <c r="U1706" i="1" s="1"/>
  <c r="U1707" i="1" s="1"/>
  <c r="U1708" i="1" s="1"/>
  <c r="U1709" i="1" s="1"/>
  <c r="U1710" i="1" s="1"/>
  <c r="U1711" i="1" s="1"/>
  <c r="U1712" i="1" s="1"/>
  <c r="U1713" i="1" s="1"/>
  <c r="U1714" i="1" s="1"/>
  <c r="U1715" i="1" s="1"/>
  <c r="U1716" i="1" s="1"/>
  <c r="U1717" i="1" s="1"/>
  <c r="U1718" i="1" s="1"/>
  <c r="U1719" i="1" s="1"/>
  <c r="U1720" i="1" s="1"/>
  <c r="U1721" i="1" s="1"/>
  <c r="U1722" i="1" s="1"/>
  <c r="U1723" i="1" s="1"/>
  <c r="U1724" i="1" s="1"/>
  <c r="U1725" i="1" s="1"/>
  <c r="U1726" i="1" s="1"/>
  <c r="U1727" i="1" s="1"/>
  <c r="U1728" i="1" s="1"/>
  <c r="U1729" i="1" s="1"/>
  <c r="U1730" i="1" s="1"/>
  <c r="U1731" i="1" s="1"/>
  <c r="U1732" i="1" s="1"/>
  <c r="U1733" i="1" s="1"/>
  <c r="U1734" i="1" s="1"/>
  <c r="U1735" i="1" s="1"/>
  <c r="U1736" i="1" s="1"/>
  <c r="U1737" i="1" s="1"/>
  <c r="U1738" i="1" s="1"/>
  <c r="U1739" i="1" s="1"/>
  <c r="U1740" i="1" s="1"/>
  <c r="U1741" i="1" s="1"/>
  <c r="U1742" i="1" s="1"/>
  <c r="U1743" i="1" s="1"/>
  <c r="U1744" i="1" s="1"/>
  <c r="U1745" i="1" s="1"/>
  <c r="U1746" i="1" s="1"/>
  <c r="U1747" i="1" s="1"/>
  <c r="U1748" i="1" s="1"/>
  <c r="U1749" i="1" s="1"/>
  <c r="U1750" i="1" s="1"/>
  <c r="U1751" i="1" s="1"/>
  <c r="U1752" i="1" s="1"/>
  <c r="U1753" i="1" s="1"/>
  <c r="U1754" i="1" s="1"/>
  <c r="U1755" i="1" s="1"/>
  <c r="U1756" i="1" s="1"/>
  <c r="U1757" i="1" s="1"/>
  <c r="U1758" i="1" s="1"/>
  <c r="U1759" i="1" s="1"/>
  <c r="U1760" i="1" s="1"/>
  <c r="U1761" i="1" s="1"/>
  <c r="U1762" i="1" s="1"/>
  <c r="U1763" i="1" s="1"/>
  <c r="U1764" i="1" s="1"/>
  <c r="U1765" i="1" s="1"/>
  <c r="U1766" i="1" s="1"/>
  <c r="U1767" i="1" s="1"/>
  <c r="U1768" i="1" s="1"/>
  <c r="U1769" i="1" s="1"/>
  <c r="U1770" i="1" s="1"/>
  <c r="U1771" i="1" s="1"/>
  <c r="U1772" i="1" s="1"/>
  <c r="U1773" i="1" s="1"/>
  <c r="U1774" i="1" s="1"/>
  <c r="U1775" i="1" s="1"/>
  <c r="U1776" i="1" s="1"/>
  <c r="U1777" i="1" s="1"/>
  <c r="U1778" i="1" s="1"/>
  <c r="U1779" i="1" s="1"/>
  <c r="U1780" i="1" s="1"/>
  <c r="U1781" i="1" s="1"/>
  <c r="U1782" i="1" s="1"/>
  <c r="U1783" i="1" s="1"/>
  <c r="U1784" i="1" s="1"/>
  <c r="U1785" i="1" s="1"/>
  <c r="U1786" i="1" s="1"/>
  <c r="U1787" i="1" s="1"/>
  <c r="U1788" i="1" s="1"/>
  <c r="U1789" i="1" s="1"/>
  <c r="U1790" i="1" s="1"/>
  <c r="U1791" i="1" s="1"/>
  <c r="U1792" i="1" s="1"/>
  <c r="U1793" i="1" s="1"/>
  <c r="U1794" i="1" s="1"/>
  <c r="U1795" i="1" s="1"/>
  <c r="U1796" i="1" s="1"/>
  <c r="U1797" i="1" s="1"/>
  <c r="U1798" i="1" s="1"/>
  <c r="U1799" i="1" s="1"/>
  <c r="U1800" i="1" s="1"/>
  <c r="U1801" i="1" s="1"/>
  <c r="U1802" i="1" s="1"/>
  <c r="U1803" i="1" s="1"/>
  <c r="U1804" i="1" s="1"/>
  <c r="U1805" i="1" s="1"/>
  <c r="U1806" i="1" s="1"/>
  <c r="U1807" i="1" s="1"/>
  <c r="U1808" i="1" s="1"/>
  <c r="U1809" i="1" s="1"/>
  <c r="U1810" i="1" s="1"/>
  <c r="U1811" i="1" s="1"/>
  <c r="U1812" i="1" s="1"/>
  <c r="U1813" i="1" s="1"/>
  <c r="U1814" i="1" s="1"/>
  <c r="U1815" i="1" s="1"/>
  <c r="U1816" i="1" s="1"/>
  <c r="U1817" i="1" s="1"/>
  <c r="U1818" i="1" s="1"/>
  <c r="U1819" i="1" s="1"/>
  <c r="U1820" i="1" s="1"/>
  <c r="U1821" i="1" s="1"/>
  <c r="U1822" i="1" s="1"/>
  <c r="U1823" i="1" s="1"/>
  <c r="U1824" i="1" s="1"/>
  <c r="U1825" i="1" s="1"/>
  <c r="U1826" i="1" s="1"/>
  <c r="U1827" i="1" s="1"/>
  <c r="U1828" i="1" s="1"/>
  <c r="U1829" i="1" s="1"/>
  <c r="U1830" i="1" s="1"/>
  <c r="U1831" i="1" s="1"/>
  <c r="U1832" i="1" s="1"/>
  <c r="U1833" i="1" s="1"/>
  <c r="U1834" i="1" s="1"/>
  <c r="U1835" i="1" s="1"/>
  <c r="U1836" i="1" s="1"/>
  <c r="U1837" i="1" s="1"/>
  <c r="U1838" i="1" s="1"/>
  <c r="U1839" i="1" s="1"/>
  <c r="U1840" i="1" s="1"/>
  <c r="U1841" i="1" s="1"/>
  <c r="U1842" i="1" s="1"/>
  <c r="U1843" i="1" s="1"/>
  <c r="U1844" i="1" s="1"/>
  <c r="U1845" i="1" s="1"/>
  <c r="U1846" i="1" s="1"/>
  <c r="U1847" i="1" s="1"/>
  <c r="U1848" i="1" s="1"/>
  <c r="U1849" i="1" s="1"/>
  <c r="U1850" i="1" s="1"/>
  <c r="U1851" i="1" s="1"/>
  <c r="U1852" i="1" s="1"/>
  <c r="U1853" i="1" s="1"/>
  <c r="U1854" i="1" s="1"/>
  <c r="U1855" i="1" s="1"/>
  <c r="U1856" i="1" s="1"/>
  <c r="U1857" i="1" s="1"/>
  <c r="U1858" i="1" s="1"/>
  <c r="U1859" i="1" s="1"/>
  <c r="U1860" i="1" s="1"/>
  <c r="U1861" i="1" s="1"/>
  <c r="U1862" i="1" s="1"/>
  <c r="U1863" i="1" s="1"/>
  <c r="U1864" i="1" s="1"/>
  <c r="U1865" i="1" s="1"/>
  <c r="U1866" i="1" s="1"/>
  <c r="U1867" i="1" s="1"/>
  <c r="U1868" i="1" s="1"/>
  <c r="U1869" i="1" s="1"/>
  <c r="U1870" i="1" s="1"/>
  <c r="U1871" i="1" s="1"/>
  <c r="U1872" i="1" s="1"/>
  <c r="U1873" i="1" s="1"/>
  <c r="U1874" i="1" s="1"/>
  <c r="U1875" i="1" s="1"/>
  <c r="U1876" i="1" s="1"/>
  <c r="U1877" i="1" s="1"/>
  <c r="U1878" i="1" s="1"/>
  <c r="U1879" i="1" s="1"/>
  <c r="U1880" i="1" s="1"/>
  <c r="U1881" i="1" s="1"/>
  <c r="U1882" i="1" s="1"/>
  <c r="U1883" i="1" s="1"/>
  <c r="U1884" i="1" s="1"/>
  <c r="U1885" i="1" s="1"/>
  <c r="U1886" i="1" s="1"/>
  <c r="U1887" i="1" s="1"/>
  <c r="U1888" i="1" s="1"/>
  <c r="U1889" i="1" s="1"/>
  <c r="U1890" i="1" s="1"/>
  <c r="U1891" i="1" s="1"/>
  <c r="U1892" i="1" s="1"/>
  <c r="U1893" i="1" s="1"/>
  <c r="U1894" i="1" s="1"/>
  <c r="U1895" i="1" s="1"/>
  <c r="U1896" i="1" s="1"/>
  <c r="U1897" i="1" s="1"/>
  <c r="U1898" i="1" s="1"/>
  <c r="U1899" i="1" s="1"/>
  <c r="U1900" i="1" s="1"/>
  <c r="U1901" i="1" s="1"/>
  <c r="U1902" i="1" s="1"/>
  <c r="U1903" i="1" s="1"/>
  <c r="U1904" i="1" s="1"/>
  <c r="U1905" i="1" s="1"/>
  <c r="U1906" i="1" s="1"/>
  <c r="U1907" i="1" s="1"/>
  <c r="U1908" i="1" s="1"/>
  <c r="U1909" i="1" s="1"/>
  <c r="U1910" i="1" s="1"/>
  <c r="U1911" i="1" s="1"/>
  <c r="U1912" i="1" s="1"/>
  <c r="U1913" i="1" s="1"/>
  <c r="U1914" i="1" s="1"/>
  <c r="U1915" i="1" s="1"/>
  <c r="U1916" i="1" s="1"/>
  <c r="U1917" i="1" s="1"/>
  <c r="U1918" i="1" s="1"/>
  <c r="U1919" i="1" s="1"/>
  <c r="U1920" i="1" s="1"/>
  <c r="U1921" i="1" s="1"/>
  <c r="U1922" i="1" s="1"/>
  <c r="U1923" i="1" s="1"/>
  <c r="U1924" i="1" s="1"/>
  <c r="U1925" i="1" s="1"/>
  <c r="U1926" i="1" s="1"/>
  <c r="U1927" i="1" s="1"/>
  <c r="U1928" i="1" s="1"/>
  <c r="U1929" i="1" s="1"/>
  <c r="U1930" i="1" s="1"/>
  <c r="U1931" i="1" s="1"/>
  <c r="U1932" i="1" s="1"/>
  <c r="U1933" i="1" s="1"/>
  <c r="U1934" i="1" s="1"/>
  <c r="U1935" i="1" s="1"/>
  <c r="U1936" i="1" s="1"/>
  <c r="U1937" i="1" s="1"/>
  <c r="U1938" i="1" s="1"/>
  <c r="U1939" i="1" s="1"/>
  <c r="U1940" i="1" s="1"/>
  <c r="U1941" i="1" s="1"/>
  <c r="U1942" i="1" s="1"/>
  <c r="U1943" i="1" s="1"/>
  <c r="U1944" i="1" s="1"/>
  <c r="U1945" i="1" s="1"/>
  <c r="U1946" i="1" s="1"/>
  <c r="U1947" i="1" s="1"/>
  <c r="U1948" i="1" s="1"/>
  <c r="U1949" i="1" s="1"/>
  <c r="U1950" i="1" s="1"/>
  <c r="U1951" i="1" s="1"/>
  <c r="U1952" i="1" s="1"/>
  <c r="U1953" i="1" s="1"/>
  <c r="U1954" i="1" s="1"/>
  <c r="U1955" i="1" s="1"/>
  <c r="U1956" i="1" s="1"/>
  <c r="U1957" i="1" s="1"/>
  <c r="U1958" i="1" s="1"/>
  <c r="U1959" i="1" s="1"/>
  <c r="U1960" i="1" s="1"/>
  <c r="U1961" i="1" s="1"/>
  <c r="U1962" i="1" s="1"/>
  <c r="U1963" i="1" s="1"/>
  <c r="U1964" i="1" s="1"/>
  <c r="U1965" i="1" s="1"/>
  <c r="U1966" i="1" s="1"/>
  <c r="U1967" i="1" s="1"/>
  <c r="U1968" i="1" s="1"/>
  <c r="U1969" i="1" s="1"/>
  <c r="U1970" i="1" s="1"/>
  <c r="U1971" i="1" s="1"/>
  <c r="U1972" i="1" s="1"/>
  <c r="U1973" i="1" s="1"/>
  <c r="U1974" i="1" s="1"/>
  <c r="U1975" i="1" s="1"/>
  <c r="U1976" i="1" s="1"/>
  <c r="U1977" i="1" s="1"/>
  <c r="U1978" i="1" s="1"/>
  <c r="U1979" i="1" s="1"/>
  <c r="U1980" i="1" s="1"/>
  <c r="U1981" i="1" s="1"/>
  <c r="U1982" i="1" s="1"/>
  <c r="U1983" i="1" s="1"/>
  <c r="U1984" i="1" s="1"/>
  <c r="U1985" i="1" s="1"/>
  <c r="U1986" i="1" s="1"/>
  <c r="U1987" i="1" s="1"/>
  <c r="U1988" i="1" s="1"/>
  <c r="U1989" i="1" s="1"/>
  <c r="U1990" i="1" s="1"/>
  <c r="U1991" i="1" s="1"/>
  <c r="U1992" i="1" s="1"/>
  <c r="U1993" i="1" s="1"/>
  <c r="U1994" i="1" s="1"/>
  <c r="U1995" i="1" s="1"/>
  <c r="U1996" i="1" s="1"/>
  <c r="U1997" i="1" s="1"/>
  <c r="U1998" i="1" s="1"/>
  <c r="U1999" i="1" s="1"/>
  <c r="U2000" i="1" s="1"/>
  <c r="U2001" i="1" s="1"/>
  <c r="U2002" i="1" s="1"/>
  <c r="U2003" i="1" s="1"/>
  <c r="U2004" i="1" s="1"/>
  <c r="U2005" i="1" s="1"/>
  <c r="U2006" i="1" s="1"/>
  <c r="U2007" i="1" s="1"/>
  <c r="U2008" i="1" s="1"/>
  <c r="U2009" i="1" s="1"/>
  <c r="U2010" i="1" s="1"/>
  <c r="U2011" i="1" s="1"/>
  <c r="U2012" i="1" s="1"/>
  <c r="U2013" i="1" s="1"/>
  <c r="U2014" i="1" s="1"/>
  <c r="U2015" i="1" s="1"/>
  <c r="U2016" i="1" s="1"/>
  <c r="U2017" i="1" s="1"/>
  <c r="U2018" i="1" s="1"/>
  <c r="U2019" i="1" s="1"/>
  <c r="U2020" i="1" s="1"/>
  <c r="U2021" i="1" s="1"/>
  <c r="U2022" i="1" s="1"/>
  <c r="U2023" i="1" s="1"/>
  <c r="U2024" i="1" s="1"/>
  <c r="U2025" i="1" s="1"/>
  <c r="U2026" i="1" s="1"/>
  <c r="U2027" i="1" s="1"/>
  <c r="U2028" i="1" s="1"/>
  <c r="U2029" i="1" s="1"/>
  <c r="U2030" i="1" s="1"/>
  <c r="U2031" i="1" s="1"/>
  <c r="U2032" i="1" s="1"/>
  <c r="U2033" i="1" s="1"/>
  <c r="U2034" i="1" s="1"/>
  <c r="U2035" i="1" s="1"/>
  <c r="U2036" i="1" s="1"/>
  <c r="U2037" i="1" s="1"/>
  <c r="U2038" i="1" s="1"/>
  <c r="U2039" i="1" s="1"/>
  <c r="U2040" i="1" s="1"/>
  <c r="U2041" i="1" s="1"/>
  <c r="U2042" i="1" s="1"/>
  <c r="U2043" i="1" s="1"/>
  <c r="U2044" i="1" s="1"/>
  <c r="U2045" i="1" s="1"/>
  <c r="U2046" i="1" s="1"/>
  <c r="U2047" i="1" s="1"/>
  <c r="U2048" i="1" s="1"/>
  <c r="U2049" i="1" s="1"/>
  <c r="U2050" i="1" s="1"/>
  <c r="U2051" i="1" s="1"/>
  <c r="U2052" i="1" s="1"/>
  <c r="U2053" i="1" s="1"/>
  <c r="U2054" i="1" s="1"/>
  <c r="U2055" i="1" s="1"/>
  <c r="U2056" i="1" s="1"/>
  <c r="U2057" i="1" s="1"/>
  <c r="U2058" i="1" s="1"/>
  <c r="U2059" i="1" s="1"/>
  <c r="U2060" i="1" s="1"/>
  <c r="U2061" i="1" s="1"/>
  <c r="U2062" i="1" s="1"/>
  <c r="U2063" i="1" s="1"/>
  <c r="U2064" i="1" s="1"/>
  <c r="U2065" i="1" s="1"/>
  <c r="U2066" i="1" s="1"/>
  <c r="U2067" i="1" s="1"/>
  <c r="U2068" i="1" s="1"/>
  <c r="U2069" i="1" s="1"/>
  <c r="U2070" i="1" s="1"/>
  <c r="U2071" i="1" s="1"/>
  <c r="U2072" i="1" s="1"/>
  <c r="U2073" i="1" s="1"/>
  <c r="U2074" i="1" s="1"/>
  <c r="U2075" i="1" s="1"/>
  <c r="U2076" i="1" s="1"/>
  <c r="U2077" i="1" s="1"/>
  <c r="U2078" i="1" s="1"/>
  <c r="U2079" i="1" s="1"/>
  <c r="U2080" i="1" s="1"/>
  <c r="U2081" i="1" s="1"/>
  <c r="U2082" i="1" s="1"/>
  <c r="U2083" i="1" s="1"/>
  <c r="U2084" i="1" s="1"/>
  <c r="U2085" i="1" s="1"/>
  <c r="U2086" i="1" s="1"/>
  <c r="U2087" i="1" s="1"/>
  <c r="U2088" i="1" s="1"/>
  <c r="U2089" i="1" s="1"/>
  <c r="U2090" i="1" s="1"/>
  <c r="U2091" i="1" s="1"/>
  <c r="U2092" i="1" s="1"/>
  <c r="U2093" i="1" s="1"/>
  <c r="U2094" i="1" s="1"/>
  <c r="U2095" i="1" s="1"/>
  <c r="U2096" i="1" s="1"/>
  <c r="U2097" i="1" s="1"/>
  <c r="U2098" i="1" s="1"/>
  <c r="U2099" i="1" s="1"/>
  <c r="U2100" i="1" s="1"/>
  <c r="U2101" i="1" s="1"/>
  <c r="U2102" i="1" s="1"/>
  <c r="U2103" i="1" s="1"/>
  <c r="U2104" i="1" s="1"/>
  <c r="U2105" i="1" s="1"/>
  <c r="U2106" i="1" s="1"/>
  <c r="U2107" i="1" s="1"/>
  <c r="U2108" i="1" s="1"/>
  <c r="U2109" i="1" s="1"/>
  <c r="U2110" i="1" s="1"/>
  <c r="U2111" i="1" s="1"/>
  <c r="U2112" i="1" s="1"/>
  <c r="U2113" i="1" s="1"/>
  <c r="U2114" i="1" s="1"/>
  <c r="U2115" i="1" s="1"/>
  <c r="U2116" i="1" s="1"/>
  <c r="U2117" i="1" s="1"/>
  <c r="U2118" i="1" s="1"/>
  <c r="U2119" i="1" s="1"/>
  <c r="U2120" i="1" s="1"/>
  <c r="U2121" i="1" s="1"/>
  <c r="U2122" i="1" s="1"/>
  <c r="U2123" i="1" s="1"/>
  <c r="U2124" i="1" s="1"/>
  <c r="U2125" i="1" s="1"/>
  <c r="U2126" i="1" s="1"/>
  <c r="U2127" i="1" s="1"/>
  <c r="U2128" i="1" s="1"/>
  <c r="U2129" i="1" s="1"/>
  <c r="U2130" i="1" s="1"/>
  <c r="U2131" i="1" s="1"/>
  <c r="U2132" i="1" s="1"/>
  <c r="U2133" i="1" s="1"/>
  <c r="U2134" i="1" s="1"/>
  <c r="U2135" i="1" s="1"/>
  <c r="U2136" i="1" s="1"/>
  <c r="U2137" i="1" s="1"/>
  <c r="U2138" i="1" s="1"/>
  <c r="U2139" i="1" s="1"/>
  <c r="U2140" i="1" s="1"/>
  <c r="U2141" i="1" s="1"/>
  <c r="U2142" i="1" s="1"/>
  <c r="U2143" i="1" s="1"/>
  <c r="U2144" i="1" s="1"/>
  <c r="U2145" i="1" s="1"/>
  <c r="U2146" i="1" s="1"/>
  <c r="U2147" i="1" s="1"/>
  <c r="U2148" i="1" s="1"/>
  <c r="U2149" i="1" s="1"/>
  <c r="U2150" i="1" s="1"/>
  <c r="U2151" i="1" s="1"/>
  <c r="U2152" i="1" s="1"/>
  <c r="U2153" i="1" s="1"/>
  <c r="U2154" i="1" s="1"/>
  <c r="U2155" i="1" s="1"/>
  <c r="U2156" i="1" s="1"/>
  <c r="U2157" i="1" s="1"/>
  <c r="U2158" i="1" s="1"/>
  <c r="U2159" i="1" s="1"/>
  <c r="U2160" i="1" s="1"/>
  <c r="U2161" i="1" s="1"/>
  <c r="U2162" i="1" s="1"/>
  <c r="U2163" i="1" s="1"/>
  <c r="U2164" i="1" s="1"/>
  <c r="U2165" i="1" s="1"/>
  <c r="U2166" i="1" s="1"/>
  <c r="U2167" i="1" s="1"/>
  <c r="U2168" i="1" s="1"/>
  <c r="U2169" i="1" s="1"/>
  <c r="U2170" i="1" s="1"/>
  <c r="U2171" i="1" s="1"/>
  <c r="U2172" i="1" s="1"/>
  <c r="U2173" i="1" s="1"/>
  <c r="U2174" i="1" s="1"/>
  <c r="U2175" i="1" s="1"/>
  <c r="U2176" i="1" s="1"/>
  <c r="U2177" i="1" s="1"/>
  <c r="U2178" i="1" s="1"/>
  <c r="U2179" i="1" s="1"/>
  <c r="U2180" i="1" s="1"/>
  <c r="U2181" i="1" s="1"/>
  <c r="U2182" i="1" s="1"/>
  <c r="U2183" i="1" s="1"/>
  <c r="U2184" i="1" s="1"/>
  <c r="U2185" i="1" s="1"/>
  <c r="U2186" i="1" s="1"/>
  <c r="U2187" i="1" s="1"/>
  <c r="U2188" i="1" s="1"/>
  <c r="U2189" i="1" s="1"/>
  <c r="U2190" i="1" s="1"/>
  <c r="U2191" i="1" s="1"/>
  <c r="U2192" i="1" s="1"/>
  <c r="U2193" i="1" s="1"/>
  <c r="U2194" i="1" s="1"/>
  <c r="U2195" i="1" s="1"/>
  <c r="U2196" i="1" s="1"/>
  <c r="U2197" i="1" s="1"/>
  <c r="U2198" i="1" s="1"/>
  <c r="U2199" i="1" s="1"/>
  <c r="U2200" i="1" s="1"/>
  <c r="U2201" i="1" s="1"/>
  <c r="U2202" i="1" s="1"/>
  <c r="U2203" i="1" s="1"/>
  <c r="U2204" i="1" s="1"/>
  <c r="U2205" i="1" s="1"/>
  <c r="U2206" i="1" s="1"/>
  <c r="U2207" i="1" s="1"/>
  <c r="U2208" i="1" s="1"/>
  <c r="U2209" i="1" s="1"/>
  <c r="U2210" i="1" s="1"/>
  <c r="U2211" i="1" s="1"/>
  <c r="U2212" i="1" s="1"/>
  <c r="U2213" i="1" s="1"/>
  <c r="U2214" i="1" s="1"/>
  <c r="U2215" i="1" s="1"/>
  <c r="U2216" i="1" s="1"/>
  <c r="U2217" i="1" s="1"/>
  <c r="U2218" i="1" s="1"/>
  <c r="U2219" i="1" s="1"/>
  <c r="U2220" i="1" s="1"/>
  <c r="U2221" i="1" s="1"/>
  <c r="U2222" i="1" s="1"/>
  <c r="U2223" i="1" s="1"/>
  <c r="U2224" i="1" s="1"/>
  <c r="U2225" i="1" s="1"/>
  <c r="U2226" i="1" s="1"/>
  <c r="U2227" i="1" s="1"/>
  <c r="U2228" i="1" s="1"/>
  <c r="U2229" i="1" s="1"/>
  <c r="U2230" i="1" s="1"/>
  <c r="U2231" i="1" s="1"/>
  <c r="U2232" i="1" s="1"/>
  <c r="U2233" i="1" s="1"/>
  <c r="U2234" i="1" s="1"/>
  <c r="U2235" i="1" s="1"/>
  <c r="U2236" i="1" s="1"/>
  <c r="U2237" i="1" s="1"/>
  <c r="U2238" i="1" s="1"/>
  <c r="U2239" i="1" s="1"/>
  <c r="U2240" i="1" s="1"/>
  <c r="U2241" i="1" s="1"/>
  <c r="U2242" i="1" s="1"/>
  <c r="U2243" i="1" s="1"/>
  <c r="U2244" i="1" s="1"/>
  <c r="U2245" i="1" s="1"/>
  <c r="U2246" i="1" s="1"/>
  <c r="U2247" i="1" s="1"/>
  <c r="U2248" i="1" s="1"/>
  <c r="U2249" i="1" s="1"/>
  <c r="U2250" i="1" s="1"/>
  <c r="U2251" i="1" s="1"/>
  <c r="U2252" i="1" s="1"/>
  <c r="U2253" i="1" s="1"/>
  <c r="U2254" i="1" s="1"/>
  <c r="U2255" i="1" s="1"/>
  <c r="U2256" i="1" s="1"/>
  <c r="U2257" i="1" s="1"/>
  <c r="U2258" i="1" s="1"/>
  <c r="U2259" i="1" s="1"/>
  <c r="U2260" i="1" s="1"/>
  <c r="U2261" i="1" s="1"/>
  <c r="U2262" i="1" s="1"/>
  <c r="U2263" i="1" s="1"/>
  <c r="U2264" i="1" s="1"/>
  <c r="U2265" i="1" s="1"/>
  <c r="U2266" i="1" s="1"/>
  <c r="U2267" i="1" s="1"/>
  <c r="U2268" i="1" s="1"/>
  <c r="U2269" i="1" s="1"/>
  <c r="U2270" i="1" s="1"/>
  <c r="U2271" i="1" s="1"/>
  <c r="U2272" i="1" s="1"/>
  <c r="U2273" i="1" s="1"/>
  <c r="U2274" i="1" s="1"/>
  <c r="U2275" i="1" s="1"/>
  <c r="U2276" i="1" s="1"/>
  <c r="U2277" i="1" s="1"/>
  <c r="U2278" i="1" s="1"/>
  <c r="U2279" i="1" s="1"/>
  <c r="U2280" i="1" s="1"/>
  <c r="U2281" i="1" s="1"/>
  <c r="U2282" i="1" s="1"/>
  <c r="U2283" i="1" s="1"/>
  <c r="U2284" i="1" s="1"/>
  <c r="U2285" i="1" s="1"/>
  <c r="U2286" i="1" s="1"/>
  <c r="U2287" i="1" s="1"/>
  <c r="U2288" i="1" s="1"/>
  <c r="U2289" i="1" s="1"/>
  <c r="U2290" i="1" s="1"/>
  <c r="U2291" i="1" s="1"/>
  <c r="U2292" i="1" s="1"/>
  <c r="U2293" i="1" s="1"/>
  <c r="U2294" i="1" s="1"/>
  <c r="U2295" i="1" s="1"/>
  <c r="U2296" i="1" s="1"/>
  <c r="U2297" i="1" s="1"/>
  <c r="U2298" i="1" s="1"/>
  <c r="U2299" i="1" s="1"/>
  <c r="U2300" i="1" s="1"/>
  <c r="U2301" i="1" s="1"/>
  <c r="U2302" i="1" s="1"/>
  <c r="U2303" i="1" s="1"/>
  <c r="U2304" i="1" s="1"/>
  <c r="U2305" i="1" s="1"/>
  <c r="U2306" i="1" s="1"/>
  <c r="U2307" i="1" s="1"/>
  <c r="U2308" i="1" s="1"/>
  <c r="U2309" i="1" s="1"/>
  <c r="U2310" i="1" s="1"/>
  <c r="U2311" i="1" s="1"/>
  <c r="U2312" i="1" s="1"/>
  <c r="U2313" i="1" s="1"/>
  <c r="U2314" i="1" s="1"/>
  <c r="U2315" i="1" s="1"/>
  <c r="U2316" i="1" s="1"/>
  <c r="U2317" i="1" s="1"/>
  <c r="U2318" i="1" s="1"/>
  <c r="U2319" i="1" s="1"/>
  <c r="U2320" i="1" s="1"/>
  <c r="U2321" i="1" s="1"/>
  <c r="U2322" i="1" s="1"/>
  <c r="U2323" i="1" s="1"/>
  <c r="U2324" i="1" s="1"/>
  <c r="U2325" i="1" s="1"/>
  <c r="U2326" i="1" s="1"/>
  <c r="U2327" i="1" s="1"/>
  <c r="U2328" i="1" s="1"/>
  <c r="U2329" i="1" s="1"/>
  <c r="U2330" i="1" s="1"/>
  <c r="U2331" i="1" s="1"/>
  <c r="U2332" i="1" s="1"/>
  <c r="U2333" i="1" s="1"/>
  <c r="U2334" i="1" s="1"/>
  <c r="U2335" i="1" s="1"/>
  <c r="U2336" i="1" s="1"/>
  <c r="U2337" i="1" s="1"/>
  <c r="U2338" i="1" s="1"/>
  <c r="U2339" i="1" s="1"/>
  <c r="U2340" i="1" s="1"/>
  <c r="U2341" i="1" s="1"/>
  <c r="U2342" i="1" s="1"/>
  <c r="U2343" i="1" s="1"/>
  <c r="U2344" i="1" s="1"/>
  <c r="U2345" i="1" s="1"/>
  <c r="U2346" i="1" s="1"/>
  <c r="U2347" i="1" s="1"/>
  <c r="U2348" i="1" s="1"/>
  <c r="U2349" i="1" s="1"/>
  <c r="U2350" i="1" s="1"/>
  <c r="U2351" i="1" s="1"/>
  <c r="U2352" i="1" s="1"/>
  <c r="U2353" i="1" s="1"/>
  <c r="U2354" i="1" s="1"/>
  <c r="U2355" i="1" s="1"/>
  <c r="U2356" i="1" s="1"/>
  <c r="U2357" i="1" s="1"/>
  <c r="U2358" i="1" s="1"/>
  <c r="U2359" i="1" s="1"/>
  <c r="U2360" i="1" s="1"/>
  <c r="U2361" i="1" s="1"/>
  <c r="U2362" i="1" s="1"/>
  <c r="U2363" i="1" s="1"/>
  <c r="U2364" i="1" s="1"/>
  <c r="U2365" i="1" s="1"/>
  <c r="U2366" i="1" s="1"/>
  <c r="U2367" i="1" s="1"/>
  <c r="U2368" i="1" s="1"/>
  <c r="U2369" i="1" s="1"/>
  <c r="U2370" i="1" s="1"/>
  <c r="U2371" i="1" s="1"/>
  <c r="U2372" i="1" s="1"/>
  <c r="U2373" i="1" s="1"/>
  <c r="U2374" i="1" s="1"/>
  <c r="U2375" i="1" s="1"/>
  <c r="U2376" i="1" s="1"/>
  <c r="U2377" i="1" s="1"/>
  <c r="U2378" i="1" s="1"/>
  <c r="U2379" i="1" s="1"/>
  <c r="U2380" i="1" s="1"/>
  <c r="U2381" i="1" s="1"/>
  <c r="U2382" i="1" s="1"/>
  <c r="U2383" i="1" s="1"/>
  <c r="U2384" i="1" s="1"/>
  <c r="U2385" i="1" s="1"/>
  <c r="U2386" i="1" s="1"/>
  <c r="U2387" i="1" s="1"/>
  <c r="U2388" i="1" s="1"/>
  <c r="U2389" i="1" s="1"/>
  <c r="U2390" i="1" s="1"/>
  <c r="U2391" i="1" s="1"/>
  <c r="U2392" i="1" s="1"/>
  <c r="U2393" i="1" s="1"/>
  <c r="U2394" i="1" s="1"/>
  <c r="U2395" i="1" s="1"/>
  <c r="U2396" i="1" s="1"/>
  <c r="U2397" i="1" s="1"/>
  <c r="U2398" i="1" s="1"/>
  <c r="U2399" i="1" s="1"/>
  <c r="U2400" i="1" s="1"/>
  <c r="U2401" i="1" s="1"/>
  <c r="U2402" i="1" s="1"/>
  <c r="U2403" i="1" s="1"/>
  <c r="U2404" i="1" s="1"/>
  <c r="U2405" i="1" s="1"/>
  <c r="U2406" i="1" s="1"/>
  <c r="U2407" i="1" s="1"/>
  <c r="U2408" i="1" s="1"/>
  <c r="U2409" i="1" s="1"/>
  <c r="U2410" i="1" s="1"/>
  <c r="U2411" i="1" s="1"/>
  <c r="U2412" i="1" s="1"/>
  <c r="U2413" i="1" s="1"/>
  <c r="U2414" i="1" s="1"/>
  <c r="U2415" i="1" s="1"/>
  <c r="U2416" i="1" s="1"/>
  <c r="U2417" i="1" s="1"/>
  <c r="U2418" i="1" s="1"/>
  <c r="U2419" i="1" s="1"/>
  <c r="U2420" i="1" s="1"/>
  <c r="U2421" i="1" s="1"/>
  <c r="U2422" i="1" s="1"/>
  <c r="U2423" i="1" s="1"/>
  <c r="U2424" i="1" s="1"/>
  <c r="U2425" i="1" s="1"/>
  <c r="U2426" i="1" s="1"/>
  <c r="U2427" i="1" s="1"/>
  <c r="U2428" i="1" s="1"/>
  <c r="U2429" i="1" s="1"/>
  <c r="U2430" i="1" s="1"/>
  <c r="U2431" i="1" s="1"/>
  <c r="U2432" i="1" s="1"/>
  <c r="U2433" i="1" s="1"/>
  <c r="U2434" i="1" s="1"/>
  <c r="U2435" i="1" s="1"/>
  <c r="U2436" i="1" s="1"/>
  <c r="U2437" i="1" s="1"/>
  <c r="U2438" i="1" s="1"/>
  <c r="U2439" i="1" s="1"/>
  <c r="U2440" i="1" s="1"/>
  <c r="U2441" i="1" s="1"/>
  <c r="U2442" i="1" s="1"/>
  <c r="U2443" i="1" s="1"/>
  <c r="U2444" i="1" s="1"/>
  <c r="U2445" i="1" s="1"/>
  <c r="U2446" i="1" s="1"/>
  <c r="U2447" i="1" s="1"/>
  <c r="U2448" i="1" s="1"/>
  <c r="U2449" i="1" s="1"/>
  <c r="U2450" i="1" s="1"/>
  <c r="U2451" i="1" s="1"/>
  <c r="U2452" i="1" s="1"/>
  <c r="U2453" i="1" s="1"/>
  <c r="U2454" i="1" s="1"/>
  <c r="U2455" i="1" s="1"/>
  <c r="U2456" i="1" s="1"/>
  <c r="U2457" i="1" s="1"/>
  <c r="U2458" i="1" s="1"/>
  <c r="U2459" i="1" s="1"/>
  <c r="U2460" i="1" s="1"/>
  <c r="U2461" i="1" s="1"/>
  <c r="U2462" i="1" s="1"/>
  <c r="U2463" i="1" s="1"/>
  <c r="U2464" i="1" s="1"/>
  <c r="U2465" i="1" s="1"/>
  <c r="U2466" i="1" s="1"/>
  <c r="U2467" i="1" s="1"/>
  <c r="U2468" i="1" s="1"/>
  <c r="U2469" i="1" s="1"/>
  <c r="U2470" i="1" s="1"/>
  <c r="U2471" i="1" s="1"/>
  <c r="U2472" i="1" s="1"/>
  <c r="U2473" i="1" s="1"/>
  <c r="U2474" i="1" s="1"/>
  <c r="U2475" i="1" s="1"/>
  <c r="U2476" i="1" s="1"/>
  <c r="U2477" i="1" s="1"/>
  <c r="U2478" i="1" s="1"/>
  <c r="U2479" i="1" s="1"/>
  <c r="U2480" i="1" s="1"/>
  <c r="U2481" i="1" s="1"/>
  <c r="U2482" i="1" s="1"/>
  <c r="U2483" i="1" s="1"/>
  <c r="U2484" i="1" s="1"/>
  <c r="U2485" i="1" s="1"/>
  <c r="U2486" i="1" s="1"/>
  <c r="U2487" i="1" s="1"/>
  <c r="U2488" i="1" s="1"/>
  <c r="U2489" i="1" s="1"/>
  <c r="U2490" i="1" s="1"/>
  <c r="U2491" i="1" s="1"/>
  <c r="U2492" i="1" s="1"/>
  <c r="U2493" i="1" s="1"/>
  <c r="U2494" i="1" s="1"/>
  <c r="U2495" i="1" s="1"/>
  <c r="U2496" i="1" s="1"/>
  <c r="U2497" i="1" s="1"/>
  <c r="U2498" i="1" s="1"/>
  <c r="U2499" i="1" s="1"/>
  <c r="U2500" i="1" s="1"/>
  <c r="U2501" i="1" s="1"/>
  <c r="U2502" i="1" s="1"/>
  <c r="U2503" i="1" s="1"/>
  <c r="U2504" i="1" s="1"/>
  <c r="U2505" i="1" s="1"/>
  <c r="U2506" i="1" s="1"/>
  <c r="U2507" i="1" s="1"/>
  <c r="U2508" i="1" s="1"/>
  <c r="U2509" i="1" s="1"/>
  <c r="U2510" i="1" s="1"/>
  <c r="U2511" i="1" s="1"/>
  <c r="U2512" i="1" s="1"/>
  <c r="U2513" i="1" s="1"/>
  <c r="U2514" i="1" s="1"/>
  <c r="U2515" i="1" s="1"/>
  <c r="U2516" i="1" s="1"/>
  <c r="U2517" i="1" s="1"/>
  <c r="U2518" i="1" s="1"/>
  <c r="U2519" i="1" s="1"/>
  <c r="U52" i="1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E260" i="1" l="1"/>
  <c r="D260" i="1"/>
  <c r="F260" i="1" s="1"/>
  <c r="C52" i="1" l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51" i="1"/>
  <c r="D52" i="1"/>
  <c r="D53" i="1"/>
  <c r="H53" i="1" s="1"/>
  <c r="D54" i="1"/>
  <c r="H54" i="1" s="1"/>
  <c r="D55" i="1"/>
  <c r="H55" i="1" s="1"/>
  <c r="D56" i="1"/>
  <c r="H56" i="1" s="1"/>
  <c r="D57" i="1"/>
  <c r="H57" i="1" s="1"/>
  <c r="D58" i="1"/>
  <c r="H58" i="1" s="1"/>
  <c r="D59" i="1"/>
  <c r="H59" i="1" s="1"/>
  <c r="D60" i="1"/>
  <c r="H60" i="1" s="1"/>
  <c r="D61" i="1"/>
  <c r="H61" i="1" s="1"/>
  <c r="D62" i="1"/>
  <c r="H62" i="1" s="1"/>
  <c r="D63" i="1"/>
  <c r="H63" i="1" s="1"/>
  <c r="D64" i="1"/>
  <c r="H64" i="1" s="1"/>
  <c r="D65" i="1"/>
  <c r="H65" i="1" s="1"/>
  <c r="D66" i="1"/>
  <c r="H66" i="1" s="1"/>
  <c r="D67" i="1"/>
  <c r="H67" i="1" s="1"/>
  <c r="D68" i="1"/>
  <c r="H68" i="1" s="1"/>
  <c r="D69" i="1"/>
  <c r="H69" i="1" s="1"/>
  <c r="D70" i="1"/>
  <c r="H70" i="1" s="1"/>
  <c r="D71" i="1"/>
  <c r="H71" i="1" s="1"/>
  <c r="D72" i="1"/>
  <c r="H72" i="1" s="1"/>
  <c r="D73" i="1"/>
  <c r="H73" i="1" s="1"/>
  <c r="D74" i="1"/>
  <c r="H74" i="1" s="1"/>
  <c r="D75" i="1"/>
  <c r="D76" i="1"/>
  <c r="H76" i="1" s="1"/>
  <c r="D77" i="1"/>
  <c r="H77" i="1" s="1"/>
  <c r="D78" i="1"/>
  <c r="H78" i="1" s="1"/>
  <c r="D79" i="1"/>
  <c r="D80" i="1"/>
  <c r="H80" i="1" s="1"/>
  <c r="D81" i="1"/>
  <c r="H81" i="1" s="1"/>
  <c r="D82" i="1"/>
  <c r="H82" i="1" s="1"/>
  <c r="D83" i="1"/>
  <c r="D84" i="1"/>
  <c r="H84" i="1" s="1"/>
  <c r="D85" i="1"/>
  <c r="H85" i="1" s="1"/>
  <c r="D86" i="1"/>
  <c r="H86" i="1" s="1"/>
  <c r="D87" i="1"/>
  <c r="D88" i="1"/>
  <c r="H88" i="1" s="1"/>
  <c r="D89" i="1"/>
  <c r="H89" i="1" s="1"/>
  <c r="D90" i="1"/>
  <c r="H90" i="1" s="1"/>
  <c r="D91" i="1"/>
  <c r="D92" i="1"/>
  <c r="H92" i="1" s="1"/>
  <c r="D93" i="1"/>
  <c r="H93" i="1" s="1"/>
  <c r="D94" i="1"/>
  <c r="H94" i="1" s="1"/>
  <c r="D95" i="1"/>
  <c r="D96" i="1"/>
  <c r="H96" i="1" s="1"/>
  <c r="D97" i="1"/>
  <c r="H97" i="1" s="1"/>
  <c r="D98" i="1"/>
  <c r="H98" i="1" s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51" i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51" i="1"/>
  <c r="F51" i="1" s="1"/>
  <c r="F2518" i="1" l="1"/>
  <c r="H2518" i="1"/>
  <c r="F2514" i="1"/>
  <c r="H2514" i="1"/>
  <c r="F2510" i="1"/>
  <c r="H2510" i="1"/>
  <c r="F2506" i="1"/>
  <c r="H2506" i="1"/>
  <c r="F2502" i="1"/>
  <c r="H2502" i="1"/>
  <c r="F2498" i="1"/>
  <c r="H2498" i="1"/>
  <c r="F2494" i="1"/>
  <c r="H2494" i="1"/>
  <c r="F2490" i="1"/>
  <c r="H2490" i="1"/>
  <c r="F2486" i="1"/>
  <c r="H2486" i="1"/>
  <c r="F2482" i="1"/>
  <c r="H2482" i="1"/>
  <c r="F2478" i="1"/>
  <c r="H2478" i="1"/>
  <c r="F2474" i="1"/>
  <c r="H2474" i="1"/>
  <c r="F2470" i="1"/>
  <c r="H2470" i="1"/>
  <c r="F2466" i="1"/>
  <c r="H2466" i="1"/>
  <c r="F2462" i="1"/>
  <c r="H2462" i="1"/>
  <c r="F2458" i="1"/>
  <c r="H2458" i="1"/>
  <c r="F2454" i="1"/>
  <c r="H2454" i="1"/>
  <c r="F2450" i="1"/>
  <c r="H2450" i="1"/>
  <c r="F2446" i="1"/>
  <c r="H2446" i="1"/>
  <c r="F2442" i="1"/>
  <c r="H2442" i="1"/>
  <c r="F2438" i="1"/>
  <c r="H2438" i="1"/>
  <c r="F2434" i="1"/>
  <c r="H2434" i="1"/>
  <c r="F2430" i="1"/>
  <c r="H2430" i="1"/>
  <c r="F2426" i="1"/>
  <c r="H2426" i="1"/>
  <c r="F2422" i="1"/>
  <c r="H2422" i="1"/>
  <c r="F2418" i="1"/>
  <c r="H2418" i="1"/>
  <c r="F2414" i="1"/>
  <c r="H2414" i="1"/>
  <c r="F2410" i="1"/>
  <c r="H2410" i="1"/>
  <c r="F2406" i="1"/>
  <c r="H2406" i="1"/>
  <c r="F2402" i="1"/>
  <c r="H2402" i="1"/>
  <c r="F2398" i="1"/>
  <c r="H2398" i="1"/>
  <c r="F2394" i="1"/>
  <c r="H2394" i="1"/>
  <c r="F2390" i="1"/>
  <c r="H2390" i="1"/>
  <c r="F2386" i="1"/>
  <c r="H2386" i="1"/>
  <c r="F2382" i="1"/>
  <c r="H2382" i="1"/>
  <c r="F2378" i="1"/>
  <c r="H2378" i="1"/>
  <c r="F2374" i="1"/>
  <c r="H2374" i="1"/>
  <c r="F2370" i="1"/>
  <c r="H2370" i="1"/>
  <c r="F2366" i="1"/>
  <c r="H2366" i="1"/>
  <c r="F2362" i="1"/>
  <c r="H2362" i="1"/>
  <c r="F2358" i="1"/>
  <c r="H2358" i="1"/>
  <c r="F2354" i="1"/>
  <c r="H2354" i="1"/>
  <c r="F2350" i="1"/>
  <c r="H2350" i="1"/>
  <c r="F2346" i="1"/>
  <c r="H2346" i="1"/>
  <c r="F2342" i="1"/>
  <c r="H2342" i="1"/>
  <c r="F2338" i="1"/>
  <c r="H2338" i="1"/>
  <c r="F2334" i="1"/>
  <c r="H2334" i="1"/>
  <c r="F2330" i="1"/>
  <c r="H2330" i="1"/>
  <c r="F2326" i="1"/>
  <c r="H2326" i="1"/>
  <c r="F2322" i="1"/>
  <c r="H2322" i="1"/>
  <c r="F2318" i="1"/>
  <c r="H2318" i="1"/>
  <c r="F2314" i="1"/>
  <c r="H2314" i="1"/>
  <c r="F2310" i="1"/>
  <c r="H2310" i="1"/>
  <c r="F2306" i="1"/>
  <c r="H2306" i="1"/>
  <c r="F2302" i="1"/>
  <c r="H2302" i="1"/>
  <c r="F2298" i="1"/>
  <c r="H2298" i="1"/>
  <c r="F2294" i="1"/>
  <c r="H2294" i="1"/>
  <c r="F2290" i="1"/>
  <c r="H2290" i="1"/>
  <c r="F2286" i="1"/>
  <c r="H2286" i="1"/>
  <c r="F2282" i="1"/>
  <c r="H2282" i="1"/>
  <c r="F2278" i="1"/>
  <c r="H2278" i="1"/>
  <c r="F2274" i="1"/>
  <c r="H2274" i="1"/>
  <c r="F2270" i="1"/>
  <c r="H2270" i="1"/>
  <c r="F2266" i="1"/>
  <c r="H2266" i="1"/>
  <c r="F2262" i="1"/>
  <c r="H2262" i="1"/>
  <c r="F2258" i="1"/>
  <c r="H2258" i="1"/>
  <c r="F2254" i="1"/>
  <c r="H2254" i="1"/>
  <c r="F2250" i="1"/>
  <c r="H2250" i="1"/>
  <c r="F2246" i="1"/>
  <c r="H2246" i="1"/>
  <c r="F2242" i="1"/>
  <c r="H2242" i="1"/>
  <c r="F2238" i="1"/>
  <c r="H2238" i="1"/>
  <c r="F2234" i="1"/>
  <c r="H2234" i="1"/>
  <c r="F2230" i="1"/>
  <c r="H2230" i="1"/>
  <c r="F2226" i="1"/>
  <c r="H2226" i="1"/>
  <c r="F2222" i="1"/>
  <c r="H2222" i="1"/>
  <c r="F2218" i="1"/>
  <c r="H2218" i="1"/>
  <c r="F2214" i="1"/>
  <c r="H2214" i="1"/>
  <c r="F2210" i="1"/>
  <c r="H2210" i="1"/>
  <c r="F2206" i="1"/>
  <c r="H2206" i="1"/>
  <c r="F2202" i="1"/>
  <c r="H2202" i="1"/>
  <c r="F2198" i="1"/>
  <c r="H2198" i="1"/>
  <c r="F2194" i="1"/>
  <c r="H2194" i="1"/>
  <c r="F2190" i="1"/>
  <c r="H2190" i="1"/>
  <c r="F2186" i="1"/>
  <c r="H2186" i="1"/>
  <c r="F2182" i="1"/>
  <c r="H2182" i="1"/>
  <c r="F2178" i="1"/>
  <c r="H2178" i="1"/>
  <c r="F2174" i="1"/>
  <c r="H2174" i="1"/>
  <c r="F2170" i="1"/>
  <c r="H2170" i="1"/>
  <c r="F2166" i="1"/>
  <c r="H2166" i="1"/>
  <c r="F2162" i="1"/>
  <c r="H2162" i="1"/>
  <c r="F2158" i="1"/>
  <c r="H2158" i="1"/>
  <c r="F2154" i="1"/>
  <c r="H2154" i="1"/>
  <c r="F2150" i="1"/>
  <c r="H2150" i="1"/>
  <c r="F2146" i="1"/>
  <c r="H2146" i="1"/>
  <c r="F2142" i="1"/>
  <c r="H2142" i="1"/>
  <c r="F2138" i="1"/>
  <c r="H2138" i="1"/>
  <c r="F2134" i="1"/>
  <c r="H2134" i="1"/>
  <c r="F2130" i="1"/>
  <c r="H2130" i="1"/>
  <c r="F2126" i="1"/>
  <c r="H2126" i="1"/>
  <c r="F2122" i="1"/>
  <c r="H2122" i="1"/>
  <c r="F2118" i="1"/>
  <c r="H2118" i="1"/>
  <c r="F2114" i="1"/>
  <c r="H2114" i="1"/>
  <c r="F2110" i="1"/>
  <c r="H2110" i="1"/>
  <c r="F2106" i="1"/>
  <c r="H2106" i="1"/>
  <c r="F2102" i="1"/>
  <c r="H2102" i="1"/>
  <c r="F2098" i="1"/>
  <c r="H2098" i="1"/>
  <c r="F2094" i="1"/>
  <c r="H2094" i="1"/>
  <c r="F2090" i="1"/>
  <c r="H2090" i="1"/>
  <c r="F2086" i="1"/>
  <c r="H2086" i="1"/>
  <c r="F2082" i="1"/>
  <c r="H2082" i="1"/>
  <c r="F2078" i="1"/>
  <c r="H2078" i="1"/>
  <c r="F2074" i="1"/>
  <c r="H2074" i="1"/>
  <c r="F2070" i="1"/>
  <c r="H2070" i="1"/>
  <c r="F2066" i="1"/>
  <c r="H2066" i="1"/>
  <c r="F2062" i="1"/>
  <c r="H2062" i="1"/>
  <c r="F2058" i="1"/>
  <c r="H2058" i="1"/>
  <c r="F2054" i="1"/>
  <c r="H2054" i="1"/>
  <c r="F2050" i="1"/>
  <c r="H2050" i="1"/>
  <c r="F2046" i="1"/>
  <c r="H2046" i="1"/>
  <c r="F2042" i="1"/>
  <c r="H2042" i="1"/>
  <c r="F2038" i="1"/>
  <c r="H2038" i="1"/>
  <c r="F2034" i="1"/>
  <c r="H2034" i="1"/>
  <c r="F2030" i="1"/>
  <c r="H2030" i="1"/>
  <c r="F2026" i="1"/>
  <c r="H2026" i="1"/>
  <c r="F2022" i="1"/>
  <c r="H2022" i="1"/>
  <c r="F2018" i="1"/>
  <c r="H2018" i="1"/>
  <c r="F2014" i="1"/>
  <c r="H2014" i="1"/>
  <c r="F2010" i="1"/>
  <c r="H2010" i="1"/>
  <c r="F2006" i="1"/>
  <c r="H2006" i="1"/>
  <c r="F2002" i="1"/>
  <c r="H2002" i="1"/>
  <c r="F1998" i="1"/>
  <c r="H1998" i="1"/>
  <c r="F1994" i="1"/>
  <c r="H1994" i="1"/>
  <c r="F1990" i="1"/>
  <c r="H1990" i="1"/>
  <c r="F1986" i="1"/>
  <c r="H1986" i="1"/>
  <c r="F1982" i="1"/>
  <c r="H1982" i="1"/>
  <c r="F1978" i="1"/>
  <c r="H1978" i="1"/>
  <c r="F1974" i="1"/>
  <c r="H1974" i="1"/>
  <c r="F1970" i="1"/>
  <c r="H1970" i="1"/>
  <c r="F1966" i="1"/>
  <c r="H1966" i="1"/>
  <c r="F1962" i="1"/>
  <c r="H1962" i="1"/>
  <c r="F1958" i="1"/>
  <c r="H1958" i="1"/>
  <c r="F1954" i="1"/>
  <c r="H1954" i="1"/>
  <c r="F1950" i="1"/>
  <c r="H1950" i="1"/>
  <c r="F1946" i="1"/>
  <c r="H1946" i="1"/>
  <c r="F1942" i="1"/>
  <c r="H1942" i="1"/>
  <c r="F1938" i="1"/>
  <c r="H1938" i="1"/>
  <c r="F1934" i="1"/>
  <c r="H1934" i="1"/>
  <c r="F1930" i="1"/>
  <c r="H1930" i="1"/>
  <c r="F1926" i="1"/>
  <c r="H1926" i="1"/>
  <c r="F1922" i="1"/>
  <c r="H1922" i="1"/>
  <c r="F1918" i="1"/>
  <c r="H1918" i="1"/>
  <c r="F1914" i="1"/>
  <c r="H1914" i="1"/>
  <c r="F1910" i="1"/>
  <c r="H1910" i="1"/>
  <c r="F1906" i="1"/>
  <c r="H1906" i="1"/>
  <c r="F1902" i="1"/>
  <c r="H1902" i="1"/>
  <c r="F1898" i="1"/>
  <c r="H1898" i="1"/>
  <c r="F1894" i="1"/>
  <c r="H1894" i="1"/>
  <c r="F1890" i="1"/>
  <c r="H1890" i="1"/>
  <c r="F1886" i="1"/>
  <c r="H1886" i="1"/>
  <c r="F1882" i="1"/>
  <c r="H1882" i="1"/>
  <c r="F1878" i="1"/>
  <c r="H1878" i="1"/>
  <c r="F1874" i="1"/>
  <c r="H1874" i="1"/>
  <c r="F1870" i="1"/>
  <c r="H1870" i="1"/>
  <c r="F1866" i="1"/>
  <c r="H1866" i="1"/>
  <c r="F1862" i="1"/>
  <c r="H1862" i="1"/>
  <c r="F1858" i="1"/>
  <c r="H1858" i="1"/>
  <c r="F1854" i="1"/>
  <c r="H1854" i="1"/>
  <c r="F1850" i="1"/>
  <c r="H1850" i="1"/>
  <c r="F1846" i="1"/>
  <c r="H1846" i="1"/>
  <c r="F1842" i="1"/>
  <c r="H1842" i="1"/>
  <c r="F1838" i="1"/>
  <c r="H1838" i="1"/>
  <c r="F1834" i="1"/>
  <c r="H1834" i="1"/>
  <c r="F1830" i="1"/>
  <c r="H1830" i="1"/>
  <c r="F1826" i="1"/>
  <c r="H1826" i="1"/>
  <c r="F1822" i="1"/>
  <c r="H1822" i="1"/>
  <c r="F1818" i="1"/>
  <c r="H1818" i="1"/>
  <c r="F1814" i="1"/>
  <c r="H1814" i="1"/>
  <c r="F1810" i="1"/>
  <c r="H1810" i="1"/>
  <c r="F1806" i="1"/>
  <c r="H1806" i="1"/>
  <c r="F1802" i="1"/>
  <c r="H1802" i="1"/>
  <c r="F1798" i="1"/>
  <c r="H1798" i="1"/>
  <c r="F1794" i="1"/>
  <c r="H1794" i="1"/>
  <c r="F1790" i="1"/>
  <c r="H1790" i="1"/>
  <c r="F1786" i="1"/>
  <c r="H1786" i="1"/>
  <c r="F1782" i="1"/>
  <c r="H1782" i="1"/>
  <c r="F1778" i="1"/>
  <c r="H1778" i="1"/>
  <c r="F1774" i="1"/>
  <c r="H1774" i="1"/>
  <c r="F1770" i="1"/>
  <c r="H1770" i="1"/>
  <c r="F1766" i="1"/>
  <c r="H1766" i="1"/>
  <c r="F1762" i="1"/>
  <c r="H1762" i="1"/>
  <c r="F1758" i="1"/>
  <c r="H1758" i="1"/>
  <c r="F1754" i="1"/>
  <c r="H1754" i="1"/>
  <c r="F1750" i="1"/>
  <c r="H1750" i="1"/>
  <c r="F1746" i="1"/>
  <c r="H1746" i="1"/>
  <c r="F1742" i="1"/>
  <c r="H1742" i="1"/>
  <c r="F1738" i="1"/>
  <c r="H1738" i="1"/>
  <c r="F1734" i="1"/>
  <c r="H1734" i="1"/>
  <c r="F1730" i="1"/>
  <c r="H1730" i="1"/>
  <c r="F1726" i="1"/>
  <c r="H1726" i="1"/>
  <c r="F1722" i="1"/>
  <c r="H1722" i="1"/>
  <c r="F1718" i="1"/>
  <c r="H1718" i="1"/>
  <c r="F1714" i="1"/>
  <c r="H1714" i="1"/>
  <c r="F1710" i="1"/>
  <c r="H1710" i="1"/>
  <c r="F1706" i="1"/>
  <c r="H1706" i="1"/>
  <c r="F1702" i="1"/>
  <c r="H1702" i="1"/>
  <c r="F1698" i="1"/>
  <c r="H1698" i="1"/>
  <c r="F1694" i="1"/>
  <c r="H1694" i="1"/>
  <c r="F1690" i="1"/>
  <c r="H1690" i="1"/>
  <c r="F1686" i="1"/>
  <c r="H1686" i="1"/>
  <c r="F1682" i="1"/>
  <c r="H1682" i="1"/>
  <c r="F1678" i="1"/>
  <c r="H1678" i="1"/>
  <c r="F1674" i="1"/>
  <c r="H1674" i="1"/>
  <c r="F1670" i="1"/>
  <c r="H1670" i="1"/>
  <c r="F1666" i="1"/>
  <c r="H1666" i="1"/>
  <c r="F1662" i="1"/>
  <c r="H1662" i="1"/>
  <c r="F1658" i="1"/>
  <c r="H1658" i="1"/>
  <c r="F1654" i="1"/>
  <c r="H1654" i="1"/>
  <c r="F1650" i="1"/>
  <c r="H1650" i="1"/>
  <c r="F1646" i="1"/>
  <c r="H1646" i="1"/>
  <c r="F1642" i="1"/>
  <c r="H1642" i="1"/>
  <c r="F1638" i="1"/>
  <c r="H1638" i="1"/>
  <c r="F1634" i="1"/>
  <c r="H1634" i="1"/>
  <c r="F1630" i="1"/>
  <c r="H1630" i="1"/>
  <c r="F1626" i="1"/>
  <c r="H1626" i="1"/>
  <c r="F1622" i="1"/>
  <c r="H1622" i="1"/>
  <c r="F1618" i="1"/>
  <c r="H1618" i="1"/>
  <c r="F1614" i="1"/>
  <c r="H1614" i="1"/>
  <c r="F1610" i="1"/>
  <c r="H1610" i="1"/>
  <c r="F1606" i="1"/>
  <c r="H1606" i="1"/>
  <c r="F1602" i="1"/>
  <c r="H1602" i="1"/>
  <c r="F1598" i="1"/>
  <c r="H1598" i="1"/>
  <c r="F1594" i="1"/>
  <c r="H1594" i="1"/>
  <c r="F1590" i="1"/>
  <c r="H1590" i="1"/>
  <c r="F1586" i="1"/>
  <c r="H1586" i="1"/>
  <c r="F1582" i="1"/>
  <c r="H1582" i="1"/>
  <c r="F1578" i="1"/>
  <c r="H1578" i="1"/>
  <c r="F1574" i="1"/>
  <c r="H1574" i="1"/>
  <c r="F1570" i="1"/>
  <c r="H1570" i="1"/>
  <c r="F1566" i="1"/>
  <c r="H1566" i="1"/>
  <c r="F1562" i="1"/>
  <c r="H1562" i="1"/>
  <c r="F1558" i="1"/>
  <c r="H1558" i="1"/>
  <c r="F1554" i="1"/>
  <c r="H1554" i="1"/>
  <c r="F1550" i="1"/>
  <c r="H1550" i="1"/>
  <c r="F1546" i="1"/>
  <c r="H1546" i="1"/>
  <c r="F1542" i="1"/>
  <c r="H1542" i="1"/>
  <c r="F1538" i="1"/>
  <c r="H1538" i="1"/>
  <c r="F1534" i="1"/>
  <c r="H1534" i="1"/>
  <c r="F1530" i="1"/>
  <c r="H1530" i="1"/>
  <c r="F1526" i="1"/>
  <c r="H1526" i="1"/>
  <c r="F1522" i="1"/>
  <c r="H1522" i="1"/>
  <c r="F1518" i="1"/>
  <c r="H1518" i="1"/>
  <c r="F1514" i="1"/>
  <c r="H1514" i="1"/>
  <c r="F1510" i="1"/>
  <c r="H1510" i="1"/>
  <c r="F1506" i="1"/>
  <c r="H1506" i="1"/>
  <c r="F1502" i="1"/>
  <c r="H1502" i="1"/>
  <c r="F1498" i="1"/>
  <c r="H1498" i="1"/>
  <c r="F1494" i="1"/>
  <c r="H1494" i="1"/>
  <c r="F1490" i="1"/>
  <c r="H1490" i="1"/>
  <c r="F1486" i="1"/>
  <c r="H1486" i="1"/>
  <c r="F1482" i="1"/>
  <c r="H1482" i="1"/>
  <c r="F1478" i="1"/>
  <c r="H1478" i="1"/>
  <c r="F1474" i="1"/>
  <c r="H1474" i="1"/>
  <c r="F1470" i="1"/>
  <c r="H1470" i="1"/>
  <c r="F1466" i="1"/>
  <c r="H1466" i="1"/>
  <c r="F1462" i="1"/>
  <c r="H1462" i="1"/>
  <c r="F1458" i="1"/>
  <c r="H1458" i="1"/>
  <c r="F1454" i="1"/>
  <c r="H1454" i="1"/>
  <c r="F1450" i="1"/>
  <c r="H1450" i="1"/>
  <c r="F1446" i="1"/>
  <c r="H1446" i="1"/>
  <c r="F1442" i="1"/>
  <c r="H1442" i="1"/>
  <c r="F1438" i="1"/>
  <c r="H1438" i="1"/>
  <c r="F1434" i="1"/>
  <c r="H1434" i="1"/>
  <c r="F1430" i="1"/>
  <c r="H1430" i="1"/>
  <c r="F1426" i="1"/>
  <c r="H1426" i="1"/>
  <c r="F1422" i="1"/>
  <c r="H1422" i="1"/>
  <c r="F1418" i="1"/>
  <c r="H1418" i="1"/>
  <c r="F1414" i="1"/>
  <c r="H1414" i="1"/>
  <c r="F1410" i="1"/>
  <c r="H1410" i="1"/>
  <c r="F1406" i="1"/>
  <c r="H1406" i="1"/>
  <c r="F1402" i="1"/>
  <c r="H1402" i="1"/>
  <c r="F1398" i="1"/>
  <c r="H1398" i="1"/>
  <c r="F1394" i="1"/>
  <c r="H1394" i="1"/>
  <c r="F1390" i="1"/>
  <c r="H1390" i="1"/>
  <c r="F1386" i="1"/>
  <c r="H1386" i="1"/>
  <c r="F1382" i="1"/>
  <c r="H1382" i="1"/>
  <c r="F1378" i="1"/>
  <c r="H1378" i="1"/>
  <c r="F1374" i="1"/>
  <c r="H1374" i="1"/>
  <c r="F1370" i="1"/>
  <c r="H1370" i="1"/>
  <c r="F1366" i="1"/>
  <c r="H1366" i="1"/>
  <c r="F1362" i="1"/>
  <c r="H1362" i="1"/>
  <c r="F1358" i="1"/>
  <c r="H1358" i="1"/>
  <c r="F1354" i="1"/>
  <c r="H1354" i="1"/>
  <c r="F1350" i="1"/>
  <c r="H1350" i="1"/>
  <c r="F1346" i="1"/>
  <c r="H1346" i="1"/>
  <c r="F1342" i="1"/>
  <c r="H1342" i="1"/>
  <c r="F1338" i="1"/>
  <c r="H1338" i="1"/>
  <c r="F1334" i="1"/>
  <c r="H1334" i="1"/>
  <c r="F1330" i="1"/>
  <c r="H1330" i="1"/>
  <c r="F1326" i="1"/>
  <c r="H1326" i="1"/>
  <c r="F1322" i="1"/>
  <c r="H1322" i="1"/>
  <c r="F1318" i="1"/>
  <c r="H1318" i="1"/>
  <c r="F1314" i="1"/>
  <c r="H1314" i="1"/>
  <c r="F1310" i="1"/>
  <c r="H1310" i="1"/>
  <c r="F1306" i="1"/>
  <c r="H1306" i="1"/>
  <c r="F1302" i="1"/>
  <c r="H1302" i="1"/>
  <c r="F1298" i="1"/>
  <c r="H1298" i="1"/>
  <c r="F1294" i="1"/>
  <c r="H1294" i="1"/>
  <c r="F1290" i="1"/>
  <c r="H1290" i="1"/>
  <c r="F1286" i="1"/>
  <c r="H1286" i="1"/>
  <c r="F1282" i="1"/>
  <c r="H1282" i="1"/>
  <c r="F1278" i="1"/>
  <c r="H1278" i="1"/>
  <c r="F1274" i="1"/>
  <c r="H1274" i="1"/>
  <c r="F1270" i="1"/>
  <c r="H1270" i="1"/>
  <c r="F1266" i="1"/>
  <c r="H1266" i="1"/>
  <c r="F1262" i="1"/>
  <c r="H1262" i="1"/>
  <c r="F1258" i="1"/>
  <c r="H1258" i="1"/>
  <c r="F1254" i="1"/>
  <c r="H1254" i="1"/>
  <c r="F1250" i="1"/>
  <c r="H1250" i="1"/>
  <c r="F1246" i="1"/>
  <c r="H1246" i="1"/>
  <c r="F1242" i="1"/>
  <c r="H1242" i="1"/>
  <c r="F1238" i="1"/>
  <c r="H1238" i="1"/>
  <c r="F1234" i="1"/>
  <c r="H1234" i="1"/>
  <c r="F1230" i="1"/>
  <c r="H1230" i="1"/>
  <c r="F1226" i="1"/>
  <c r="H1226" i="1"/>
  <c r="F1222" i="1"/>
  <c r="H1222" i="1"/>
  <c r="F1218" i="1"/>
  <c r="H1218" i="1"/>
  <c r="F1214" i="1"/>
  <c r="H1214" i="1"/>
  <c r="F1210" i="1"/>
  <c r="H1210" i="1"/>
  <c r="F1206" i="1"/>
  <c r="H1206" i="1"/>
  <c r="F1202" i="1"/>
  <c r="H1202" i="1"/>
  <c r="F1198" i="1"/>
  <c r="H1198" i="1"/>
  <c r="F1194" i="1"/>
  <c r="H1194" i="1"/>
  <c r="F1190" i="1"/>
  <c r="H1190" i="1"/>
  <c r="F1186" i="1"/>
  <c r="H1186" i="1"/>
  <c r="F1182" i="1"/>
  <c r="H1182" i="1"/>
  <c r="F1178" i="1"/>
  <c r="H1178" i="1"/>
  <c r="F1174" i="1"/>
  <c r="H1174" i="1"/>
  <c r="F1170" i="1"/>
  <c r="H1170" i="1"/>
  <c r="F1166" i="1"/>
  <c r="H1166" i="1"/>
  <c r="F1162" i="1"/>
  <c r="H1162" i="1"/>
  <c r="F1158" i="1"/>
  <c r="H1158" i="1"/>
  <c r="F1154" i="1"/>
  <c r="H1154" i="1"/>
  <c r="F1150" i="1"/>
  <c r="H1150" i="1"/>
  <c r="F1146" i="1"/>
  <c r="H1146" i="1"/>
  <c r="F1142" i="1"/>
  <c r="H1142" i="1"/>
  <c r="F1138" i="1"/>
  <c r="H1138" i="1"/>
  <c r="F1134" i="1"/>
  <c r="H1134" i="1"/>
  <c r="F1130" i="1"/>
  <c r="H1130" i="1"/>
  <c r="F1126" i="1"/>
  <c r="H1126" i="1"/>
  <c r="F1122" i="1"/>
  <c r="H1122" i="1"/>
  <c r="F1118" i="1"/>
  <c r="H1118" i="1"/>
  <c r="F1114" i="1"/>
  <c r="H1114" i="1"/>
  <c r="F1110" i="1"/>
  <c r="H1110" i="1"/>
  <c r="F1106" i="1"/>
  <c r="H1106" i="1"/>
  <c r="F1102" i="1"/>
  <c r="H1102" i="1"/>
  <c r="F1098" i="1"/>
  <c r="H1098" i="1"/>
  <c r="F1094" i="1"/>
  <c r="H1094" i="1"/>
  <c r="F1090" i="1"/>
  <c r="H1090" i="1"/>
  <c r="F1086" i="1"/>
  <c r="H1086" i="1"/>
  <c r="F1082" i="1"/>
  <c r="H1082" i="1"/>
  <c r="F1078" i="1"/>
  <c r="H1078" i="1"/>
  <c r="F1074" i="1"/>
  <c r="H1074" i="1"/>
  <c r="F1070" i="1"/>
  <c r="H1070" i="1"/>
  <c r="F1066" i="1"/>
  <c r="H1066" i="1"/>
  <c r="F1062" i="1"/>
  <c r="H1062" i="1"/>
  <c r="F1058" i="1"/>
  <c r="H1058" i="1"/>
  <c r="F1054" i="1"/>
  <c r="H1054" i="1"/>
  <c r="F1050" i="1"/>
  <c r="H1050" i="1"/>
  <c r="F1046" i="1"/>
  <c r="H1046" i="1"/>
  <c r="F1042" i="1"/>
  <c r="H1042" i="1"/>
  <c r="F1038" i="1"/>
  <c r="H1038" i="1"/>
  <c r="F1034" i="1"/>
  <c r="H1034" i="1"/>
  <c r="F1030" i="1"/>
  <c r="H1030" i="1"/>
  <c r="F1026" i="1"/>
  <c r="H1026" i="1"/>
  <c r="F1022" i="1"/>
  <c r="H1022" i="1"/>
  <c r="F1018" i="1"/>
  <c r="H1018" i="1"/>
  <c r="F1014" i="1"/>
  <c r="H1014" i="1"/>
  <c r="F1010" i="1"/>
  <c r="H1010" i="1"/>
  <c r="F1006" i="1"/>
  <c r="H1006" i="1"/>
  <c r="F1002" i="1"/>
  <c r="H1002" i="1"/>
  <c r="F998" i="1"/>
  <c r="H998" i="1"/>
  <c r="F994" i="1"/>
  <c r="H994" i="1"/>
  <c r="F990" i="1"/>
  <c r="H990" i="1"/>
  <c r="F986" i="1"/>
  <c r="H986" i="1"/>
  <c r="F982" i="1"/>
  <c r="H982" i="1"/>
  <c r="F978" i="1"/>
  <c r="H978" i="1"/>
  <c r="F974" i="1"/>
  <c r="H974" i="1"/>
  <c r="F970" i="1"/>
  <c r="H970" i="1"/>
  <c r="F966" i="1"/>
  <c r="H966" i="1"/>
  <c r="F962" i="1"/>
  <c r="H962" i="1"/>
  <c r="F958" i="1"/>
  <c r="H958" i="1"/>
  <c r="F954" i="1"/>
  <c r="H954" i="1"/>
  <c r="F950" i="1"/>
  <c r="H950" i="1"/>
  <c r="F946" i="1"/>
  <c r="H946" i="1"/>
  <c r="F942" i="1"/>
  <c r="H942" i="1"/>
  <c r="F938" i="1"/>
  <c r="H938" i="1"/>
  <c r="F934" i="1"/>
  <c r="H934" i="1"/>
  <c r="F930" i="1"/>
  <c r="H930" i="1"/>
  <c r="F926" i="1"/>
  <c r="H926" i="1"/>
  <c r="F922" i="1"/>
  <c r="H922" i="1"/>
  <c r="F918" i="1"/>
  <c r="H918" i="1"/>
  <c r="F914" i="1"/>
  <c r="H914" i="1"/>
  <c r="F910" i="1"/>
  <c r="H910" i="1"/>
  <c r="F906" i="1"/>
  <c r="H906" i="1"/>
  <c r="F902" i="1"/>
  <c r="H902" i="1"/>
  <c r="F898" i="1"/>
  <c r="H898" i="1"/>
  <c r="F894" i="1"/>
  <c r="H894" i="1"/>
  <c r="F890" i="1"/>
  <c r="H890" i="1"/>
  <c r="F886" i="1"/>
  <c r="H886" i="1"/>
  <c r="F882" i="1"/>
  <c r="H882" i="1"/>
  <c r="F878" i="1"/>
  <c r="H878" i="1"/>
  <c r="F874" i="1"/>
  <c r="H874" i="1"/>
  <c r="F870" i="1"/>
  <c r="H870" i="1"/>
  <c r="F866" i="1"/>
  <c r="H866" i="1"/>
  <c r="F862" i="1"/>
  <c r="H862" i="1"/>
  <c r="F858" i="1"/>
  <c r="H858" i="1"/>
  <c r="F854" i="1"/>
  <c r="H854" i="1"/>
  <c r="F850" i="1"/>
  <c r="H850" i="1"/>
  <c r="F846" i="1"/>
  <c r="H846" i="1"/>
  <c r="F842" i="1"/>
  <c r="H842" i="1"/>
  <c r="F838" i="1"/>
  <c r="H838" i="1"/>
  <c r="F834" i="1"/>
  <c r="H834" i="1"/>
  <c r="F830" i="1"/>
  <c r="H830" i="1"/>
  <c r="F826" i="1"/>
  <c r="H826" i="1"/>
  <c r="F822" i="1"/>
  <c r="H822" i="1"/>
  <c r="F818" i="1"/>
  <c r="H818" i="1"/>
  <c r="F814" i="1"/>
  <c r="H814" i="1"/>
  <c r="F810" i="1"/>
  <c r="H810" i="1"/>
  <c r="F806" i="1"/>
  <c r="H806" i="1"/>
  <c r="F802" i="1"/>
  <c r="H802" i="1"/>
  <c r="F798" i="1"/>
  <c r="H798" i="1"/>
  <c r="F794" i="1"/>
  <c r="H794" i="1"/>
  <c r="F790" i="1"/>
  <c r="H790" i="1"/>
  <c r="F786" i="1"/>
  <c r="H786" i="1"/>
  <c r="F782" i="1"/>
  <c r="H782" i="1"/>
  <c r="F778" i="1"/>
  <c r="H778" i="1"/>
  <c r="F774" i="1"/>
  <c r="H774" i="1"/>
  <c r="F770" i="1"/>
  <c r="H770" i="1"/>
  <c r="F766" i="1"/>
  <c r="H766" i="1"/>
  <c r="F762" i="1"/>
  <c r="H762" i="1"/>
  <c r="F758" i="1"/>
  <c r="H758" i="1"/>
  <c r="F754" i="1"/>
  <c r="H754" i="1"/>
  <c r="F750" i="1"/>
  <c r="H750" i="1"/>
  <c r="F746" i="1"/>
  <c r="H746" i="1"/>
  <c r="F742" i="1"/>
  <c r="H742" i="1"/>
  <c r="F738" i="1"/>
  <c r="H738" i="1"/>
  <c r="F734" i="1"/>
  <c r="H734" i="1"/>
  <c r="F730" i="1"/>
  <c r="H730" i="1"/>
  <c r="F726" i="1"/>
  <c r="H726" i="1"/>
  <c r="F722" i="1"/>
  <c r="H722" i="1"/>
  <c r="F718" i="1"/>
  <c r="H718" i="1"/>
  <c r="F714" i="1"/>
  <c r="H714" i="1"/>
  <c r="F710" i="1"/>
  <c r="H710" i="1"/>
  <c r="F706" i="1"/>
  <c r="H706" i="1"/>
  <c r="F702" i="1"/>
  <c r="H702" i="1"/>
  <c r="F698" i="1"/>
  <c r="H698" i="1"/>
  <c r="F694" i="1"/>
  <c r="H694" i="1"/>
  <c r="F690" i="1"/>
  <c r="H690" i="1"/>
  <c r="F686" i="1"/>
  <c r="H686" i="1"/>
  <c r="F682" i="1"/>
  <c r="H682" i="1"/>
  <c r="F678" i="1"/>
  <c r="H678" i="1"/>
  <c r="F674" i="1"/>
  <c r="H674" i="1"/>
  <c r="F670" i="1"/>
  <c r="H670" i="1"/>
  <c r="F666" i="1"/>
  <c r="H666" i="1"/>
  <c r="F662" i="1"/>
  <c r="H662" i="1"/>
  <c r="F658" i="1"/>
  <c r="H658" i="1"/>
  <c r="F654" i="1"/>
  <c r="H654" i="1"/>
  <c r="F650" i="1"/>
  <c r="H650" i="1"/>
  <c r="F646" i="1"/>
  <c r="H646" i="1"/>
  <c r="F642" i="1"/>
  <c r="H642" i="1"/>
  <c r="F638" i="1"/>
  <c r="H638" i="1"/>
  <c r="F634" i="1"/>
  <c r="H634" i="1"/>
  <c r="F630" i="1"/>
  <c r="H630" i="1"/>
  <c r="F626" i="1"/>
  <c r="H626" i="1"/>
  <c r="F622" i="1"/>
  <c r="H622" i="1"/>
  <c r="F618" i="1"/>
  <c r="H618" i="1"/>
  <c r="F614" i="1"/>
  <c r="H614" i="1"/>
  <c r="F610" i="1"/>
  <c r="H610" i="1"/>
  <c r="F606" i="1"/>
  <c r="H606" i="1"/>
  <c r="F602" i="1"/>
  <c r="H602" i="1"/>
  <c r="F598" i="1"/>
  <c r="H598" i="1"/>
  <c r="F594" i="1"/>
  <c r="H594" i="1"/>
  <c r="F590" i="1"/>
  <c r="H590" i="1"/>
  <c r="F586" i="1"/>
  <c r="H586" i="1"/>
  <c r="F582" i="1"/>
  <c r="H582" i="1"/>
  <c r="F578" i="1"/>
  <c r="H578" i="1"/>
  <c r="F574" i="1"/>
  <c r="H574" i="1"/>
  <c r="F570" i="1"/>
  <c r="H570" i="1"/>
  <c r="F566" i="1"/>
  <c r="H566" i="1"/>
  <c r="F562" i="1"/>
  <c r="H562" i="1"/>
  <c r="F558" i="1"/>
  <c r="H558" i="1"/>
  <c r="F554" i="1"/>
  <c r="H554" i="1"/>
  <c r="F550" i="1"/>
  <c r="H550" i="1"/>
  <c r="F546" i="1"/>
  <c r="H546" i="1"/>
  <c r="F542" i="1"/>
  <c r="H542" i="1"/>
  <c r="F538" i="1"/>
  <c r="H538" i="1"/>
  <c r="F534" i="1"/>
  <c r="H534" i="1"/>
  <c r="F530" i="1"/>
  <c r="H530" i="1"/>
  <c r="F526" i="1"/>
  <c r="H526" i="1"/>
  <c r="F522" i="1"/>
  <c r="H522" i="1"/>
  <c r="F518" i="1"/>
  <c r="H518" i="1"/>
  <c r="F514" i="1"/>
  <c r="H514" i="1"/>
  <c r="F510" i="1"/>
  <c r="H510" i="1"/>
  <c r="F506" i="1"/>
  <c r="H506" i="1"/>
  <c r="F502" i="1"/>
  <c r="H502" i="1"/>
  <c r="F498" i="1"/>
  <c r="H498" i="1"/>
  <c r="F494" i="1"/>
  <c r="H494" i="1"/>
  <c r="F490" i="1"/>
  <c r="H490" i="1"/>
  <c r="F486" i="1"/>
  <c r="H486" i="1"/>
  <c r="F482" i="1"/>
  <c r="H482" i="1"/>
  <c r="F478" i="1"/>
  <c r="H478" i="1"/>
  <c r="F474" i="1"/>
  <c r="H474" i="1"/>
  <c r="F470" i="1"/>
  <c r="H470" i="1"/>
  <c r="F466" i="1"/>
  <c r="H466" i="1"/>
  <c r="F462" i="1"/>
  <c r="H462" i="1"/>
  <c r="F458" i="1"/>
  <c r="H458" i="1"/>
  <c r="F454" i="1"/>
  <c r="H454" i="1"/>
  <c r="F450" i="1"/>
  <c r="H450" i="1"/>
  <c r="F446" i="1"/>
  <c r="H446" i="1"/>
  <c r="F442" i="1"/>
  <c r="H442" i="1"/>
  <c r="F438" i="1"/>
  <c r="H438" i="1"/>
  <c r="F434" i="1"/>
  <c r="H434" i="1"/>
  <c r="F430" i="1"/>
  <c r="H430" i="1"/>
  <c r="F426" i="1"/>
  <c r="H426" i="1"/>
  <c r="F422" i="1"/>
  <c r="H422" i="1"/>
  <c r="F418" i="1"/>
  <c r="H418" i="1"/>
  <c r="F414" i="1"/>
  <c r="H414" i="1"/>
  <c r="F410" i="1"/>
  <c r="H410" i="1"/>
  <c r="F406" i="1"/>
  <c r="H406" i="1"/>
  <c r="F402" i="1"/>
  <c r="H402" i="1"/>
  <c r="F398" i="1"/>
  <c r="H398" i="1"/>
  <c r="F394" i="1"/>
  <c r="H394" i="1"/>
  <c r="F390" i="1"/>
  <c r="H390" i="1"/>
  <c r="F386" i="1"/>
  <c r="H386" i="1"/>
  <c r="F382" i="1"/>
  <c r="H382" i="1"/>
  <c r="F378" i="1"/>
  <c r="H378" i="1"/>
  <c r="F374" i="1"/>
  <c r="H374" i="1"/>
  <c r="F370" i="1"/>
  <c r="H370" i="1"/>
  <c r="F366" i="1"/>
  <c r="H366" i="1"/>
  <c r="F362" i="1"/>
  <c r="H362" i="1"/>
  <c r="F358" i="1"/>
  <c r="H358" i="1"/>
  <c r="F354" i="1"/>
  <c r="H354" i="1"/>
  <c r="F350" i="1"/>
  <c r="H350" i="1"/>
  <c r="F346" i="1"/>
  <c r="H346" i="1"/>
  <c r="F342" i="1"/>
  <c r="H342" i="1"/>
  <c r="F338" i="1"/>
  <c r="H338" i="1"/>
  <c r="F334" i="1"/>
  <c r="H334" i="1"/>
  <c r="F330" i="1"/>
  <c r="H330" i="1"/>
  <c r="F326" i="1"/>
  <c r="H326" i="1"/>
  <c r="F322" i="1"/>
  <c r="H322" i="1"/>
  <c r="F318" i="1"/>
  <c r="H318" i="1"/>
  <c r="F314" i="1"/>
  <c r="H314" i="1"/>
  <c r="F310" i="1"/>
  <c r="H310" i="1"/>
  <c r="F306" i="1"/>
  <c r="H306" i="1"/>
  <c r="F302" i="1"/>
  <c r="H302" i="1"/>
  <c r="F298" i="1"/>
  <c r="H298" i="1"/>
  <c r="F294" i="1"/>
  <c r="H294" i="1"/>
  <c r="F290" i="1"/>
  <c r="H290" i="1"/>
  <c r="F286" i="1"/>
  <c r="H286" i="1"/>
  <c r="H282" i="1"/>
  <c r="F282" i="1"/>
  <c r="H278" i="1"/>
  <c r="F278" i="1"/>
  <c r="H274" i="1"/>
  <c r="F274" i="1"/>
  <c r="H270" i="1"/>
  <c r="F270" i="1"/>
  <c r="H266" i="1"/>
  <c r="F266" i="1"/>
  <c r="H262" i="1"/>
  <c r="F262" i="1"/>
  <c r="H257" i="1"/>
  <c r="F257" i="1"/>
  <c r="H253" i="1"/>
  <c r="F253" i="1"/>
  <c r="H249" i="1"/>
  <c r="F249" i="1"/>
  <c r="H245" i="1"/>
  <c r="F245" i="1"/>
  <c r="H241" i="1"/>
  <c r="F241" i="1"/>
  <c r="H237" i="1"/>
  <c r="F237" i="1"/>
  <c r="H233" i="1"/>
  <c r="F233" i="1"/>
  <c r="H229" i="1"/>
  <c r="F229" i="1"/>
  <c r="H225" i="1"/>
  <c r="F225" i="1"/>
  <c r="H221" i="1"/>
  <c r="F221" i="1"/>
  <c r="H217" i="1"/>
  <c r="F217" i="1"/>
  <c r="H213" i="1"/>
  <c r="F213" i="1"/>
  <c r="H209" i="1"/>
  <c r="F209" i="1"/>
  <c r="H205" i="1"/>
  <c r="F205" i="1"/>
  <c r="H201" i="1"/>
  <c r="F201" i="1"/>
  <c r="H197" i="1"/>
  <c r="F197" i="1"/>
  <c r="H193" i="1"/>
  <c r="F193" i="1"/>
  <c r="H189" i="1"/>
  <c r="F189" i="1"/>
  <c r="H185" i="1"/>
  <c r="F185" i="1"/>
  <c r="H181" i="1"/>
  <c r="F181" i="1"/>
  <c r="H177" i="1"/>
  <c r="F177" i="1"/>
  <c r="H173" i="1"/>
  <c r="F173" i="1"/>
  <c r="H169" i="1"/>
  <c r="F169" i="1"/>
  <c r="H165" i="1"/>
  <c r="F165" i="1"/>
  <c r="H161" i="1"/>
  <c r="F161" i="1"/>
  <c r="H157" i="1"/>
  <c r="F157" i="1"/>
  <c r="H153" i="1"/>
  <c r="F153" i="1"/>
  <c r="H149" i="1"/>
  <c r="F149" i="1"/>
  <c r="H145" i="1"/>
  <c r="F145" i="1"/>
  <c r="H141" i="1"/>
  <c r="F141" i="1"/>
  <c r="H137" i="1"/>
  <c r="F137" i="1"/>
  <c r="H133" i="1"/>
  <c r="F133" i="1"/>
  <c r="H129" i="1"/>
  <c r="F129" i="1"/>
  <c r="H125" i="1"/>
  <c r="F125" i="1"/>
  <c r="H121" i="1"/>
  <c r="F121" i="1"/>
  <c r="H117" i="1"/>
  <c r="F117" i="1"/>
  <c r="H113" i="1"/>
  <c r="F113" i="1"/>
  <c r="H109" i="1"/>
  <c r="F109" i="1"/>
  <c r="H105" i="1"/>
  <c r="F105" i="1"/>
  <c r="H101" i="1"/>
  <c r="F101" i="1"/>
  <c r="F2517" i="1"/>
  <c r="H2517" i="1"/>
  <c r="F2513" i="1"/>
  <c r="H2513" i="1"/>
  <c r="F2509" i="1"/>
  <c r="H2509" i="1"/>
  <c r="F2505" i="1"/>
  <c r="H2505" i="1"/>
  <c r="F2501" i="1"/>
  <c r="H2501" i="1"/>
  <c r="F2497" i="1"/>
  <c r="H2497" i="1"/>
  <c r="F2493" i="1"/>
  <c r="H2493" i="1"/>
  <c r="F2489" i="1"/>
  <c r="H2489" i="1"/>
  <c r="F2485" i="1"/>
  <c r="H2485" i="1"/>
  <c r="F2481" i="1"/>
  <c r="H2481" i="1"/>
  <c r="F2477" i="1"/>
  <c r="H2477" i="1"/>
  <c r="F2473" i="1"/>
  <c r="H2473" i="1"/>
  <c r="F2469" i="1"/>
  <c r="H2469" i="1"/>
  <c r="F2465" i="1"/>
  <c r="H2465" i="1"/>
  <c r="F2461" i="1"/>
  <c r="H2461" i="1"/>
  <c r="F2457" i="1"/>
  <c r="H2457" i="1"/>
  <c r="F2453" i="1"/>
  <c r="H2453" i="1"/>
  <c r="F2449" i="1"/>
  <c r="H2449" i="1"/>
  <c r="F2445" i="1"/>
  <c r="H2445" i="1"/>
  <c r="F2441" i="1"/>
  <c r="H2441" i="1"/>
  <c r="F2437" i="1"/>
  <c r="H2437" i="1"/>
  <c r="F2433" i="1"/>
  <c r="H2433" i="1"/>
  <c r="F2429" i="1"/>
  <c r="H2429" i="1"/>
  <c r="F2425" i="1"/>
  <c r="H2425" i="1"/>
  <c r="F2421" i="1"/>
  <c r="H2421" i="1"/>
  <c r="F2417" i="1"/>
  <c r="H2417" i="1"/>
  <c r="F2413" i="1"/>
  <c r="H2413" i="1"/>
  <c r="F2409" i="1"/>
  <c r="H2409" i="1"/>
  <c r="F2405" i="1"/>
  <c r="H2405" i="1"/>
  <c r="F2401" i="1"/>
  <c r="H2401" i="1"/>
  <c r="F2397" i="1"/>
  <c r="H2397" i="1"/>
  <c r="F2393" i="1"/>
  <c r="H2393" i="1"/>
  <c r="F2389" i="1"/>
  <c r="H2389" i="1"/>
  <c r="F2385" i="1"/>
  <c r="H2385" i="1"/>
  <c r="F2381" i="1"/>
  <c r="H2381" i="1"/>
  <c r="F2377" i="1"/>
  <c r="H2377" i="1"/>
  <c r="F2373" i="1"/>
  <c r="H2373" i="1"/>
  <c r="F2369" i="1"/>
  <c r="H2369" i="1"/>
  <c r="F2365" i="1"/>
  <c r="H2365" i="1"/>
  <c r="F2361" i="1"/>
  <c r="H2361" i="1"/>
  <c r="F2357" i="1"/>
  <c r="H2357" i="1"/>
  <c r="F2353" i="1"/>
  <c r="H2353" i="1"/>
  <c r="F2349" i="1"/>
  <c r="H2349" i="1"/>
  <c r="F2345" i="1"/>
  <c r="H2345" i="1"/>
  <c r="F2341" i="1"/>
  <c r="H2341" i="1"/>
  <c r="F2337" i="1"/>
  <c r="H2337" i="1"/>
  <c r="F2333" i="1"/>
  <c r="H2333" i="1"/>
  <c r="F2329" i="1"/>
  <c r="H2329" i="1"/>
  <c r="F2325" i="1"/>
  <c r="H2325" i="1"/>
  <c r="F2321" i="1"/>
  <c r="H2321" i="1"/>
  <c r="F2317" i="1"/>
  <c r="H2317" i="1"/>
  <c r="F2313" i="1"/>
  <c r="H2313" i="1"/>
  <c r="F2309" i="1"/>
  <c r="H2309" i="1"/>
  <c r="F2305" i="1"/>
  <c r="H2305" i="1"/>
  <c r="F2301" i="1"/>
  <c r="H2301" i="1"/>
  <c r="F2297" i="1"/>
  <c r="H2297" i="1"/>
  <c r="F2293" i="1"/>
  <c r="H2293" i="1"/>
  <c r="F2289" i="1"/>
  <c r="H2289" i="1"/>
  <c r="F2285" i="1"/>
  <c r="H2285" i="1"/>
  <c r="F2281" i="1"/>
  <c r="H2281" i="1"/>
  <c r="F2277" i="1"/>
  <c r="H2277" i="1"/>
  <c r="F2273" i="1"/>
  <c r="H2273" i="1"/>
  <c r="F2269" i="1"/>
  <c r="H2269" i="1"/>
  <c r="F2265" i="1"/>
  <c r="H2265" i="1"/>
  <c r="F2261" i="1"/>
  <c r="H2261" i="1"/>
  <c r="F2257" i="1"/>
  <c r="H2257" i="1"/>
  <c r="F2253" i="1"/>
  <c r="H2253" i="1"/>
  <c r="F2249" i="1"/>
  <c r="H2249" i="1"/>
  <c r="F2245" i="1"/>
  <c r="H2245" i="1"/>
  <c r="F2241" i="1"/>
  <c r="H2241" i="1"/>
  <c r="F2237" i="1"/>
  <c r="H2237" i="1"/>
  <c r="F2233" i="1"/>
  <c r="H2233" i="1"/>
  <c r="F2229" i="1"/>
  <c r="H2229" i="1"/>
  <c r="F2225" i="1"/>
  <c r="H2225" i="1"/>
  <c r="F2221" i="1"/>
  <c r="H2221" i="1"/>
  <c r="F2217" i="1"/>
  <c r="H2217" i="1"/>
  <c r="F2213" i="1"/>
  <c r="H2213" i="1"/>
  <c r="F2209" i="1"/>
  <c r="H2209" i="1"/>
  <c r="F2205" i="1"/>
  <c r="H2205" i="1"/>
  <c r="F2201" i="1"/>
  <c r="H2201" i="1"/>
  <c r="F2197" i="1"/>
  <c r="H2197" i="1"/>
  <c r="F2193" i="1"/>
  <c r="H2193" i="1"/>
  <c r="F2189" i="1"/>
  <c r="H2189" i="1"/>
  <c r="F2185" i="1"/>
  <c r="H2185" i="1"/>
  <c r="F2181" i="1"/>
  <c r="H2181" i="1"/>
  <c r="F2177" i="1"/>
  <c r="H2177" i="1"/>
  <c r="F2173" i="1"/>
  <c r="H2173" i="1"/>
  <c r="F2169" i="1"/>
  <c r="H2169" i="1"/>
  <c r="F2165" i="1"/>
  <c r="H2165" i="1"/>
  <c r="F2161" i="1"/>
  <c r="H2161" i="1"/>
  <c r="F2157" i="1"/>
  <c r="H2157" i="1"/>
  <c r="F2153" i="1"/>
  <c r="H2153" i="1"/>
  <c r="F2149" i="1"/>
  <c r="H2149" i="1"/>
  <c r="F2145" i="1"/>
  <c r="H2145" i="1"/>
  <c r="F2141" i="1"/>
  <c r="H2141" i="1"/>
  <c r="F2137" i="1"/>
  <c r="H2137" i="1"/>
  <c r="F2133" i="1"/>
  <c r="H2133" i="1"/>
  <c r="F2129" i="1"/>
  <c r="H2129" i="1"/>
  <c r="F2125" i="1"/>
  <c r="H2125" i="1"/>
  <c r="F2121" i="1"/>
  <c r="H2121" i="1"/>
  <c r="F2117" i="1"/>
  <c r="H2117" i="1"/>
  <c r="F2113" i="1"/>
  <c r="H2113" i="1"/>
  <c r="F2109" i="1"/>
  <c r="H2109" i="1"/>
  <c r="F2105" i="1"/>
  <c r="H2105" i="1"/>
  <c r="F2101" i="1"/>
  <c r="H2101" i="1"/>
  <c r="F2097" i="1"/>
  <c r="H2097" i="1"/>
  <c r="F2093" i="1"/>
  <c r="H2093" i="1"/>
  <c r="F2089" i="1"/>
  <c r="H2089" i="1"/>
  <c r="F2085" i="1"/>
  <c r="H2085" i="1"/>
  <c r="F2081" i="1"/>
  <c r="H2081" i="1"/>
  <c r="F2077" i="1"/>
  <c r="H2077" i="1"/>
  <c r="F2073" i="1"/>
  <c r="H2073" i="1"/>
  <c r="F2069" i="1"/>
  <c r="H2069" i="1"/>
  <c r="F2065" i="1"/>
  <c r="H2065" i="1"/>
  <c r="F2061" i="1"/>
  <c r="H2061" i="1"/>
  <c r="F2057" i="1"/>
  <c r="H2057" i="1"/>
  <c r="F2053" i="1"/>
  <c r="H2053" i="1"/>
  <c r="F2049" i="1"/>
  <c r="H2049" i="1"/>
  <c r="F2045" i="1"/>
  <c r="H2045" i="1"/>
  <c r="F2041" i="1"/>
  <c r="H2041" i="1"/>
  <c r="F2037" i="1"/>
  <c r="H2037" i="1"/>
  <c r="F2033" i="1"/>
  <c r="H2033" i="1"/>
  <c r="F2029" i="1"/>
  <c r="H2029" i="1"/>
  <c r="F2025" i="1"/>
  <c r="H2025" i="1"/>
  <c r="F2021" i="1"/>
  <c r="H2021" i="1"/>
  <c r="F2017" i="1"/>
  <c r="H2017" i="1"/>
  <c r="F2013" i="1"/>
  <c r="H2013" i="1"/>
  <c r="F2009" i="1"/>
  <c r="H2009" i="1"/>
  <c r="F2005" i="1"/>
  <c r="H2005" i="1"/>
  <c r="F2001" i="1"/>
  <c r="H2001" i="1"/>
  <c r="F1997" i="1"/>
  <c r="H1997" i="1"/>
  <c r="F1993" i="1"/>
  <c r="H1993" i="1"/>
  <c r="F1989" i="1"/>
  <c r="H1989" i="1"/>
  <c r="F1985" i="1"/>
  <c r="H1985" i="1"/>
  <c r="F1981" i="1"/>
  <c r="H1981" i="1"/>
  <c r="F1977" i="1"/>
  <c r="H1977" i="1"/>
  <c r="F1973" i="1"/>
  <c r="H1973" i="1"/>
  <c r="F1969" i="1"/>
  <c r="H1969" i="1"/>
  <c r="F1965" i="1"/>
  <c r="H1965" i="1"/>
  <c r="F1961" i="1"/>
  <c r="H1961" i="1"/>
  <c r="F1957" i="1"/>
  <c r="H1957" i="1"/>
  <c r="F1953" i="1"/>
  <c r="H1953" i="1"/>
  <c r="F1949" i="1"/>
  <c r="H1949" i="1"/>
  <c r="F1945" i="1"/>
  <c r="H1945" i="1"/>
  <c r="F1941" i="1"/>
  <c r="H1941" i="1"/>
  <c r="F1937" i="1"/>
  <c r="H1937" i="1"/>
  <c r="F1933" i="1"/>
  <c r="H1933" i="1"/>
  <c r="F1929" i="1"/>
  <c r="H1929" i="1"/>
  <c r="F1925" i="1"/>
  <c r="H1925" i="1"/>
  <c r="F1921" i="1"/>
  <c r="H1921" i="1"/>
  <c r="F1917" i="1"/>
  <c r="H1917" i="1"/>
  <c r="F1913" i="1"/>
  <c r="H1913" i="1"/>
  <c r="F1909" i="1"/>
  <c r="H1909" i="1"/>
  <c r="F1905" i="1"/>
  <c r="H1905" i="1"/>
  <c r="F1901" i="1"/>
  <c r="H1901" i="1"/>
  <c r="F1897" i="1"/>
  <c r="H1897" i="1"/>
  <c r="F1893" i="1"/>
  <c r="H1893" i="1"/>
  <c r="F1889" i="1"/>
  <c r="H1889" i="1"/>
  <c r="F1885" i="1"/>
  <c r="H1885" i="1"/>
  <c r="F1881" i="1"/>
  <c r="H1881" i="1"/>
  <c r="F1877" i="1"/>
  <c r="H1877" i="1"/>
  <c r="F1873" i="1"/>
  <c r="H1873" i="1"/>
  <c r="F1869" i="1"/>
  <c r="H1869" i="1"/>
  <c r="F1865" i="1"/>
  <c r="H1865" i="1"/>
  <c r="F1861" i="1"/>
  <c r="H1861" i="1"/>
  <c r="F1857" i="1"/>
  <c r="H1857" i="1"/>
  <c r="F1853" i="1"/>
  <c r="H1853" i="1"/>
  <c r="F1849" i="1"/>
  <c r="H1849" i="1"/>
  <c r="F1845" i="1"/>
  <c r="H1845" i="1"/>
  <c r="F1841" i="1"/>
  <c r="H1841" i="1"/>
  <c r="F1837" i="1"/>
  <c r="H1837" i="1"/>
  <c r="F1833" i="1"/>
  <c r="H1833" i="1"/>
  <c r="F1829" i="1"/>
  <c r="H1829" i="1"/>
  <c r="F1825" i="1"/>
  <c r="H1825" i="1"/>
  <c r="F1821" i="1"/>
  <c r="H1821" i="1"/>
  <c r="F1817" i="1"/>
  <c r="H1817" i="1"/>
  <c r="F1813" i="1"/>
  <c r="H1813" i="1"/>
  <c r="F1809" i="1"/>
  <c r="H1809" i="1"/>
  <c r="F1805" i="1"/>
  <c r="H1805" i="1"/>
  <c r="F1801" i="1"/>
  <c r="H1801" i="1"/>
  <c r="F1797" i="1"/>
  <c r="H1797" i="1"/>
  <c r="F1793" i="1"/>
  <c r="H1793" i="1"/>
  <c r="F1789" i="1"/>
  <c r="H1789" i="1"/>
  <c r="F1785" i="1"/>
  <c r="H1785" i="1"/>
  <c r="F1781" i="1"/>
  <c r="H1781" i="1"/>
  <c r="F1777" i="1"/>
  <c r="H1777" i="1"/>
  <c r="F1773" i="1"/>
  <c r="H1773" i="1"/>
  <c r="F1769" i="1"/>
  <c r="H1769" i="1"/>
  <c r="F1765" i="1"/>
  <c r="H1765" i="1"/>
  <c r="F1761" i="1"/>
  <c r="H1761" i="1"/>
  <c r="F1757" i="1"/>
  <c r="H1757" i="1"/>
  <c r="F1753" i="1"/>
  <c r="H1753" i="1"/>
  <c r="F1749" i="1"/>
  <c r="H1749" i="1"/>
  <c r="F1745" i="1"/>
  <c r="H1745" i="1"/>
  <c r="F1741" i="1"/>
  <c r="H1741" i="1"/>
  <c r="F1737" i="1"/>
  <c r="H1737" i="1"/>
  <c r="F1733" i="1"/>
  <c r="H1733" i="1"/>
  <c r="F1729" i="1"/>
  <c r="H1729" i="1"/>
  <c r="F1725" i="1"/>
  <c r="H1725" i="1"/>
  <c r="F1721" i="1"/>
  <c r="H1721" i="1"/>
  <c r="F1717" i="1"/>
  <c r="H1717" i="1"/>
  <c r="F1713" i="1"/>
  <c r="H1713" i="1"/>
  <c r="F1709" i="1"/>
  <c r="H1709" i="1"/>
  <c r="F1705" i="1"/>
  <c r="H1705" i="1"/>
  <c r="F1701" i="1"/>
  <c r="H1701" i="1"/>
  <c r="F1697" i="1"/>
  <c r="H1697" i="1"/>
  <c r="F1693" i="1"/>
  <c r="H1693" i="1"/>
  <c r="F1689" i="1"/>
  <c r="H1689" i="1"/>
  <c r="F1685" i="1"/>
  <c r="H1685" i="1"/>
  <c r="F1681" i="1"/>
  <c r="H1681" i="1"/>
  <c r="F1677" i="1"/>
  <c r="H1677" i="1"/>
  <c r="F1673" i="1"/>
  <c r="H1673" i="1"/>
  <c r="F1669" i="1"/>
  <c r="H1669" i="1"/>
  <c r="F1665" i="1"/>
  <c r="H1665" i="1"/>
  <c r="F1661" i="1"/>
  <c r="H1661" i="1"/>
  <c r="F1657" i="1"/>
  <c r="H1657" i="1"/>
  <c r="F1653" i="1"/>
  <c r="H1653" i="1"/>
  <c r="F1649" i="1"/>
  <c r="H1649" i="1"/>
  <c r="F1645" i="1"/>
  <c r="H1645" i="1"/>
  <c r="F1641" i="1"/>
  <c r="H1641" i="1"/>
  <c r="F1637" i="1"/>
  <c r="H1637" i="1"/>
  <c r="F1633" i="1"/>
  <c r="H1633" i="1"/>
  <c r="F1629" i="1"/>
  <c r="H1629" i="1"/>
  <c r="F1625" i="1"/>
  <c r="H1625" i="1"/>
  <c r="F1621" i="1"/>
  <c r="H1621" i="1"/>
  <c r="F1617" i="1"/>
  <c r="H1617" i="1"/>
  <c r="F1613" i="1"/>
  <c r="H1613" i="1"/>
  <c r="F1609" i="1"/>
  <c r="H1609" i="1"/>
  <c r="F1605" i="1"/>
  <c r="H1605" i="1"/>
  <c r="F1601" i="1"/>
  <c r="H1601" i="1"/>
  <c r="F1597" i="1"/>
  <c r="H1597" i="1"/>
  <c r="F1593" i="1"/>
  <c r="H1593" i="1"/>
  <c r="F1589" i="1"/>
  <c r="H1589" i="1"/>
  <c r="F1585" i="1"/>
  <c r="H1585" i="1"/>
  <c r="F1581" i="1"/>
  <c r="H1581" i="1"/>
  <c r="F1577" i="1"/>
  <c r="H1577" i="1"/>
  <c r="F1573" i="1"/>
  <c r="H1573" i="1"/>
  <c r="F1569" i="1"/>
  <c r="H1569" i="1"/>
  <c r="F1565" i="1"/>
  <c r="H1565" i="1"/>
  <c r="F1561" i="1"/>
  <c r="H1561" i="1"/>
  <c r="F1557" i="1"/>
  <c r="H1557" i="1"/>
  <c r="F1553" i="1"/>
  <c r="H1553" i="1"/>
  <c r="F1549" i="1"/>
  <c r="H1549" i="1"/>
  <c r="F1545" i="1"/>
  <c r="H1545" i="1"/>
  <c r="F1541" i="1"/>
  <c r="H1541" i="1"/>
  <c r="F1537" i="1"/>
  <c r="H1537" i="1"/>
  <c r="F1533" i="1"/>
  <c r="H1533" i="1"/>
  <c r="F1529" i="1"/>
  <c r="H1529" i="1"/>
  <c r="F1525" i="1"/>
  <c r="H1525" i="1"/>
  <c r="F1521" i="1"/>
  <c r="H1521" i="1"/>
  <c r="F1517" i="1"/>
  <c r="H1517" i="1"/>
  <c r="F1513" i="1"/>
  <c r="H1513" i="1"/>
  <c r="F1509" i="1"/>
  <c r="H1509" i="1"/>
  <c r="F1505" i="1"/>
  <c r="H1505" i="1"/>
  <c r="F1501" i="1"/>
  <c r="H1501" i="1"/>
  <c r="F1497" i="1"/>
  <c r="H1497" i="1"/>
  <c r="F1493" i="1"/>
  <c r="H1493" i="1"/>
  <c r="F1489" i="1"/>
  <c r="H1489" i="1"/>
  <c r="F1485" i="1"/>
  <c r="H1485" i="1"/>
  <c r="F1481" i="1"/>
  <c r="H1481" i="1"/>
  <c r="F1477" i="1"/>
  <c r="H1477" i="1"/>
  <c r="F1473" i="1"/>
  <c r="H1473" i="1"/>
  <c r="F1469" i="1"/>
  <c r="H1469" i="1"/>
  <c r="F1465" i="1"/>
  <c r="H1465" i="1"/>
  <c r="F1461" i="1"/>
  <c r="H1461" i="1"/>
  <c r="F1457" i="1"/>
  <c r="H1457" i="1"/>
  <c r="F1453" i="1"/>
  <c r="H1453" i="1"/>
  <c r="F1449" i="1"/>
  <c r="H1449" i="1"/>
  <c r="F1445" i="1"/>
  <c r="H1445" i="1"/>
  <c r="F1441" i="1"/>
  <c r="H1441" i="1"/>
  <c r="F1437" i="1"/>
  <c r="H1437" i="1"/>
  <c r="F1433" i="1"/>
  <c r="H1433" i="1"/>
  <c r="F1429" i="1"/>
  <c r="H1429" i="1"/>
  <c r="F1425" i="1"/>
  <c r="H1425" i="1"/>
  <c r="F1421" i="1"/>
  <c r="H1421" i="1"/>
  <c r="F1417" i="1"/>
  <c r="H1417" i="1"/>
  <c r="F1413" i="1"/>
  <c r="H1413" i="1"/>
  <c r="F1409" i="1"/>
  <c r="H1409" i="1"/>
  <c r="F1405" i="1"/>
  <c r="H1405" i="1"/>
  <c r="F1401" i="1"/>
  <c r="H1401" i="1"/>
  <c r="F1397" i="1"/>
  <c r="H1397" i="1"/>
  <c r="F1393" i="1"/>
  <c r="H1393" i="1"/>
  <c r="F1389" i="1"/>
  <c r="H1389" i="1"/>
  <c r="F1385" i="1"/>
  <c r="H1385" i="1"/>
  <c r="F1381" i="1"/>
  <c r="H1381" i="1"/>
  <c r="F1377" i="1"/>
  <c r="H1377" i="1"/>
  <c r="F1373" i="1"/>
  <c r="H1373" i="1"/>
  <c r="F1369" i="1"/>
  <c r="H1369" i="1"/>
  <c r="F1365" i="1"/>
  <c r="H1365" i="1"/>
  <c r="F1361" i="1"/>
  <c r="H1361" i="1"/>
  <c r="F1357" i="1"/>
  <c r="H1357" i="1"/>
  <c r="F1353" i="1"/>
  <c r="H1353" i="1"/>
  <c r="F1349" i="1"/>
  <c r="H1349" i="1"/>
  <c r="F1345" i="1"/>
  <c r="H1345" i="1"/>
  <c r="F1341" i="1"/>
  <c r="H1341" i="1"/>
  <c r="F1337" i="1"/>
  <c r="H1337" i="1"/>
  <c r="F1333" i="1"/>
  <c r="H1333" i="1"/>
  <c r="F1329" i="1"/>
  <c r="H1329" i="1"/>
  <c r="F1325" i="1"/>
  <c r="H1325" i="1"/>
  <c r="F1321" i="1"/>
  <c r="H1321" i="1"/>
  <c r="F1317" i="1"/>
  <c r="H1317" i="1"/>
  <c r="F1313" i="1"/>
  <c r="H1313" i="1"/>
  <c r="F1309" i="1"/>
  <c r="H1309" i="1"/>
  <c r="F1305" i="1"/>
  <c r="H1305" i="1"/>
  <c r="F1301" i="1"/>
  <c r="H1301" i="1"/>
  <c r="F1297" i="1"/>
  <c r="H1297" i="1"/>
  <c r="F1293" i="1"/>
  <c r="H1293" i="1"/>
  <c r="F1289" i="1"/>
  <c r="H1289" i="1"/>
  <c r="F1285" i="1"/>
  <c r="H1285" i="1"/>
  <c r="F1281" i="1"/>
  <c r="H1281" i="1"/>
  <c r="F1277" i="1"/>
  <c r="H1277" i="1"/>
  <c r="F1273" i="1"/>
  <c r="H1273" i="1"/>
  <c r="F1269" i="1"/>
  <c r="H1269" i="1"/>
  <c r="F1265" i="1"/>
  <c r="H1265" i="1"/>
  <c r="F1261" i="1"/>
  <c r="H1261" i="1"/>
  <c r="F1257" i="1"/>
  <c r="H1257" i="1"/>
  <c r="F1253" i="1"/>
  <c r="H1253" i="1"/>
  <c r="F1249" i="1"/>
  <c r="H1249" i="1"/>
  <c r="F1245" i="1"/>
  <c r="H1245" i="1"/>
  <c r="F1241" i="1"/>
  <c r="H1241" i="1"/>
  <c r="F1237" i="1"/>
  <c r="H1237" i="1"/>
  <c r="F1233" i="1"/>
  <c r="H1233" i="1"/>
  <c r="F1229" i="1"/>
  <c r="H1229" i="1"/>
  <c r="F1225" i="1"/>
  <c r="H1225" i="1"/>
  <c r="F1221" i="1"/>
  <c r="H1221" i="1"/>
  <c r="F1217" i="1"/>
  <c r="H1217" i="1"/>
  <c r="F1213" i="1"/>
  <c r="H1213" i="1"/>
  <c r="F1209" i="1"/>
  <c r="H1209" i="1"/>
  <c r="F1205" i="1"/>
  <c r="H1205" i="1"/>
  <c r="F1201" i="1"/>
  <c r="H1201" i="1"/>
  <c r="F1197" i="1"/>
  <c r="H1197" i="1"/>
  <c r="F1193" i="1"/>
  <c r="H1193" i="1"/>
  <c r="F1189" i="1"/>
  <c r="H1189" i="1"/>
  <c r="F1185" i="1"/>
  <c r="H1185" i="1"/>
  <c r="F1181" i="1"/>
  <c r="H1181" i="1"/>
  <c r="F1177" i="1"/>
  <c r="H1177" i="1"/>
  <c r="F1173" i="1"/>
  <c r="H1173" i="1"/>
  <c r="F1169" i="1"/>
  <c r="H1169" i="1"/>
  <c r="F1165" i="1"/>
  <c r="H1165" i="1"/>
  <c r="F1161" i="1"/>
  <c r="H1161" i="1"/>
  <c r="F1157" i="1"/>
  <c r="H1157" i="1"/>
  <c r="F1153" i="1"/>
  <c r="H1153" i="1"/>
  <c r="F1149" i="1"/>
  <c r="H1149" i="1"/>
  <c r="F1145" i="1"/>
  <c r="H1145" i="1"/>
  <c r="F1141" i="1"/>
  <c r="H1141" i="1"/>
  <c r="F1137" i="1"/>
  <c r="H1137" i="1"/>
  <c r="F1133" i="1"/>
  <c r="H1133" i="1"/>
  <c r="F1129" i="1"/>
  <c r="H1129" i="1"/>
  <c r="F1125" i="1"/>
  <c r="H1125" i="1"/>
  <c r="F1121" i="1"/>
  <c r="H1121" i="1"/>
  <c r="F1117" i="1"/>
  <c r="H1117" i="1"/>
  <c r="F1113" i="1"/>
  <c r="H1113" i="1"/>
  <c r="F1109" i="1"/>
  <c r="H1109" i="1"/>
  <c r="F1105" i="1"/>
  <c r="H1105" i="1"/>
  <c r="F1101" i="1"/>
  <c r="H1101" i="1"/>
  <c r="F1097" i="1"/>
  <c r="H1097" i="1"/>
  <c r="F1093" i="1"/>
  <c r="H1093" i="1"/>
  <c r="F1089" i="1"/>
  <c r="H1089" i="1"/>
  <c r="F1085" i="1"/>
  <c r="H1085" i="1"/>
  <c r="F1081" i="1"/>
  <c r="H1081" i="1"/>
  <c r="F1077" i="1"/>
  <c r="H1077" i="1"/>
  <c r="F1073" i="1"/>
  <c r="H1073" i="1"/>
  <c r="F1069" i="1"/>
  <c r="H1069" i="1"/>
  <c r="F1065" i="1"/>
  <c r="H1065" i="1"/>
  <c r="F1061" i="1"/>
  <c r="H1061" i="1"/>
  <c r="F1057" i="1"/>
  <c r="H1057" i="1"/>
  <c r="F1053" i="1"/>
  <c r="H1053" i="1"/>
  <c r="F1049" i="1"/>
  <c r="H1049" i="1"/>
  <c r="F1045" i="1"/>
  <c r="H1045" i="1"/>
  <c r="F1041" i="1"/>
  <c r="H1041" i="1"/>
  <c r="F1037" i="1"/>
  <c r="H1037" i="1"/>
  <c r="F1033" i="1"/>
  <c r="H1033" i="1"/>
  <c r="F1029" i="1"/>
  <c r="H1029" i="1"/>
  <c r="F1025" i="1"/>
  <c r="H1025" i="1"/>
  <c r="F1021" i="1"/>
  <c r="H1021" i="1"/>
  <c r="F1017" i="1"/>
  <c r="H1017" i="1"/>
  <c r="F1013" i="1"/>
  <c r="H1013" i="1"/>
  <c r="F1009" i="1"/>
  <c r="H1009" i="1"/>
  <c r="F1005" i="1"/>
  <c r="H1005" i="1"/>
  <c r="F1001" i="1"/>
  <c r="H1001" i="1"/>
  <c r="F997" i="1"/>
  <c r="H997" i="1"/>
  <c r="F993" i="1"/>
  <c r="H993" i="1"/>
  <c r="F989" i="1"/>
  <c r="H989" i="1"/>
  <c r="F985" i="1"/>
  <c r="H985" i="1"/>
  <c r="F981" i="1"/>
  <c r="H981" i="1"/>
  <c r="F977" i="1"/>
  <c r="H977" i="1"/>
  <c r="F973" i="1"/>
  <c r="H973" i="1"/>
  <c r="F969" i="1"/>
  <c r="H969" i="1"/>
  <c r="F965" i="1"/>
  <c r="H965" i="1"/>
  <c r="F961" i="1"/>
  <c r="H961" i="1"/>
  <c r="F957" i="1"/>
  <c r="H957" i="1"/>
  <c r="F953" i="1"/>
  <c r="H953" i="1"/>
  <c r="F949" i="1"/>
  <c r="H949" i="1"/>
  <c r="F945" i="1"/>
  <c r="H945" i="1"/>
  <c r="F941" i="1"/>
  <c r="H941" i="1"/>
  <c r="F937" i="1"/>
  <c r="H937" i="1"/>
  <c r="F933" i="1"/>
  <c r="H933" i="1"/>
  <c r="F929" i="1"/>
  <c r="H929" i="1"/>
  <c r="F925" i="1"/>
  <c r="H925" i="1"/>
  <c r="F921" i="1"/>
  <c r="H921" i="1"/>
  <c r="F917" i="1"/>
  <c r="H917" i="1"/>
  <c r="F913" i="1"/>
  <c r="H913" i="1"/>
  <c r="F909" i="1"/>
  <c r="H909" i="1"/>
  <c r="F905" i="1"/>
  <c r="H905" i="1"/>
  <c r="F901" i="1"/>
  <c r="H901" i="1"/>
  <c r="F897" i="1"/>
  <c r="H897" i="1"/>
  <c r="F893" i="1"/>
  <c r="H893" i="1"/>
  <c r="F889" i="1"/>
  <c r="H889" i="1"/>
  <c r="F885" i="1"/>
  <c r="H885" i="1"/>
  <c r="F881" i="1"/>
  <c r="H881" i="1"/>
  <c r="F877" i="1"/>
  <c r="H877" i="1"/>
  <c r="F873" i="1"/>
  <c r="H873" i="1"/>
  <c r="F869" i="1"/>
  <c r="H869" i="1"/>
  <c r="F865" i="1"/>
  <c r="H865" i="1"/>
  <c r="F861" i="1"/>
  <c r="H861" i="1"/>
  <c r="F857" i="1"/>
  <c r="H857" i="1"/>
  <c r="F853" i="1"/>
  <c r="H853" i="1"/>
  <c r="F849" i="1"/>
  <c r="H849" i="1"/>
  <c r="F845" i="1"/>
  <c r="H845" i="1"/>
  <c r="F841" i="1"/>
  <c r="H841" i="1"/>
  <c r="F837" i="1"/>
  <c r="H837" i="1"/>
  <c r="F833" i="1"/>
  <c r="H833" i="1"/>
  <c r="F829" i="1"/>
  <c r="H829" i="1"/>
  <c r="F825" i="1"/>
  <c r="H825" i="1"/>
  <c r="F821" i="1"/>
  <c r="H821" i="1"/>
  <c r="F817" i="1"/>
  <c r="H817" i="1"/>
  <c r="F813" i="1"/>
  <c r="H813" i="1"/>
  <c r="F809" i="1"/>
  <c r="H809" i="1"/>
  <c r="F805" i="1"/>
  <c r="H805" i="1"/>
  <c r="F801" i="1"/>
  <c r="H801" i="1"/>
  <c r="F797" i="1"/>
  <c r="H797" i="1"/>
  <c r="F793" i="1"/>
  <c r="H793" i="1"/>
  <c r="F789" i="1"/>
  <c r="H789" i="1"/>
  <c r="F785" i="1"/>
  <c r="H785" i="1"/>
  <c r="F781" i="1"/>
  <c r="H781" i="1"/>
  <c r="F777" i="1"/>
  <c r="H777" i="1"/>
  <c r="F773" i="1"/>
  <c r="H773" i="1"/>
  <c r="F769" i="1"/>
  <c r="H769" i="1"/>
  <c r="F765" i="1"/>
  <c r="H765" i="1"/>
  <c r="F761" i="1"/>
  <c r="H761" i="1"/>
  <c r="F757" i="1"/>
  <c r="H757" i="1"/>
  <c r="F753" i="1"/>
  <c r="H753" i="1"/>
  <c r="F749" i="1"/>
  <c r="H749" i="1"/>
  <c r="F745" i="1"/>
  <c r="H745" i="1"/>
  <c r="F741" i="1"/>
  <c r="H741" i="1"/>
  <c r="F737" i="1"/>
  <c r="H737" i="1"/>
  <c r="F733" i="1"/>
  <c r="H733" i="1"/>
  <c r="F729" i="1"/>
  <c r="H729" i="1"/>
  <c r="F725" i="1"/>
  <c r="H725" i="1"/>
  <c r="F721" i="1"/>
  <c r="H721" i="1"/>
  <c r="F717" i="1"/>
  <c r="H717" i="1"/>
  <c r="F713" i="1"/>
  <c r="H713" i="1"/>
  <c r="F709" i="1"/>
  <c r="H709" i="1"/>
  <c r="F705" i="1"/>
  <c r="H705" i="1"/>
  <c r="F701" i="1"/>
  <c r="H701" i="1"/>
  <c r="F697" i="1"/>
  <c r="H697" i="1"/>
  <c r="F693" i="1"/>
  <c r="H693" i="1"/>
  <c r="F689" i="1"/>
  <c r="H689" i="1"/>
  <c r="F685" i="1"/>
  <c r="H685" i="1"/>
  <c r="F681" i="1"/>
  <c r="H681" i="1"/>
  <c r="F677" i="1"/>
  <c r="H677" i="1"/>
  <c r="F673" i="1"/>
  <c r="H673" i="1"/>
  <c r="F669" i="1"/>
  <c r="H669" i="1"/>
  <c r="F665" i="1"/>
  <c r="H665" i="1"/>
  <c r="F661" i="1"/>
  <c r="H661" i="1"/>
  <c r="F657" i="1"/>
  <c r="H657" i="1"/>
  <c r="F653" i="1"/>
  <c r="H653" i="1"/>
  <c r="F649" i="1"/>
  <c r="H649" i="1"/>
  <c r="F645" i="1"/>
  <c r="H645" i="1"/>
  <c r="F641" i="1"/>
  <c r="H641" i="1"/>
  <c r="F637" i="1"/>
  <c r="H637" i="1"/>
  <c r="F633" i="1"/>
  <c r="H633" i="1"/>
  <c r="F629" i="1"/>
  <c r="H629" i="1"/>
  <c r="F625" i="1"/>
  <c r="H625" i="1"/>
  <c r="F621" i="1"/>
  <c r="H621" i="1"/>
  <c r="F617" i="1"/>
  <c r="H617" i="1"/>
  <c r="F613" i="1"/>
  <c r="H613" i="1"/>
  <c r="F609" i="1"/>
  <c r="H609" i="1"/>
  <c r="F605" i="1"/>
  <c r="H605" i="1"/>
  <c r="F601" i="1"/>
  <c r="H601" i="1"/>
  <c r="F597" i="1"/>
  <c r="H597" i="1"/>
  <c r="F593" i="1"/>
  <c r="H593" i="1"/>
  <c r="F589" i="1"/>
  <c r="H589" i="1"/>
  <c r="F585" i="1"/>
  <c r="H585" i="1"/>
  <c r="F581" i="1"/>
  <c r="H581" i="1"/>
  <c r="F577" i="1"/>
  <c r="H577" i="1"/>
  <c r="F573" i="1"/>
  <c r="H573" i="1"/>
  <c r="F569" i="1"/>
  <c r="H569" i="1"/>
  <c r="F565" i="1"/>
  <c r="H565" i="1"/>
  <c r="F561" i="1"/>
  <c r="H561" i="1"/>
  <c r="F557" i="1"/>
  <c r="H557" i="1"/>
  <c r="F553" i="1"/>
  <c r="H553" i="1"/>
  <c r="F549" i="1"/>
  <c r="H549" i="1"/>
  <c r="F545" i="1"/>
  <c r="H545" i="1"/>
  <c r="F541" i="1"/>
  <c r="H541" i="1"/>
  <c r="F537" i="1"/>
  <c r="H537" i="1"/>
  <c r="F533" i="1"/>
  <c r="H533" i="1"/>
  <c r="F529" i="1"/>
  <c r="H529" i="1"/>
  <c r="F525" i="1"/>
  <c r="H525" i="1"/>
  <c r="F521" i="1"/>
  <c r="H521" i="1"/>
  <c r="F517" i="1"/>
  <c r="H517" i="1"/>
  <c r="F513" i="1"/>
  <c r="H513" i="1"/>
  <c r="F509" i="1"/>
  <c r="H509" i="1"/>
  <c r="F505" i="1"/>
  <c r="H505" i="1"/>
  <c r="F501" i="1"/>
  <c r="H501" i="1"/>
  <c r="F497" i="1"/>
  <c r="H497" i="1"/>
  <c r="F493" i="1"/>
  <c r="H493" i="1"/>
  <c r="F489" i="1"/>
  <c r="H489" i="1"/>
  <c r="F485" i="1"/>
  <c r="H485" i="1"/>
  <c r="F481" i="1"/>
  <c r="H481" i="1"/>
  <c r="F477" i="1"/>
  <c r="H477" i="1"/>
  <c r="F473" i="1"/>
  <c r="H473" i="1"/>
  <c r="F469" i="1"/>
  <c r="H469" i="1"/>
  <c r="F465" i="1"/>
  <c r="H465" i="1"/>
  <c r="F461" i="1"/>
  <c r="H461" i="1"/>
  <c r="F457" i="1"/>
  <c r="H457" i="1"/>
  <c r="F453" i="1"/>
  <c r="H453" i="1"/>
  <c r="F449" i="1"/>
  <c r="H449" i="1"/>
  <c r="F445" i="1"/>
  <c r="H445" i="1"/>
  <c r="F441" i="1"/>
  <c r="H441" i="1"/>
  <c r="F437" i="1"/>
  <c r="H437" i="1"/>
  <c r="F433" i="1"/>
  <c r="H433" i="1"/>
  <c r="F429" i="1"/>
  <c r="H429" i="1"/>
  <c r="F425" i="1"/>
  <c r="H425" i="1"/>
  <c r="F421" i="1"/>
  <c r="H421" i="1"/>
  <c r="F417" i="1"/>
  <c r="H417" i="1"/>
  <c r="F413" i="1"/>
  <c r="H413" i="1"/>
  <c r="F409" i="1"/>
  <c r="H409" i="1"/>
  <c r="F405" i="1"/>
  <c r="H405" i="1"/>
  <c r="F401" i="1"/>
  <c r="H401" i="1"/>
  <c r="F397" i="1"/>
  <c r="H397" i="1"/>
  <c r="F393" i="1"/>
  <c r="H393" i="1"/>
  <c r="F389" i="1"/>
  <c r="H389" i="1"/>
  <c r="F385" i="1"/>
  <c r="H385" i="1"/>
  <c r="F381" i="1"/>
  <c r="H381" i="1"/>
  <c r="F377" i="1"/>
  <c r="H377" i="1"/>
  <c r="F373" i="1"/>
  <c r="H373" i="1"/>
  <c r="F369" i="1"/>
  <c r="H369" i="1"/>
  <c r="F365" i="1"/>
  <c r="H365" i="1"/>
  <c r="F361" i="1"/>
  <c r="H361" i="1"/>
  <c r="F357" i="1"/>
  <c r="H357" i="1"/>
  <c r="F353" i="1"/>
  <c r="H353" i="1"/>
  <c r="F349" i="1"/>
  <c r="H349" i="1"/>
  <c r="F345" i="1"/>
  <c r="H345" i="1"/>
  <c r="F341" i="1"/>
  <c r="H341" i="1"/>
  <c r="F337" i="1"/>
  <c r="H337" i="1"/>
  <c r="F333" i="1"/>
  <c r="H333" i="1"/>
  <c r="F329" i="1"/>
  <c r="H329" i="1"/>
  <c r="F325" i="1"/>
  <c r="H325" i="1"/>
  <c r="F321" i="1"/>
  <c r="H321" i="1"/>
  <c r="F317" i="1"/>
  <c r="H317" i="1"/>
  <c r="F313" i="1"/>
  <c r="H313" i="1"/>
  <c r="F309" i="1"/>
  <c r="H309" i="1"/>
  <c r="H305" i="1"/>
  <c r="F305" i="1"/>
  <c r="H301" i="1"/>
  <c r="F301" i="1"/>
  <c r="H297" i="1"/>
  <c r="F297" i="1"/>
  <c r="H293" i="1"/>
  <c r="F293" i="1"/>
  <c r="H289" i="1"/>
  <c r="F289" i="1"/>
  <c r="H285" i="1"/>
  <c r="F285" i="1"/>
  <c r="H281" i="1"/>
  <c r="F281" i="1"/>
  <c r="H277" i="1"/>
  <c r="F277" i="1"/>
  <c r="H273" i="1"/>
  <c r="F273" i="1"/>
  <c r="H269" i="1"/>
  <c r="F269" i="1"/>
  <c r="H265" i="1"/>
  <c r="F265" i="1"/>
  <c r="H261" i="1"/>
  <c r="I261" i="1" s="1"/>
  <c r="F261" i="1"/>
  <c r="F256" i="1"/>
  <c r="H256" i="1"/>
  <c r="F252" i="1"/>
  <c r="H252" i="1"/>
  <c r="F248" i="1"/>
  <c r="H248" i="1"/>
  <c r="F244" i="1"/>
  <c r="H244" i="1"/>
  <c r="F240" i="1"/>
  <c r="H240" i="1"/>
  <c r="F236" i="1"/>
  <c r="H236" i="1"/>
  <c r="F232" i="1"/>
  <c r="H232" i="1"/>
  <c r="F228" i="1"/>
  <c r="H228" i="1"/>
  <c r="F224" i="1"/>
  <c r="H224" i="1"/>
  <c r="F220" i="1"/>
  <c r="H220" i="1"/>
  <c r="F216" i="1"/>
  <c r="H216" i="1"/>
  <c r="F212" i="1"/>
  <c r="H212" i="1"/>
  <c r="F208" i="1"/>
  <c r="H208" i="1"/>
  <c r="F204" i="1"/>
  <c r="H204" i="1"/>
  <c r="F200" i="1"/>
  <c r="H200" i="1"/>
  <c r="F196" i="1"/>
  <c r="H196" i="1"/>
  <c r="F192" i="1"/>
  <c r="H192" i="1"/>
  <c r="F188" i="1"/>
  <c r="H188" i="1"/>
  <c r="F184" i="1"/>
  <c r="H184" i="1"/>
  <c r="F180" i="1"/>
  <c r="H180" i="1"/>
  <c r="F176" i="1"/>
  <c r="H176" i="1"/>
  <c r="F172" i="1"/>
  <c r="H172" i="1"/>
  <c r="F168" i="1"/>
  <c r="H168" i="1"/>
  <c r="F164" i="1"/>
  <c r="H164" i="1"/>
  <c r="F160" i="1"/>
  <c r="H160" i="1"/>
  <c r="F156" i="1"/>
  <c r="H156" i="1"/>
  <c r="F152" i="1"/>
  <c r="H152" i="1"/>
  <c r="F148" i="1"/>
  <c r="H148" i="1"/>
  <c r="F144" i="1"/>
  <c r="H144" i="1"/>
  <c r="F140" i="1"/>
  <c r="H140" i="1"/>
  <c r="F136" i="1"/>
  <c r="H136" i="1"/>
  <c r="F132" i="1"/>
  <c r="H132" i="1"/>
  <c r="F128" i="1"/>
  <c r="H128" i="1"/>
  <c r="F124" i="1"/>
  <c r="H124" i="1"/>
  <c r="F120" i="1"/>
  <c r="H120" i="1"/>
  <c r="F116" i="1"/>
  <c r="H116" i="1"/>
  <c r="F112" i="1"/>
  <c r="H112" i="1"/>
  <c r="F108" i="1"/>
  <c r="H108" i="1"/>
  <c r="F104" i="1"/>
  <c r="H104" i="1"/>
  <c r="F100" i="1"/>
  <c r="H100" i="1"/>
  <c r="H52" i="1"/>
  <c r="F2516" i="1"/>
  <c r="H2516" i="1"/>
  <c r="F2512" i="1"/>
  <c r="H2512" i="1"/>
  <c r="F2508" i="1"/>
  <c r="H2508" i="1"/>
  <c r="F2504" i="1"/>
  <c r="H2504" i="1"/>
  <c r="F2500" i="1"/>
  <c r="H2500" i="1"/>
  <c r="F2496" i="1"/>
  <c r="H2496" i="1"/>
  <c r="F2492" i="1"/>
  <c r="H2492" i="1"/>
  <c r="F2488" i="1"/>
  <c r="H2488" i="1"/>
  <c r="F2484" i="1"/>
  <c r="H2484" i="1"/>
  <c r="F2480" i="1"/>
  <c r="H2480" i="1"/>
  <c r="F2476" i="1"/>
  <c r="H2476" i="1"/>
  <c r="F2472" i="1"/>
  <c r="H2472" i="1"/>
  <c r="F2468" i="1"/>
  <c r="H2468" i="1"/>
  <c r="F2464" i="1"/>
  <c r="H2464" i="1"/>
  <c r="F2460" i="1"/>
  <c r="H2460" i="1"/>
  <c r="F2456" i="1"/>
  <c r="H2456" i="1"/>
  <c r="F2452" i="1"/>
  <c r="H2452" i="1"/>
  <c r="F2448" i="1"/>
  <c r="H2448" i="1"/>
  <c r="F2444" i="1"/>
  <c r="H2444" i="1"/>
  <c r="F2440" i="1"/>
  <c r="H2440" i="1"/>
  <c r="F2436" i="1"/>
  <c r="H2436" i="1"/>
  <c r="F2432" i="1"/>
  <c r="H2432" i="1"/>
  <c r="F2428" i="1"/>
  <c r="H2428" i="1"/>
  <c r="F2424" i="1"/>
  <c r="H2424" i="1"/>
  <c r="F2420" i="1"/>
  <c r="H2420" i="1"/>
  <c r="F2416" i="1"/>
  <c r="H2416" i="1"/>
  <c r="F2412" i="1"/>
  <c r="H2412" i="1"/>
  <c r="F2408" i="1"/>
  <c r="H2408" i="1"/>
  <c r="F2404" i="1"/>
  <c r="H2404" i="1"/>
  <c r="F2400" i="1"/>
  <c r="H2400" i="1"/>
  <c r="F2396" i="1"/>
  <c r="H2396" i="1"/>
  <c r="F2392" i="1"/>
  <c r="H2392" i="1"/>
  <c r="F2388" i="1"/>
  <c r="H2388" i="1"/>
  <c r="F2384" i="1"/>
  <c r="H2384" i="1"/>
  <c r="F2380" i="1"/>
  <c r="H2380" i="1"/>
  <c r="F2376" i="1"/>
  <c r="H2376" i="1"/>
  <c r="F2372" i="1"/>
  <c r="H2372" i="1"/>
  <c r="F2368" i="1"/>
  <c r="H2368" i="1"/>
  <c r="F2364" i="1"/>
  <c r="H2364" i="1"/>
  <c r="F2360" i="1"/>
  <c r="H2360" i="1"/>
  <c r="F2356" i="1"/>
  <c r="H2356" i="1"/>
  <c r="F2352" i="1"/>
  <c r="H2352" i="1"/>
  <c r="F2348" i="1"/>
  <c r="H2348" i="1"/>
  <c r="F2344" i="1"/>
  <c r="H2344" i="1"/>
  <c r="F2340" i="1"/>
  <c r="H2340" i="1"/>
  <c r="F2336" i="1"/>
  <c r="H2336" i="1"/>
  <c r="F2332" i="1"/>
  <c r="H2332" i="1"/>
  <c r="F2328" i="1"/>
  <c r="H2328" i="1"/>
  <c r="F2324" i="1"/>
  <c r="H2324" i="1"/>
  <c r="F2320" i="1"/>
  <c r="H2320" i="1"/>
  <c r="F2316" i="1"/>
  <c r="H2316" i="1"/>
  <c r="F2312" i="1"/>
  <c r="H2312" i="1"/>
  <c r="F2308" i="1"/>
  <c r="H2308" i="1"/>
  <c r="F2304" i="1"/>
  <c r="H2304" i="1"/>
  <c r="F2300" i="1"/>
  <c r="H2300" i="1"/>
  <c r="F2296" i="1"/>
  <c r="H2296" i="1"/>
  <c r="F2292" i="1"/>
  <c r="H2292" i="1"/>
  <c r="F2288" i="1"/>
  <c r="H2288" i="1"/>
  <c r="F2284" i="1"/>
  <c r="H2284" i="1"/>
  <c r="F2280" i="1"/>
  <c r="H2280" i="1"/>
  <c r="F2276" i="1"/>
  <c r="H2276" i="1"/>
  <c r="F2272" i="1"/>
  <c r="H2272" i="1"/>
  <c r="F2268" i="1"/>
  <c r="H2268" i="1"/>
  <c r="F2264" i="1"/>
  <c r="H2264" i="1"/>
  <c r="F2260" i="1"/>
  <c r="H2260" i="1"/>
  <c r="F2256" i="1"/>
  <c r="H2256" i="1"/>
  <c r="F2252" i="1"/>
  <c r="H2252" i="1"/>
  <c r="F2248" i="1"/>
  <c r="H2248" i="1"/>
  <c r="F2244" i="1"/>
  <c r="H2244" i="1"/>
  <c r="F2240" i="1"/>
  <c r="H2240" i="1"/>
  <c r="F2236" i="1"/>
  <c r="H2236" i="1"/>
  <c r="F2232" i="1"/>
  <c r="H2232" i="1"/>
  <c r="F2228" i="1"/>
  <c r="H2228" i="1"/>
  <c r="F2224" i="1"/>
  <c r="H2224" i="1"/>
  <c r="F2220" i="1"/>
  <c r="H2220" i="1"/>
  <c r="F2216" i="1"/>
  <c r="H2216" i="1"/>
  <c r="F2212" i="1"/>
  <c r="H2212" i="1"/>
  <c r="F2208" i="1"/>
  <c r="H2208" i="1"/>
  <c r="F2204" i="1"/>
  <c r="H2204" i="1"/>
  <c r="F2200" i="1"/>
  <c r="H2200" i="1"/>
  <c r="F2196" i="1"/>
  <c r="H2196" i="1"/>
  <c r="F2192" i="1"/>
  <c r="H2192" i="1"/>
  <c r="F2188" i="1"/>
  <c r="H2188" i="1"/>
  <c r="F2184" i="1"/>
  <c r="H2184" i="1"/>
  <c r="F2180" i="1"/>
  <c r="H2180" i="1"/>
  <c r="F2176" i="1"/>
  <c r="H2176" i="1"/>
  <c r="F2172" i="1"/>
  <c r="H2172" i="1"/>
  <c r="F2168" i="1"/>
  <c r="H2168" i="1"/>
  <c r="F2164" i="1"/>
  <c r="H2164" i="1"/>
  <c r="F2160" i="1"/>
  <c r="H2160" i="1"/>
  <c r="F2156" i="1"/>
  <c r="H2156" i="1"/>
  <c r="F2152" i="1"/>
  <c r="H2152" i="1"/>
  <c r="F2148" i="1"/>
  <c r="H2148" i="1"/>
  <c r="F2144" i="1"/>
  <c r="H2144" i="1"/>
  <c r="F2140" i="1"/>
  <c r="H2140" i="1"/>
  <c r="F2136" i="1"/>
  <c r="H2136" i="1"/>
  <c r="F2132" i="1"/>
  <c r="H2132" i="1"/>
  <c r="F2128" i="1"/>
  <c r="H2128" i="1"/>
  <c r="F2124" i="1"/>
  <c r="H2124" i="1"/>
  <c r="F2120" i="1"/>
  <c r="H2120" i="1"/>
  <c r="F2116" i="1"/>
  <c r="H2116" i="1"/>
  <c r="F2112" i="1"/>
  <c r="H2112" i="1"/>
  <c r="F2108" i="1"/>
  <c r="H2108" i="1"/>
  <c r="F2104" i="1"/>
  <c r="H2104" i="1"/>
  <c r="F2100" i="1"/>
  <c r="H2100" i="1"/>
  <c r="F2096" i="1"/>
  <c r="H2096" i="1"/>
  <c r="F2092" i="1"/>
  <c r="H2092" i="1"/>
  <c r="F2088" i="1"/>
  <c r="H2088" i="1"/>
  <c r="F2084" i="1"/>
  <c r="H2084" i="1"/>
  <c r="F2080" i="1"/>
  <c r="H2080" i="1"/>
  <c r="F2076" i="1"/>
  <c r="H2076" i="1"/>
  <c r="F2072" i="1"/>
  <c r="H2072" i="1"/>
  <c r="F2068" i="1"/>
  <c r="H2068" i="1"/>
  <c r="F2064" i="1"/>
  <c r="H2064" i="1"/>
  <c r="F2060" i="1"/>
  <c r="H2060" i="1"/>
  <c r="F2056" i="1"/>
  <c r="H2056" i="1"/>
  <c r="F2052" i="1"/>
  <c r="H2052" i="1"/>
  <c r="F2048" i="1"/>
  <c r="H2048" i="1"/>
  <c r="F2044" i="1"/>
  <c r="H2044" i="1"/>
  <c r="F2040" i="1"/>
  <c r="H2040" i="1"/>
  <c r="F2036" i="1"/>
  <c r="H2036" i="1"/>
  <c r="F2032" i="1"/>
  <c r="H2032" i="1"/>
  <c r="F2028" i="1"/>
  <c r="H2028" i="1"/>
  <c r="F2024" i="1"/>
  <c r="H2024" i="1"/>
  <c r="F2020" i="1"/>
  <c r="H2020" i="1"/>
  <c r="F2016" i="1"/>
  <c r="H2016" i="1"/>
  <c r="F2012" i="1"/>
  <c r="H2012" i="1"/>
  <c r="F2008" i="1"/>
  <c r="H2008" i="1"/>
  <c r="F2004" i="1"/>
  <c r="H2004" i="1"/>
  <c r="F2000" i="1"/>
  <c r="H2000" i="1"/>
  <c r="F1996" i="1"/>
  <c r="H1996" i="1"/>
  <c r="F1992" i="1"/>
  <c r="H1992" i="1"/>
  <c r="F1988" i="1"/>
  <c r="H1988" i="1"/>
  <c r="F1984" i="1"/>
  <c r="H1984" i="1"/>
  <c r="F1980" i="1"/>
  <c r="H1980" i="1"/>
  <c r="F1976" i="1"/>
  <c r="H1976" i="1"/>
  <c r="F1972" i="1"/>
  <c r="H1972" i="1"/>
  <c r="F1968" i="1"/>
  <c r="H1968" i="1"/>
  <c r="F1964" i="1"/>
  <c r="H1964" i="1"/>
  <c r="F1960" i="1"/>
  <c r="H1960" i="1"/>
  <c r="F1956" i="1"/>
  <c r="H1956" i="1"/>
  <c r="F1952" i="1"/>
  <c r="H1952" i="1"/>
  <c r="F1948" i="1"/>
  <c r="H1948" i="1"/>
  <c r="F1944" i="1"/>
  <c r="H1944" i="1"/>
  <c r="F1940" i="1"/>
  <c r="H1940" i="1"/>
  <c r="F1936" i="1"/>
  <c r="H1936" i="1"/>
  <c r="F1932" i="1"/>
  <c r="H1932" i="1"/>
  <c r="F1928" i="1"/>
  <c r="H1928" i="1"/>
  <c r="F1924" i="1"/>
  <c r="H1924" i="1"/>
  <c r="F1920" i="1"/>
  <c r="H1920" i="1"/>
  <c r="F1916" i="1"/>
  <c r="H1916" i="1"/>
  <c r="F1912" i="1"/>
  <c r="H1912" i="1"/>
  <c r="F1908" i="1"/>
  <c r="H1908" i="1"/>
  <c r="F1904" i="1"/>
  <c r="H1904" i="1"/>
  <c r="F1900" i="1"/>
  <c r="H1900" i="1"/>
  <c r="F1896" i="1"/>
  <c r="H1896" i="1"/>
  <c r="F1892" i="1"/>
  <c r="H1892" i="1"/>
  <c r="F1888" i="1"/>
  <c r="H1888" i="1"/>
  <c r="F1884" i="1"/>
  <c r="H1884" i="1"/>
  <c r="F1880" i="1"/>
  <c r="H1880" i="1"/>
  <c r="F1876" i="1"/>
  <c r="H1876" i="1"/>
  <c r="F1872" i="1"/>
  <c r="H1872" i="1"/>
  <c r="F1868" i="1"/>
  <c r="H1868" i="1"/>
  <c r="F1864" i="1"/>
  <c r="H1864" i="1"/>
  <c r="F1860" i="1"/>
  <c r="H1860" i="1"/>
  <c r="F1856" i="1"/>
  <c r="H1856" i="1"/>
  <c r="F1852" i="1"/>
  <c r="H1852" i="1"/>
  <c r="F1848" i="1"/>
  <c r="H1848" i="1"/>
  <c r="F1844" i="1"/>
  <c r="H1844" i="1"/>
  <c r="F1840" i="1"/>
  <c r="H1840" i="1"/>
  <c r="F1836" i="1"/>
  <c r="H1836" i="1"/>
  <c r="F1832" i="1"/>
  <c r="H1832" i="1"/>
  <c r="F1828" i="1"/>
  <c r="H1828" i="1"/>
  <c r="F1824" i="1"/>
  <c r="H1824" i="1"/>
  <c r="F1820" i="1"/>
  <c r="H1820" i="1"/>
  <c r="F1816" i="1"/>
  <c r="H1816" i="1"/>
  <c r="F1812" i="1"/>
  <c r="H1812" i="1"/>
  <c r="F1808" i="1"/>
  <c r="H1808" i="1"/>
  <c r="F1804" i="1"/>
  <c r="H1804" i="1"/>
  <c r="F1800" i="1"/>
  <c r="H1800" i="1"/>
  <c r="F1796" i="1"/>
  <c r="H1796" i="1"/>
  <c r="F1792" i="1"/>
  <c r="H1792" i="1"/>
  <c r="F1788" i="1"/>
  <c r="H1788" i="1"/>
  <c r="F1784" i="1"/>
  <c r="H1784" i="1"/>
  <c r="F1780" i="1"/>
  <c r="H1780" i="1"/>
  <c r="F1776" i="1"/>
  <c r="H1776" i="1"/>
  <c r="F1772" i="1"/>
  <c r="H1772" i="1"/>
  <c r="F1768" i="1"/>
  <c r="H1768" i="1"/>
  <c r="F1764" i="1"/>
  <c r="H1764" i="1"/>
  <c r="F1760" i="1"/>
  <c r="H1760" i="1"/>
  <c r="F1756" i="1"/>
  <c r="H1756" i="1"/>
  <c r="F1752" i="1"/>
  <c r="H1752" i="1"/>
  <c r="F1748" i="1"/>
  <c r="H1748" i="1"/>
  <c r="F1744" i="1"/>
  <c r="H1744" i="1"/>
  <c r="F1740" i="1"/>
  <c r="H1740" i="1"/>
  <c r="F1736" i="1"/>
  <c r="H1736" i="1"/>
  <c r="F1732" i="1"/>
  <c r="H1732" i="1"/>
  <c r="F1728" i="1"/>
  <c r="H1728" i="1"/>
  <c r="F1724" i="1"/>
  <c r="H1724" i="1"/>
  <c r="F1720" i="1"/>
  <c r="H1720" i="1"/>
  <c r="F1716" i="1"/>
  <c r="H1716" i="1"/>
  <c r="F1712" i="1"/>
  <c r="H1712" i="1"/>
  <c r="F1708" i="1"/>
  <c r="H1708" i="1"/>
  <c r="F1704" i="1"/>
  <c r="H1704" i="1"/>
  <c r="F1700" i="1"/>
  <c r="H1700" i="1"/>
  <c r="F1696" i="1"/>
  <c r="H1696" i="1"/>
  <c r="F1692" i="1"/>
  <c r="H1692" i="1"/>
  <c r="F1688" i="1"/>
  <c r="H1688" i="1"/>
  <c r="F1684" i="1"/>
  <c r="H1684" i="1"/>
  <c r="F1680" i="1"/>
  <c r="H1680" i="1"/>
  <c r="F1676" i="1"/>
  <c r="H1676" i="1"/>
  <c r="F1672" i="1"/>
  <c r="H1672" i="1"/>
  <c r="F1668" i="1"/>
  <c r="H1668" i="1"/>
  <c r="F1664" i="1"/>
  <c r="H1664" i="1"/>
  <c r="F1660" i="1"/>
  <c r="H1660" i="1"/>
  <c r="F1656" i="1"/>
  <c r="H1656" i="1"/>
  <c r="F1652" i="1"/>
  <c r="H1652" i="1"/>
  <c r="F1648" i="1"/>
  <c r="H1648" i="1"/>
  <c r="F1644" i="1"/>
  <c r="H1644" i="1"/>
  <c r="F1640" i="1"/>
  <c r="H1640" i="1"/>
  <c r="F1636" i="1"/>
  <c r="H1636" i="1"/>
  <c r="F1632" i="1"/>
  <c r="H1632" i="1"/>
  <c r="F1628" i="1"/>
  <c r="H1628" i="1"/>
  <c r="F1624" i="1"/>
  <c r="H1624" i="1"/>
  <c r="F1620" i="1"/>
  <c r="H1620" i="1"/>
  <c r="F1616" i="1"/>
  <c r="H1616" i="1"/>
  <c r="F1612" i="1"/>
  <c r="H1612" i="1"/>
  <c r="F1608" i="1"/>
  <c r="H1608" i="1"/>
  <c r="F1604" i="1"/>
  <c r="H1604" i="1"/>
  <c r="F1600" i="1"/>
  <c r="H1600" i="1"/>
  <c r="F1596" i="1"/>
  <c r="H1596" i="1"/>
  <c r="F1592" i="1"/>
  <c r="H1592" i="1"/>
  <c r="F1588" i="1"/>
  <c r="H1588" i="1"/>
  <c r="F1584" i="1"/>
  <c r="H1584" i="1"/>
  <c r="F1580" i="1"/>
  <c r="H1580" i="1"/>
  <c r="F1576" i="1"/>
  <c r="H1576" i="1"/>
  <c r="F1572" i="1"/>
  <c r="H1572" i="1"/>
  <c r="F1568" i="1"/>
  <c r="H1568" i="1"/>
  <c r="F1564" i="1"/>
  <c r="H1564" i="1"/>
  <c r="F1560" i="1"/>
  <c r="H1560" i="1"/>
  <c r="F1556" i="1"/>
  <c r="H1556" i="1"/>
  <c r="F1552" i="1"/>
  <c r="H1552" i="1"/>
  <c r="F1548" i="1"/>
  <c r="H1548" i="1"/>
  <c r="F1544" i="1"/>
  <c r="H1544" i="1"/>
  <c r="F1540" i="1"/>
  <c r="H1540" i="1"/>
  <c r="F1536" i="1"/>
  <c r="H1536" i="1"/>
  <c r="F1532" i="1"/>
  <c r="H1532" i="1"/>
  <c r="F1528" i="1"/>
  <c r="H1528" i="1"/>
  <c r="F1524" i="1"/>
  <c r="H1524" i="1"/>
  <c r="F1520" i="1"/>
  <c r="H1520" i="1"/>
  <c r="F1516" i="1"/>
  <c r="H1516" i="1"/>
  <c r="F1512" i="1"/>
  <c r="H1512" i="1"/>
  <c r="F1508" i="1"/>
  <c r="H1508" i="1"/>
  <c r="F1504" i="1"/>
  <c r="H1504" i="1"/>
  <c r="F1500" i="1"/>
  <c r="H1500" i="1"/>
  <c r="F1496" i="1"/>
  <c r="H1496" i="1"/>
  <c r="F1492" i="1"/>
  <c r="H1492" i="1"/>
  <c r="F1488" i="1"/>
  <c r="H1488" i="1"/>
  <c r="F1484" i="1"/>
  <c r="H1484" i="1"/>
  <c r="F1480" i="1"/>
  <c r="H1480" i="1"/>
  <c r="F1476" i="1"/>
  <c r="H1476" i="1"/>
  <c r="F1472" i="1"/>
  <c r="H1472" i="1"/>
  <c r="F1468" i="1"/>
  <c r="H1468" i="1"/>
  <c r="F1464" i="1"/>
  <c r="H1464" i="1"/>
  <c r="F1460" i="1"/>
  <c r="H1460" i="1"/>
  <c r="F1456" i="1"/>
  <c r="H1456" i="1"/>
  <c r="F1452" i="1"/>
  <c r="H1452" i="1"/>
  <c r="F1448" i="1"/>
  <c r="H1448" i="1"/>
  <c r="F1444" i="1"/>
  <c r="H1444" i="1"/>
  <c r="F1440" i="1"/>
  <c r="H1440" i="1"/>
  <c r="F1436" i="1"/>
  <c r="H1436" i="1"/>
  <c r="F1432" i="1"/>
  <c r="H1432" i="1"/>
  <c r="F1428" i="1"/>
  <c r="H1428" i="1"/>
  <c r="F1424" i="1"/>
  <c r="H1424" i="1"/>
  <c r="F1420" i="1"/>
  <c r="H1420" i="1"/>
  <c r="F1416" i="1"/>
  <c r="H1416" i="1"/>
  <c r="F1412" i="1"/>
  <c r="H1412" i="1"/>
  <c r="F1408" i="1"/>
  <c r="H1408" i="1"/>
  <c r="F1404" i="1"/>
  <c r="H1404" i="1"/>
  <c r="F1400" i="1"/>
  <c r="H1400" i="1"/>
  <c r="F1396" i="1"/>
  <c r="H1396" i="1"/>
  <c r="F1392" i="1"/>
  <c r="H1392" i="1"/>
  <c r="F1388" i="1"/>
  <c r="H1388" i="1"/>
  <c r="F1384" i="1"/>
  <c r="H1384" i="1"/>
  <c r="F1380" i="1"/>
  <c r="H1380" i="1"/>
  <c r="F1376" i="1"/>
  <c r="H1376" i="1"/>
  <c r="F1372" i="1"/>
  <c r="H1372" i="1"/>
  <c r="F1368" i="1"/>
  <c r="H1368" i="1"/>
  <c r="F1364" i="1"/>
  <c r="H1364" i="1"/>
  <c r="F1360" i="1"/>
  <c r="H1360" i="1"/>
  <c r="F1356" i="1"/>
  <c r="H1356" i="1"/>
  <c r="F1352" i="1"/>
  <c r="H1352" i="1"/>
  <c r="F1348" i="1"/>
  <c r="H1348" i="1"/>
  <c r="F1344" i="1"/>
  <c r="H1344" i="1"/>
  <c r="F1340" i="1"/>
  <c r="H1340" i="1"/>
  <c r="F1336" i="1"/>
  <c r="H1336" i="1"/>
  <c r="F1332" i="1"/>
  <c r="H1332" i="1"/>
  <c r="F1328" i="1"/>
  <c r="H1328" i="1"/>
  <c r="F1324" i="1"/>
  <c r="H1324" i="1"/>
  <c r="F1320" i="1"/>
  <c r="H1320" i="1"/>
  <c r="F1316" i="1"/>
  <c r="H1316" i="1"/>
  <c r="F1312" i="1"/>
  <c r="H1312" i="1"/>
  <c r="F1308" i="1"/>
  <c r="H1308" i="1"/>
  <c r="F1304" i="1"/>
  <c r="H1304" i="1"/>
  <c r="F1300" i="1"/>
  <c r="H1300" i="1"/>
  <c r="F1296" i="1"/>
  <c r="H1296" i="1"/>
  <c r="F1292" i="1"/>
  <c r="H1292" i="1"/>
  <c r="F1288" i="1"/>
  <c r="H1288" i="1"/>
  <c r="F1284" i="1"/>
  <c r="H1284" i="1"/>
  <c r="F1280" i="1"/>
  <c r="H1280" i="1"/>
  <c r="F1276" i="1"/>
  <c r="H1276" i="1"/>
  <c r="F1272" i="1"/>
  <c r="H1272" i="1"/>
  <c r="F1268" i="1"/>
  <c r="H1268" i="1"/>
  <c r="F1264" i="1"/>
  <c r="H1264" i="1"/>
  <c r="F1260" i="1"/>
  <c r="H1260" i="1"/>
  <c r="F1256" i="1"/>
  <c r="H1256" i="1"/>
  <c r="F1252" i="1"/>
  <c r="H1252" i="1"/>
  <c r="F1248" i="1"/>
  <c r="H1248" i="1"/>
  <c r="F1244" i="1"/>
  <c r="H1244" i="1"/>
  <c r="F1240" i="1"/>
  <c r="H1240" i="1"/>
  <c r="F1236" i="1"/>
  <c r="H1236" i="1"/>
  <c r="F1232" i="1"/>
  <c r="H1232" i="1"/>
  <c r="F1228" i="1"/>
  <c r="H1228" i="1"/>
  <c r="F1224" i="1"/>
  <c r="H1224" i="1"/>
  <c r="F1220" i="1"/>
  <c r="H1220" i="1"/>
  <c r="F1216" i="1"/>
  <c r="H1216" i="1"/>
  <c r="F1212" i="1"/>
  <c r="H1212" i="1"/>
  <c r="F1208" i="1"/>
  <c r="H1208" i="1"/>
  <c r="F1204" i="1"/>
  <c r="H1204" i="1"/>
  <c r="F1200" i="1"/>
  <c r="H1200" i="1"/>
  <c r="F1196" i="1"/>
  <c r="H1196" i="1"/>
  <c r="F1192" i="1"/>
  <c r="H1192" i="1"/>
  <c r="F1188" i="1"/>
  <c r="H1188" i="1"/>
  <c r="F1184" i="1"/>
  <c r="H1184" i="1"/>
  <c r="F1180" i="1"/>
  <c r="H1180" i="1"/>
  <c r="F1176" i="1"/>
  <c r="H1176" i="1"/>
  <c r="F1172" i="1"/>
  <c r="H1172" i="1"/>
  <c r="F1168" i="1"/>
  <c r="H1168" i="1"/>
  <c r="F1164" i="1"/>
  <c r="H1164" i="1"/>
  <c r="F1160" i="1"/>
  <c r="H1160" i="1"/>
  <c r="F1156" i="1"/>
  <c r="H1156" i="1"/>
  <c r="F1152" i="1"/>
  <c r="H1152" i="1"/>
  <c r="F1148" i="1"/>
  <c r="H1148" i="1"/>
  <c r="F1144" i="1"/>
  <c r="H1144" i="1"/>
  <c r="F1140" i="1"/>
  <c r="H1140" i="1"/>
  <c r="F1136" i="1"/>
  <c r="H1136" i="1"/>
  <c r="F1132" i="1"/>
  <c r="H1132" i="1"/>
  <c r="F1128" i="1"/>
  <c r="H1128" i="1"/>
  <c r="F1124" i="1"/>
  <c r="H1124" i="1"/>
  <c r="F1120" i="1"/>
  <c r="H1120" i="1"/>
  <c r="F1116" i="1"/>
  <c r="H1116" i="1"/>
  <c r="F1112" i="1"/>
  <c r="H1112" i="1"/>
  <c r="F1108" i="1"/>
  <c r="H1108" i="1"/>
  <c r="F1104" i="1"/>
  <c r="H1104" i="1"/>
  <c r="F1100" i="1"/>
  <c r="H1100" i="1"/>
  <c r="F1096" i="1"/>
  <c r="H1096" i="1"/>
  <c r="F1092" i="1"/>
  <c r="H1092" i="1"/>
  <c r="F1088" i="1"/>
  <c r="H1088" i="1"/>
  <c r="F1084" i="1"/>
  <c r="H1084" i="1"/>
  <c r="F1080" i="1"/>
  <c r="H1080" i="1"/>
  <c r="F1076" i="1"/>
  <c r="H1076" i="1"/>
  <c r="F1072" i="1"/>
  <c r="H1072" i="1"/>
  <c r="F1068" i="1"/>
  <c r="H1068" i="1"/>
  <c r="F1064" i="1"/>
  <c r="H1064" i="1"/>
  <c r="F1060" i="1"/>
  <c r="H1060" i="1"/>
  <c r="F1056" i="1"/>
  <c r="H1056" i="1"/>
  <c r="F1052" i="1"/>
  <c r="H1052" i="1"/>
  <c r="F1048" i="1"/>
  <c r="H1048" i="1"/>
  <c r="F1044" i="1"/>
  <c r="H1044" i="1"/>
  <c r="F1040" i="1"/>
  <c r="H1040" i="1"/>
  <c r="F1036" i="1"/>
  <c r="H1036" i="1"/>
  <c r="F1032" i="1"/>
  <c r="H1032" i="1"/>
  <c r="F1028" i="1"/>
  <c r="H1028" i="1"/>
  <c r="F1024" i="1"/>
  <c r="H1024" i="1"/>
  <c r="F1020" i="1"/>
  <c r="H1020" i="1"/>
  <c r="F1016" i="1"/>
  <c r="H1016" i="1"/>
  <c r="F1012" i="1"/>
  <c r="H1012" i="1"/>
  <c r="F1008" i="1"/>
  <c r="H1008" i="1"/>
  <c r="F1004" i="1"/>
  <c r="H1004" i="1"/>
  <c r="F1000" i="1"/>
  <c r="H1000" i="1"/>
  <c r="F996" i="1"/>
  <c r="H996" i="1"/>
  <c r="F992" i="1"/>
  <c r="H992" i="1"/>
  <c r="F988" i="1"/>
  <c r="H988" i="1"/>
  <c r="F984" i="1"/>
  <c r="H984" i="1"/>
  <c r="F980" i="1"/>
  <c r="H980" i="1"/>
  <c r="F976" i="1"/>
  <c r="H976" i="1"/>
  <c r="F972" i="1"/>
  <c r="H972" i="1"/>
  <c r="F968" i="1"/>
  <c r="H968" i="1"/>
  <c r="F964" i="1"/>
  <c r="H964" i="1"/>
  <c r="F960" i="1"/>
  <c r="H960" i="1"/>
  <c r="F956" i="1"/>
  <c r="H956" i="1"/>
  <c r="F952" i="1"/>
  <c r="H952" i="1"/>
  <c r="F948" i="1"/>
  <c r="H948" i="1"/>
  <c r="F944" i="1"/>
  <c r="H944" i="1"/>
  <c r="F940" i="1"/>
  <c r="H940" i="1"/>
  <c r="F936" i="1"/>
  <c r="H936" i="1"/>
  <c r="F932" i="1"/>
  <c r="H932" i="1"/>
  <c r="F928" i="1"/>
  <c r="H928" i="1"/>
  <c r="F924" i="1"/>
  <c r="H924" i="1"/>
  <c r="F920" i="1"/>
  <c r="H920" i="1"/>
  <c r="F916" i="1"/>
  <c r="H916" i="1"/>
  <c r="F912" i="1"/>
  <c r="H912" i="1"/>
  <c r="F908" i="1"/>
  <c r="H908" i="1"/>
  <c r="F904" i="1"/>
  <c r="H904" i="1"/>
  <c r="F900" i="1"/>
  <c r="H900" i="1"/>
  <c r="F896" i="1"/>
  <c r="H896" i="1"/>
  <c r="F892" i="1"/>
  <c r="H892" i="1"/>
  <c r="F888" i="1"/>
  <c r="H888" i="1"/>
  <c r="F884" i="1"/>
  <c r="H884" i="1"/>
  <c r="F880" i="1"/>
  <c r="H880" i="1"/>
  <c r="F876" i="1"/>
  <c r="H876" i="1"/>
  <c r="F872" i="1"/>
  <c r="H872" i="1"/>
  <c r="F868" i="1"/>
  <c r="H868" i="1"/>
  <c r="F864" i="1"/>
  <c r="H864" i="1"/>
  <c r="F860" i="1"/>
  <c r="H860" i="1"/>
  <c r="F856" i="1"/>
  <c r="H856" i="1"/>
  <c r="F852" i="1"/>
  <c r="H852" i="1"/>
  <c r="F848" i="1"/>
  <c r="H848" i="1"/>
  <c r="F844" i="1"/>
  <c r="H844" i="1"/>
  <c r="F840" i="1"/>
  <c r="H840" i="1"/>
  <c r="F836" i="1"/>
  <c r="H836" i="1"/>
  <c r="F832" i="1"/>
  <c r="H832" i="1"/>
  <c r="F828" i="1"/>
  <c r="H828" i="1"/>
  <c r="F824" i="1"/>
  <c r="H824" i="1"/>
  <c r="F820" i="1"/>
  <c r="H820" i="1"/>
  <c r="F816" i="1"/>
  <c r="H816" i="1"/>
  <c r="F812" i="1"/>
  <c r="H812" i="1"/>
  <c r="F808" i="1"/>
  <c r="H808" i="1"/>
  <c r="F804" i="1"/>
  <c r="H804" i="1"/>
  <c r="F800" i="1"/>
  <c r="H800" i="1"/>
  <c r="F796" i="1"/>
  <c r="H796" i="1"/>
  <c r="F792" i="1"/>
  <c r="H792" i="1"/>
  <c r="F788" i="1"/>
  <c r="H788" i="1"/>
  <c r="F784" i="1"/>
  <c r="H784" i="1"/>
  <c r="F780" i="1"/>
  <c r="H780" i="1"/>
  <c r="F776" i="1"/>
  <c r="H776" i="1"/>
  <c r="F772" i="1"/>
  <c r="H772" i="1"/>
  <c r="F768" i="1"/>
  <c r="H768" i="1"/>
  <c r="F764" i="1"/>
  <c r="H764" i="1"/>
  <c r="F760" i="1"/>
  <c r="H760" i="1"/>
  <c r="F756" i="1"/>
  <c r="H756" i="1"/>
  <c r="F752" i="1"/>
  <c r="H752" i="1"/>
  <c r="F748" i="1"/>
  <c r="H748" i="1"/>
  <c r="F744" i="1"/>
  <c r="H744" i="1"/>
  <c r="F740" i="1"/>
  <c r="H740" i="1"/>
  <c r="F736" i="1"/>
  <c r="H736" i="1"/>
  <c r="F732" i="1"/>
  <c r="H732" i="1"/>
  <c r="F728" i="1"/>
  <c r="H728" i="1"/>
  <c r="F724" i="1"/>
  <c r="H724" i="1"/>
  <c r="F720" i="1"/>
  <c r="H720" i="1"/>
  <c r="F716" i="1"/>
  <c r="H716" i="1"/>
  <c r="F712" i="1"/>
  <c r="H712" i="1"/>
  <c r="F708" i="1"/>
  <c r="H708" i="1"/>
  <c r="F704" i="1"/>
  <c r="H704" i="1"/>
  <c r="F700" i="1"/>
  <c r="H700" i="1"/>
  <c r="F696" i="1"/>
  <c r="H696" i="1"/>
  <c r="F692" i="1"/>
  <c r="H692" i="1"/>
  <c r="F688" i="1"/>
  <c r="H688" i="1"/>
  <c r="F684" i="1"/>
  <c r="H684" i="1"/>
  <c r="F680" i="1"/>
  <c r="H680" i="1"/>
  <c r="F676" i="1"/>
  <c r="H676" i="1"/>
  <c r="F672" i="1"/>
  <c r="H672" i="1"/>
  <c r="F668" i="1"/>
  <c r="H668" i="1"/>
  <c r="F664" i="1"/>
  <c r="H664" i="1"/>
  <c r="F660" i="1"/>
  <c r="H660" i="1"/>
  <c r="F656" i="1"/>
  <c r="H656" i="1"/>
  <c r="F652" i="1"/>
  <c r="H652" i="1"/>
  <c r="F648" i="1"/>
  <c r="H648" i="1"/>
  <c r="F644" i="1"/>
  <c r="H644" i="1"/>
  <c r="F640" i="1"/>
  <c r="H640" i="1"/>
  <c r="F636" i="1"/>
  <c r="H636" i="1"/>
  <c r="F632" i="1"/>
  <c r="H632" i="1"/>
  <c r="F628" i="1"/>
  <c r="H628" i="1"/>
  <c r="F624" i="1"/>
  <c r="H624" i="1"/>
  <c r="F620" i="1"/>
  <c r="H620" i="1"/>
  <c r="F616" i="1"/>
  <c r="H616" i="1"/>
  <c r="F612" i="1"/>
  <c r="H612" i="1"/>
  <c r="F608" i="1"/>
  <c r="H608" i="1"/>
  <c r="F604" i="1"/>
  <c r="H604" i="1"/>
  <c r="F600" i="1"/>
  <c r="H600" i="1"/>
  <c r="F596" i="1"/>
  <c r="H596" i="1"/>
  <c r="F592" i="1"/>
  <c r="H592" i="1"/>
  <c r="F588" i="1"/>
  <c r="H588" i="1"/>
  <c r="F584" i="1"/>
  <c r="H584" i="1"/>
  <c r="F580" i="1"/>
  <c r="H580" i="1"/>
  <c r="F576" i="1"/>
  <c r="H576" i="1"/>
  <c r="F572" i="1"/>
  <c r="H572" i="1"/>
  <c r="F568" i="1"/>
  <c r="H568" i="1"/>
  <c r="F564" i="1"/>
  <c r="H564" i="1"/>
  <c r="F560" i="1"/>
  <c r="H560" i="1"/>
  <c r="F556" i="1"/>
  <c r="H556" i="1"/>
  <c r="F552" i="1"/>
  <c r="H552" i="1"/>
  <c r="F548" i="1"/>
  <c r="H548" i="1"/>
  <c r="F544" i="1"/>
  <c r="H544" i="1"/>
  <c r="F540" i="1"/>
  <c r="H540" i="1"/>
  <c r="F536" i="1"/>
  <c r="H536" i="1"/>
  <c r="F532" i="1"/>
  <c r="H532" i="1"/>
  <c r="F528" i="1"/>
  <c r="H528" i="1"/>
  <c r="F524" i="1"/>
  <c r="H524" i="1"/>
  <c r="F520" i="1"/>
  <c r="H520" i="1"/>
  <c r="F516" i="1"/>
  <c r="H516" i="1"/>
  <c r="F512" i="1"/>
  <c r="H512" i="1"/>
  <c r="F508" i="1"/>
  <c r="H508" i="1"/>
  <c r="F504" i="1"/>
  <c r="H504" i="1"/>
  <c r="F500" i="1"/>
  <c r="H500" i="1"/>
  <c r="F496" i="1"/>
  <c r="H496" i="1"/>
  <c r="F492" i="1"/>
  <c r="H492" i="1"/>
  <c r="F488" i="1"/>
  <c r="H488" i="1"/>
  <c r="F484" i="1"/>
  <c r="H484" i="1"/>
  <c r="F480" i="1"/>
  <c r="H480" i="1"/>
  <c r="F476" i="1"/>
  <c r="H476" i="1"/>
  <c r="F472" i="1"/>
  <c r="H472" i="1"/>
  <c r="F468" i="1"/>
  <c r="H468" i="1"/>
  <c r="F464" i="1"/>
  <c r="H464" i="1"/>
  <c r="F460" i="1"/>
  <c r="H460" i="1"/>
  <c r="F456" i="1"/>
  <c r="H456" i="1"/>
  <c r="F452" i="1"/>
  <c r="H452" i="1"/>
  <c r="F448" i="1"/>
  <c r="H448" i="1"/>
  <c r="F444" i="1"/>
  <c r="H444" i="1"/>
  <c r="F440" i="1"/>
  <c r="H440" i="1"/>
  <c r="F436" i="1"/>
  <c r="H436" i="1"/>
  <c r="F432" i="1"/>
  <c r="H432" i="1"/>
  <c r="F428" i="1"/>
  <c r="H428" i="1"/>
  <c r="F424" i="1"/>
  <c r="H424" i="1"/>
  <c r="F420" i="1"/>
  <c r="H420" i="1"/>
  <c r="F416" i="1"/>
  <c r="H416" i="1"/>
  <c r="F412" i="1"/>
  <c r="H412" i="1"/>
  <c r="F408" i="1"/>
  <c r="H408" i="1"/>
  <c r="F404" i="1"/>
  <c r="H404" i="1"/>
  <c r="F400" i="1"/>
  <c r="H400" i="1"/>
  <c r="F396" i="1"/>
  <c r="H396" i="1"/>
  <c r="F392" i="1"/>
  <c r="H392" i="1"/>
  <c r="F388" i="1"/>
  <c r="H388" i="1"/>
  <c r="F384" i="1"/>
  <c r="H384" i="1"/>
  <c r="F380" i="1"/>
  <c r="H380" i="1"/>
  <c r="F376" i="1"/>
  <c r="H376" i="1"/>
  <c r="F372" i="1"/>
  <c r="H372" i="1"/>
  <c r="F368" i="1"/>
  <c r="H368" i="1"/>
  <c r="F364" i="1"/>
  <c r="H364" i="1"/>
  <c r="F360" i="1"/>
  <c r="H360" i="1"/>
  <c r="F356" i="1"/>
  <c r="H356" i="1"/>
  <c r="F352" i="1"/>
  <c r="H352" i="1"/>
  <c r="F348" i="1"/>
  <c r="H348" i="1"/>
  <c r="F344" i="1"/>
  <c r="H344" i="1"/>
  <c r="F340" i="1"/>
  <c r="H340" i="1"/>
  <c r="F336" i="1"/>
  <c r="H336" i="1"/>
  <c r="F332" i="1"/>
  <c r="H332" i="1"/>
  <c r="F328" i="1"/>
  <c r="H328" i="1"/>
  <c r="F324" i="1"/>
  <c r="H324" i="1"/>
  <c r="F320" i="1"/>
  <c r="H320" i="1"/>
  <c r="F316" i="1"/>
  <c r="H316" i="1"/>
  <c r="F312" i="1"/>
  <c r="H312" i="1"/>
  <c r="F308" i="1"/>
  <c r="H308" i="1"/>
  <c r="F304" i="1"/>
  <c r="H304" i="1"/>
  <c r="F300" i="1"/>
  <c r="H300" i="1"/>
  <c r="F296" i="1"/>
  <c r="H296" i="1"/>
  <c r="F292" i="1"/>
  <c r="H292" i="1"/>
  <c r="F288" i="1"/>
  <c r="H288" i="1"/>
  <c r="F284" i="1"/>
  <c r="H284" i="1"/>
  <c r="F280" i="1"/>
  <c r="H280" i="1"/>
  <c r="F276" i="1"/>
  <c r="H276" i="1"/>
  <c r="F272" i="1"/>
  <c r="H272" i="1"/>
  <c r="F268" i="1"/>
  <c r="H268" i="1"/>
  <c r="F264" i="1"/>
  <c r="H264" i="1"/>
  <c r="F259" i="1"/>
  <c r="H259" i="1"/>
  <c r="H260" i="1"/>
  <c r="F255" i="1"/>
  <c r="H255" i="1"/>
  <c r="F251" i="1"/>
  <c r="H251" i="1"/>
  <c r="F247" i="1"/>
  <c r="H247" i="1"/>
  <c r="F243" i="1"/>
  <c r="H243" i="1"/>
  <c r="F239" i="1"/>
  <c r="H239" i="1"/>
  <c r="F235" i="1"/>
  <c r="H235" i="1"/>
  <c r="F231" i="1"/>
  <c r="H231" i="1"/>
  <c r="F227" i="1"/>
  <c r="H227" i="1"/>
  <c r="F223" i="1"/>
  <c r="H223" i="1"/>
  <c r="F219" i="1"/>
  <c r="H219" i="1"/>
  <c r="F215" i="1"/>
  <c r="H215" i="1"/>
  <c r="F211" i="1"/>
  <c r="H211" i="1"/>
  <c r="F207" i="1"/>
  <c r="H207" i="1"/>
  <c r="F203" i="1"/>
  <c r="H203" i="1"/>
  <c r="F199" i="1"/>
  <c r="H199" i="1"/>
  <c r="F195" i="1"/>
  <c r="H195" i="1"/>
  <c r="F191" i="1"/>
  <c r="H191" i="1"/>
  <c r="F187" i="1"/>
  <c r="H187" i="1"/>
  <c r="F183" i="1"/>
  <c r="H183" i="1"/>
  <c r="F179" i="1"/>
  <c r="H179" i="1"/>
  <c r="F175" i="1"/>
  <c r="H175" i="1"/>
  <c r="F171" i="1"/>
  <c r="H171" i="1"/>
  <c r="F167" i="1"/>
  <c r="H167" i="1"/>
  <c r="F163" i="1"/>
  <c r="H163" i="1"/>
  <c r="F159" i="1"/>
  <c r="H159" i="1"/>
  <c r="F155" i="1"/>
  <c r="H155" i="1"/>
  <c r="F151" i="1"/>
  <c r="H151" i="1"/>
  <c r="F147" i="1"/>
  <c r="H147" i="1"/>
  <c r="F143" i="1"/>
  <c r="H143" i="1"/>
  <c r="F139" i="1"/>
  <c r="H139" i="1"/>
  <c r="F135" i="1"/>
  <c r="H135" i="1"/>
  <c r="F131" i="1"/>
  <c r="H131" i="1"/>
  <c r="F127" i="1"/>
  <c r="H127" i="1"/>
  <c r="F123" i="1"/>
  <c r="H123" i="1"/>
  <c r="F119" i="1"/>
  <c r="H119" i="1"/>
  <c r="F115" i="1"/>
  <c r="H115" i="1"/>
  <c r="F111" i="1"/>
  <c r="H111" i="1"/>
  <c r="F107" i="1"/>
  <c r="H107" i="1"/>
  <c r="F103" i="1"/>
  <c r="H103" i="1"/>
  <c r="F99" i="1"/>
  <c r="I100" i="1" s="1"/>
  <c r="H99" i="1"/>
  <c r="H95" i="1"/>
  <c r="H91" i="1"/>
  <c r="H87" i="1"/>
  <c r="H83" i="1"/>
  <c r="H79" i="1"/>
  <c r="H75" i="1"/>
  <c r="F2519" i="1"/>
  <c r="H2519" i="1"/>
  <c r="F2515" i="1"/>
  <c r="H2515" i="1"/>
  <c r="F2511" i="1"/>
  <c r="H2511" i="1"/>
  <c r="F2507" i="1"/>
  <c r="H2507" i="1"/>
  <c r="F2503" i="1"/>
  <c r="H2503" i="1"/>
  <c r="F2499" i="1"/>
  <c r="H2499" i="1"/>
  <c r="F2495" i="1"/>
  <c r="H2495" i="1"/>
  <c r="F2491" i="1"/>
  <c r="H2491" i="1"/>
  <c r="F2487" i="1"/>
  <c r="H2487" i="1"/>
  <c r="F2483" i="1"/>
  <c r="H2483" i="1"/>
  <c r="F2479" i="1"/>
  <c r="H2479" i="1"/>
  <c r="F2475" i="1"/>
  <c r="H2475" i="1"/>
  <c r="F2471" i="1"/>
  <c r="H2471" i="1"/>
  <c r="F2467" i="1"/>
  <c r="H2467" i="1"/>
  <c r="F2463" i="1"/>
  <c r="H2463" i="1"/>
  <c r="F2459" i="1"/>
  <c r="H2459" i="1"/>
  <c r="F2455" i="1"/>
  <c r="H2455" i="1"/>
  <c r="F2451" i="1"/>
  <c r="H2451" i="1"/>
  <c r="F2447" i="1"/>
  <c r="H2447" i="1"/>
  <c r="F2443" i="1"/>
  <c r="H2443" i="1"/>
  <c r="F2439" i="1"/>
  <c r="H2439" i="1"/>
  <c r="F2435" i="1"/>
  <c r="H2435" i="1"/>
  <c r="F2431" i="1"/>
  <c r="H2431" i="1"/>
  <c r="F2427" i="1"/>
  <c r="H2427" i="1"/>
  <c r="F2423" i="1"/>
  <c r="H2423" i="1"/>
  <c r="F2419" i="1"/>
  <c r="H2419" i="1"/>
  <c r="F2415" i="1"/>
  <c r="H2415" i="1"/>
  <c r="F2411" i="1"/>
  <c r="H2411" i="1"/>
  <c r="F2407" i="1"/>
  <c r="H2407" i="1"/>
  <c r="F2403" i="1"/>
  <c r="H2403" i="1"/>
  <c r="F2399" i="1"/>
  <c r="H2399" i="1"/>
  <c r="F2395" i="1"/>
  <c r="H2395" i="1"/>
  <c r="F2391" i="1"/>
  <c r="H2391" i="1"/>
  <c r="F2387" i="1"/>
  <c r="H2387" i="1"/>
  <c r="F2383" i="1"/>
  <c r="H2383" i="1"/>
  <c r="F2379" i="1"/>
  <c r="H2379" i="1"/>
  <c r="F2375" i="1"/>
  <c r="H2375" i="1"/>
  <c r="F2371" i="1"/>
  <c r="H2371" i="1"/>
  <c r="F2367" i="1"/>
  <c r="H2367" i="1"/>
  <c r="F2363" i="1"/>
  <c r="H2363" i="1"/>
  <c r="F2359" i="1"/>
  <c r="H2359" i="1"/>
  <c r="F2355" i="1"/>
  <c r="H2355" i="1"/>
  <c r="F2351" i="1"/>
  <c r="H2351" i="1"/>
  <c r="F2347" i="1"/>
  <c r="H2347" i="1"/>
  <c r="F2343" i="1"/>
  <c r="H2343" i="1"/>
  <c r="F2339" i="1"/>
  <c r="H2339" i="1"/>
  <c r="F2335" i="1"/>
  <c r="H2335" i="1"/>
  <c r="F2331" i="1"/>
  <c r="H2331" i="1"/>
  <c r="F2327" i="1"/>
  <c r="H2327" i="1"/>
  <c r="F2323" i="1"/>
  <c r="H2323" i="1"/>
  <c r="F2319" i="1"/>
  <c r="H2319" i="1"/>
  <c r="F2315" i="1"/>
  <c r="H2315" i="1"/>
  <c r="F2311" i="1"/>
  <c r="H2311" i="1"/>
  <c r="F2307" i="1"/>
  <c r="H2307" i="1"/>
  <c r="F2303" i="1"/>
  <c r="H2303" i="1"/>
  <c r="F2299" i="1"/>
  <c r="H2299" i="1"/>
  <c r="F2295" i="1"/>
  <c r="H2295" i="1"/>
  <c r="F2291" i="1"/>
  <c r="H2291" i="1"/>
  <c r="F2287" i="1"/>
  <c r="H2287" i="1"/>
  <c r="F2283" i="1"/>
  <c r="H2283" i="1"/>
  <c r="F2279" i="1"/>
  <c r="H2279" i="1"/>
  <c r="F2275" i="1"/>
  <c r="H2275" i="1"/>
  <c r="F2271" i="1"/>
  <c r="H2271" i="1"/>
  <c r="F2267" i="1"/>
  <c r="H2267" i="1"/>
  <c r="F2263" i="1"/>
  <c r="H2263" i="1"/>
  <c r="F2259" i="1"/>
  <c r="H2259" i="1"/>
  <c r="F2255" i="1"/>
  <c r="H2255" i="1"/>
  <c r="F2251" i="1"/>
  <c r="H2251" i="1"/>
  <c r="F2247" i="1"/>
  <c r="H2247" i="1"/>
  <c r="F2243" i="1"/>
  <c r="H2243" i="1"/>
  <c r="F2239" i="1"/>
  <c r="H2239" i="1"/>
  <c r="F2235" i="1"/>
  <c r="H2235" i="1"/>
  <c r="F2231" i="1"/>
  <c r="H2231" i="1"/>
  <c r="F2227" i="1"/>
  <c r="H2227" i="1"/>
  <c r="F2223" i="1"/>
  <c r="H2223" i="1"/>
  <c r="F2219" i="1"/>
  <c r="H2219" i="1"/>
  <c r="F2215" i="1"/>
  <c r="H2215" i="1"/>
  <c r="F2211" i="1"/>
  <c r="H2211" i="1"/>
  <c r="F2207" i="1"/>
  <c r="H2207" i="1"/>
  <c r="F2203" i="1"/>
  <c r="H2203" i="1"/>
  <c r="F2199" i="1"/>
  <c r="H2199" i="1"/>
  <c r="F2195" i="1"/>
  <c r="H2195" i="1"/>
  <c r="F2191" i="1"/>
  <c r="H2191" i="1"/>
  <c r="F2187" i="1"/>
  <c r="H2187" i="1"/>
  <c r="F2183" i="1"/>
  <c r="H2183" i="1"/>
  <c r="F2179" i="1"/>
  <c r="H2179" i="1"/>
  <c r="F2175" i="1"/>
  <c r="H2175" i="1"/>
  <c r="F2171" i="1"/>
  <c r="H2171" i="1"/>
  <c r="F2167" i="1"/>
  <c r="H2167" i="1"/>
  <c r="F2163" i="1"/>
  <c r="H2163" i="1"/>
  <c r="F2159" i="1"/>
  <c r="H2159" i="1"/>
  <c r="F2155" i="1"/>
  <c r="H2155" i="1"/>
  <c r="F2151" i="1"/>
  <c r="H2151" i="1"/>
  <c r="F2147" i="1"/>
  <c r="H2147" i="1"/>
  <c r="F2143" i="1"/>
  <c r="H2143" i="1"/>
  <c r="F2139" i="1"/>
  <c r="H2139" i="1"/>
  <c r="F2135" i="1"/>
  <c r="H2135" i="1"/>
  <c r="F2131" i="1"/>
  <c r="H2131" i="1"/>
  <c r="F2127" i="1"/>
  <c r="H2127" i="1"/>
  <c r="F2123" i="1"/>
  <c r="H2123" i="1"/>
  <c r="F2119" i="1"/>
  <c r="H2119" i="1"/>
  <c r="F2115" i="1"/>
  <c r="H2115" i="1"/>
  <c r="F2111" i="1"/>
  <c r="H2111" i="1"/>
  <c r="F2107" i="1"/>
  <c r="H2107" i="1"/>
  <c r="F2103" i="1"/>
  <c r="H2103" i="1"/>
  <c r="F2099" i="1"/>
  <c r="H2099" i="1"/>
  <c r="F2095" i="1"/>
  <c r="H2095" i="1"/>
  <c r="F2091" i="1"/>
  <c r="H2091" i="1"/>
  <c r="F2087" i="1"/>
  <c r="H2087" i="1"/>
  <c r="F2083" i="1"/>
  <c r="H2083" i="1"/>
  <c r="F2079" i="1"/>
  <c r="H2079" i="1"/>
  <c r="F2075" i="1"/>
  <c r="H2075" i="1"/>
  <c r="F2071" i="1"/>
  <c r="H2071" i="1"/>
  <c r="F2067" i="1"/>
  <c r="H2067" i="1"/>
  <c r="F2063" i="1"/>
  <c r="H2063" i="1"/>
  <c r="F2059" i="1"/>
  <c r="H2059" i="1"/>
  <c r="F2055" i="1"/>
  <c r="H2055" i="1"/>
  <c r="F2051" i="1"/>
  <c r="H2051" i="1"/>
  <c r="F2047" i="1"/>
  <c r="H2047" i="1"/>
  <c r="F2043" i="1"/>
  <c r="H2043" i="1"/>
  <c r="F2039" i="1"/>
  <c r="H2039" i="1"/>
  <c r="F2035" i="1"/>
  <c r="H2035" i="1"/>
  <c r="F2031" i="1"/>
  <c r="H2031" i="1"/>
  <c r="F2027" i="1"/>
  <c r="H2027" i="1"/>
  <c r="F2023" i="1"/>
  <c r="H2023" i="1"/>
  <c r="F2019" i="1"/>
  <c r="H2019" i="1"/>
  <c r="F2015" i="1"/>
  <c r="H2015" i="1"/>
  <c r="F2011" i="1"/>
  <c r="H2011" i="1"/>
  <c r="F2007" i="1"/>
  <c r="H2007" i="1"/>
  <c r="F2003" i="1"/>
  <c r="H2003" i="1"/>
  <c r="F1999" i="1"/>
  <c r="H1999" i="1"/>
  <c r="F1995" i="1"/>
  <c r="H1995" i="1"/>
  <c r="F1991" i="1"/>
  <c r="H1991" i="1"/>
  <c r="F1987" i="1"/>
  <c r="H1987" i="1"/>
  <c r="F1983" i="1"/>
  <c r="H1983" i="1"/>
  <c r="F1979" i="1"/>
  <c r="H1979" i="1"/>
  <c r="F1975" i="1"/>
  <c r="H1975" i="1"/>
  <c r="F1971" i="1"/>
  <c r="H1971" i="1"/>
  <c r="F1967" i="1"/>
  <c r="H1967" i="1"/>
  <c r="F1963" i="1"/>
  <c r="H1963" i="1"/>
  <c r="F1959" i="1"/>
  <c r="H1959" i="1"/>
  <c r="F1955" i="1"/>
  <c r="H1955" i="1"/>
  <c r="F1951" i="1"/>
  <c r="H1951" i="1"/>
  <c r="F1947" i="1"/>
  <c r="H1947" i="1"/>
  <c r="F1943" i="1"/>
  <c r="H1943" i="1"/>
  <c r="F1939" i="1"/>
  <c r="H1939" i="1"/>
  <c r="F1935" i="1"/>
  <c r="H1935" i="1"/>
  <c r="F1931" i="1"/>
  <c r="H1931" i="1"/>
  <c r="F1927" i="1"/>
  <c r="H1927" i="1"/>
  <c r="F1923" i="1"/>
  <c r="H1923" i="1"/>
  <c r="F1919" i="1"/>
  <c r="H1919" i="1"/>
  <c r="F1915" i="1"/>
  <c r="H1915" i="1"/>
  <c r="F1911" i="1"/>
  <c r="H1911" i="1"/>
  <c r="F1907" i="1"/>
  <c r="H1907" i="1"/>
  <c r="F1903" i="1"/>
  <c r="H1903" i="1"/>
  <c r="F1899" i="1"/>
  <c r="H1899" i="1"/>
  <c r="F1895" i="1"/>
  <c r="H1895" i="1"/>
  <c r="F1891" i="1"/>
  <c r="H1891" i="1"/>
  <c r="F1887" i="1"/>
  <c r="H1887" i="1"/>
  <c r="F1883" i="1"/>
  <c r="H1883" i="1"/>
  <c r="F1879" i="1"/>
  <c r="H1879" i="1"/>
  <c r="F1875" i="1"/>
  <c r="H1875" i="1"/>
  <c r="F1871" i="1"/>
  <c r="H1871" i="1"/>
  <c r="F1867" i="1"/>
  <c r="H1867" i="1"/>
  <c r="F1863" i="1"/>
  <c r="H1863" i="1"/>
  <c r="F1859" i="1"/>
  <c r="H1859" i="1"/>
  <c r="F1855" i="1"/>
  <c r="H1855" i="1"/>
  <c r="F1851" i="1"/>
  <c r="H1851" i="1"/>
  <c r="F1847" i="1"/>
  <c r="H1847" i="1"/>
  <c r="F1843" i="1"/>
  <c r="H1843" i="1"/>
  <c r="F1839" i="1"/>
  <c r="H1839" i="1"/>
  <c r="F1835" i="1"/>
  <c r="H1835" i="1"/>
  <c r="F1831" i="1"/>
  <c r="H1831" i="1"/>
  <c r="F1827" i="1"/>
  <c r="H1827" i="1"/>
  <c r="F1823" i="1"/>
  <c r="H1823" i="1"/>
  <c r="F1819" i="1"/>
  <c r="H1819" i="1"/>
  <c r="F1815" i="1"/>
  <c r="H1815" i="1"/>
  <c r="F1811" i="1"/>
  <c r="H1811" i="1"/>
  <c r="F1807" i="1"/>
  <c r="H1807" i="1"/>
  <c r="F1803" i="1"/>
  <c r="H1803" i="1"/>
  <c r="F1799" i="1"/>
  <c r="H1799" i="1"/>
  <c r="F1795" i="1"/>
  <c r="H1795" i="1"/>
  <c r="F1791" i="1"/>
  <c r="H1791" i="1"/>
  <c r="F1787" i="1"/>
  <c r="H1787" i="1"/>
  <c r="F1783" i="1"/>
  <c r="H1783" i="1"/>
  <c r="F1779" i="1"/>
  <c r="H1779" i="1"/>
  <c r="F1775" i="1"/>
  <c r="H1775" i="1"/>
  <c r="F1771" i="1"/>
  <c r="H1771" i="1"/>
  <c r="F1767" i="1"/>
  <c r="H1767" i="1"/>
  <c r="F1763" i="1"/>
  <c r="H1763" i="1"/>
  <c r="F1759" i="1"/>
  <c r="H1759" i="1"/>
  <c r="F1755" i="1"/>
  <c r="H1755" i="1"/>
  <c r="F1751" i="1"/>
  <c r="H1751" i="1"/>
  <c r="F1747" i="1"/>
  <c r="H1747" i="1"/>
  <c r="F1743" i="1"/>
  <c r="H1743" i="1"/>
  <c r="F1739" i="1"/>
  <c r="H1739" i="1"/>
  <c r="F1735" i="1"/>
  <c r="H1735" i="1"/>
  <c r="F1731" i="1"/>
  <c r="H1731" i="1"/>
  <c r="F1727" i="1"/>
  <c r="H1727" i="1"/>
  <c r="F1723" i="1"/>
  <c r="H1723" i="1"/>
  <c r="F1719" i="1"/>
  <c r="H1719" i="1"/>
  <c r="F1715" i="1"/>
  <c r="H1715" i="1"/>
  <c r="F1711" i="1"/>
  <c r="H1711" i="1"/>
  <c r="F1707" i="1"/>
  <c r="H1707" i="1"/>
  <c r="F1703" i="1"/>
  <c r="H1703" i="1"/>
  <c r="F1699" i="1"/>
  <c r="H1699" i="1"/>
  <c r="F1695" i="1"/>
  <c r="H1695" i="1"/>
  <c r="F1691" i="1"/>
  <c r="H1691" i="1"/>
  <c r="F1687" i="1"/>
  <c r="H1687" i="1"/>
  <c r="F1683" i="1"/>
  <c r="H1683" i="1"/>
  <c r="F1679" i="1"/>
  <c r="H1679" i="1"/>
  <c r="F1675" i="1"/>
  <c r="H1675" i="1"/>
  <c r="F1671" i="1"/>
  <c r="H1671" i="1"/>
  <c r="F1667" i="1"/>
  <c r="H1667" i="1"/>
  <c r="F1663" i="1"/>
  <c r="H1663" i="1"/>
  <c r="F1659" i="1"/>
  <c r="H1659" i="1"/>
  <c r="F1655" i="1"/>
  <c r="H1655" i="1"/>
  <c r="F1651" i="1"/>
  <c r="H1651" i="1"/>
  <c r="F1647" i="1"/>
  <c r="H1647" i="1"/>
  <c r="F1643" i="1"/>
  <c r="H1643" i="1"/>
  <c r="F1639" i="1"/>
  <c r="H1639" i="1"/>
  <c r="F1635" i="1"/>
  <c r="H1635" i="1"/>
  <c r="F1631" i="1"/>
  <c r="H1631" i="1"/>
  <c r="F1627" i="1"/>
  <c r="H1627" i="1"/>
  <c r="F1623" i="1"/>
  <c r="H1623" i="1"/>
  <c r="F1619" i="1"/>
  <c r="H1619" i="1"/>
  <c r="F1615" i="1"/>
  <c r="H1615" i="1"/>
  <c r="F1611" i="1"/>
  <c r="H1611" i="1"/>
  <c r="F1607" i="1"/>
  <c r="H1607" i="1"/>
  <c r="F1603" i="1"/>
  <c r="H1603" i="1"/>
  <c r="F1599" i="1"/>
  <c r="H1599" i="1"/>
  <c r="F1595" i="1"/>
  <c r="H1595" i="1"/>
  <c r="F1591" i="1"/>
  <c r="H1591" i="1"/>
  <c r="F1587" i="1"/>
  <c r="H1587" i="1"/>
  <c r="F1583" i="1"/>
  <c r="H1583" i="1"/>
  <c r="F1579" i="1"/>
  <c r="H1579" i="1"/>
  <c r="F1575" i="1"/>
  <c r="H1575" i="1"/>
  <c r="F1571" i="1"/>
  <c r="H1571" i="1"/>
  <c r="F1567" i="1"/>
  <c r="H1567" i="1"/>
  <c r="F1563" i="1"/>
  <c r="H1563" i="1"/>
  <c r="F1559" i="1"/>
  <c r="H1559" i="1"/>
  <c r="F1555" i="1"/>
  <c r="H1555" i="1"/>
  <c r="F1551" i="1"/>
  <c r="H1551" i="1"/>
  <c r="F1547" i="1"/>
  <c r="H1547" i="1"/>
  <c r="F1543" i="1"/>
  <c r="H1543" i="1"/>
  <c r="F1539" i="1"/>
  <c r="H1539" i="1"/>
  <c r="F1535" i="1"/>
  <c r="H1535" i="1"/>
  <c r="F1531" i="1"/>
  <c r="H1531" i="1"/>
  <c r="F1527" i="1"/>
  <c r="H1527" i="1"/>
  <c r="F1523" i="1"/>
  <c r="H1523" i="1"/>
  <c r="F1519" i="1"/>
  <c r="H1519" i="1"/>
  <c r="F1515" i="1"/>
  <c r="H1515" i="1"/>
  <c r="F1511" i="1"/>
  <c r="H1511" i="1"/>
  <c r="F1507" i="1"/>
  <c r="H1507" i="1"/>
  <c r="F1503" i="1"/>
  <c r="H1503" i="1"/>
  <c r="F1499" i="1"/>
  <c r="H1499" i="1"/>
  <c r="F1495" i="1"/>
  <c r="H1495" i="1"/>
  <c r="F1491" i="1"/>
  <c r="H1491" i="1"/>
  <c r="F1487" i="1"/>
  <c r="H1487" i="1"/>
  <c r="F1483" i="1"/>
  <c r="H1483" i="1"/>
  <c r="F1479" i="1"/>
  <c r="H1479" i="1"/>
  <c r="F1475" i="1"/>
  <c r="H1475" i="1"/>
  <c r="F1471" i="1"/>
  <c r="H1471" i="1"/>
  <c r="F1467" i="1"/>
  <c r="H1467" i="1"/>
  <c r="F1463" i="1"/>
  <c r="H1463" i="1"/>
  <c r="F1459" i="1"/>
  <c r="H1459" i="1"/>
  <c r="F1455" i="1"/>
  <c r="H1455" i="1"/>
  <c r="F1451" i="1"/>
  <c r="H1451" i="1"/>
  <c r="F1447" i="1"/>
  <c r="H1447" i="1"/>
  <c r="F1443" i="1"/>
  <c r="H1443" i="1"/>
  <c r="F1439" i="1"/>
  <c r="H1439" i="1"/>
  <c r="F1435" i="1"/>
  <c r="H1435" i="1"/>
  <c r="F1431" i="1"/>
  <c r="H1431" i="1"/>
  <c r="F1427" i="1"/>
  <c r="H1427" i="1"/>
  <c r="F1423" i="1"/>
  <c r="H1423" i="1"/>
  <c r="F1419" i="1"/>
  <c r="H1419" i="1"/>
  <c r="F1415" i="1"/>
  <c r="H1415" i="1"/>
  <c r="F1411" i="1"/>
  <c r="H1411" i="1"/>
  <c r="F1407" i="1"/>
  <c r="H1407" i="1"/>
  <c r="F1403" i="1"/>
  <c r="H1403" i="1"/>
  <c r="F1399" i="1"/>
  <c r="H1399" i="1"/>
  <c r="F1395" i="1"/>
  <c r="H1395" i="1"/>
  <c r="F1391" i="1"/>
  <c r="H1391" i="1"/>
  <c r="F1387" i="1"/>
  <c r="H1387" i="1"/>
  <c r="F1383" i="1"/>
  <c r="H1383" i="1"/>
  <c r="F1379" i="1"/>
  <c r="H1379" i="1"/>
  <c r="F1375" i="1"/>
  <c r="H1375" i="1"/>
  <c r="F1371" i="1"/>
  <c r="H1371" i="1"/>
  <c r="F1367" i="1"/>
  <c r="H1367" i="1"/>
  <c r="F1363" i="1"/>
  <c r="H1363" i="1"/>
  <c r="F1359" i="1"/>
  <c r="H1359" i="1"/>
  <c r="F1355" i="1"/>
  <c r="H1355" i="1"/>
  <c r="F1351" i="1"/>
  <c r="H1351" i="1"/>
  <c r="F1347" i="1"/>
  <c r="H1347" i="1"/>
  <c r="F1343" i="1"/>
  <c r="H1343" i="1"/>
  <c r="F1339" i="1"/>
  <c r="H1339" i="1"/>
  <c r="F1335" i="1"/>
  <c r="H1335" i="1"/>
  <c r="F1331" i="1"/>
  <c r="H1331" i="1"/>
  <c r="F1327" i="1"/>
  <c r="H1327" i="1"/>
  <c r="F1323" i="1"/>
  <c r="H1323" i="1"/>
  <c r="F1319" i="1"/>
  <c r="H1319" i="1"/>
  <c r="F1315" i="1"/>
  <c r="H1315" i="1"/>
  <c r="F1311" i="1"/>
  <c r="H1311" i="1"/>
  <c r="F1307" i="1"/>
  <c r="H1307" i="1"/>
  <c r="F1303" i="1"/>
  <c r="H1303" i="1"/>
  <c r="F1299" i="1"/>
  <c r="H1299" i="1"/>
  <c r="F1295" i="1"/>
  <c r="H1295" i="1"/>
  <c r="F1291" i="1"/>
  <c r="H1291" i="1"/>
  <c r="F1287" i="1"/>
  <c r="H1287" i="1"/>
  <c r="F1283" i="1"/>
  <c r="H1283" i="1"/>
  <c r="F1279" i="1"/>
  <c r="H1279" i="1"/>
  <c r="F1275" i="1"/>
  <c r="H1275" i="1"/>
  <c r="F1271" i="1"/>
  <c r="H1271" i="1"/>
  <c r="F1267" i="1"/>
  <c r="H1267" i="1"/>
  <c r="F1263" i="1"/>
  <c r="H1263" i="1"/>
  <c r="F1259" i="1"/>
  <c r="H1259" i="1"/>
  <c r="F1255" i="1"/>
  <c r="H1255" i="1"/>
  <c r="F1251" i="1"/>
  <c r="H1251" i="1"/>
  <c r="F1247" i="1"/>
  <c r="H1247" i="1"/>
  <c r="F1243" i="1"/>
  <c r="H1243" i="1"/>
  <c r="F1239" i="1"/>
  <c r="H1239" i="1"/>
  <c r="F1235" i="1"/>
  <c r="H1235" i="1"/>
  <c r="F1231" i="1"/>
  <c r="H1231" i="1"/>
  <c r="F1227" i="1"/>
  <c r="H1227" i="1"/>
  <c r="F1223" i="1"/>
  <c r="H1223" i="1"/>
  <c r="F1219" i="1"/>
  <c r="H1219" i="1"/>
  <c r="F1215" i="1"/>
  <c r="H1215" i="1"/>
  <c r="F1211" i="1"/>
  <c r="H1211" i="1"/>
  <c r="F1207" i="1"/>
  <c r="H1207" i="1"/>
  <c r="F1203" i="1"/>
  <c r="H1203" i="1"/>
  <c r="F1199" i="1"/>
  <c r="H1199" i="1"/>
  <c r="F1195" i="1"/>
  <c r="H1195" i="1"/>
  <c r="F1191" i="1"/>
  <c r="H1191" i="1"/>
  <c r="F1187" i="1"/>
  <c r="H1187" i="1"/>
  <c r="F1183" i="1"/>
  <c r="H1183" i="1"/>
  <c r="F1179" i="1"/>
  <c r="H1179" i="1"/>
  <c r="F1175" i="1"/>
  <c r="H1175" i="1"/>
  <c r="F1171" i="1"/>
  <c r="H1171" i="1"/>
  <c r="F1167" i="1"/>
  <c r="H1167" i="1"/>
  <c r="F1163" i="1"/>
  <c r="H1163" i="1"/>
  <c r="F1159" i="1"/>
  <c r="H1159" i="1"/>
  <c r="F1155" i="1"/>
  <c r="H1155" i="1"/>
  <c r="F1151" i="1"/>
  <c r="H1151" i="1"/>
  <c r="F1147" i="1"/>
  <c r="H1147" i="1"/>
  <c r="F1143" i="1"/>
  <c r="H1143" i="1"/>
  <c r="F1139" i="1"/>
  <c r="H1139" i="1"/>
  <c r="F1135" i="1"/>
  <c r="H1135" i="1"/>
  <c r="F1131" i="1"/>
  <c r="H1131" i="1"/>
  <c r="F1127" i="1"/>
  <c r="H1127" i="1"/>
  <c r="F1123" i="1"/>
  <c r="H1123" i="1"/>
  <c r="F1119" i="1"/>
  <c r="H1119" i="1"/>
  <c r="F1115" i="1"/>
  <c r="H1115" i="1"/>
  <c r="F1111" i="1"/>
  <c r="H1111" i="1"/>
  <c r="F1107" i="1"/>
  <c r="H1107" i="1"/>
  <c r="F1103" i="1"/>
  <c r="H1103" i="1"/>
  <c r="F1099" i="1"/>
  <c r="H1099" i="1"/>
  <c r="F1095" i="1"/>
  <c r="H1095" i="1"/>
  <c r="F1091" i="1"/>
  <c r="H1091" i="1"/>
  <c r="F1087" i="1"/>
  <c r="H1087" i="1"/>
  <c r="F1083" i="1"/>
  <c r="H1083" i="1"/>
  <c r="F1079" i="1"/>
  <c r="H1079" i="1"/>
  <c r="F1075" i="1"/>
  <c r="H1075" i="1"/>
  <c r="F1071" i="1"/>
  <c r="H1071" i="1"/>
  <c r="F1067" i="1"/>
  <c r="H1067" i="1"/>
  <c r="F1063" i="1"/>
  <c r="H1063" i="1"/>
  <c r="F1059" i="1"/>
  <c r="H1059" i="1"/>
  <c r="F1055" i="1"/>
  <c r="H1055" i="1"/>
  <c r="F1051" i="1"/>
  <c r="H1051" i="1"/>
  <c r="F1047" i="1"/>
  <c r="H1047" i="1"/>
  <c r="F1043" i="1"/>
  <c r="H1043" i="1"/>
  <c r="F1039" i="1"/>
  <c r="H1039" i="1"/>
  <c r="F1035" i="1"/>
  <c r="H1035" i="1"/>
  <c r="F1031" i="1"/>
  <c r="H1031" i="1"/>
  <c r="F1027" i="1"/>
  <c r="H1027" i="1"/>
  <c r="F1023" i="1"/>
  <c r="H1023" i="1"/>
  <c r="F1019" i="1"/>
  <c r="H1019" i="1"/>
  <c r="F1015" i="1"/>
  <c r="H1015" i="1"/>
  <c r="F1011" i="1"/>
  <c r="H1011" i="1"/>
  <c r="F1007" i="1"/>
  <c r="H1007" i="1"/>
  <c r="F1003" i="1"/>
  <c r="H1003" i="1"/>
  <c r="F999" i="1"/>
  <c r="H999" i="1"/>
  <c r="F995" i="1"/>
  <c r="H995" i="1"/>
  <c r="F991" i="1"/>
  <c r="H991" i="1"/>
  <c r="F987" i="1"/>
  <c r="H987" i="1"/>
  <c r="F983" i="1"/>
  <c r="H983" i="1"/>
  <c r="F979" i="1"/>
  <c r="H979" i="1"/>
  <c r="F975" i="1"/>
  <c r="H975" i="1"/>
  <c r="F971" i="1"/>
  <c r="H971" i="1"/>
  <c r="F967" i="1"/>
  <c r="H967" i="1"/>
  <c r="F963" i="1"/>
  <c r="H963" i="1"/>
  <c r="F959" i="1"/>
  <c r="H959" i="1"/>
  <c r="F955" i="1"/>
  <c r="H955" i="1"/>
  <c r="F951" i="1"/>
  <c r="H951" i="1"/>
  <c r="F947" i="1"/>
  <c r="H947" i="1"/>
  <c r="F943" i="1"/>
  <c r="H943" i="1"/>
  <c r="F939" i="1"/>
  <c r="H939" i="1"/>
  <c r="F935" i="1"/>
  <c r="H935" i="1"/>
  <c r="F931" i="1"/>
  <c r="H931" i="1"/>
  <c r="F927" i="1"/>
  <c r="H927" i="1"/>
  <c r="F923" i="1"/>
  <c r="H923" i="1"/>
  <c r="F919" i="1"/>
  <c r="H919" i="1"/>
  <c r="F915" i="1"/>
  <c r="H915" i="1"/>
  <c r="F911" i="1"/>
  <c r="H911" i="1"/>
  <c r="F907" i="1"/>
  <c r="H907" i="1"/>
  <c r="F903" i="1"/>
  <c r="H903" i="1"/>
  <c r="F899" i="1"/>
  <c r="H899" i="1"/>
  <c r="F895" i="1"/>
  <c r="H895" i="1"/>
  <c r="F891" i="1"/>
  <c r="H891" i="1"/>
  <c r="F887" i="1"/>
  <c r="H887" i="1"/>
  <c r="F883" i="1"/>
  <c r="H883" i="1"/>
  <c r="F879" i="1"/>
  <c r="H879" i="1"/>
  <c r="F875" i="1"/>
  <c r="H875" i="1"/>
  <c r="F871" i="1"/>
  <c r="H871" i="1"/>
  <c r="F867" i="1"/>
  <c r="H867" i="1"/>
  <c r="F863" i="1"/>
  <c r="H863" i="1"/>
  <c r="F859" i="1"/>
  <c r="H859" i="1"/>
  <c r="F855" i="1"/>
  <c r="H855" i="1"/>
  <c r="F851" i="1"/>
  <c r="H851" i="1"/>
  <c r="F847" i="1"/>
  <c r="H847" i="1"/>
  <c r="F843" i="1"/>
  <c r="H843" i="1"/>
  <c r="F839" i="1"/>
  <c r="H839" i="1"/>
  <c r="F835" i="1"/>
  <c r="H835" i="1"/>
  <c r="F831" i="1"/>
  <c r="H831" i="1"/>
  <c r="F827" i="1"/>
  <c r="H827" i="1"/>
  <c r="F823" i="1"/>
  <c r="H823" i="1"/>
  <c r="F819" i="1"/>
  <c r="H819" i="1"/>
  <c r="F815" i="1"/>
  <c r="H815" i="1"/>
  <c r="F811" i="1"/>
  <c r="H811" i="1"/>
  <c r="F807" i="1"/>
  <c r="H807" i="1"/>
  <c r="F803" i="1"/>
  <c r="H803" i="1"/>
  <c r="F799" i="1"/>
  <c r="H799" i="1"/>
  <c r="F795" i="1"/>
  <c r="H795" i="1"/>
  <c r="F791" i="1"/>
  <c r="H791" i="1"/>
  <c r="F787" i="1"/>
  <c r="H787" i="1"/>
  <c r="F783" i="1"/>
  <c r="H783" i="1"/>
  <c r="F779" i="1"/>
  <c r="H779" i="1"/>
  <c r="F775" i="1"/>
  <c r="H775" i="1"/>
  <c r="F771" i="1"/>
  <c r="H771" i="1"/>
  <c r="F767" i="1"/>
  <c r="H767" i="1"/>
  <c r="F763" i="1"/>
  <c r="H763" i="1"/>
  <c r="F759" i="1"/>
  <c r="H759" i="1"/>
  <c r="F755" i="1"/>
  <c r="H755" i="1"/>
  <c r="F751" i="1"/>
  <c r="H751" i="1"/>
  <c r="F747" i="1"/>
  <c r="H747" i="1"/>
  <c r="F743" i="1"/>
  <c r="H743" i="1"/>
  <c r="F739" i="1"/>
  <c r="H739" i="1"/>
  <c r="F735" i="1"/>
  <c r="H735" i="1"/>
  <c r="F731" i="1"/>
  <c r="H731" i="1"/>
  <c r="F727" i="1"/>
  <c r="H727" i="1"/>
  <c r="F723" i="1"/>
  <c r="H723" i="1"/>
  <c r="F719" i="1"/>
  <c r="H719" i="1"/>
  <c r="F715" i="1"/>
  <c r="H715" i="1"/>
  <c r="F711" i="1"/>
  <c r="H711" i="1"/>
  <c r="F707" i="1"/>
  <c r="H707" i="1"/>
  <c r="F703" i="1"/>
  <c r="H703" i="1"/>
  <c r="F699" i="1"/>
  <c r="H699" i="1"/>
  <c r="F695" i="1"/>
  <c r="H695" i="1"/>
  <c r="F691" i="1"/>
  <c r="H691" i="1"/>
  <c r="F687" i="1"/>
  <c r="H687" i="1"/>
  <c r="F683" i="1"/>
  <c r="H683" i="1"/>
  <c r="F679" i="1"/>
  <c r="H679" i="1"/>
  <c r="F675" i="1"/>
  <c r="H675" i="1"/>
  <c r="F671" i="1"/>
  <c r="H671" i="1"/>
  <c r="F667" i="1"/>
  <c r="H667" i="1"/>
  <c r="F663" i="1"/>
  <c r="H663" i="1"/>
  <c r="F659" i="1"/>
  <c r="H659" i="1"/>
  <c r="F655" i="1"/>
  <c r="H655" i="1"/>
  <c r="F651" i="1"/>
  <c r="H651" i="1"/>
  <c r="F647" i="1"/>
  <c r="H647" i="1"/>
  <c r="F643" i="1"/>
  <c r="H643" i="1"/>
  <c r="F639" i="1"/>
  <c r="H639" i="1"/>
  <c r="F635" i="1"/>
  <c r="H635" i="1"/>
  <c r="F631" i="1"/>
  <c r="H631" i="1"/>
  <c r="F627" i="1"/>
  <c r="H627" i="1"/>
  <c r="F623" i="1"/>
  <c r="H623" i="1"/>
  <c r="F619" i="1"/>
  <c r="H619" i="1"/>
  <c r="F615" i="1"/>
  <c r="H615" i="1"/>
  <c r="F611" i="1"/>
  <c r="H611" i="1"/>
  <c r="F607" i="1"/>
  <c r="H607" i="1"/>
  <c r="F603" i="1"/>
  <c r="H603" i="1"/>
  <c r="F599" i="1"/>
  <c r="H599" i="1"/>
  <c r="F595" i="1"/>
  <c r="H595" i="1"/>
  <c r="F591" i="1"/>
  <c r="H591" i="1"/>
  <c r="F587" i="1"/>
  <c r="H587" i="1"/>
  <c r="F583" i="1"/>
  <c r="H583" i="1"/>
  <c r="F579" i="1"/>
  <c r="H579" i="1"/>
  <c r="F575" i="1"/>
  <c r="H575" i="1"/>
  <c r="F571" i="1"/>
  <c r="H571" i="1"/>
  <c r="F567" i="1"/>
  <c r="H567" i="1"/>
  <c r="F563" i="1"/>
  <c r="H563" i="1"/>
  <c r="F559" i="1"/>
  <c r="H559" i="1"/>
  <c r="F555" i="1"/>
  <c r="H555" i="1"/>
  <c r="F551" i="1"/>
  <c r="H551" i="1"/>
  <c r="F547" i="1"/>
  <c r="H547" i="1"/>
  <c r="F543" i="1"/>
  <c r="H543" i="1"/>
  <c r="F539" i="1"/>
  <c r="H539" i="1"/>
  <c r="F535" i="1"/>
  <c r="H535" i="1"/>
  <c r="F531" i="1"/>
  <c r="H531" i="1"/>
  <c r="F527" i="1"/>
  <c r="H527" i="1"/>
  <c r="F523" i="1"/>
  <c r="H523" i="1"/>
  <c r="F519" i="1"/>
  <c r="H519" i="1"/>
  <c r="F515" i="1"/>
  <c r="H515" i="1"/>
  <c r="F511" i="1"/>
  <c r="H511" i="1"/>
  <c r="F507" i="1"/>
  <c r="H507" i="1"/>
  <c r="F503" i="1"/>
  <c r="H503" i="1"/>
  <c r="F499" i="1"/>
  <c r="H499" i="1"/>
  <c r="F495" i="1"/>
  <c r="H495" i="1"/>
  <c r="F491" i="1"/>
  <c r="H491" i="1"/>
  <c r="F487" i="1"/>
  <c r="H487" i="1"/>
  <c r="F483" i="1"/>
  <c r="H483" i="1"/>
  <c r="F479" i="1"/>
  <c r="H479" i="1"/>
  <c r="F475" i="1"/>
  <c r="H475" i="1"/>
  <c r="F471" i="1"/>
  <c r="H471" i="1"/>
  <c r="F467" i="1"/>
  <c r="H467" i="1"/>
  <c r="F463" i="1"/>
  <c r="H463" i="1"/>
  <c r="F459" i="1"/>
  <c r="H459" i="1"/>
  <c r="F455" i="1"/>
  <c r="H455" i="1"/>
  <c r="F451" i="1"/>
  <c r="H451" i="1"/>
  <c r="F447" i="1"/>
  <c r="H447" i="1"/>
  <c r="F443" i="1"/>
  <c r="H443" i="1"/>
  <c r="F439" i="1"/>
  <c r="H439" i="1"/>
  <c r="F435" i="1"/>
  <c r="H435" i="1"/>
  <c r="F431" i="1"/>
  <c r="H431" i="1"/>
  <c r="F427" i="1"/>
  <c r="H427" i="1"/>
  <c r="F423" i="1"/>
  <c r="H423" i="1"/>
  <c r="F419" i="1"/>
  <c r="H419" i="1"/>
  <c r="F415" i="1"/>
  <c r="H415" i="1"/>
  <c r="F411" i="1"/>
  <c r="H411" i="1"/>
  <c r="F407" i="1"/>
  <c r="H407" i="1"/>
  <c r="F403" i="1"/>
  <c r="H403" i="1"/>
  <c r="F399" i="1"/>
  <c r="H399" i="1"/>
  <c r="F395" i="1"/>
  <c r="H395" i="1"/>
  <c r="F391" i="1"/>
  <c r="H391" i="1"/>
  <c r="F387" i="1"/>
  <c r="H387" i="1"/>
  <c r="F383" i="1"/>
  <c r="H383" i="1"/>
  <c r="F379" i="1"/>
  <c r="H379" i="1"/>
  <c r="F375" i="1"/>
  <c r="H375" i="1"/>
  <c r="F371" i="1"/>
  <c r="H371" i="1"/>
  <c r="F367" i="1"/>
  <c r="H367" i="1"/>
  <c r="F363" i="1"/>
  <c r="H363" i="1"/>
  <c r="F359" i="1"/>
  <c r="H359" i="1"/>
  <c r="F355" i="1"/>
  <c r="H355" i="1"/>
  <c r="F351" i="1"/>
  <c r="H351" i="1"/>
  <c r="F347" i="1"/>
  <c r="H347" i="1"/>
  <c r="F343" i="1"/>
  <c r="H343" i="1"/>
  <c r="F339" i="1"/>
  <c r="H339" i="1"/>
  <c r="F335" i="1"/>
  <c r="H335" i="1"/>
  <c r="F331" i="1"/>
  <c r="H331" i="1"/>
  <c r="F327" i="1"/>
  <c r="H327" i="1"/>
  <c r="F323" i="1"/>
  <c r="H323" i="1"/>
  <c r="F319" i="1"/>
  <c r="H319" i="1"/>
  <c r="F315" i="1"/>
  <c r="H315" i="1"/>
  <c r="F311" i="1"/>
  <c r="H311" i="1"/>
  <c r="F307" i="1"/>
  <c r="H307" i="1"/>
  <c r="F303" i="1"/>
  <c r="H303" i="1"/>
  <c r="F299" i="1"/>
  <c r="H299" i="1"/>
  <c r="F295" i="1"/>
  <c r="H295" i="1"/>
  <c r="F291" i="1"/>
  <c r="H291" i="1"/>
  <c r="F287" i="1"/>
  <c r="H287" i="1"/>
  <c r="F283" i="1"/>
  <c r="H283" i="1"/>
  <c r="F279" i="1"/>
  <c r="H279" i="1"/>
  <c r="F275" i="1"/>
  <c r="H275" i="1"/>
  <c r="F271" i="1"/>
  <c r="H271" i="1"/>
  <c r="F267" i="1"/>
  <c r="H267" i="1"/>
  <c r="F263" i="1"/>
  <c r="H263" i="1"/>
  <c r="H258" i="1"/>
  <c r="F258" i="1"/>
  <c r="H254" i="1"/>
  <c r="F254" i="1"/>
  <c r="H250" i="1"/>
  <c r="F250" i="1"/>
  <c r="H246" i="1"/>
  <c r="F246" i="1"/>
  <c r="H242" i="1"/>
  <c r="F242" i="1"/>
  <c r="H238" i="1"/>
  <c r="F238" i="1"/>
  <c r="H234" i="1"/>
  <c r="F234" i="1"/>
  <c r="H230" i="1"/>
  <c r="F230" i="1"/>
  <c r="H226" i="1"/>
  <c r="F226" i="1"/>
  <c r="H222" i="1"/>
  <c r="F222" i="1"/>
  <c r="H218" i="1"/>
  <c r="F218" i="1"/>
  <c r="H214" i="1"/>
  <c r="F214" i="1"/>
  <c r="H210" i="1"/>
  <c r="F210" i="1"/>
  <c r="H206" i="1"/>
  <c r="F206" i="1"/>
  <c r="H202" i="1"/>
  <c r="F202" i="1"/>
  <c r="H198" i="1"/>
  <c r="F198" i="1"/>
  <c r="H194" i="1"/>
  <c r="F194" i="1"/>
  <c r="H190" i="1"/>
  <c r="F190" i="1"/>
  <c r="H186" i="1"/>
  <c r="F186" i="1"/>
  <c r="H182" i="1"/>
  <c r="F182" i="1"/>
  <c r="H178" i="1"/>
  <c r="F178" i="1"/>
  <c r="H174" i="1"/>
  <c r="F174" i="1"/>
  <c r="H170" i="1"/>
  <c r="F170" i="1"/>
  <c r="H166" i="1"/>
  <c r="F166" i="1"/>
  <c r="H162" i="1"/>
  <c r="F162" i="1"/>
  <c r="H158" i="1"/>
  <c r="F158" i="1"/>
  <c r="H154" i="1"/>
  <c r="F154" i="1"/>
  <c r="H150" i="1"/>
  <c r="F150" i="1"/>
  <c r="H146" i="1"/>
  <c r="F146" i="1"/>
  <c r="H142" i="1"/>
  <c r="F142" i="1"/>
  <c r="H138" i="1"/>
  <c r="F138" i="1"/>
  <c r="H134" i="1"/>
  <c r="F134" i="1"/>
  <c r="H130" i="1"/>
  <c r="F130" i="1"/>
  <c r="H126" i="1"/>
  <c r="F126" i="1"/>
  <c r="H122" i="1"/>
  <c r="F122" i="1"/>
  <c r="H118" i="1"/>
  <c r="F118" i="1"/>
  <c r="H114" i="1"/>
  <c r="F114" i="1"/>
  <c r="H110" i="1"/>
  <c r="F110" i="1"/>
  <c r="H106" i="1"/>
  <c r="F106" i="1"/>
  <c r="H102" i="1"/>
  <c r="F102" i="1"/>
  <c r="I99" i="1"/>
  <c r="N98" i="1"/>
  <c r="N99" i="1"/>
  <c r="L98" i="1"/>
  <c r="M98" i="1"/>
  <c r="K98" i="1"/>
  <c r="I87" i="1"/>
  <c r="M86" i="1"/>
  <c r="N86" i="1"/>
  <c r="L86" i="1"/>
  <c r="I83" i="1"/>
  <c r="M82" i="1"/>
  <c r="N82" i="1"/>
  <c r="K82" i="1"/>
  <c r="I71" i="1"/>
  <c r="M70" i="1"/>
  <c r="N70" i="1"/>
  <c r="K70" i="1"/>
  <c r="L70" i="1"/>
  <c r="I55" i="1"/>
  <c r="L54" i="1"/>
  <c r="M54" i="1"/>
  <c r="N54" i="1"/>
  <c r="K54" i="1"/>
  <c r="I62" i="1"/>
  <c r="M61" i="1"/>
  <c r="N61" i="1"/>
  <c r="L61" i="1"/>
  <c r="K61" i="1"/>
  <c r="I95" i="1"/>
  <c r="M94" i="1"/>
  <c r="N94" i="1"/>
  <c r="K94" i="1"/>
  <c r="I75" i="1"/>
  <c r="M74" i="1"/>
  <c r="N74" i="1"/>
  <c r="K74" i="1"/>
  <c r="L74" i="1"/>
  <c r="I63" i="1"/>
  <c r="M62" i="1"/>
  <c r="N62" i="1"/>
  <c r="L62" i="1"/>
  <c r="I94" i="1"/>
  <c r="N93" i="1"/>
  <c r="L93" i="1"/>
  <c r="M93" i="1"/>
  <c r="I86" i="1"/>
  <c r="M85" i="1"/>
  <c r="N85" i="1"/>
  <c r="K85" i="1"/>
  <c r="I78" i="1"/>
  <c r="M77" i="1"/>
  <c r="N77" i="1"/>
  <c r="L77" i="1"/>
  <c r="I66" i="1"/>
  <c r="M65" i="1"/>
  <c r="N65" i="1"/>
  <c r="L65" i="1"/>
  <c r="I58" i="1"/>
  <c r="M57" i="1"/>
  <c r="N57" i="1"/>
  <c r="L57" i="1"/>
  <c r="K57" i="1"/>
  <c r="I93" i="1"/>
  <c r="M92" i="1"/>
  <c r="K92" i="1"/>
  <c r="N92" i="1"/>
  <c r="I89" i="1"/>
  <c r="N88" i="1"/>
  <c r="M88" i="1"/>
  <c r="L88" i="1"/>
  <c r="K88" i="1"/>
  <c r="I85" i="1"/>
  <c r="N84" i="1"/>
  <c r="M84" i="1"/>
  <c r="L84" i="1"/>
  <c r="I81" i="1"/>
  <c r="N80" i="1"/>
  <c r="K80" i="1"/>
  <c r="L80" i="1"/>
  <c r="M80" i="1"/>
  <c r="I77" i="1"/>
  <c r="N76" i="1"/>
  <c r="M76" i="1"/>
  <c r="K76" i="1"/>
  <c r="L76" i="1"/>
  <c r="I73" i="1"/>
  <c r="N72" i="1"/>
  <c r="M72" i="1"/>
  <c r="L72" i="1"/>
  <c r="K72" i="1"/>
  <c r="I69" i="1"/>
  <c r="N68" i="1"/>
  <c r="M68" i="1"/>
  <c r="L68" i="1"/>
  <c r="K68" i="1"/>
  <c r="I65" i="1"/>
  <c r="N64" i="1"/>
  <c r="K64" i="1"/>
  <c r="M64" i="1"/>
  <c r="I61" i="1"/>
  <c r="N60" i="1"/>
  <c r="M60" i="1"/>
  <c r="K60" i="1"/>
  <c r="L60" i="1"/>
  <c r="I57" i="1"/>
  <c r="N56" i="1"/>
  <c r="M56" i="1"/>
  <c r="L56" i="1"/>
  <c r="K56" i="1"/>
  <c r="I53" i="1"/>
  <c r="N52" i="1"/>
  <c r="L52" i="1"/>
  <c r="M52" i="1"/>
  <c r="K52" i="1"/>
  <c r="I91" i="1"/>
  <c r="M90" i="1"/>
  <c r="N90" i="1"/>
  <c r="L90" i="1"/>
  <c r="K90" i="1"/>
  <c r="I79" i="1"/>
  <c r="M78" i="1"/>
  <c r="N78" i="1"/>
  <c r="K78" i="1"/>
  <c r="L78" i="1"/>
  <c r="I67" i="1"/>
  <c r="M66" i="1"/>
  <c r="N66" i="1"/>
  <c r="K66" i="1"/>
  <c r="L66" i="1"/>
  <c r="M58" i="1"/>
  <c r="N58" i="1"/>
  <c r="L58" i="1"/>
  <c r="I59" i="1"/>
  <c r="I98" i="1"/>
  <c r="N97" i="1"/>
  <c r="L97" i="1"/>
  <c r="M97" i="1"/>
  <c r="K97" i="1"/>
  <c r="I90" i="1"/>
  <c r="N89" i="1"/>
  <c r="K89" i="1"/>
  <c r="I82" i="1"/>
  <c r="M81" i="1"/>
  <c r="N81" i="1"/>
  <c r="K81" i="1"/>
  <c r="I74" i="1"/>
  <c r="M73" i="1"/>
  <c r="N73" i="1"/>
  <c r="L73" i="1"/>
  <c r="K73" i="1"/>
  <c r="I70" i="1"/>
  <c r="M69" i="1"/>
  <c r="N69" i="1"/>
  <c r="L69" i="1"/>
  <c r="K69" i="1"/>
  <c r="I54" i="1"/>
  <c r="M53" i="1"/>
  <c r="N53" i="1"/>
  <c r="L53" i="1"/>
  <c r="K53" i="1"/>
  <c r="I97" i="1"/>
  <c r="M96" i="1"/>
  <c r="L96" i="1"/>
  <c r="K96" i="1"/>
  <c r="N96" i="1"/>
  <c r="I52" i="1"/>
  <c r="T52" i="1" s="1"/>
  <c r="N51" i="1"/>
  <c r="K51" i="1"/>
  <c r="K58" i="1" s="1"/>
  <c r="L51" i="1"/>
  <c r="M51" i="1"/>
  <c r="I96" i="1"/>
  <c r="N95" i="1"/>
  <c r="K95" i="1"/>
  <c r="I92" i="1"/>
  <c r="M91" i="1"/>
  <c r="L91" i="1"/>
  <c r="I88" i="1"/>
  <c r="M87" i="1"/>
  <c r="K87" i="1"/>
  <c r="N87" i="1"/>
  <c r="I84" i="1"/>
  <c r="L83" i="1"/>
  <c r="M83" i="1"/>
  <c r="N83" i="1"/>
  <c r="I80" i="1"/>
  <c r="L79" i="1"/>
  <c r="M79" i="1"/>
  <c r="N79" i="1"/>
  <c r="K79" i="1"/>
  <c r="I76" i="1"/>
  <c r="M75" i="1"/>
  <c r="K75" i="1"/>
  <c r="N75" i="1"/>
  <c r="I72" i="1"/>
  <c r="L71" i="1"/>
  <c r="M71" i="1"/>
  <c r="N71" i="1"/>
  <c r="K71" i="1"/>
  <c r="I68" i="1"/>
  <c r="L67" i="1"/>
  <c r="M67" i="1"/>
  <c r="N67" i="1"/>
  <c r="K67" i="1"/>
  <c r="I64" i="1"/>
  <c r="L63" i="1"/>
  <c r="M63" i="1"/>
  <c r="N63" i="1"/>
  <c r="K63" i="1"/>
  <c r="I60" i="1"/>
  <c r="M59" i="1"/>
  <c r="K59" i="1"/>
  <c r="N59" i="1"/>
  <c r="I56" i="1"/>
  <c r="L55" i="1"/>
  <c r="M55" i="1"/>
  <c r="N55" i="1"/>
  <c r="K55" i="1"/>
  <c r="K62" i="1" l="1"/>
  <c r="L59" i="1"/>
  <c r="T53" i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K99" i="1"/>
  <c r="I268" i="1"/>
  <c r="N267" i="1"/>
  <c r="M267" i="1"/>
  <c r="K267" i="1"/>
  <c r="I292" i="1"/>
  <c r="N291" i="1"/>
  <c r="M291" i="1"/>
  <c r="K291" i="1"/>
  <c r="I308" i="1"/>
  <c r="M307" i="1"/>
  <c r="L307" i="1"/>
  <c r="I332" i="1"/>
  <c r="N331" i="1"/>
  <c r="M331" i="1"/>
  <c r="L331" i="1"/>
  <c r="I348" i="1"/>
  <c r="N347" i="1"/>
  <c r="M347" i="1"/>
  <c r="K347" i="1"/>
  <c r="I372" i="1"/>
  <c r="N371" i="1"/>
  <c r="M371" i="1"/>
  <c r="L371" i="1"/>
  <c r="K371" i="1"/>
  <c r="I388" i="1"/>
  <c r="N387" i="1"/>
  <c r="M387" i="1"/>
  <c r="L387" i="1"/>
  <c r="K387" i="1"/>
  <c r="I404" i="1"/>
  <c r="N403" i="1"/>
  <c r="M403" i="1"/>
  <c r="L403" i="1"/>
  <c r="K403" i="1"/>
  <c r="I420" i="1"/>
  <c r="N419" i="1"/>
  <c r="M419" i="1"/>
  <c r="L419" i="1"/>
  <c r="K419" i="1"/>
  <c r="I444" i="1"/>
  <c r="N443" i="1"/>
  <c r="M443" i="1"/>
  <c r="L443" i="1"/>
  <c r="K443" i="1"/>
  <c r="I460" i="1"/>
  <c r="N459" i="1"/>
  <c r="M459" i="1"/>
  <c r="L459" i="1"/>
  <c r="I476" i="1"/>
  <c r="N475" i="1"/>
  <c r="M475" i="1"/>
  <c r="K475" i="1"/>
  <c r="I500" i="1"/>
  <c r="N499" i="1"/>
  <c r="M499" i="1"/>
  <c r="K499" i="1"/>
  <c r="I548" i="1"/>
  <c r="N547" i="1"/>
  <c r="M547" i="1"/>
  <c r="K547" i="1"/>
  <c r="I103" i="1"/>
  <c r="N102" i="1"/>
  <c r="M102" i="1"/>
  <c r="L102" i="1"/>
  <c r="K102" i="1"/>
  <c r="I111" i="1"/>
  <c r="N110" i="1"/>
  <c r="M110" i="1"/>
  <c r="L110" i="1"/>
  <c r="K110" i="1"/>
  <c r="I119" i="1"/>
  <c r="M118" i="1"/>
  <c r="L118" i="1"/>
  <c r="I127" i="1"/>
  <c r="N126" i="1"/>
  <c r="K126" i="1"/>
  <c r="I135" i="1"/>
  <c r="N134" i="1"/>
  <c r="M134" i="1"/>
  <c r="L134" i="1"/>
  <c r="K134" i="1"/>
  <c r="I143" i="1"/>
  <c r="N142" i="1"/>
  <c r="M142" i="1"/>
  <c r="L142" i="1"/>
  <c r="I151" i="1"/>
  <c r="N150" i="1"/>
  <c r="M150" i="1"/>
  <c r="L150" i="1"/>
  <c r="K150" i="1"/>
  <c r="I159" i="1"/>
  <c r="N158" i="1"/>
  <c r="M158" i="1"/>
  <c r="L158" i="1"/>
  <c r="K158" i="1"/>
  <c r="I167" i="1"/>
  <c r="M166" i="1"/>
  <c r="L166" i="1"/>
  <c r="I175" i="1"/>
  <c r="N174" i="1"/>
  <c r="M174" i="1"/>
  <c r="K174" i="1"/>
  <c r="I183" i="1"/>
  <c r="N182" i="1"/>
  <c r="M182" i="1"/>
  <c r="L182" i="1"/>
  <c r="K182" i="1"/>
  <c r="I191" i="1"/>
  <c r="N190" i="1"/>
  <c r="M190" i="1"/>
  <c r="L190" i="1"/>
  <c r="K190" i="1"/>
  <c r="I199" i="1"/>
  <c r="N198" i="1"/>
  <c r="M198" i="1"/>
  <c r="L198" i="1"/>
  <c r="K198" i="1"/>
  <c r="I207" i="1"/>
  <c r="N206" i="1"/>
  <c r="M206" i="1"/>
  <c r="L206" i="1"/>
  <c r="K206" i="1"/>
  <c r="I215" i="1"/>
  <c r="N214" i="1"/>
  <c r="M214" i="1"/>
  <c r="L214" i="1"/>
  <c r="I223" i="1"/>
  <c r="N222" i="1"/>
  <c r="M222" i="1"/>
  <c r="L222" i="1"/>
  <c r="K222" i="1"/>
  <c r="I231" i="1"/>
  <c r="N230" i="1"/>
  <c r="M230" i="1"/>
  <c r="L230" i="1"/>
  <c r="I239" i="1"/>
  <c r="N238" i="1"/>
  <c r="M238" i="1"/>
  <c r="L238" i="1"/>
  <c r="K238" i="1"/>
  <c r="I247" i="1"/>
  <c r="N246" i="1"/>
  <c r="M246" i="1"/>
  <c r="L246" i="1"/>
  <c r="K246" i="1"/>
  <c r="I255" i="1"/>
  <c r="N254" i="1"/>
  <c r="M254" i="1"/>
  <c r="L254" i="1"/>
  <c r="K254" i="1"/>
  <c r="I265" i="1"/>
  <c r="N264" i="1"/>
  <c r="M264" i="1"/>
  <c r="L264" i="1"/>
  <c r="K264" i="1"/>
  <c r="I273" i="1"/>
  <c r="N272" i="1"/>
  <c r="M272" i="1"/>
  <c r="L272" i="1"/>
  <c r="K272" i="1"/>
  <c r="I281" i="1"/>
  <c r="N280" i="1"/>
  <c r="M280" i="1"/>
  <c r="L280" i="1"/>
  <c r="K280" i="1"/>
  <c r="I289" i="1"/>
  <c r="N288" i="1"/>
  <c r="M288" i="1"/>
  <c r="L288" i="1"/>
  <c r="K288" i="1"/>
  <c r="I297" i="1"/>
  <c r="N296" i="1"/>
  <c r="M296" i="1"/>
  <c r="L296" i="1"/>
  <c r="K296" i="1"/>
  <c r="I305" i="1"/>
  <c r="N304" i="1"/>
  <c r="M304" i="1"/>
  <c r="L304" i="1"/>
  <c r="K304" i="1"/>
  <c r="I313" i="1"/>
  <c r="N312" i="1"/>
  <c r="M312" i="1"/>
  <c r="L312" i="1"/>
  <c r="K312" i="1"/>
  <c r="I321" i="1"/>
  <c r="N320" i="1"/>
  <c r="M320" i="1"/>
  <c r="L320" i="1"/>
  <c r="K320" i="1"/>
  <c r="I329" i="1"/>
  <c r="N328" i="1"/>
  <c r="M328" i="1"/>
  <c r="L328" i="1"/>
  <c r="K328" i="1"/>
  <c r="I337" i="1"/>
  <c r="N336" i="1"/>
  <c r="M336" i="1"/>
  <c r="L336" i="1"/>
  <c r="K336" i="1"/>
  <c r="I345" i="1"/>
  <c r="N344" i="1"/>
  <c r="M344" i="1"/>
  <c r="L344" i="1"/>
  <c r="I353" i="1"/>
  <c r="N352" i="1"/>
  <c r="M352" i="1"/>
  <c r="K352" i="1"/>
  <c r="I361" i="1"/>
  <c r="N360" i="1"/>
  <c r="M360" i="1"/>
  <c r="L360" i="1"/>
  <c r="K360" i="1"/>
  <c r="I369" i="1"/>
  <c r="M368" i="1"/>
  <c r="L368" i="1"/>
  <c r="I377" i="1"/>
  <c r="N376" i="1"/>
  <c r="K376" i="1"/>
  <c r="I385" i="1"/>
  <c r="N384" i="1"/>
  <c r="M384" i="1"/>
  <c r="L384" i="1"/>
  <c r="I393" i="1"/>
  <c r="N392" i="1"/>
  <c r="M392" i="1"/>
  <c r="L392" i="1"/>
  <c r="I401" i="1"/>
  <c r="N400" i="1"/>
  <c r="M400" i="1"/>
  <c r="K400" i="1"/>
  <c r="I409" i="1"/>
  <c r="N408" i="1"/>
  <c r="K408" i="1"/>
  <c r="I417" i="1"/>
  <c r="N416" i="1"/>
  <c r="M416" i="1"/>
  <c r="L416" i="1"/>
  <c r="K416" i="1"/>
  <c r="I425" i="1"/>
  <c r="N424" i="1"/>
  <c r="K424" i="1"/>
  <c r="I433" i="1"/>
  <c r="N432" i="1"/>
  <c r="M432" i="1"/>
  <c r="L432" i="1"/>
  <c r="K432" i="1"/>
  <c r="I441" i="1"/>
  <c r="M440" i="1"/>
  <c r="L440" i="1"/>
  <c r="I449" i="1"/>
  <c r="M448" i="1"/>
  <c r="L448" i="1"/>
  <c r="I457" i="1"/>
  <c r="N456" i="1"/>
  <c r="M456" i="1"/>
  <c r="L456" i="1"/>
  <c r="I465" i="1"/>
  <c r="N464" i="1"/>
  <c r="M464" i="1"/>
  <c r="L464" i="1"/>
  <c r="K464" i="1"/>
  <c r="I473" i="1"/>
  <c r="N472" i="1"/>
  <c r="M472" i="1"/>
  <c r="K472" i="1"/>
  <c r="I481" i="1"/>
  <c r="N480" i="1"/>
  <c r="M480" i="1"/>
  <c r="L480" i="1"/>
  <c r="K480" i="1"/>
  <c r="I489" i="1"/>
  <c r="N488" i="1"/>
  <c r="M488" i="1"/>
  <c r="L488" i="1"/>
  <c r="K488" i="1"/>
  <c r="I497" i="1"/>
  <c r="N496" i="1"/>
  <c r="M496" i="1"/>
  <c r="L496" i="1"/>
  <c r="K496" i="1"/>
  <c r="I505" i="1"/>
  <c r="N504" i="1"/>
  <c r="M504" i="1"/>
  <c r="L504" i="1"/>
  <c r="K504" i="1"/>
  <c r="I513" i="1"/>
  <c r="N512" i="1"/>
  <c r="M512" i="1"/>
  <c r="L512" i="1"/>
  <c r="K512" i="1"/>
  <c r="I521" i="1"/>
  <c r="N520" i="1"/>
  <c r="M520" i="1"/>
  <c r="L520" i="1"/>
  <c r="K520" i="1"/>
  <c r="I529" i="1"/>
  <c r="N528" i="1"/>
  <c r="M528" i="1"/>
  <c r="L528" i="1"/>
  <c r="I537" i="1"/>
  <c r="N536" i="1"/>
  <c r="M536" i="1"/>
  <c r="L536" i="1"/>
  <c r="I545" i="1"/>
  <c r="N544" i="1"/>
  <c r="M544" i="1"/>
  <c r="L544" i="1"/>
  <c r="K544" i="1"/>
  <c r="I553" i="1"/>
  <c r="N552" i="1"/>
  <c r="M552" i="1"/>
  <c r="L552" i="1"/>
  <c r="I561" i="1"/>
  <c r="N560" i="1"/>
  <c r="M560" i="1"/>
  <c r="L560" i="1"/>
  <c r="K560" i="1"/>
  <c r="I569" i="1"/>
  <c r="N568" i="1"/>
  <c r="M568" i="1"/>
  <c r="L568" i="1"/>
  <c r="K568" i="1"/>
  <c r="I577" i="1"/>
  <c r="N576" i="1"/>
  <c r="M576" i="1"/>
  <c r="L576" i="1"/>
  <c r="K576" i="1"/>
  <c r="I585" i="1"/>
  <c r="N584" i="1"/>
  <c r="M584" i="1"/>
  <c r="L584" i="1"/>
  <c r="K584" i="1"/>
  <c r="I593" i="1"/>
  <c r="N592" i="1"/>
  <c r="M592" i="1"/>
  <c r="K592" i="1"/>
  <c r="I601" i="1"/>
  <c r="N600" i="1"/>
  <c r="M600" i="1"/>
  <c r="L600" i="1"/>
  <c r="K600" i="1"/>
  <c r="I609" i="1"/>
  <c r="N608" i="1"/>
  <c r="M608" i="1"/>
  <c r="L608" i="1"/>
  <c r="K608" i="1"/>
  <c r="I617" i="1"/>
  <c r="M616" i="1"/>
  <c r="L616" i="1"/>
  <c r="I625" i="1"/>
  <c r="N624" i="1"/>
  <c r="M624" i="1"/>
  <c r="L624" i="1"/>
  <c r="I633" i="1"/>
  <c r="N632" i="1"/>
  <c r="M632" i="1"/>
  <c r="L632" i="1"/>
  <c r="I641" i="1"/>
  <c r="N640" i="1"/>
  <c r="M640" i="1"/>
  <c r="L640" i="1"/>
  <c r="K640" i="1"/>
  <c r="I649" i="1"/>
  <c r="N648" i="1"/>
  <c r="M648" i="1"/>
  <c r="K648" i="1"/>
  <c r="I657" i="1"/>
  <c r="N656" i="1"/>
  <c r="M656" i="1"/>
  <c r="L656" i="1"/>
  <c r="I665" i="1"/>
  <c r="N664" i="1"/>
  <c r="M664" i="1"/>
  <c r="L664" i="1"/>
  <c r="K664" i="1"/>
  <c r="I673" i="1"/>
  <c r="N672" i="1"/>
  <c r="M672" i="1"/>
  <c r="L672" i="1"/>
  <c r="K672" i="1"/>
  <c r="I681" i="1"/>
  <c r="N680" i="1"/>
  <c r="M680" i="1"/>
  <c r="L680" i="1"/>
  <c r="K680" i="1"/>
  <c r="I689" i="1"/>
  <c r="N688" i="1"/>
  <c r="M688" i="1"/>
  <c r="L688" i="1"/>
  <c r="K688" i="1"/>
  <c r="I697" i="1"/>
  <c r="N696" i="1"/>
  <c r="M696" i="1"/>
  <c r="L696" i="1"/>
  <c r="K696" i="1"/>
  <c r="I705" i="1"/>
  <c r="N704" i="1"/>
  <c r="M704" i="1"/>
  <c r="L704" i="1"/>
  <c r="K704" i="1"/>
  <c r="I713" i="1"/>
  <c r="N712" i="1"/>
  <c r="M712" i="1"/>
  <c r="K712" i="1"/>
  <c r="I721" i="1"/>
  <c r="N720" i="1"/>
  <c r="M720" i="1"/>
  <c r="L720" i="1"/>
  <c r="I729" i="1"/>
  <c r="M728" i="1"/>
  <c r="L728" i="1"/>
  <c r="I737" i="1"/>
  <c r="N736" i="1"/>
  <c r="M736" i="1"/>
  <c r="L736" i="1"/>
  <c r="K736" i="1"/>
  <c r="I745" i="1"/>
  <c r="N744" i="1"/>
  <c r="M744" i="1"/>
  <c r="L744" i="1"/>
  <c r="I753" i="1"/>
  <c r="N752" i="1"/>
  <c r="M752" i="1"/>
  <c r="K752" i="1"/>
  <c r="I761" i="1"/>
  <c r="N760" i="1"/>
  <c r="M760" i="1"/>
  <c r="L760" i="1"/>
  <c r="K760" i="1"/>
  <c r="I769" i="1"/>
  <c r="N768" i="1"/>
  <c r="M768" i="1"/>
  <c r="L768" i="1"/>
  <c r="K768" i="1"/>
  <c r="I777" i="1"/>
  <c r="N776" i="1"/>
  <c r="M776" i="1"/>
  <c r="L776" i="1"/>
  <c r="I785" i="1"/>
  <c r="N784" i="1"/>
  <c r="M784" i="1"/>
  <c r="L784" i="1"/>
  <c r="K784" i="1"/>
  <c r="I793" i="1"/>
  <c r="N792" i="1"/>
  <c r="M792" i="1"/>
  <c r="K792" i="1"/>
  <c r="I801" i="1"/>
  <c r="N800" i="1"/>
  <c r="M800" i="1"/>
  <c r="L800" i="1"/>
  <c r="I809" i="1"/>
  <c r="N808" i="1"/>
  <c r="M808" i="1"/>
  <c r="L808" i="1"/>
  <c r="K808" i="1"/>
  <c r="I817" i="1"/>
  <c r="N816" i="1"/>
  <c r="M816" i="1"/>
  <c r="K816" i="1"/>
  <c r="I825" i="1"/>
  <c r="N824" i="1"/>
  <c r="M824" i="1"/>
  <c r="L824" i="1"/>
  <c r="K824" i="1"/>
  <c r="I833" i="1"/>
  <c r="N832" i="1"/>
  <c r="M832" i="1"/>
  <c r="L832" i="1"/>
  <c r="K832" i="1"/>
  <c r="I841" i="1"/>
  <c r="N840" i="1"/>
  <c r="M840" i="1"/>
  <c r="K840" i="1"/>
  <c r="I849" i="1"/>
  <c r="N848" i="1"/>
  <c r="M848" i="1"/>
  <c r="L848" i="1"/>
  <c r="K848" i="1"/>
  <c r="I857" i="1"/>
  <c r="N856" i="1"/>
  <c r="M856" i="1"/>
  <c r="L856" i="1"/>
  <c r="K856" i="1"/>
  <c r="I865" i="1"/>
  <c r="N864" i="1"/>
  <c r="M864" i="1"/>
  <c r="K864" i="1"/>
  <c r="I873" i="1"/>
  <c r="N872" i="1"/>
  <c r="M872" i="1"/>
  <c r="L872" i="1"/>
  <c r="K872" i="1"/>
  <c r="I881" i="1"/>
  <c r="N880" i="1"/>
  <c r="M880" i="1"/>
  <c r="L880" i="1"/>
  <c r="K880" i="1"/>
  <c r="I889" i="1"/>
  <c r="N888" i="1"/>
  <c r="M888" i="1"/>
  <c r="L888" i="1"/>
  <c r="K888" i="1"/>
  <c r="I897" i="1"/>
  <c r="N896" i="1"/>
  <c r="M896" i="1"/>
  <c r="L896" i="1"/>
  <c r="K896" i="1"/>
  <c r="I905" i="1"/>
  <c r="N904" i="1"/>
  <c r="M904" i="1"/>
  <c r="L904" i="1"/>
  <c r="I913" i="1"/>
  <c r="N912" i="1"/>
  <c r="M912" i="1"/>
  <c r="L912" i="1"/>
  <c r="I921" i="1"/>
  <c r="N920" i="1"/>
  <c r="M920" i="1"/>
  <c r="L920" i="1"/>
  <c r="K920" i="1"/>
  <c r="I929" i="1"/>
  <c r="N928" i="1"/>
  <c r="M928" i="1"/>
  <c r="L928" i="1"/>
  <c r="K928" i="1"/>
  <c r="I937" i="1"/>
  <c r="N936" i="1"/>
  <c r="M936" i="1"/>
  <c r="L936" i="1"/>
  <c r="K936" i="1"/>
  <c r="I945" i="1"/>
  <c r="N944" i="1"/>
  <c r="M944" i="1"/>
  <c r="K944" i="1"/>
  <c r="I953" i="1"/>
  <c r="N952" i="1"/>
  <c r="M952" i="1"/>
  <c r="L952" i="1"/>
  <c r="K952" i="1"/>
  <c r="I961" i="1"/>
  <c r="N960" i="1"/>
  <c r="M960" i="1"/>
  <c r="L960" i="1"/>
  <c r="K960" i="1"/>
  <c r="I969" i="1"/>
  <c r="N968" i="1"/>
  <c r="M968" i="1"/>
  <c r="L968" i="1"/>
  <c r="K968" i="1"/>
  <c r="I977" i="1"/>
  <c r="N976" i="1"/>
  <c r="M976" i="1"/>
  <c r="L976" i="1"/>
  <c r="K976" i="1"/>
  <c r="I985" i="1"/>
  <c r="N984" i="1"/>
  <c r="M984" i="1"/>
  <c r="L984" i="1"/>
  <c r="K984" i="1"/>
  <c r="I993" i="1"/>
  <c r="N992" i="1"/>
  <c r="M992" i="1"/>
  <c r="K992" i="1"/>
  <c r="I1001" i="1"/>
  <c r="N1000" i="1"/>
  <c r="M1000" i="1"/>
  <c r="L1000" i="1"/>
  <c r="K1000" i="1"/>
  <c r="I1009" i="1"/>
  <c r="N1008" i="1"/>
  <c r="M1008" i="1"/>
  <c r="L1008" i="1"/>
  <c r="K1008" i="1"/>
  <c r="I1017" i="1"/>
  <c r="N1016" i="1"/>
  <c r="M1016" i="1"/>
  <c r="L1016" i="1"/>
  <c r="I1025" i="1"/>
  <c r="N1024" i="1"/>
  <c r="M1024" i="1"/>
  <c r="K1024" i="1"/>
  <c r="I1033" i="1"/>
  <c r="M1032" i="1"/>
  <c r="L1032" i="1"/>
  <c r="I1041" i="1"/>
  <c r="N1040" i="1"/>
  <c r="M1040" i="1"/>
  <c r="L1040" i="1"/>
  <c r="K1040" i="1"/>
  <c r="I1049" i="1"/>
  <c r="N1048" i="1"/>
  <c r="M1048" i="1"/>
  <c r="L1048" i="1"/>
  <c r="I1057" i="1"/>
  <c r="N1056" i="1"/>
  <c r="M1056" i="1"/>
  <c r="K1056" i="1"/>
  <c r="I1065" i="1"/>
  <c r="N1064" i="1"/>
  <c r="M1064" i="1"/>
  <c r="L1064" i="1"/>
  <c r="K1064" i="1"/>
  <c r="I1073" i="1"/>
  <c r="N1072" i="1"/>
  <c r="M1072" i="1"/>
  <c r="L1072" i="1"/>
  <c r="I1081" i="1"/>
  <c r="N1080" i="1"/>
  <c r="M1080" i="1"/>
  <c r="L1080" i="1"/>
  <c r="I1089" i="1"/>
  <c r="N1088" i="1"/>
  <c r="M1088" i="1"/>
  <c r="K1088" i="1"/>
  <c r="I1097" i="1"/>
  <c r="N1096" i="1"/>
  <c r="M1096" i="1"/>
  <c r="L1096" i="1"/>
  <c r="K1096" i="1"/>
  <c r="I1105" i="1"/>
  <c r="N1104" i="1"/>
  <c r="M1104" i="1"/>
  <c r="L1104" i="1"/>
  <c r="I1113" i="1"/>
  <c r="N1112" i="1"/>
  <c r="M1112" i="1"/>
  <c r="L1112" i="1"/>
  <c r="K1112" i="1"/>
  <c r="I1121" i="1"/>
  <c r="N1120" i="1"/>
  <c r="M1120" i="1"/>
  <c r="L1120" i="1"/>
  <c r="K1120" i="1"/>
  <c r="I1129" i="1"/>
  <c r="N1128" i="1"/>
  <c r="M1128" i="1"/>
  <c r="L1128" i="1"/>
  <c r="K1128" i="1"/>
  <c r="I1137" i="1"/>
  <c r="N1136" i="1"/>
  <c r="M1136" i="1"/>
  <c r="L1136" i="1"/>
  <c r="K1136" i="1"/>
  <c r="I1145" i="1"/>
  <c r="N1144" i="1"/>
  <c r="M1144" i="1"/>
  <c r="L1144" i="1"/>
  <c r="I1153" i="1"/>
  <c r="N1152" i="1"/>
  <c r="M1152" i="1"/>
  <c r="L1152" i="1"/>
  <c r="K1152" i="1"/>
  <c r="I1161" i="1"/>
  <c r="N1160" i="1"/>
  <c r="K1160" i="1"/>
  <c r="I1169" i="1"/>
  <c r="N1168" i="1"/>
  <c r="M1168" i="1"/>
  <c r="L1168" i="1"/>
  <c r="I1177" i="1"/>
  <c r="N1176" i="1"/>
  <c r="M1176" i="1"/>
  <c r="L1176" i="1"/>
  <c r="I1185" i="1"/>
  <c r="N1184" i="1"/>
  <c r="M1184" i="1"/>
  <c r="L1184" i="1"/>
  <c r="K1184" i="1"/>
  <c r="I1193" i="1"/>
  <c r="N1192" i="1"/>
  <c r="M1192" i="1"/>
  <c r="K1192" i="1"/>
  <c r="I1201" i="1"/>
  <c r="N1200" i="1"/>
  <c r="M1200" i="1"/>
  <c r="L1200" i="1"/>
  <c r="I1209" i="1"/>
  <c r="N1208" i="1"/>
  <c r="K1208" i="1"/>
  <c r="I1217" i="1"/>
  <c r="N1216" i="1"/>
  <c r="M1216" i="1"/>
  <c r="L1216" i="1"/>
  <c r="K1216" i="1"/>
  <c r="I1225" i="1"/>
  <c r="N1224" i="1"/>
  <c r="M1224" i="1"/>
  <c r="L1224" i="1"/>
  <c r="I1233" i="1"/>
  <c r="N1232" i="1"/>
  <c r="M1232" i="1"/>
  <c r="L1232" i="1"/>
  <c r="K1232" i="1"/>
  <c r="I1241" i="1"/>
  <c r="N1240" i="1"/>
  <c r="M1240" i="1"/>
  <c r="L1240" i="1"/>
  <c r="K1240" i="1"/>
  <c r="I1249" i="1"/>
  <c r="N1248" i="1"/>
  <c r="M1248" i="1"/>
  <c r="L1248" i="1"/>
  <c r="I1257" i="1"/>
  <c r="N1256" i="1"/>
  <c r="M1256" i="1"/>
  <c r="L1256" i="1"/>
  <c r="K1256" i="1"/>
  <c r="I1265" i="1"/>
  <c r="N1264" i="1"/>
  <c r="M1264" i="1"/>
  <c r="K1264" i="1"/>
  <c r="I1273" i="1"/>
  <c r="M1272" i="1"/>
  <c r="L1272" i="1"/>
  <c r="I1281" i="1"/>
  <c r="M1280" i="1"/>
  <c r="L1280" i="1"/>
  <c r="I1289" i="1"/>
  <c r="N1288" i="1"/>
  <c r="M1288" i="1"/>
  <c r="L1288" i="1"/>
  <c r="I1297" i="1"/>
  <c r="N1296" i="1"/>
  <c r="M1296" i="1"/>
  <c r="L1296" i="1"/>
  <c r="K1296" i="1"/>
  <c r="I1305" i="1"/>
  <c r="N1304" i="1"/>
  <c r="M1304" i="1"/>
  <c r="L1304" i="1"/>
  <c r="K1304" i="1"/>
  <c r="I1313" i="1"/>
  <c r="N1312" i="1"/>
  <c r="M1312" i="1"/>
  <c r="K1312" i="1"/>
  <c r="I1321" i="1"/>
  <c r="N1320" i="1"/>
  <c r="M1320" i="1"/>
  <c r="L1320" i="1"/>
  <c r="K1320" i="1"/>
  <c r="I1329" i="1"/>
  <c r="N1328" i="1"/>
  <c r="M1328" i="1"/>
  <c r="L1328" i="1"/>
  <c r="K1328" i="1"/>
  <c r="I1337" i="1"/>
  <c r="N1336" i="1"/>
  <c r="M1336" i="1"/>
  <c r="L1336" i="1"/>
  <c r="K1336" i="1"/>
  <c r="I1345" i="1"/>
  <c r="N1344" i="1"/>
  <c r="M1344" i="1"/>
  <c r="L1344" i="1"/>
  <c r="K1344" i="1"/>
  <c r="I1353" i="1"/>
  <c r="N1352" i="1"/>
  <c r="M1352" i="1"/>
  <c r="L1352" i="1"/>
  <c r="K1352" i="1"/>
  <c r="I1361" i="1"/>
  <c r="N1360" i="1"/>
  <c r="M1360" i="1"/>
  <c r="K1360" i="1"/>
  <c r="I1369" i="1"/>
  <c r="N1368" i="1"/>
  <c r="M1368" i="1"/>
  <c r="L1368" i="1"/>
  <c r="K1368" i="1"/>
  <c r="I1377" i="1"/>
  <c r="N1376" i="1"/>
  <c r="M1376" i="1"/>
  <c r="L1376" i="1"/>
  <c r="K1376" i="1"/>
  <c r="I1385" i="1"/>
  <c r="N1384" i="1"/>
  <c r="K1384" i="1"/>
  <c r="I1393" i="1"/>
  <c r="M1392" i="1"/>
  <c r="L1392" i="1"/>
  <c r="I1401" i="1"/>
  <c r="N1400" i="1"/>
  <c r="M1400" i="1"/>
  <c r="L1400" i="1"/>
  <c r="K1400" i="1"/>
  <c r="I1409" i="1"/>
  <c r="N1408" i="1"/>
  <c r="M1408" i="1"/>
  <c r="L1408" i="1"/>
  <c r="K1408" i="1"/>
  <c r="I1417" i="1"/>
  <c r="N1416" i="1"/>
  <c r="M1416" i="1"/>
  <c r="L1416" i="1"/>
  <c r="K1416" i="1"/>
  <c r="I1425" i="1"/>
  <c r="N1424" i="1"/>
  <c r="K1424" i="1"/>
  <c r="I1433" i="1"/>
  <c r="N1432" i="1"/>
  <c r="L1432" i="1"/>
  <c r="K1432" i="1"/>
  <c r="I1441" i="1"/>
  <c r="N1440" i="1"/>
  <c r="M1440" i="1"/>
  <c r="L1440" i="1"/>
  <c r="K1440" i="1"/>
  <c r="I1449" i="1"/>
  <c r="N1448" i="1"/>
  <c r="M1448" i="1"/>
  <c r="L1448" i="1"/>
  <c r="K1448" i="1"/>
  <c r="I1457" i="1"/>
  <c r="N1456" i="1"/>
  <c r="M1456" i="1"/>
  <c r="L1456" i="1"/>
  <c r="K1456" i="1"/>
  <c r="I1465" i="1"/>
  <c r="N1464" i="1"/>
  <c r="M1464" i="1"/>
  <c r="K1464" i="1"/>
  <c r="I1473" i="1"/>
  <c r="N1472" i="1"/>
  <c r="M1472" i="1"/>
  <c r="L1472" i="1"/>
  <c r="K1472" i="1"/>
  <c r="I1481" i="1"/>
  <c r="N1480" i="1"/>
  <c r="M1480" i="1"/>
  <c r="K1480" i="1"/>
  <c r="I1489" i="1"/>
  <c r="N1488" i="1"/>
  <c r="M1488" i="1"/>
  <c r="L1488" i="1"/>
  <c r="K1488" i="1"/>
  <c r="I1497" i="1"/>
  <c r="N1496" i="1"/>
  <c r="M1496" i="1"/>
  <c r="K1496" i="1"/>
  <c r="I1505" i="1"/>
  <c r="N1504" i="1"/>
  <c r="M1504" i="1"/>
  <c r="L1504" i="1"/>
  <c r="K1504" i="1"/>
  <c r="I1513" i="1"/>
  <c r="N1512" i="1"/>
  <c r="M1512" i="1"/>
  <c r="L1512" i="1"/>
  <c r="K1512" i="1"/>
  <c r="I1521" i="1"/>
  <c r="M1520" i="1"/>
  <c r="L1520" i="1"/>
  <c r="K1520" i="1"/>
  <c r="I1529" i="1"/>
  <c r="N1528" i="1"/>
  <c r="L1528" i="1"/>
  <c r="K1528" i="1"/>
  <c r="I1537" i="1"/>
  <c r="N1536" i="1"/>
  <c r="M1536" i="1"/>
  <c r="L1536" i="1"/>
  <c r="K1536" i="1"/>
  <c r="I1545" i="1"/>
  <c r="M1544" i="1"/>
  <c r="L1544" i="1"/>
  <c r="I1553" i="1"/>
  <c r="N1552" i="1"/>
  <c r="M1552" i="1"/>
  <c r="L1552" i="1"/>
  <c r="K1552" i="1"/>
  <c r="I1561" i="1"/>
  <c r="N1560" i="1"/>
  <c r="M1560" i="1"/>
  <c r="L1560" i="1"/>
  <c r="K1560" i="1"/>
  <c r="I1569" i="1"/>
  <c r="N1568" i="1"/>
  <c r="M1568" i="1"/>
  <c r="L1568" i="1"/>
  <c r="K1568" i="1"/>
  <c r="I1577" i="1"/>
  <c r="N1576" i="1"/>
  <c r="M1576" i="1"/>
  <c r="L1576" i="1"/>
  <c r="K1576" i="1"/>
  <c r="I1585" i="1"/>
  <c r="N1584" i="1"/>
  <c r="M1584" i="1"/>
  <c r="L1584" i="1"/>
  <c r="K1584" i="1"/>
  <c r="I1593" i="1"/>
  <c r="N1592" i="1"/>
  <c r="M1592" i="1"/>
  <c r="L1592" i="1"/>
  <c r="K1592" i="1"/>
  <c r="I1601" i="1"/>
  <c r="N1600" i="1"/>
  <c r="M1600" i="1"/>
  <c r="L1600" i="1"/>
  <c r="K1600" i="1"/>
  <c r="I1609" i="1"/>
  <c r="N1608" i="1"/>
  <c r="M1608" i="1"/>
  <c r="L1608" i="1"/>
  <c r="K1608" i="1"/>
  <c r="I1617" i="1"/>
  <c r="N1616" i="1"/>
  <c r="M1616" i="1"/>
  <c r="L1616" i="1"/>
  <c r="K1616" i="1"/>
  <c r="I1625" i="1"/>
  <c r="N1624" i="1"/>
  <c r="M1624" i="1"/>
  <c r="K1624" i="1"/>
  <c r="I1633" i="1"/>
  <c r="N1632" i="1"/>
  <c r="M1632" i="1"/>
  <c r="L1632" i="1"/>
  <c r="K1632" i="1"/>
  <c r="I1641" i="1"/>
  <c r="N1640" i="1"/>
  <c r="M1640" i="1"/>
  <c r="K1640" i="1"/>
  <c r="I1649" i="1"/>
  <c r="N1648" i="1"/>
  <c r="M1648" i="1"/>
  <c r="L1648" i="1"/>
  <c r="K1648" i="1"/>
  <c r="I1657" i="1"/>
  <c r="N1656" i="1"/>
  <c r="M1656" i="1"/>
  <c r="L1656" i="1"/>
  <c r="K1656" i="1"/>
  <c r="I1665" i="1"/>
  <c r="N1664" i="1"/>
  <c r="M1664" i="1"/>
  <c r="L1664" i="1"/>
  <c r="K1664" i="1"/>
  <c r="I1673" i="1"/>
  <c r="N1672" i="1"/>
  <c r="M1672" i="1"/>
  <c r="L1672" i="1"/>
  <c r="K1672" i="1"/>
  <c r="I1681" i="1"/>
  <c r="N1680" i="1"/>
  <c r="M1680" i="1"/>
  <c r="L1680" i="1"/>
  <c r="K1680" i="1"/>
  <c r="I1689" i="1"/>
  <c r="N1688" i="1"/>
  <c r="M1688" i="1"/>
  <c r="L1688" i="1"/>
  <c r="I1697" i="1"/>
  <c r="N1696" i="1"/>
  <c r="M1696" i="1"/>
  <c r="L1696" i="1"/>
  <c r="K1696" i="1"/>
  <c r="I1705" i="1"/>
  <c r="N1704" i="1"/>
  <c r="M1704" i="1"/>
  <c r="L1704" i="1"/>
  <c r="K1704" i="1"/>
  <c r="I1713" i="1"/>
  <c r="N1712" i="1"/>
  <c r="M1712" i="1"/>
  <c r="L1712" i="1"/>
  <c r="K1712" i="1"/>
  <c r="I1721" i="1"/>
  <c r="N1720" i="1"/>
  <c r="M1720" i="1"/>
  <c r="L1720" i="1"/>
  <c r="K1720" i="1"/>
  <c r="I1729" i="1"/>
  <c r="M1728" i="1"/>
  <c r="L1728" i="1"/>
  <c r="I1737" i="1"/>
  <c r="N1736" i="1"/>
  <c r="M1736" i="1"/>
  <c r="L1736" i="1"/>
  <c r="I1745" i="1"/>
  <c r="N1744" i="1"/>
  <c r="M1744" i="1"/>
  <c r="K1744" i="1"/>
  <c r="I1753" i="1"/>
  <c r="N1752" i="1"/>
  <c r="M1752" i="1"/>
  <c r="L1752" i="1"/>
  <c r="K1752" i="1"/>
  <c r="I1761" i="1"/>
  <c r="N1760" i="1"/>
  <c r="M1760" i="1"/>
  <c r="L1760" i="1"/>
  <c r="K1760" i="1"/>
  <c r="I1769" i="1"/>
  <c r="N1768" i="1"/>
  <c r="M1768" i="1"/>
  <c r="L1768" i="1"/>
  <c r="K1768" i="1"/>
  <c r="I1777" i="1"/>
  <c r="N1776" i="1"/>
  <c r="M1776" i="1"/>
  <c r="L1776" i="1"/>
  <c r="K1776" i="1"/>
  <c r="I1785" i="1"/>
  <c r="N1784" i="1"/>
  <c r="M1784" i="1"/>
  <c r="K1784" i="1"/>
  <c r="I1793" i="1"/>
  <c r="N1792" i="1"/>
  <c r="M1792" i="1"/>
  <c r="L1792" i="1"/>
  <c r="I1801" i="1"/>
  <c r="N1800" i="1"/>
  <c r="M1800" i="1"/>
  <c r="L1800" i="1"/>
  <c r="K1800" i="1"/>
  <c r="I1809" i="1"/>
  <c r="N1808" i="1"/>
  <c r="M1808" i="1"/>
  <c r="L1808" i="1"/>
  <c r="K1808" i="1"/>
  <c r="I1817" i="1"/>
  <c r="N1816" i="1"/>
  <c r="M1816" i="1"/>
  <c r="K1816" i="1"/>
  <c r="I1825" i="1"/>
  <c r="N1824" i="1"/>
  <c r="M1824" i="1"/>
  <c r="L1824" i="1"/>
  <c r="I1833" i="1"/>
  <c r="N1832" i="1"/>
  <c r="M1832" i="1"/>
  <c r="L1832" i="1"/>
  <c r="K1832" i="1"/>
  <c r="I1841" i="1"/>
  <c r="N1840" i="1"/>
  <c r="M1840" i="1"/>
  <c r="L1840" i="1"/>
  <c r="K1840" i="1"/>
  <c r="I1849" i="1"/>
  <c r="N1848" i="1"/>
  <c r="M1848" i="1"/>
  <c r="L1848" i="1"/>
  <c r="K1848" i="1"/>
  <c r="I1857" i="1"/>
  <c r="N1856" i="1"/>
  <c r="M1856" i="1"/>
  <c r="L1856" i="1"/>
  <c r="K1856" i="1"/>
  <c r="I1865" i="1"/>
  <c r="N1864" i="1"/>
  <c r="M1864" i="1"/>
  <c r="L1864" i="1"/>
  <c r="K1864" i="1"/>
  <c r="I1873" i="1"/>
  <c r="N1872" i="1"/>
  <c r="M1872" i="1"/>
  <c r="K1872" i="1"/>
  <c r="I1881" i="1"/>
  <c r="N1880" i="1"/>
  <c r="M1880" i="1"/>
  <c r="L1880" i="1"/>
  <c r="K1880" i="1"/>
  <c r="I1889" i="1"/>
  <c r="N1888" i="1"/>
  <c r="M1888" i="1"/>
  <c r="L1888" i="1"/>
  <c r="I1897" i="1"/>
  <c r="N1896" i="1"/>
  <c r="M1896" i="1"/>
  <c r="L1896" i="1"/>
  <c r="K1896" i="1"/>
  <c r="I1905" i="1"/>
  <c r="N1904" i="1"/>
  <c r="M1904" i="1"/>
  <c r="L1904" i="1"/>
  <c r="K1904" i="1"/>
  <c r="I1913" i="1"/>
  <c r="N1912" i="1"/>
  <c r="M1912" i="1"/>
  <c r="L1912" i="1"/>
  <c r="K1912" i="1"/>
  <c r="I1921" i="1"/>
  <c r="N1920" i="1"/>
  <c r="M1920" i="1"/>
  <c r="L1920" i="1"/>
  <c r="K1920" i="1"/>
  <c r="I1929" i="1"/>
  <c r="N1928" i="1"/>
  <c r="M1928" i="1"/>
  <c r="L1928" i="1"/>
  <c r="K1928" i="1"/>
  <c r="I1937" i="1"/>
  <c r="N1936" i="1"/>
  <c r="M1936" i="1"/>
  <c r="L1936" i="1"/>
  <c r="K1936" i="1"/>
  <c r="I1945" i="1"/>
  <c r="N1944" i="1"/>
  <c r="M1944" i="1"/>
  <c r="L1944" i="1"/>
  <c r="K1944" i="1"/>
  <c r="I1953" i="1"/>
  <c r="N1952" i="1"/>
  <c r="M1952" i="1"/>
  <c r="L1952" i="1"/>
  <c r="K1952" i="1"/>
  <c r="I1961" i="1"/>
  <c r="N1960" i="1"/>
  <c r="M1960" i="1"/>
  <c r="L1960" i="1"/>
  <c r="K1960" i="1"/>
  <c r="I1969" i="1"/>
  <c r="N1968" i="1"/>
  <c r="M1968" i="1"/>
  <c r="L1968" i="1"/>
  <c r="I1977" i="1"/>
  <c r="N1976" i="1"/>
  <c r="M1976" i="1"/>
  <c r="L1976" i="1"/>
  <c r="K1976" i="1"/>
  <c r="I1985" i="1"/>
  <c r="N1984" i="1"/>
  <c r="M1984" i="1"/>
  <c r="L1984" i="1"/>
  <c r="I1993" i="1"/>
  <c r="N1992" i="1"/>
  <c r="M1992" i="1"/>
  <c r="L1992" i="1"/>
  <c r="I2001" i="1"/>
  <c r="N2000" i="1"/>
  <c r="M2000" i="1"/>
  <c r="L2000" i="1"/>
  <c r="K2000" i="1"/>
  <c r="I2009" i="1"/>
  <c r="N2008" i="1"/>
  <c r="M2008" i="1"/>
  <c r="L2008" i="1"/>
  <c r="K2008" i="1"/>
  <c r="I2017" i="1"/>
  <c r="N2016" i="1"/>
  <c r="M2016" i="1"/>
  <c r="K2016" i="1"/>
  <c r="I2025" i="1"/>
  <c r="N2024" i="1"/>
  <c r="M2024" i="1"/>
  <c r="L2024" i="1"/>
  <c r="K2024" i="1"/>
  <c r="I2033" i="1"/>
  <c r="N2032" i="1"/>
  <c r="M2032" i="1"/>
  <c r="L2032" i="1"/>
  <c r="K2032" i="1"/>
  <c r="I2041" i="1"/>
  <c r="N2040" i="1"/>
  <c r="K2040" i="1"/>
  <c r="I2049" i="1"/>
  <c r="N2048" i="1"/>
  <c r="M2048" i="1"/>
  <c r="L2048" i="1"/>
  <c r="K2048" i="1"/>
  <c r="I2057" i="1"/>
  <c r="N2056" i="1"/>
  <c r="M2056" i="1"/>
  <c r="L2056" i="1"/>
  <c r="K2056" i="1"/>
  <c r="I2065" i="1"/>
  <c r="N2064" i="1"/>
  <c r="M2064" i="1"/>
  <c r="L2064" i="1"/>
  <c r="K2064" i="1"/>
  <c r="I2073" i="1"/>
  <c r="N2072" i="1"/>
  <c r="K2072" i="1"/>
  <c r="I2081" i="1"/>
  <c r="M2080" i="1"/>
  <c r="L2080" i="1"/>
  <c r="I2089" i="1"/>
  <c r="N2088" i="1"/>
  <c r="M2088" i="1"/>
  <c r="L2088" i="1"/>
  <c r="I2097" i="1"/>
  <c r="N2096" i="1"/>
  <c r="M2096" i="1"/>
  <c r="L2096" i="1"/>
  <c r="I2105" i="1"/>
  <c r="N2104" i="1"/>
  <c r="M2104" i="1"/>
  <c r="L2104" i="1"/>
  <c r="K2104" i="1"/>
  <c r="I2113" i="1"/>
  <c r="N2112" i="1"/>
  <c r="M2112" i="1"/>
  <c r="L2112" i="1"/>
  <c r="K2112" i="1"/>
  <c r="I2121" i="1"/>
  <c r="N2120" i="1"/>
  <c r="M2120" i="1"/>
  <c r="K2120" i="1"/>
  <c r="I2129" i="1"/>
  <c r="N2128" i="1"/>
  <c r="M2128" i="1"/>
  <c r="L2128" i="1"/>
  <c r="K2128" i="1"/>
  <c r="I2137" i="1"/>
  <c r="N2136" i="1"/>
  <c r="M2136" i="1"/>
  <c r="L2136" i="1"/>
  <c r="K2136" i="1"/>
  <c r="I2145" i="1"/>
  <c r="N2144" i="1"/>
  <c r="M2144" i="1"/>
  <c r="L2144" i="1"/>
  <c r="K2144" i="1"/>
  <c r="I2153" i="1"/>
  <c r="N2152" i="1"/>
  <c r="M2152" i="1"/>
  <c r="L2152" i="1"/>
  <c r="I2161" i="1"/>
  <c r="N2160" i="1"/>
  <c r="M2160" i="1"/>
  <c r="K2160" i="1"/>
  <c r="I2169" i="1"/>
  <c r="N2168" i="1"/>
  <c r="M2168" i="1"/>
  <c r="K2168" i="1"/>
  <c r="I2177" i="1"/>
  <c r="N2176" i="1"/>
  <c r="M2176" i="1"/>
  <c r="L2176" i="1"/>
  <c r="K2176" i="1"/>
  <c r="I2185" i="1"/>
  <c r="N2184" i="1"/>
  <c r="M2184" i="1"/>
  <c r="L2184" i="1"/>
  <c r="K2184" i="1"/>
  <c r="I2193" i="1"/>
  <c r="N2192" i="1"/>
  <c r="M2192" i="1"/>
  <c r="L2192" i="1"/>
  <c r="K2192" i="1"/>
  <c r="I2201" i="1"/>
  <c r="N2200" i="1"/>
  <c r="M2200" i="1"/>
  <c r="K2200" i="1"/>
  <c r="I2209" i="1"/>
  <c r="N2208" i="1"/>
  <c r="M2208" i="1"/>
  <c r="L2208" i="1"/>
  <c r="K2208" i="1"/>
  <c r="I2217" i="1"/>
  <c r="M2216" i="1"/>
  <c r="L2216" i="1"/>
  <c r="I2225" i="1"/>
  <c r="N2224" i="1"/>
  <c r="L2224" i="1"/>
  <c r="K2224" i="1"/>
  <c r="I2233" i="1"/>
  <c r="M2232" i="1"/>
  <c r="L2232" i="1"/>
  <c r="I2241" i="1"/>
  <c r="N2240" i="1"/>
  <c r="K2240" i="1"/>
  <c r="I2249" i="1"/>
  <c r="N2248" i="1"/>
  <c r="M2248" i="1"/>
  <c r="L2248" i="1"/>
  <c r="I2257" i="1"/>
  <c r="M2256" i="1"/>
  <c r="L2256" i="1"/>
  <c r="I2265" i="1"/>
  <c r="M2264" i="1"/>
  <c r="L2264" i="1"/>
  <c r="I2273" i="1"/>
  <c r="M2272" i="1"/>
  <c r="L2272" i="1"/>
  <c r="I2281" i="1"/>
  <c r="N2280" i="1"/>
  <c r="M2280" i="1"/>
  <c r="L2280" i="1"/>
  <c r="I2289" i="1"/>
  <c r="N2288" i="1"/>
  <c r="M2288" i="1"/>
  <c r="L2288" i="1"/>
  <c r="I2297" i="1"/>
  <c r="N2296" i="1"/>
  <c r="M2296" i="1"/>
  <c r="L2296" i="1"/>
  <c r="I2305" i="1"/>
  <c r="N2304" i="1"/>
  <c r="M2304" i="1"/>
  <c r="L2304" i="1"/>
  <c r="K2304" i="1"/>
  <c r="I2313" i="1"/>
  <c r="N2312" i="1"/>
  <c r="M2312" i="1"/>
  <c r="L2312" i="1"/>
  <c r="K2312" i="1"/>
  <c r="I2321" i="1"/>
  <c r="N2320" i="1"/>
  <c r="M2320" i="1"/>
  <c r="L2320" i="1"/>
  <c r="K2320" i="1"/>
  <c r="I2329" i="1"/>
  <c r="N2328" i="1"/>
  <c r="M2328" i="1"/>
  <c r="L2328" i="1"/>
  <c r="I2337" i="1"/>
  <c r="N2336" i="1"/>
  <c r="M2336" i="1"/>
  <c r="L2336" i="1"/>
  <c r="K2336" i="1"/>
  <c r="I2345" i="1"/>
  <c r="N2344" i="1"/>
  <c r="M2344" i="1"/>
  <c r="L2344" i="1"/>
  <c r="K2344" i="1"/>
  <c r="I2353" i="1"/>
  <c r="N2352" i="1"/>
  <c r="M2352" i="1"/>
  <c r="L2352" i="1"/>
  <c r="I2361" i="1"/>
  <c r="N2360" i="1"/>
  <c r="M2360" i="1"/>
  <c r="L2360" i="1"/>
  <c r="K2360" i="1"/>
  <c r="I2369" i="1"/>
  <c r="N2368" i="1"/>
  <c r="K2368" i="1"/>
  <c r="I2377" i="1"/>
  <c r="N2376" i="1"/>
  <c r="M2376" i="1"/>
  <c r="L2376" i="1"/>
  <c r="K2376" i="1"/>
  <c r="I2385" i="1"/>
  <c r="N2384" i="1"/>
  <c r="M2384" i="1"/>
  <c r="L2384" i="1"/>
  <c r="I2393" i="1"/>
  <c r="N2392" i="1"/>
  <c r="M2392" i="1"/>
  <c r="L2392" i="1"/>
  <c r="I2401" i="1"/>
  <c r="N2400" i="1"/>
  <c r="M2400" i="1"/>
  <c r="L2400" i="1"/>
  <c r="K2400" i="1"/>
  <c r="I2409" i="1"/>
  <c r="N2408" i="1"/>
  <c r="M2408" i="1"/>
  <c r="L2408" i="1"/>
  <c r="K2408" i="1"/>
  <c r="I2417" i="1"/>
  <c r="N2416" i="1"/>
  <c r="K2416" i="1"/>
  <c r="I2425" i="1"/>
  <c r="N2424" i="1"/>
  <c r="M2424" i="1"/>
  <c r="L2424" i="1"/>
  <c r="K2424" i="1"/>
  <c r="I2433" i="1"/>
  <c r="N2432" i="1"/>
  <c r="M2432" i="1"/>
  <c r="L2432" i="1"/>
  <c r="K2432" i="1"/>
  <c r="I2441" i="1"/>
  <c r="N2440" i="1"/>
  <c r="M2440" i="1"/>
  <c r="L2440" i="1"/>
  <c r="K2440" i="1"/>
  <c r="I2449" i="1"/>
  <c r="N2448" i="1"/>
  <c r="M2448" i="1"/>
  <c r="L2448" i="1"/>
  <c r="K2448" i="1"/>
  <c r="I2457" i="1"/>
  <c r="N2456" i="1"/>
  <c r="M2456" i="1"/>
  <c r="K2456" i="1"/>
  <c r="I2465" i="1"/>
  <c r="N2464" i="1"/>
  <c r="M2464" i="1"/>
  <c r="L2464" i="1"/>
  <c r="I2473" i="1"/>
  <c r="N2472" i="1"/>
  <c r="M2472" i="1"/>
  <c r="L2472" i="1"/>
  <c r="K2472" i="1"/>
  <c r="I2481" i="1"/>
  <c r="N2480" i="1"/>
  <c r="M2480" i="1"/>
  <c r="L2480" i="1"/>
  <c r="K2480" i="1"/>
  <c r="I2489" i="1"/>
  <c r="N2488" i="1"/>
  <c r="M2488" i="1"/>
  <c r="L2488" i="1"/>
  <c r="K2488" i="1"/>
  <c r="I2497" i="1"/>
  <c r="N2496" i="1"/>
  <c r="M2496" i="1"/>
  <c r="L2496" i="1"/>
  <c r="K2496" i="1"/>
  <c r="I2505" i="1"/>
  <c r="N2504" i="1"/>
  <c r="M2504" i="1"/>
  <c r="L2504" i="1"/>
  <c r="K2504" i="1"/>
  <c r="I2513" i="1"/>
  <c r="N2512" i="1"/>
  <c r="M2512" i="1"/>
  <c r="L2512" i="1"/>
  <c r="K2512" i="1"/>
  <c r="I262" i="1"/>
  <c r="N261" i="1"/>
  <c r="M261" i="1"/>
  <c r="L261" i="1"/>
  <c r="K261" i="1"/>
  <c r="I270" i="1"/>
  <c r="N269" i="1"/>
  <c r="M269" i="1"/>
  <c r="L269" i="1"/>
  <c r="K269" i="1"/>
  <c r="I278" i="1"/>
  <c r="N277" i="1"/>
  <c r="M277" i="1"/>
  <c r="L277" i="1"/>
  <c r="K277" i="1"/>
  <c r="I286" i="1"/>
  <c r="N285" i="1"/>
  <c r="M285" i="1"/>
  <c r="L285" i="1"/>
  <c r="K285" i="1"/>
  <c r="I294" i="1"/>
  <c r="N293" i="1"/>
  <c r="M293" i="1"/>
  <c r="L293" i="1"/>
  <c r="I302" i="1"/>
  <c r="N301" i="1"/>
  <c r="M301" i="1"/>
  <c r="L301" i="1"/>
  <c r="K301" i="1"/>
  <c r="I106" i="1"/>
  <c r="N105" i="1"/>
  <c r="L105" i="1"/>
  <c r="K105" i="1"/>
  <c r="I114" i="1"/>
  <c r="M113" i="1"/>
  <c r="L113" i="1"/>
  <c r="K113" i="1"/>
  <c r="I122" i="1"/>
  <c r="N121" i="1"/>
  <c r="K121" i="1"/>
  <c r="I130" i="1"/>
  <c r="N129" i="1"/>
  <c r="M129" i="1"/>
  <c r="L129" i="1"/>
  <c r="K129" i="1"/>
  <c r="I138" i="1"/>
  <c r="N137" i="1"/>
  <c r="M137" i="1"/>
  <c r="L137" i="1"/>
  <c r="K137" i="1"/>
  <c r="I146" i="1"/>
  <c r="N145" i="1"/>
  <c r="M145" i="1"/>
  <c r="L145" i="1"/>
  <c r="K145" i="1"/>
  <c r="I154" i="1"/>
  <c r="N153" i="1"/>
  <c r="M153" i="1"/>
  <c r="L153" i="1"/>
  <c r="K153" i="1"/>
  <c r="I162" i="1"/>
  <c r="N161" i="1"/>
  <c r="M161" i="1"/>
  <c r="L161" i="1"/>
  <c r="K161" i="1"/>
  <c r="I170" i="1"/>
  <c r="N169" i="1"/>
  <c r="K169" i="1"/>
  <c r="I178" i="1"/>
  <c r="N177" i="1"/>
  <c r="M177" i="1"/>
  <c r="L177" i="1"/>
  <c r="K177" i="1"/>
  <c r="I186" i="1"/>
  <c r="N185" i="1"/>
  <c r="M185" i="1"/>
  <c r="L185" i="1"/>
  <c r="K185" i="1"/>
  <c r="I194" i="1"/>
  <c r="N193" i="1"/>
  <c r="M193" i="1"/>
  <c r="K193" i="1"/>
  <c r="I202" i="1"/>
  <c r="N201" i="1"/>
  <c r="M201" i="1"/>
  <c r="L201" i="1"/>
  <c r="K201" i="1"/>
  <c r="I210" i="1"/>
  <c r="N209" i="1"/>
  <c r="M209" i="1"/>
  <c r="L209" i="1"/>
  <c r="K209" i="1"/>
  <c r="I218" i="1"/>
  <c r="N217" i="1"/>
  <c r="M217" i="1"/>
  <c r="L217" i="1"/>
  <c r="K217" i="1"/>
  <c r="I226" i="1"/>
  <c r="N225" i="1"/>
  <c r="M225" i="1"/>
  <c r="L225" i="1"/>
  <c r="K225" i="1"/>
  <c r="I234" i="1"/>
  <c r="N233" i="1"/>
  <c r="M233" i="1"/>
  <c r="K233" i="1"/>
  <c r="I242" i="1"/>
  <c r="N241" i="1"/>
  <c r="M241" i="1"/>
  <c r="L241" i="1"/>
  <c r="K241" i="1"/>
  <c r="I250" i="1"/>
  <c r="N249" i="1"/>
  <c r="M249" i="1"/>
  <c r="L249" i="1"/>
  <c r="K249" i="1"/>
  <c r="I258" i="1"/>
  <c r="N257" i="1"/>
  <c r="M257" i="1"/>
  <c r="L257" i="1"/>
  <c r="K257" i="1"/>
  <c r="I267" i="1"/>
  <c r="N266" i="1"/>
  <c r="M266" i="1"/>
  <c r="L266" i="1"/>
  <c r="K266" i="1"/>
  <c r="I275" i="1"/>
  <c r="N274" i="1"/>
  <c r="M274" i="1"/>
  <c r="K274" i="1"/>
  <c r="I283" i="1"/>
  <c r="N282" i="1"/>
  <c r="M282" i="1"/>
  <c r="L282" i="1"/>
  <c r="K282" i="1"/>
  <c r="I264" i="1"/>
  <c r="N263" i="1"/>
  <c r="M263" i="1"/>
  <c r="L263" i="1"/>
  <c r="K263" i="1"/>
  <c r="I280" i="1"/>
  <c r="N279" i="1"/>
  <c r="M279" i="1"/>
  <c r="L279" i="1"/>
  <c r="K279" i="1"/>
  <c r="I296" i="1"/>
  <c r="N295" i="1"/>
  <c r="M295" i="1"/>
  <c r="K295" i="1"/>
  <c r="I304" i="1"/>
  <c r="N303" i="1"/>
  <c r="M303" i="1"/>
  <c r="L303" i="1"/>
  <c r="K303" i="1"/>
  <c r="I320" i="1"/>
  <c r="N319" i="1"/>
  <c r="M319" i="1"/>
  <c r="L319" i="1"/>
  <c r="K319" i="1"/>
  <c r="I336" i="1"/>
  <c r="N335" i="1"/>
  <c r="M335" i="1"/>
  <c r="L335" i="1"/>
  <c r="I344" i="1"/>
  <c r="N343" i="1"/>
  <c r="M343" i="1"/>
  <c r="L343" i="1"/>
  <c r="I360" i="1"/>
  <c r="N359" i="1"/>
  <c r="M359" i="1"/>
  <c r="K359" i="1"/>
  <c r="I376" i="1"/>
  <c r="N375" i="1"/>
  <c r="M375" i="1"/>
  <c r="L375" i="1"/>
  <c r="K375" i="1"/>
  <c r="I384" i="1"/>
  <c r="N383" i="1"/>
  <c r="M383" i="1"/>
  <c r="L383" i="1"/>
  <c r="K383" i="1"/>
  <c r="I400" i="1"/>
  <c r="N399" i="1"/>
  <c r="M399" i="1"/>
  <c r="L399" i="1"/>
  <c r="K399" i="1"/>
  <c r="I416" i="1"/>
  <c r="N415" i="1"/>
  <c r="M415" i="1"/>
  <c r="L415" i="1"/>
  <c r="K415" i="1"/>
  <c r="I432" i="1"/>
  <c r="M431" i="1"/>
  <c r="L431" i="1"/>
  <c r="I440" i="1"/>
  <c r="N439" i="1"/>
  <c r="M439" i="1"/>
  <c r="L439" i="1"/>
  <c r="K439" i="1"/>
  <c r="I456" i="1"/>
  <c r="N455" i="1"/>
  <c r="M455" i="1"/>
  <c r="K455" i="1"/>
  <c r="I472" i="1"/>
  <c r="N471" i="1"/>
  <c r="M471" i="1"/>
  <c r="L471" i="1"/>
  <c r="K471" i="1"/>
  <c r="I480" i="1"/>
  <c r="N479" i="1"/>
  <c r="M479" i="1"/>
  <c r="K479" i="1"/>
  <c r="I496" i="1"/>
  <c r="N495" i="1"/>
  <c r="M495" i="1"/>
  <c r="K495" i="1"/>
  <c r="I512" i="1"/>
  <c r="N511" i="1"/>
  <c r="M511" i="1"/>
  <c r="L511" i="1"/>
  <c r="K511" i="1"/>
  <c r="I520" i="1"/>
  <c r="N519" i="1"/>
  <c r="M519" i="1"/>
  <c r="L519" i="1"/>
  <c r="K519" i="1"/>
  <c r="I528" i="1"/>
  <c r="N527" i="1"/>
  <c r="M527" i="1"/>
  <c r="L527" i="1"/>
  <c r="K527" i="1"/>
  <c r="I536" i="1"/>
  <c r="N535" i="1"/>
  <c r="M535" i="1"/>
  <c r="K535" i="1"/>
  <c r="I544" i="1"/>
  <c r="N543" i="1"/>
  <c r="M543" i="1"/>
  <c r="L543" i="1"/>
  <c r="I560" i="1"/>
  <c r="N559" i="1"/>
  <c r="M559" i="1"/>
  <c r="L559" i="1"/>
  <c r="K559" i="1"/>
  <c r="I568" i="1"/>
  <c r="N567" i="1"/>
  <c r="M567" i="1"/>
  <c r="L567" i="1"/>
  <c r="K567" i="1"/>
  <c r="I576" i="1"/>
  <c r="N575" i="1"/>
  <c r="M575" i="1"/>
  <c r="K575" i="1"/>
  <c r="I584" i="1"/>
  <c r="N583" i="1"/>
  <c r="M583" i="1"/>
  <c r="L583" i="1"/>
  <c r="K583" i="1"/>
  <c r="I592" i="1"/>
  <c r="N591" i="1"/>
  <c r="M591" i="1"/>
  <c r="L591" i="1"/>
  <c r="K591" i="1"/>
  <c r="I600" i="1"/>
  <c r="N599" i="1"/>
  <c r="K599" i="1"/>
  <c r="I608" i="1"/>
  <c r="N607" i="1"/>
  <c r="M607" i="1"/>
  <c r="L607" i="1"/>
  <c r="K607" i="1"/>
  <c r="I616" i="1"/>
  <c r="M615" i="1"/>
  <c r="L615" i="1"/>
  <c r="I624" i="1"/>
  <c r="N623" i="1"/>
  <c r="M623" i="1"/>
  <c r="L623" i="1"/>
  <c r="K623" i="1"/>
  <c r="I632" i="1"/>
  <c r="N631" i="1"/>
  <c r="M631" i="1"/>
  <c r="L631" i="1"/>
  <c r="K631" i="1"/>
  <c r="I640" i="1"/>
  <c r="N639" i="1"/>
  <c r="M639" i="1"/>
  <c r="L639" i="1"/>
  <c r="K639" i="1"/>
  <c r="I648" i="1"/>
  <c r="N647" i="1"/>
  <c r="M647" i="1"/>
  <c r="K647" i="1"/>
  <c r="I656" i="1"/>
  <c r="N655" i="1"/>
  <c r="M655" i="1"/>
  <c r="K655" i="1"/>
  <c r="I664" i="1"/>
  <c r="N663" i="1"/>
  <c r="M663" i="1"/>
  <c r="L663" i="1"/>
  <c r="K663" i="1"/>
  <c r="I672" i="1"/>
  <c r="N671" i="1"/>
  <c r="M671" i="1"/>
  <c r="L671" i="1"/>
  <c r="I680" i="1"/>
  <c r="N679" i="1"/>
  <c r="M679" i="1"/>
  <c r="L679" i="1"/>
  <c r="I688" i="1"/>
  <c r="N687" i="1"/>
  <c r="M687" i="1"/>
  <c r="K687" i="1"/>
  <c r="I696" i="1"/>
  <c r="N695" i="1"/>
  <c r="M695" i="1"/>
  <c r="K695" i="1"/>
  <c r="I704" i="1"/>
  <c r="N703" i="1"/>
  <c r="M703" i="1"/>
  <c r="K703" i="1"/>
  <c r="I712" i="1"/>
  <c r="N711" i="1"/>
  <c r="M711" i="1"/>
  <c r="L711" i="1"/>
  <c r="K711" i="1"/>
  <c r="I720" i="1"/>
  <c r="N719" i="1"/>
  <c r="M719" i="1"/>
  <c r="L719" i="1"/>
  <c r="K719" i="1"/>
  <c r="I728" i="1"/>
  <c r="N727" i="1"/>
  <c r="M727" i="1"/>
  <c r="L727" i="1"/>
  <c r="K727" i="1"/>
  <c r="I736" i="1"/>
  <c r="N735" i="1"/>
  <c r="M735" i="1"/>
  <c r="L735" i="1"/>
  <c r="I744" i="1"/>
  <c r="N743" i="1"/>
  <c r="M743" i="1"/>
  <c r="L743" i="1"/>
  <c r="K743" i="1"/>
  <c r="I752" i="1"/>
  <c r="N751" i="1"/>
  <c r="M751" i="1"/>
  <c r="L751" i="1"/>
  <c r="I760" i="1"/>
  <c r="N759" i="1"/>
  <c r="M759" i="1"/>
  <c r="L759" i="1"/>
  <c r="K759" i="1"/>
  <c r="I768" i="1"/>
  <c r="N767" i="1"/>
  <c r="M767" i="1"/>
  <c r="L767" i="1"/>
  <c r="K767" i="1"/>
  <c r="I776" i="1"/>
  <c r="N775" i="1"/>
  <c r="M775" i="1"/>
  <c r="K775" i="1"/>
  <c r="I784" i="1"/>
  <c r="N783" i="1"/>
  <c r="M783" i="1"/>
  <c r="L783" i="1"/>
  <c r="K783" i="1"/>
  <c r="I792" i="1"/>
  <c r="N791" i="1"/>
  <c r="M791" i="1"/>
  <c r="K791" i="1"/>
  <c r="I800" i="1"/>
  <c r="N799" i="1"/>
  <c r="M799" i="1"/>
  <c r="L799" i="1"/>
  <c r="K799" i="1"/>
  <c r="I808" i="1"/>
  <c r="N807" i="1"/>
  <c r="M807" i="1"/>
  <c r="L807" i="1"/>
  <c r="K807" i="1"/>
  <c r="I816" i="1"/>
  <c r="N815" i="1"/>
  <c r="M815" i="1"/>
  <c r="L815" i="1"/>
  <c r="I824" i="1"/>
  <c r="N823" i="1"/>
  <c r="M823" i="1"/>
  <c r="L823" i="1"/>
  <c r="I832" i="1"/>
  <c r="N831" i="1"/>
  <c r="M831" i="1"/>
  <c r="L831" i="1"/>
  <c r="K831" i="1"/>
  <c r="I840" i="1"/>
  <c r="N839" i="1"/>
  <c r="M839" i="1"/>
  <c r="L839" i="1"/>
  <c r="I848" i="1"/>
  <c r="N847" i="1"/>
  <c r="M847" i="1"/>
  <c r="L847" i="1"/>
  <c r="K847" i="1"/>
  <c r="I856" i="1"/>
  <c r="N855" i="1"/>
  <c r="M855" i="1"/>
  <c r="K855" i="1"/>
  <c r="I864" i="1"/>
  <c r="N863" i="1"/>
  <c r="M863" i="1"/>
  <c r="K863" i="1"/>
  <c r="I872" i="1"/>
  <c r="N871" i="1"/>
  <c r="M871" i="1"/>
  <c r="L871" i="1"/>
  <c r="K871" i="1"/>
  <c r="I880" i="1"/>
  <c r="N879" i="1"/>
  <c r="M879" i="1"/>
  <c r="L879" i="1"/>
  <c r="I888" i="1"/>
  <c r="N887" i="1"/>
  <c r="M887" i="1"/>
  <c r="L887" i="1"/>
  <c r="K887" i="1"/>
  <c r="I896" i="1"/>
  <c r="N895" i="1"/>
  <c r="M895" i="1"/>
  <c r="L895" i="1"/>
  <c r="K895" i="1"/>
  <c r="I904" i="1"/>
  <c r="N903" i="1"/>
  <c r="M903" i="1"/>
  <c r="L903" i="1"/>
  <c r="K903" i="1"/>
  <c r="I912" i="1"/>
  <c r="N911" i="1"/>
  <c r="M911" i="1"/>
  <c r="K911" i="1"/>
  <c r="I920" i="1"/>
  <c r="N919" i="1"/>
  <c r="M919" i="1"/>
  <c r="L919" i="1"/>
  <c r="K919" i="1"/>
  <c r="I928" i="1"/>
  <c r="N927" i="1"/>
  <c r="M927" i="1"/>
  <c r="L927" i="1"/>
  <c r="I936" i="1"/>
  <c r="N935" i="1"/>
  <c r="M935" i="1"/>
  <c r="L935" i="1"/>
  <c r="K935" i="1"/>
  <c r="I944" i="1"/>
  <c r="N943" i="1"/>
  <c r="M943" i="1"/>
  <c r="L943" i="1"/>
  <c r="I952" i="1"/>
  <c r="N951" i="1"/>
  <c r="M951" i="1"/>
  <c r="K951" i="1"/>
  <c r="I960" i="1"/>
  <c r="N959" i="1"/>
  <c r="M959" i="1"/>
  <c r="L959" i="1"/>
  <c r="K959" i="1"/>
  <c r="I968" i="1"/>
  <c r="N967" i="1"/>
  <c r="M967" i="1"/>
  <c r="L967" i="1"/>
  <c r="K967" i="1"/>
  <c r="I976" i="1"/>
  <c r="N975" i="1"/>
  <c r="M975" i="1"/>
  <c r="L975" i="1"/>
  <c r="K975" i="1"/>
  <c r="I984" i="1"/>
  <c r="N983" i="1"/>
  <c r="M983" i="1"/>
  <c r="L983" i="1"/>
  <c r="K983" i="1"/>
  <c r="I992" i="1"/>
  <c r="N991" i="1"/>
  <c r="M991" i="1"/>
  <c r="K991" i="1"/>
  <c r="I1000" i="1"/>
  <c r="N999" i="1"/>
  <c r="M999" i="1"/>
  <c r="L999" i="1"/>
  <c r="K999" i="1"/>
  <c r="I1008" i="1"/>
  <c r="N1007" i="1"/>
  <c r="M1007" i="1"/>
  <c r="L1007" i="1"/>
  <c r="K1007" i="1"/>
  <c r="I1016" i="1"/>
  <c r="N1015" i="1"/>
  <c r="M1015" i="1"/>
  <c r="L1015" i="1"/>
  <c r="K1015" i="1"/>
  <c r="I1024" i="1"/>
  <c r="N1023" i="1"/>
  <c r="M1023" i="1"/>
  <c r="L1023" i="1"/>
  <c r="K1023" i="1"/>
  <c r="I1032" i="1"/>
  <c r="N1031" i="1"/>
  <c r="K1031" i="1"/>
  <c r="I1040" i="1"/>
  <c r="N1039" i="1"/>
  <c r="M1039" i="1"/>
  <c r="L1039" i="1"/>
  <c r="I1048" i="1"/>
  <c r="N1047" i="1"/>
  <c r="M1047" i="1"/>
  <c r="L1047" i="1"/>
  <c r="K1047" i="1"/>
  <c r="I1056" i="1"/>
  <c r="N1055" i="1"/>
  <c r="M1055" i="1"/>
  <c r="K1055" i="1"/>
  <c r="I1064" i="1"/>
  <c r="N1063" i="1"/>
  <c r="M1063" i="1"/>
  <c r="L1063" i="1"/>
  <c r="I1072" i="1"/>
  <c r="N1071" i="1"/>
  <c r="M1071" i="1"/>
  <c r="L1071" i="1"/>
  <c r="I1080" i="1"/>
  <c r="N1079" i="1"/>
  <c r="M1079" i="1"/>
  <c r="K1079" i="1"/>
  <c r="I1088" i="1"/>
  <c r="N1087" i="1"/>
  <c r="M1087" i="1"/>
  <c r="L1087" i="1"/>
  <c r="K1087" i="1"/>
  <c r="I1096" i="1"/>
  <c r="N1095" i="1"/>
  <c r="M1095" i="1"/>
  <c r="K1095" i="1"/>
  <c r="I1104" i="1"/>
  <c r="N1103" i="1"/>
  <c r="M1103" i="1"/>
  <c r="L1103" i="1"/>
  <c r="K1103" i="1"/>
  <c r="I1112" i="1"/>
  <c r="N1111" i="1"/>
  <c r="M1111" i="1"/>
  <c r="L1111" i="1"/>
  <c r="I1120" i="1"/>
  <c r="N1119" i="1"/>
  <c r="M1119" i="1"/>
  <c r="L1119" i="1"/>
  <c r="K1119" i="1"/>
  <c r="I1128" i="1"/>
  <c r="N1127" i="1"/>
  <c r="M1127" i="1"/>
  <c r="L1127" i="1"/>
  <c r="K1127" i="1"/>
  <c r="I1136" i="1"/>
  <c r="N1135" i="1"/>
  <c r="M1135" i="1"/>
  <c r="L1135" i="1"/>
  <c r="K1135" i="1"/>
  <c r="I1144" i="1"/>
  <c r="N1143" i="1"/>
  <c r="M1143" i="1"/>
  <c r="K1143" i="1"/>
  <c r="I1152" i="1"/>
  <c r="N1151" i="1"/>
  <c r="M1151" i="1"/>
  <c r="K1151" i="1"/>
  <c r="I1160" i="1"/>
  <c r="N1159" i="1"/>
  <c r="M1159" i="1"/>
  <c r="L1159" i="1"/>
  <c r="K1159" i="1"/>
  <c r="I1168" i="1"/>
  <c r="N1167" i="1"/>
  <c r="M1167" i="1"/>
  <c r="L1167" i="1"/>
  <c r="K1167" i="1"/>
  <c r="I1176" i="1"/>
  <c r="N1175" i="1"/>
  <c r="M1175" i="1"/>
  <c r="K1175" i="1"/>
  <c r="I1184" i="1"/>
  <c r="N1183" i="1"/>
  <c r="M1183" i="1"/>
  <c r="L1183" i="1"/>
  <c r="K1183" i="1"/>
  <c r="I1192" i="1"/>
  <c r="N1191" i="1"/>
  <c r="M1191" i="1"/>
  <c r="L1191" i="1"/>
  <c r="K1191" i="1"/>
  <c r="I1200" i="1"/>
  <c r="N1199" i="1"/>
  <c r="M1199" i="1"/>
  <c r="L1199" i="1"/>
  <c r="K1199" i="1"/>
  <c r="I1208" i="1"/>
  <c r="N1207" i="1"/>
  <c r="M1207" i="1"/>
  <c r="L1207" i="1"/>
  <c r="K1207" i="1"/>
  <c r="I1216" i="1"/>
  <c r="N1215" i="1"/>
  <c r="M1215" i="1"/>
  <c r="L1215" i="1"/>
  <c r="K1215" i="1"/>
  <c r="I1224" i="1"/>
  <c r="N1223" i="1"/>
  <c r="M1223" i="1"/>
  <c r="L1223" i="1"/>
  <c r="I1232" i="1"/>
  <c r="N1231" i="1"/>
  <c r="M1231" i="1"/>
  <c r="L1231" i="1"/>
  <c r="K1231" i="1"/>
  <c r="I1240" i="1"/>
  <c r="N1239" i="1"/>
  <c r="M1239" i="1"/>
  <c r="L1239" i="1"/>
  <c r="K1239" i="1"/>
  <c r="I1248" i="1"/>
  <c r="N1247" i="1"/>
  <c r="M1247" i="1"/>
  <c r="K1247" i="1"/>
  <c r="I1256" i="1"/>
  <c r="N1255" i="1"/>
  <c r="M1255" i="1"/>
  <c r="L1255" i="1"/>
  <c r="K1255" i="1"/>
  <c r="I1264" i="1"/>
  <c r="N1263" i="1"/>
  <c r="M1263" i="1"/>
  <c r="K1263" i="1"/>
  <c r="I1272" i="1"/>
  <c r="N1271" i="1"/>
  <c r="K1271" i="1"/>
  <c r="I1280" i="1"/>
  <c r="N1279" i="1"/>
  <c r="K1279" i="1"/>
  <c r="I1288" i="1"/>
  <c r="N1287" i="1"/>
  <c r="M1287" i="1"/>
  <c r="L1287" i="1"/>
  <c r="K1287" i="1"/>
  <c r="I1296" i="1"/>
  <c r="N1295" i="1"/>
  <c r="M1295" i="1"/>
  <c r="L1295" i="1"/>
  <c r="I1304" i="1"/>
  <c r="N1303" i="1"/>
  <c r="M1303" i="1"/>
  <c r="K1303" i="1"/>
  <c r="I1312" i="1"/>
  <c r="N1311" i="1"/>
  <c r="M1311" i="1"/>
  <c r="L1311" i="1"/>
  <c r="I1320" i="1"/>
  <c r="N1319" i="1"/>
  <c r="M1319" i="1"/>
  <c r="L1319" i="1"/>
  <c r="K1319" i="1"/>
  <c r="I1328" i="1"/>
  <c r="N1327" i="1"/>
  <c r="M1327" i="1"/>
  <c r="L1327" i="1"/>
  <c r="K1327" i="1"/>
  <c r="I1336" i="1"/>
  <c r="N1335" i="1"/>
  <c r="M1335" i="1"/>
  <c r="L1335" i="1"/>
  <c r="K1335" i="1"/>
  <c r="I1344" i="1"/>
  <c r="N1343" i="1"/>
  <c r="M1343" i="1"/>
  <c r="L1343" i="1"/>
  <c r="K1343" i="1"/>
  <c r="I1352" i="1"/>
  <c r="N1351" i="1"/>
  <c r="M1351" i="1"/>
  <c r="L1351" i="1"/>
  <c r="K1351" i="1"/>
  <c r="I1360" i="1"/>
  <c r="N1359" i="1"/>
  <c r="M1359" i="1"/>
  <c r="L1359" i="1"/>
  <c r="K1359" i="1"/>
  <c r="I1368" i="1"/>
  <c r="N1367" i="1"/>
  <c r="M1367" i="1"/>
  <c r="L1367" i="1"/>
  <c r="K1367" i="1"/>
  <c r="I1376" i="1"/>
  <c r="N1375" i="1"/>
  <c r="M1375" i="1"/>
  <c r="L1375" i="1"/>
  <c r="K1375" i="1"/>
  <c r="I1384" i="1"/>
  <c r="N1383" i="1"/>
  <c r="M1383" i="1"/>
  <c r="L1383" i="1"/>
  <c r="K1383" i="1"/>
  <c r="I1392" i="1"/>
  <c r="N1391" i="1"/>
  <c r="M1391" i="1"/>
  <c r="L1391" i="1"/>
  <c r="K1391" i="1"/>
  <c r="I1400" i="1"/>
  <c r="N1399" i="1"/>
  <c r="M1399" i="1"/>
  <c r="K1399" i="1"/>
  <c r="I1408" i="1"/>
  <c r="N1407" i="1"/>
  <c r="M1407" i="1"/>
  <c r="L1407" i="1"/>
  <c r="K1407" i="1"/>
  <c r="I1416" i="1"/>
  <c r="N1415" i="1"/>
  <c r="M1415" i="1"/>
  <c r="L1415" i="1"/>
  <c r="K1415" i="1"/>
  <c r="I1424" i="1"/>
  <c r="N1423" i="1"/>
  <c r="L1423" i="1"/>
  <c r="K1423" i="1"/>
  <c r="I1432" i="1"/>
  <c r="N1431" i="1"/>
  <c r="M1431" i="1"/>
  <c r="L1431" i="1"/>
  <c r="K1431" i="1"/>
  <c r="I1440" i="1"/>
  <c r="N1439" i="1"/>
  <c r="M1439" i="1"/>
  <c r="L1439" i="1"/>
  <c r="K1439" i="1"/>
  <c r="I1448" i="1"/>
  <c r="N1447" i="1"/>
  <c r="K1447" i="1"/>
  <c r="I1456" i="1"/>
  <c r="N1455" i="1"/>
  <c r="M1455" i="1"/>
  <c r="L1455" i="1"/>
  <c r="I1464" i="1"/>
  <c r="N1463" i="1"/>
  <c r="M1463" i="1"/>
  <c r="L1463" i="1"/>
  <c r="K1463" i="1"/>
  <c r="I1472" i="1"/>
  <c r="N1471" i="1"/>
  <c r="M1471" i="1"/>
  <c r="L1471" i="1"/>
  <c r="K1471" i="1"/>
  <c r="I1480" i="1"/>
  <c r="N1479" i="1"/>
  <c r="M1479" i="1"/>
  <c r="L1479" i="1"/>
  <c r="K1479" i="1"/>
  <c r="I1488" i="1"/>
  <c r="N1487" i="1"/>
  <c r="M1487" i="1"/>
  <c r="L1487" i="1"/>
  <c r="K1487" i="1"/>
  <c r="I1496" i="1"/>
  <c r="N1495" i="1"/>
  <c r="M1495" i="1"/>
  <c r="L1495" i="1"/>
  <c r="I1504" i="1"/>
  <c r="N1503" i="1"/>
  <c r="M1503" i="1"/>
  <c r="L1503" i="1"/>
  <c r="K1503" i="1"/>
  <c r="I1512" i="1"/>
  <c r="N1511" i="1"/>
  <c r="M1511" i="1"/>
  <c r="L1511" i="1"/>
  <c r="K1511" i="1"/>
  <c r="I1520" i="1"/>
  <c r="N1519" i="1"/>
  <c r="M1519" i="1"/>
  <c r="L1519" i="1"/>
  <c r="K1519" i="1"/>
  <c r="I1528" i="1"/>
  <c r="M1527" i="1"/>
  <c r="L1527" i="1"/>
  <c r="K1527" i="1"/>
  <c r="I1536" i="1"/>
  <c r="N1535" i="1"/>
  <c r="M1535" i="1"/>
  <c r="L1535" i="1"/>
  <c r="K1535" i="1"/>
  <c r="I1544" i="1"/>
  <c r="N1543" i="1"/>
  <c r="M1543" i="1"/>
  <c r="L1543" i="1"/>
  <c r="K1543" i="1"/>
  <c r="I1552" i="1"/>
  <c r="N1551" i="1"/>
  <c r="M1551" i="1"/>
  <c r="L1551" i="1"/>
  <c r="K1551" i="1"/>
  <c r="I1560" i="1"/>
  <c r="N1559" i="1"/>
  <c r="M1559" i="1"/>
  <c r="L1559" i="1"/>
  <c r="I1568" i="1"/>
  <c r="N1567" i="1"/>
  <c r="M1567" i="1"/>
  <c r="L1567" i="1"/>
  <c r="K1567" i="1"/>
  <c r="I1576" i="1"/>
  <c r="N1575" i="1"/>
  <c r="M1575" i="1"/>
  <c r="L1575" i="1"/>
  <c r="K1575" i="1"/>
  <c r="I1584" i="1"/>
  <c r="N1583" i="1"/>
  <c r="M1583" i="1"/>
  <c r="L1583" i="1"/>
  <c r="I1592" i="1"/>
  <c r="N1591" i="1"/>
  <c r="M1591" i="1"/>
  <c r="L1591" i="1"/>
  <c r="K1591" i="1"/>
  <c r="I1600" i="1"/>
  <c r="N1599" i="1"/>
  <c r="M1599" i="1"/>
  <c r="L1599" i="1"/>
  <c r="K1599" i="1"/>
  <c r="I1608" i="1"/>
  <c r="N1607" i="1"/>
  <c r="M1607" i="1"/>
  <c r="L1607" i="1"/>
  <c r="K1607" i="1"/>
  <c r="I1616" i="1"/>
  <c r="N1615" i="1"/>
  <c r="M1615" i="1"/>
  <c r="L1615" i="1"/>
  <c r="K1615" i="1"/>
  <c r="I1624" i="1"/>
  <c r="N1623" i="1"/>
  <c r="M1623" i="1"/>
  <c r="L1623" i="1"/>
  <c r="K1623" i="1"/>
  <c r="I1632" i="1"/>
  <c r="N1631" i="1"/>
  <c r="M1631" i="1"/>
  <c r="L1631" i="1"/>
  <c r="K1631" i="1"/>
  <c r="I1640" i="1"/>
  <c r="N1639" i="1"/>
  <c r="M1639" i="1"/>
  <c r="L1639" i="1"/>
  <c r="K1639" i="1"/>
  <c r="I1648" i="1"/>
  <c r="N1647" i="1"/>
  <c r="M1647" i="1"/>
  <c r="L1647" i="1"/>
  <c r="K1647" i="1"/>
  <c r="I1656" i="1"/>
  <c r="N1655" i="1"/>
  <c r="M1655" i="1"/>
  <c r="L1655" i="1"/>
  <c r="K1655" i="1"/>
  <c r="I1664" i="1"/>
  <c r="N1663" i="1"/>
  <c r="M1663" i="1"/>
  <c r="L1663" i="1"/>
  <c r="I1672" i="1"/>
  <c r="N1671" i="1"/>
  <c r="M1671" i="1"/>
  <c r="L1671" i="1"/>
  <c r="I1680" i="1"/>
  <c r="N1679" i="1"/>
  <c r="M1679" i="1"/>
  <c r="L1679" i="1"/>
  <c r="K1679" i="1"/>
  <c r="I1688" i="1"/>
  <c r="N1687" i="1"/>
  <c r="M1687" i="1"/>
  <c r="K1687" i="1"/>
  <c r="I1696" i="1"/>
  <c r="N1695" i="1"/>
  <c r="M1695" i="1"/>
  <c r="L1695" i="1"/>
  <c r="I1704" i="1"/>
  <c r="N1703" i="1"/>
  <c r="M1703" i="1"/>
  <c r="L1703" i="1"/>
  <c r="K1703" i="1"/>
  <c r="I1712" i="1"/>
  <c r="N1711" i="1"/>
  <c r="M1711" i="1"/>
  <c r="L1711" i="1"/>
  <c r="K1711" i="1"/>
  <c r="I1720" i="1"/>
  <c r="N1719" i="1"/>
  <c r="M1719" i="1"/>
  <c r="L1719" i="1"/>
  <c r="K1719" i="1"/>
  <c r="I1728" i="1"/>
  <c r="N1727" i="1"/>
  <c r="M1727" i="1"/>
  <c r="L1727" i="1"/>
  <c r="K1727" i="1"/>
  <c r="I1736" i="1"/>
  <c r="N1735" i="1"/>
  <c r="M1735" i="1"/>
  <c r="L1735" i="1"/>
  <c r="K1735" i="1"/>
  <c r="I1744" i="1"/>
  <c r="N1743" i="1"/>
  <c r="M1743" i="1"/>
  <c r="L1743" i="1"/>
  <c r="I1752" i="1"/>
  <c r="N1751" i="1"/>
  <c r="M1751" i="1"/>
  <c r="L1751" i="1"/>
  <c r="K1751" i="1"/>
  <c r="I1760" i="1"/>
  <c r="N1759" i="1"/>
  <c r="M1759" i="1"/>
  <c r="L1759" i="1"/>
  <c r="K1759" i="1"/>
  <c r="I1768" i="1"/>
  <c r="N1767" i="1"/>
  <c r="M1767" i="1"/>
  <c r="L1767" i="1"/>
  <c r="I1776" i="1"/>
  <c r="N1775" i="1"/>
  <c r="M1775" i="1"/>
  <c r="K1775" i="1"/>
  <c r="I1784" i="1"/>
  <c r="N1783" i="1"/>
  <c r="M1783" i="1"/>
  <c r="K1783" i="1"/>
  <c r="I1792" i="1"/>
  <c r="N1791" i="1"/>
  <c r="M1791" i="1"/>
  <c r="L1791" i="1"/>
  <c r="K1791" i="1"/>
  <c r="I1800" i="1"/>
  <c r="N1799" i="1"/>
  <c r="M1799" i="1"/>
  <c r="L1799" i="1"/>
  <c r="K1799" i="1"/>
  <c r="I1808" i="1"/>
  <c r="N1807" i="1"/>
  <c r="M1807" i="1"/>
  <c r="L1807" i="1"/>
  <c r="K1807" i="1"/>
  <c r="I1816" i="1"/>
  <c r="N1815" i="1"/>
  <c r="M1815" i="1"/>
  <c r="L1815" i="1"/>
  <c r="I1824" i="1"/>
  <c r="N1823" i="1"/>
  <c r="M1823" i="1"/>
  <c r="L1823" i="1"/>
  <c r="K1823" i="1"/>
  <c r="I1832" i="1"/>
  <c r="N1831" i="1"/>
  <c r="M1831" i="1"/>
  <c r="L1831" i="1"/>
  <c r="K1831" i="1"/>
  <c r="I1840" i="1"/>
  <c r="N1839" i="1"/>
  <c r="M1839" i="1"/>
  <c r="L1839" i="1"/>
  <c r="K1839" i="1"/>
  <c r="I1848" i="1"/>
  <c r="N1847" i="1"/>
  <c r="M1847" i="1"/>
  <c r="L1847" i="1"/>
  <c r="K1847" i="1"/>
  <c r="I1856" i="1"/>
  <c r="N1855" i="1"/>
  <c r="M1855" i="1"/>
  <c r="L1855" i="1"/>
  <c r="K1855" i="1"/>
  <c r="I1864" i="1"/>
  <c r="N1863" i="1"/>
  <c r="M1863" i="1"/>
  <c r="L1863" i="1"/>
  <c r="K1863" i="1"/>
  <c r="I1872" i="1"/>
  <c r="N1871" i="1"/>
  <c r="M1871" i="1"/>
  <c r="L1871" i="1"/>
  <c r="K1871" i="1"/>
  <c r="I1880" i="1"/>
  <c r="N1879" i="1"/>
  <c r="M1879" i="1"/>
  <c r="K1879" i="1"/>
  <c r="I1888" i="1"/>
  <c r="N1887" i="1"/>
  <c r="M1887" i="1"/>
  <c r="K1887" i="1"/>
  <c r="I1896" i="1"/>
  <c r="N1895" i="1"/>
  <c r="M1895" i="1"/>
  <c r="L1895" i="1"/>
  <c r="K1895" i="1"/>
  <c r="I1904" i="1"/>
  <c r="N1903" i="1"/>
  <c r="M1903" i="1"/>
  <c r="L1903" i="1"/>
  <c r="K1903" i="1"/>
  <c r="I1912" i="1"/>
  <c r="N1911" i="1"/>
  <c r="M1911" i="1"/>
  <c r="L1911" i="1"/>
  <c r="K1911" i="1"/>
  <c r="I1920" i="1"/>
  <c r="N1919" i="1"/>
  <c r="M1919" i="1"/>
  <c r="L1919" i="1"/>
  <c r="K1919" i="1"/>
  <c r="I1928" i="1"/>
  <c r="N1927" i="1"/>
  <c r="M1927" i="1"/>
  <c r="L1927" i="1"/>
  <c r="K1927" i="1"/>
  <c r="I1936" i="1"/>
  <c r="N1935" i="1"/>
  <c r="M1935" i="1"/>
  <c r="K1935" i="1"/>
  <c r="I1944" i="1"/>
  <c r="N1943" i="1"/>
  <c r="M1943" i="1"/>
  <c r="L1943" i="1"/>
  <c r="K1943" i="1"/>
  <c r="I1952" i="1"/>
  <c r="N1951" i="1"/>
  <c r="M1951" i="1"/>
  <c r="L1951" i="1"/>
  <c r="K1951" i="1"/>
  <c r="I1960" i="1"/>
  <c r="N1959" i="1"/>
  <c r="M1959" i="1"/>
  <c r="K1959" i="1"/>
  <c r="I1968" i="1"/>
  <c r="N1967" i="1"/>
  <c r="M1967" i="1"/>
  <c r="L1967" i="1"/>
  <c r="K1967" i="1"/>
  <c r="I1976" i="1"/>
  <c r="N1975" i="1"/>
  <c r="M1975" i="1"/>
  <c r="L1975" i="1"/>
  <c r="K1975" i="1"/>
  <c r="I1984" i="1"/>
  <c r="N1983" i="1"/>
  <c r="M1983" i="1"/>
  <c r="K1983" i="1"/>
  <c r="I1992" i="1"/>
  <c r="N1991" i="1"/>
  <c r="M1991" i="1"/>
  <c r="K1991" i="1"/>
  <c r="I2000" i="1"/>
  <c r="N1999" i="1"/>
  <c r="M1999" i="1"/>
  <c r="K1999" i="1"/>
  <c r="I2008" i="1"/>
  <c r="N2007" i="1"/>
  <c r="M2007" i="1"/>
  <c r="L2007" i="1"/>
  <c r="I2016" i="1"/>
  <c r="N2015" i="1"/>
  <c r="M2015" i="1"/>
  <c r="L2015" i="1"/>
  <c r="K2015" i="1"/>
  <c r="I2024" i="1"/>
  <c r="N2023" i="1"/>
  <c r="M2023" i="1"/>
  <c r="L2023" i="1"/>
  <c r="K2023" i="1"/>
  <c r="I2032" i="1"/>
  <c r="N2031" i="1"/>
  <c r="M2031" i="1"/>
  <c r="L2031" i="1"/>
  <c r="K2031" i="1"/>
  <c r="I2040" i="1"/>
  <c r="N2039" i="1"/>
  <c r="M2039" i="1"/>
  <c r="K2039" i="1"/>
  <c r="I2048" i="1"/>
  <c r="N2047" i="1"/>
  <c r="M2047" i="1"/>
  <c r="L2047" i="1"/>
  <c r="I2056" i="1"/>
  <c r="N2055" i="1"/>
  <c r="M2055" i="1"/>
  <c r="K2055" i="1"/>
  <c r="I2064" i="1"/>
  <c r="N2063" i="1"/>
  <c r="M2063" i="1"/>
  <c r="L2063" i="1"/>
  <c r="I2072" i="1"/>
  <c r="N2071" i="1"/>
  <c r="M2071" i="1"/>
  <c r="K2071" i="1"/>
  <c r="I2080" i="1"/>
  <c r="M2079" i="1"/>
  <c r="L2079" i="1"/>
  <c r="I2088" i="1"/>
  <c r="N2087" i="1"/>
  <c r="M2087" i="1"/>
  <c r="K2087" i="1"/>
  <c r="I2096" i="1"/>
  <c r="N2095" i="1"/>
  <c r="M2095" i="1"/>
  <c r="L2095" i="1"/>
  <c r="K2095" i="1"/>
  <c r="I2104" i="1"/>
  <c r="N2103" i="1"/>
  <c r="M2103" i="1"/>
  <c r="L2103" i="1"/>
  <c r="K2103" i="1"/>
  <c r="I2112" i="1"/>
  <c r="N2111" i="1"/>
  <c r="M2111" i="1"/>
  <c r="L2111" i="1"/>
  <c r="K2111" i="1"/>
  <c r="I2120" i="1"/>
  <c r="N2119" i="1"/>
  <c r="M2119" i="1"/>
  <c r="L2119" i="1"/>
  <c r="I2128" i="1"/>
  <c r="N2127" i="1"/>
  <c r="M2127" i="1"/>
  <c r="L2127" i="1"/>
  <c r="K2127" i="1"/>
  <c r="I2136" i="1"/>
  <c r="N2135" i="1"/>
  <c r="M2135" i="1"/>
  <c r="K2135" i="1"/>
  <c r="I2144" i="1"/>
  <c r="N2143" i="1"/>
  <c r="M2143" i="1"/>
  <c r="L2143" i="1"/>
  <c r="K2143" i="1"/>
  <c r="I2152" i="1"/>
  <c r="N2151" i="1"/>
  <c r="M2151" i="1"/>
  <c r="K2151" i="1"/>
  <c r="I2160" i="1"/>
  <c r="N2159" i="1"/>
  <c r="M2159" i="1"/>
  <c r="K2159" i="1"/>
  <c r="I2168" i="1"/>
  <c r="N2167" i="1"/>
  <c r="M2167" i="1"/>
  <c r="L2167" i="1"/>
  <c r="I2176" i="1"/>
  <c r="N2175" i="1"/>
  <c r="M2175" i="1"/>
  <c r="L2175" i="1"/>
  <c r="I2184" i="1"/>
  <c r="N2183" i="1"/>
  <c r="M2183" i="1"/>
  <c r="L2183" i="1"/>
  <c r="K2183" i="1"/>
  <c r="I2192" i="1"/>
  <c r="N2191" i="1"/>
  <c r="M2191" i="1"/>
  <c r="L2191" i="1"/>
  <c r="I2200" i="1"/>
  <c r="N2199" i="1"/>
  <c r="M2199" i="1"/>
  <c r="L2199" i="1"/>
  <c r="K2199" i="1"/>
  <c r="I2208" i="1"/>
  <c r="N2207" i="1"/>
  <c r="M2207" i="1"/>
  <c r="L2207" i="1"/>
  <c r="K2207" i="1"/>
  <c r="I2216" i="1"/>
  <c r="N2215" i="1"/>
  <c r="M2215" i="1"/>
  <c r="L2215" i="1"/>
  <c r="K2215" i="1"/>
  <c r="I2224" i="1"/>
  <c r="M2223" i="1"/>
  <c r="L2223" i="1"/>
  <c r="K2223" i="1"/>
  <c r="I2232" i="1"/>
  <c r="M2231" i="1"/>
  <c r="L2231" i="1"/>
  <c r="I2240" i="1"/>
  <c r="N2239" i="1"/>
  <c r="M2239" i="1"/>
  <c r="L2239" i="1"/>
  <c r="K2239" i="1"/>
  <c r="I2248" i="1"/>
  <c r="N2247" i="1"/>
  <c r="M2247" i="1"/>
  <c r="L2247" i="1"/>
  <c r="K2247" i="1"/>
  <c r="I2256" i="1"/>
  <c r="N2255" i="1"/>
  <c r="M2255" i="1"/>
  <c r="L2255" i="1"/>
  <c r="K2255" i="1"/>
  <c r="I2264" i="1"/>
  <c r="N2263" i="1"/>
  <c r="L2263" i="1"/>
  <c r="K2263" i="1"/>
  <c r="I2272" i="1"/>
  <c r="N2271" i="1"/>
  <c r="M2271" i="1"/>
  <c r="L2271" i="1"/>
  <c r="K2271" i="1"/>
  <c r="I2280" i="1"/>
  <c r="N2279" i="1"/>
  <c r="M2279" i="1"/>
  <c r="L2279" i="1"/>
  <c r="K2279" i="1"/>
  <c r="I2288" i="1"/>
  <c r="N2287" i="1"/>
  <c r="M2287" i="1"/>
  <c r="L2287" i="1"/>
  <c r="I2296" i="1"/>
  <c r="N2295" i="1"/>
  <c r="M2295" i="1"/>
  <c r="L2295" i="1"/>
  <c r="K2295" i="1"/>
  <c r="I2304" i="1"/>
  <c r="N2303" i="1"/>
  <c r="M2303" i="1"/>
  <c r="L2303" i="1"/>
  <c r="K2303" i="1"/>
  <c r="I2312" i="1"/>
  <c r="N2311" i="1"/>
  <c r="M2311" i="1"/>
  <c r="K2311" i="1"/>
  <c r="I2320" i="1"/>
  <c r="N2319" i="1"/>
  <c r="M2319" i="1"/>
  <c r="L2319" i="1"/>
  <c r="K2319" i="1"/>
  <c r="I2328" i="1"/>
  <c r="N2327" i="1"/>
  <c r="M2327" i="1"/>
  <c r="L2327" i="1"/>
  <c r="I2336" i="1"/>
  <c r="N2335" i="1"/>
  <c r="M2335" i="1"/>
  <c r="L2335" i="1"/>
  <c r="K2335" i="1"/>
  <c r="I2344" i="1"/>
  <c r="N2343" i="1"/>
  <c r="M2343" i="1"/>
  <c r="L2343" i="1"/>
  <c r="K2343" i="1"/>
  <c r="I2352" i="1"/>
  <c r="N2351" i="1"/>
  <c r="M2351" i="1"/>
  <c r="L2351" i="1"/>
  <c r="K2351" i="1"/>
  <c r="I2360" i="1"/>
  <c r="N2359" i="1"/>
  <c r="M2359" i="1"/>
  <c r="L2359" i="1"/>
  <c r="I2368" i="1"/>
  <c r="N2367" i="1"/>
  <c r="M2367" i="1"/>
  <c r="L2367" i="1"/>
  <c r="K2367" i="1"/>
  <c r="I2376" i="1"/>
  <c r="N2375" i="1"/>
  <c r="M2375" i="1"/>
  <c r="L2375" i="1"/>
  <c r="I2384" i="1"/>
  <c r="N2383" i="1"/>
  <c r="M2383" i="1"/>
  <c r="L2383" i="1"/>
  <c r="I2392" i="1"/>
  <c r="N2391" i="1"/>
  <c r="M2391" i="1"/>
  <c r="L2391" i="1"/>
  <c r="I2400" i="1"/>
  <c r="N2399" i="1"/>
  <c r="M2399" i="1"/>
  <c r="L2399" i="1"/>
  <c r="K2399" i="1"/>
  <c r="I2408" i="1"/>
  <c r="N2407" i="1"/>
  <c r="M2407" i="1"/>
  <c r="L2407" i="1"/>
  <c r="K2407" i="1"/>
  <c r="I2416" i="1"/>
  <c r="N2415" i="1"/>
  <c r="M2415" i="1"/>
  <c r="K2415" i="1"/>
  <c r="I2424" i="1"/>
  <c r="N2423" i="1"/>
  <c r="K2423" i="1"/>
  <c r="I2432" i="1"/>
  <c r="M2431" i="1"/>
  <c r="L2431" i="1"/>
  <c r="I2440" i="1"/>
  <c r="N2439" i="1"/>
  <c r="M2439" i="1"/>
  <c r="L2439" i="1"/>
  <c r="K2439" i="1"/>
  <c r="I2448" i="1"/>
  <c r="N2447" i="1"/>
  <c r="M2447" i="1"/>
  <c r="L2447" i="1"/>
  <c r="K2447" i="1"/>
  <c r="I2456" i="1"/>
  <c r="N2455" i="1"/>
  <c r="M2455" i="1"/>
  <c r="L2455" i="1"/>
  <c r="I2464" i="1"/>
  <c r="N2463" i="1"/>
  <c r="M2463" i="1"/>
  <c r="L2463" i="1"/>
  <c r="K2463" i="1"/>
  <c r="I2472" i="1"/>
  <c r="N2471" i="1"/>
  <c r="M2471" i="1"/>
  <c r="K2471" i="1"/>
  <c r="I2480" i="1"/>
  <c r="N2479" i="1"/>
  <c r="M2479" i="1"/>
  <c r="L2479" i="1"/>
  <c r="I2488" i="1"/>
  <c r="N2487" i="1"/>
  <c r="M2487" i="1"/>
  <c r="L2487" i="1"/>
  <c r="K2487" i="1"/>
  <c r="I2496" i="1"/>
  <c r="N2495" i="1"/>
  <c r="M2495" i="1"/>
  <c r="L2495" i="1"/>
  <c r="K2495" i="1"/>
  <c r="I2504" i="1"/>
  <c r="N2503" i="1"/>
  <c r="M2503" i="1"/>
  <c r="L2503" i="1"/>
  <c r="I2512" i="1"/>
  <c r="N2511" i="1"/>
  <c r="M2511" i="1"/>
  <c r="L2511" i="1"/>
  <c r="K2511" i="1"/>
  <c r="N2519" i="1"/>
  <c r="M2519" i="1"/>
  <c r="L2519" i="1"/>
  <c r="K2519" i="1"/>
  <c r="I108" i="1"/>
  <c r="M107" i="1"/>
  <c r="L107" i="1"/>
  <c r="K107" i="1"/>
  <c r="I116" i="1"/>
  <c r="N115" i="1"/>
  <c r="M115" i="1"/>
  <c r="L115" i="1"/>
  <c r="K115" i="1"/>
  <c r="I124" i="1"/>
  <c r="N123" i="1"/>
  <c r="M123" i="1"/>
  <c r="L123" i="1"/>
  <c r="K123" i="1"/>
  <c r="I132" i="1"/>
  <c r="M131" i="1"/>
  <c r="L131" i="1"/>
  <c r="I140" i="1"/>
  <c r="M139" i="1"/>
  <c r="L139" i="1"/>
  <c r="I148" i="1"/>
  <c r="N147" i="1"/>
  <c r="M147" i="1"/>
  <c r="K147" i="1"/>
  <c r="I156" i="1"/>
  <c r="N155" i="1"/>
  <c r="M155" i="1"/>
  <c r="L155" i="1"/>
  <c r="K155" i="1"/>
  <c r="I164" i="1"/>
  <c r="N163" i="1"/>
  <c r="M163" i="1"/>
  <c r="L163" i="1"/>
  <c r="K163" i="1"/>
  <c r="I172" i="1"/>
  <c r="M171" i="1"/>
  <c r="L171" i="1"/>
  <c r="I180" i="1"/>
  <c r="N179" i="1"/>
  <c r="M179" i="1"/>
  <c r="L179" i="1"/>
  <c r="K179" i="1"/>
  <c r="I188" i="1"/>
  <c r="N187" i="1"/>
  <c r="M187" i="1"/>
  <c r="L187" i="1"/>
  <c r="I196" i="1"/>
  <c r="N195" i="1"/>
  <c r="M195" i="1"/>
  <c r="K195" i="1"/>
  <c r="I204" i="1"/>
  <c r="N203" i="1"/>
  <c r="M203" i="1"/>
  <c r="L203" i="1"/>
  <c r="K203" i="1"/>
  <c r="I212" i="1"/>
  <c r="N211" i="1"/>
  <c r="M211" i="1"/>
  <c r="L211" i="1"/>
  <c r="K211" i="1"/>
  <c r="I220" i="1"/>
  <c r="N219" i="1"/>
  <c r="M219" i="1"/>
  <c r="L219" i="1"/>
  <c r="K219" i="1"/>
  <c r="I228" i="1"/>
  <c r="N227" i="1"/>
  <c r="M227" i="1"/>
  <c r="L227" i="1"/>
  <c r="K227" i="1"/>
  <c r="I236" i="1"/>
  <c r="N235" i="1"/>
  <c r="M235" i="1"/>
  <c r="L235" i="1"/>
  <c r="I244" i="1"/>
  <c r="N243" i="1"/>
  <c r="M243" i="1"/>
  <c r="L243" i="1"/>
  <c r="K243" i="1"/>
  <c r="I252" i="1"/>
  <c r="N251" i="1"/>
  <c r="M251" i="1"/>
  <c r="L251" i="1"/>
  <c r="K251" i="1"/>
  <c r="I101" i="1"/>
  <c r="N100" i="1"/>
  <c r="M100" i="1"/>
  <c r="L100" i="1"/>
  <c r="K100" i="1"/>
  <c r="I109" i="1"/>
  <c r="M108" i="1"/>
  <c r="L108" i="1"/>
  <c r="I117" i="1"/>
  <c r="M116" i="1"/>
  <c r="L116" i="1"/>
  <c r="I125" i="1"/>
  <c r="N124" i="1"/>
  <c r="M124" i="1"/>
  <c r="L124" i="1"/>
  <c r="K124" i="1"/>
  <c r="I133" i="1"/>
  <c r="M132" i="1"/>
  <c r="L132" i="1"/>
  <c r="I141" i="1"/>
  <c r="N140" i="1"/>
  <c r="M140" i="1"/>
  <c r="L140" i="1"/>
  <c r="I149" i="1"/>
  <c r="N148" i="1"/>
  <c r="M148" i="1"/>
  <c r="L148" i="1"/>
  <c r="I157" i="1"/>
  <c r="N156" i="1"/>
  <c r="M156" i="1"/>
  <c r="K156" i="1"/>
  <c r="I165" i="1"/>
  <c r="N164" i="1"/>
  <c r="M164" i="1"/>
  <c r="L164" i="1"/>
  <c r="K164" i="1"/>
  <c r="I173" i="1"/>
  <c r="N172" i="1"/>
  <c r="M172" i="1"/>
  <c r="L172" i="1"/>
  <c r="I181" i="1"/>
  <c r="N180" i="1"/>
  <c r="M180" i="1"/>
  <c r="L180" i="1"/>
  <c r="K180" i="1"/>
  <c r="I189" i="1"/>
  <c r="N188" i="1"/>
  <c r="M188" i="1"/>
  <c r="L188" i="1"/>
  <c r="K188" i="1"/>
  <c r="I197" i="1"/>
  <c r="N196" i="1"/>
  <c r="M196" i="1"/>
  <c r="L196" i="1"/>
  <c r="K196" i="1"/>
  <c r="I205" i="1"/>
  <c r="N204" i="1"/>
  <c r="M204" i="1"/>
  <c r="K204" i="1"/>
  <c r="I213" i="1"/>
  <c r="N212" i="1"/>
  <c r="M212" i="1"/>
  <c r="L212" i="1"/>
  <c r="K212" i="1"/>
  <c r="I221" i="1"/>
  <c r="N220" i="1"/>
  <c r="M220" i="1"/>
  <c r="L220" i="1"/>
  <c r="K220" i="1"/>
  <c r="I229" i="1"/>
  <c r="N228" i="1"/>
  <c r="M228" i="1"/>
  <c r="K228" i="1"/>
  <c r="I237" i="1"/>
  <c r="N236" i="1"/>
  <c r="M236" i="1"/>
  <c r="L236" i="1"/>
  <c r="K236" i="1"/>
  <c r="I245" i="1"/>
  <c r="N244" i="1"/>
  <c r="M244" i="1"/>
  <c r="L244" i="1"/>
  <c r="K244" i="1"/>
  <c r="I253" i="1"/>
  <c r="N252" i="1"/>
  <c r="M252" i="1"/>
  <c r="L252" i="1"/>
  <c r="K252" i="1"/>
  <c r="I310" i="1"/>
  <c r="N309" i="1"/>
  <c r="M309" i="1"/>
  <c r="L309" i="1"/>
  <c r="I318" i="1"/>
  <c r="N317" i="1"/>
  <c r="M317" i="1"/>
  <c r="L317" i="1"/>
  <c r="K317" i="1"/>
  <c r="I326" i="1"/>
  <c r="N325" i="1"/>
  <c r="M325" i="1"/>
  <c r="L325" i="1"/>
  <c r="K325" i="1"/>
  <c r="I334" i="1"/>
  <c r="N333" i="1"/>
  <c r="M333" i="1"/>
  <c r="L333" i="1"/>
  <c r="K333" i="1"/>
  <c r="I342" i="1"/>
  <c r="N341" i="1"/>
  <c r="M341" i="1"/>
  <c r="K341" i="1"/>
  <c r="I350" i="1"/>
  <c r="N349" i="1"/>
  <c r="M349" i="1"/>
  <c r="L349" i="1"/>
  <c r="K349" i="1"/>
  <c r="I358" i="1"/>
  <c r="N357" i="1"/>
  <c r="M357" i="1"/>
  <c r="L357" i="1"/>
  <c r="K357" i="1"/>
  <c r="I366" i="1"/>
  <c r="M365" i="1"/>
  <c r="L365" i="1"/>
  <c r="I374" i="1"/>
  <c r="M373" i="1"/>
  <c r="L373" i="1"/>
  <c r="I382" i="1"/>
  <c r="N381" i="1"/>
  <c r="M381" i="1"/>
  <c r="L381" i="1"/>
  <c r="I390" i="1"/>
  <c r="N389" i="1"/>
  <c r="M389" i="1"/>
  <c r="L389" i="1"/>
  <c r="K389" i="1"/>
  <c r="I398" i="1"/>
  <c r="N397" i="1"/>
  <c r="M397" i="1"/>
  <c r="K397" i="1"/>
  <c r="I406" i="1"/>
  <c r="N405" i="1"/>
  <c r="M405" i="1"/>
  <c r="L405" i="1"/>
  <c r="K405" i="1"/>
  <c r="I414" i="1"/>
  <c r="N413" i="1"/>
  <c r="M413" i="1"/>
  <c r="L413" i="1"/>
  <c r="K413" i="1"/>
  <c r="I422" i="1"/>
  <c r="M421" i="1"/>
  <c r="L421" i="1"/>
  <c r="I430" i="1"/>
  <c r="N429" i="1"/>
  <c r="K429" i="1"/>
  <c r="I438" i="1"/>
  <c r="N437" i="1"/>
  <c r="K437" i="1"/>
  <c r="I446" i="1"/>
  <c r="N445" i="1"/>
  <c r="L445" i="1"/>
  <c r="K445" i="1"/>
  <c r="I454" i="1"/>
  <c r="N453" i="1"/>
  <c r="M453" i="1"/>
  <c r="K453" i="1"/>
  <c r="I462" i="1"/>
  <c r="N461" i="1"/>
  <c r="M461" i="1"/>
  <c r="K461" i="1"/>
  <c r="I470" i="1"/>
  <c r="N469" i="1"/>
  <c r="M469" i="1"/>
  <c r="K469" i="1"/>
  <c r="I478" i="1"/>
  <c r="N477" i="1"/>
  <c r="M477" i="1"/>
  <c r="K477" i="1"/>
  <c r="I486" i="1"/>
  <c r="N485" i="1"/>
  <c r="M485" i="1"/>
  <c r="L485" i="1"/>
  <c r="K485" i="1"/>
  <c r="I494" i="1"/>
  <c r="N493" i="1"/>
  <c r="M493" i="1"/>
  <c r="L493" i="1"/>
  <c r="I502" i="1"/>
  <c r="N501" i="1"/>
  <c r="M501" i="1"/>
  <c r="L501" i="1"/>
  <c r="K501" i="1"/>
  <c r="I510" i="1"/>
  <c r="N509" i="1"/>
  <c r="M509" i="1"/>
  <c r="L509" i="1"/>
  <c r="K509" i="1"/>
  <c r="I518" i="1"/>
  <c r="N517" i="1"/>
  <c r="M517" i="1"/>
  <c r="L517" i="1"/>
  <c r="K517" i="1"/>
  <c r="I526" i="1"/>
  <c r="N525" i="1"/>
  <c r="M525" i="1"/>
  <c r="L525" i="1"/>
  <c r="K525" i="1"/>
  <c r="I534" i="1"/>
  <c r="N533" i="1"/>
  <c r="M533" i="1"/>
  <c r="L533" i="1"/>
  <c r="K533" i="1"/>
  <c r="I542" i="1"/>
  <c r="N541" i="1"/>
  <c r="M541" i="1"/>
  <c r="L541" i="1"/>
  <c r="K541" i="1"/>
  <c r="I550" i="1"/>
  <c r="N549" i="1"/>
  <c r="M549" i="1"/>
  <c r="L549" i="1"/>
  <c r="K549" i="1"/>
  <c r="I558" i="1"/>
  <c r="N557" i="1"/>
  <c r="M557" i="1"/>
  <c r="K557" i="1"/>
  <c r="I566" i="1"/>
  <c r="N565" i="1"/>
  <c r="M565" i="1"/>
  <c r="L565" i="1"/>
  <c r="K565" i="1"/>
  <c r="I574" i="1"/>
  <c r="N573" i="1"/>
  <c r="M573" i="1"/>
  <c r="L573" i="1"/>
  <c r="K573" i="1"/>
  <c r="I582" i="1"/>
  <c r="N581" i="1"/>
  <c r="M581" i="1"/>
  <c r="K581" i="1"/>
  <c r="I590" i="1"/>
  <c r="N589" i="1"/>
  <c r="M589" i="1"/>
  <c r="L589" i="1"/>
  <c r="K589" i="1"/>
  <c r="I598" i="1"/>
  <c r="M597" i="1"/>
  <c r="L597" i="1"/>
  <c r="I606" i="1"/>
  <c r="N605" i="1"/>
  <c r="M605" i="1"/>
  <c r="L605" i="1"/>
  <c r="K605" i="1"/>
  <c r="I614" i="1"/>
  <c r="N613" i="1"/>
  <c r="M613" i="1"/>
  <c r="L613" i="1"/>
  <c r="K613" i="1"/>
  <c r="I622" i="1"/>
  <c r="M621" i="1"/>
  <c r="L621" i="1"/>
  <c r="I630" i="1"/>
  <c r="M629" i="1"/>
  <c r="L629" i="1"/>
  <c r="I638" i="1"/>
  <c r="N637" i="1"/>
  <c r="M637" i="1"/>
  <c r="L637" i="1"/>
  <c r="K637" i="1"/>
  <c r="I646" i="1"/>
  <c r="N645" i="1"/>
  <c r="M645" i="1"/>
  <c r="L645" i="1"/>
  <c r="K645" i="1"/>
  <c r="I654" i="1"/>
  <c r="N653" i="1"/>
  <c r="M653" i="1"/>
  <c r="L653" i="1"/>
  <c r="K653" i="1"/>
  <c r="I662" i="1"/>
  <c r="N661" i="1"/>
  <c r="M661" i="1"/>
  <c r="L661" i="1"/>
  <c r="K661" i="1"/>
  <c r="I670" i="1"/>
  <c r="N669" i="1"/>
  <c r="M669" i="1"/>
  <c r="L669" i="1"/>
  <c r="K669" i="1"/>
  <c r="I678" i="1"/>
  <c r="N677" i="1"/>
  <c r="M677" i="1"/>
  <c r="L677" i="1"/>
  <c r="K677" i="1"/>
  <c r="I686" i="1"/>
  <c r="N685" i="1"/>
  <c r="M685" i="1"/>
  <c r="L685" i="1"/>
  <c r="K685" i="1"/>
  <c r="I694" i="1"/>
  <c r="N693" i="1"/>
  <c r="M693" i="1"/>
  <c r="K693" i="1"/>
  <c r="I702" i="1"/>
  <c r="N701" i="1"/>
  <c r="M701" i="1"/>
  <c r="K701" i="1"/>
  <c r="I710" i="1"/>
  <c r="N709" i="1"/>
  <c r="M709" i="1"/>
  <c r="K709" i="1"/>
  <c r="I718" i="1"/>
  <c r="N717" i="1"/>
  <c r="M717" i="1"/>
  <c r="L717" i="1"/>
  <c r="I726" i="1"/>
  <c r="N725" i="1"/>
  <c r="M725" i="1"/>
  <c r="L725" i="1"/>
  <c r="K725" i="1"/>
  <c r="I734" i="1"/>
  <c r="N733" i="1"/>
  <c r="M733" i="1"/>
  <c r="K733" i="1"/>
  <c r="I742" i="1"/>
  <c r="N741" i="1"/>
  <c r="M741" i="1"/>
  <c r="L741" i="1"/>
  <c r="K741" i="1"/>
  <c r="I750" i="1"/>
  <c r="N749" i="1"/>
  <c r="M749" i="1"/>
  <c r="L749" i="1"/>
  <c r="I758" i="1"/>
  <c r="N757" i="1"/>
  <c r="M757" i="1"/>
  <c r="L757" i="1"/>
  <c r="I766" i="1"/>
  <c r="N765" i="1"/>
  <c r="M765" i="1"/>
  <c r="L765" i="1"/>
  <c r="K765" i="1"/>
  <c r="I774" i="1"/>
  <c r="N773" i="1"/>
  <c r="M773" i="1"/>
  <c r="L773" i="1"/>
  <c r="K773" i="1"/>
  <c r="I782" i="1"/>
  <c r="N781" i="1"/>
  <c r="M781" i="1"/>
  <c r="L781" i="1"/>
  <c r="K781" i="1"/>
  <c r="I790" i="1"/>
  <c r="N789" i="1"/>
  <c r="M789" i="1"/>
  <c r="L789" i="1"/>
  <c r="K789" i="1"/>
  <c r="I798" i="1"/>
  <c r="N797" i="1"/>
  <c r="M797" i="1"/>
  <c r="K797" i="1"/>
  <c r="I806" i="1"/>
  <c r="N805" i="1"/>
  <c r="M805" i="1"/>
  <c r="L805" i="1"/>
  <c r="K805" i="1"/>
  <c r="I814" i="1"/>
  <c r="N813" i="1"/>
  <c r="M813" i="1"/>
  <c r="L813" i="1"/>
  <c r="I822" i="1"/>
  <c r="N821" i="1"/>
  <c r="M821" i="1"/>
  <c r="L821" i="1"/>
  <c r="I830" i="1"/>
  <c r="N829" i="1"/>
  <c r="M829" i="1"/>
  <c r="L829" i="1"/>
  <c r="I838" i="1"/>
  <c r="N837" i="1"/>
  <c r="M837" i="1"/>
  <c r="K837" i="1"/>
  <c r="I846" i="1"/>
  <c r="N845" i="1"/>
  <c r="M845" i="1"/>
  <c r="L845" i="1"/>
  <c r="K845" i="1"/>
  <c r="I854" i="1"/>
  <c r="N853" i="1"/>
  <c r="M853" i="1"/>
  <c r="L853" i="1"/>
  <c r="K853" i="1"/>
  <c r="I862" i="1"/>
  <c r="N861" i="1"/>
  <c r="M861" i="1"/>
  <c r="K861" i="1"/>
  <c r="I870" i="1"/>
  <c r="N869" i="1"/>
  <c r="M869" i="1"/>
  <c r="K869" i="1"/>
  <c r="I878" i="1"/>
  <c r="N877" i="1"/>
  <c r="K877" i="1"/>
  <c r="I886" i="1"/>
  <c r="N885" i="1"/>
  <c r="M885" i="1"/>
  <c r="L885" i="1"/>
  <c r="K885" i="1"/>
  <c r="I894" i="1"/>
  <c r="N893" i="1"/>
  <c r="M893" i="1"/>
  <c r="L893" i="1"/>
  <c r="K893" i="1"/>
  <c r="I902" i="1"/>
  <c r="N901" i="1"/>
  <c r="M901" i="1"/>
  <c r="K901" i="1"/>
  <c r="I910" i="1"/>
  <c r="N909" i="1"/>
  <c r="M909" i="1"/>
  <c r="L909" i="1"/>
  <c r="K909" i="1"/>
  <c r="I918" i="1"/>
  <c r="N917" i="1"/>
  <c r="M917" i="1"/>
  <c r="L917" i="1"/>
  <c r="K917" i="1"/>
  <c r="I926" i="1"/>
  <c r="N925" i="1"/>
  <c r="M925" i="1"/>
  <c r="L925" i="1"/>
  <c r="K925" i="1"/>
  <c r="I934" i="1"/>
  <c r="N933" i="1"/>
  <c r="M933" i="1"/>
  <c r="K933" i="1"/>
  <c r="I942" i="1"/>
  <c r="N941" i="1"/>
  <c r="M941" i="1"/>
  <c r="L941" i="1"/>
  <c r="K941" i="1"/>
  <c r="I950" i="1"/>
  <c r="N949" i="1"/>
  <c r="M949" i="1"/>
  <c r="L949" i="1"/>
  <c r="K949" i="1"/>
  <c r="I958" i="1"/>
  <c r="N957" i="1"/>
  <c r="M957" i="1"/>
  <c r="L957" i="1"/>
  <c r="I966" i="1"/>
  <c r="N965" i="1"/>
  <c r="M965" i="1"/>
  <c r="L965" i="1"/>
  <c r="K965" i="1"/>
  <c r="I974" i="1"/>
  <c r="N973" i="1"/>
  <c r="M973" i="1"/>
  <c r="K973" i="1"/>
  <c r="I982" i="1"/>
  <c r="N981" i="1"/>
  <c r="M981" i="1"/>
  <c r="L981" i="1"/>
  <c r="K981" i="1"/>
  <c r="I990" i="1"/>
  <c r="N989" i="1"/>
  <c r="M989" i="1"/>
  <c r="L989" i="1"/>
  <c r="K989" i="1"/>
  <c r="I998" i="1"/>
  <c r="N997" i="1"/>
  <c r="M997" i="1"/>
  <c r="L997" i="1"/>
  <c r="K997" i="1"/>
  <c r="I1006" i="1"/>
  <c r="N1005" i="1"/>
  <c r="M1005" i="1"/>
  <c r="L1005" i="1"/>
  <c r="K1005" i="1"/>
  <c r="I1014" i="1"/>
  <c r="N1013" i="1"/>
  <c r="M1013" i="1"/>
  <c r="L1013" i="1"/>
  <c r="I1022" i="1"/>
  <c r="N1021" i="1"/>
  <c r="M1021" i="1"/>
  <c r="K1021" i="1"/>
  <c r="I1030" i="1"/>
  <c r="N1029" i="1"/>
  <c r="M1029" i="1"/>
  <c r="L1029" i="1"/>
  <c r="I1038" i="1"/>
  <c r="N1037" i="1"/>
  <c r="M1037" i="1"/>
  <c r="L1037" i="1"/>
  <c r="K1037" i="1"/>
  <c r="I1046" i="1"/>
  <c r="N1045" i="1"/>
  <c r="M1045" i="1"/>
  <c r="L1045" i="1"/>
  <c r="I1054" i="1"/>
  <c r="N1053" i="1"/>
  <c r="M1053" i="1"/>
  <c r="L1053" i="1"/>
  <c r="I1062" i="1"/>
  <c r="N1061" i="1"/>
  <c r="M1061" i="1"/>
  <c r="L1061" i="1"/>
  <c r="I1070" i="1"/>
  <c r="N1069" i="1"/>
  <c r="M1069" i="1"/>
  <c r="L1069" i="1"/>
  <c r="K1069" i="1"/>
  <c r="I1078" i="1"/>
  <c r="N1077" i="1"/>
  <c r="M1077" i="1"/>
  <c r="L1077" i="1"/>
  <c r="I1086" i="1"/>
  <c r="N1085" i="1"/>
  <c r="M1085" i="1"/>
  <c r="L1085" i="1"/>
  <c r="K1085" i="1"/>
  <c r="I1094" i="1"/>
  <c r="N1093" i="1"/>
  <c r="M1093" i="1"/>
  <c r="L1093" i="1"/>
  <c r="K1093" i="1"/>
  <c r="I1102" i="1"/>
  <c r="N1101" i="1"/>
  <c r="M1101" i="1"/>
  <c r="L1101" i="1"/>
  <c r="K1101" i="1"/>
  <c r="I1110" i="1"/>
  <c r="N1109" i="1"/>
  <c r="M1109" i="1"/>
  <c r="L1109" i="1"/>
  <c r="I1118" i="1"/>
  <c r="N1117" i="1"/>
  <c r="M1117" i="1"/>
  <c r="L1117" i="1"/>
  <c r="K1117" i="1"/>
  <c r="I1126" i="1"/>
  <c r="N1125" i="1"/>
  <c r="M1125" i="1"/>
  <c r="L1125" i="1"/>
  <c r="I1134" i="1"/>
  <c r="N1133" i="1"/>
  <c r="M1133" i="1"/>
  <c r="L1133" i="1"/>
  <c r="K1133" i="1"/>
  <c r="I1142" i="1"/>
  <c r="N1141" i="1"/>
  <c r="M1141" i="1"/>
  <c r="L1141" i="1"/>
  <c r="K1141" i="1"/>
  <c r="I1150" i="1"/>
  <c r="N1149" i="1"/>
  <c r="M1149" i="1"/>
  <c r="L1149" i="1"/>
  <c r="K1149" i="1"/>
  <c r="I1158" i="1"/>
  <c r="N1157" i="1"/>
  <c r="M1157" i="1"/>
  <c r="L1157" i="1"/>
  <c r="I1166" i="1"/>
  <c r="N1165" i="1"/>
  <c r="M1165" i="1"/>
  <c r="L1165" i="1"/>
  <c r="K1165" i="1"/>
  <c r="I1174" i="1"/>
  <c r="N1173" i="1"/>
  <c r="M1173" i="1"/>
  <c r="L1173" i="1"/>
  <c r="K1173" i="1"/>
  <c r="I1182" i="1"/>
  <c r="N1181" i="1"/>
  <c r="M1181" i="1"/>
  <c r="K1181" i="1"/>
  <c r="I1190" i="1"/>
  <c r="N1189" i="1"/>
  <c r="M1189" i="1"/>
  <c r="L1189" i="1"/>
  <c r="I1198" i="1"/>
  <c r="N1197" i="1"/>
  <c r="M1197" i="1"/>
  <c r="L1197" i="1"/>
  <c r="K1197" i="1"/>
  <c r="I1206" i="1"/>
  <c r="N1205" i="1"/>
  <c r="K1205" i="1"/>
  <c r="I1214" i="1"/>
  <c r="N1213" i="1"/>
  <c r="M1213" i="1"/>
  <c r="L1213" i="1"/>
  <c r="K1213" i="1"/>
  <c r="I1222" i="1"/>
  <c r="N1221" i="1"/>
  <c r="M1221" i="1"/>
  <c r="L1221" i="1"/>
  <c r="K1221" i="1"/>
  <c r="I1230" i="1"/>
  <c r="N1229" i="1"/>
  <c r="M1229" i="1"/>
  <c r="L1229" i="1"/>
  <c r="K1229" i="1"/>
  <c r="I1238" i="1"/>
  <c r="N1237" i="1"/>
  <c r="M1237" i="1"/>
  <c r="L1237" i="1"/>
  <c r="K1237" i="1"/>
  <c r="I1246" i="1"/>
  <c r="N1245" i="1"/>
  <c r="M1245" i="1"/>
  <c r="L1245" i="1"/>
  <c r="K1245" i="1"/>
  <c r="I1254" i="1"/>
  <c r="N1253" i="1"/>
  <c r="M1253" i="1"/>
  <c r="L1253" i="1"/>
  <c r="I1262" i="1"/>
  <c r="N1261" i="1"/>
  <c r="M1261" i="1"/>
  <c r="K1261" i="1"/>
  <c r="I1270" i="1"/>
  <c r="N1269" i="1"/>
  <c r="M1269" i="1"/>
  <c r="L1269" i="1"/>
  <c r="K1269" i="1"/>
  <c r="I1278" i="1"/>
  <c r="N1277" i="1"/>
  <c r="M1277" i="1"/>
  <c r="L1277" i="1"/>
  <c r="K1277" i="1"/>
  <c r="I1286" i="1"/>
  <c r="N1285" i="1"/>
  <c r="M1285" i="1"/>
  <c r="L1285" i="1"/>
  <c r="I1294" i="1"/>
  <c r="N1293" i="1"/>
  <c r="M1293" i="1"/>
  <c r="L1293" i="1"/>
  <c r="K1293" i="1"/>
  <c r="I1302" i="1"/>
  <c r="N1301" i="1"/>
  <c r="M1301" i="1"/>
  <c r="L1301" i="1"/>
  <c r="I1310" i="1"/>
  <c r="N1309" i="1"/>
  <c r="M1309" i="1"/>
  <c r="L1309" i="1"/>
  <c r="K1309" i="1"/>
  <c r="I1318" i="1"/>
  <c r="N1317" i="1"/>
  <c r="M1317" i="1"/>
  <c r="K1317" i="1"/>
  <c r="I1326" i="1"/>
  <c r="N1325" i="1"/>
  <c r="M1325" i="1"/>
  <c r="L1325" i="1"/>
  <c r="K1325" i="1"/>
  <c r="I1334" i="1"/>
  <c r="N1333" i="1"/>
  <c r="M1333" i="1"/>
  <c r="L1333" i="1"/>
  <c r="K1333" i="1"/>
  <c r="I1342" i="1"/>
  <c r="N1341" i="1"/>
  <c r="M1341" i="1"/>
  <c r="L1341" i="1"/>
  <c r="K1341" i="1"/>
  <c r="I1350" i="1"/>
  <c r="N1349" i="1"/>
  <c r="M1349" i="1"/>
  <c r="L1349" i="1"/>
  <c r="I1358" i="1"/>
  <c r="N1357" i="1"/>
  <c r="M1357" i="1"/>
  <c r="L1357" i="1"/>
  <c r="K1357" i="1"/>
  <c r="I1366" i="1"/>
  <c r="N1365" i="1"/>
  <c r="M1365" i="1"/>
  <c r="L1365" i="1"/>
  <c r="K1365" i="1"/>
  <c r="I1374" i="1"/>
  <c r="N1373" i="1"/>
  <c r="M1373" i="1"/>
  <c r="L1373" i="1"/>
  <c r="K1373" i="1"/>
  <c r="I1382" i="1"/>
  <c r="N1381" i="1"/>
  <c r="M1381" i="1"/>
  <c r="K1381" i="1"/>
  <c r="I1390" i="1"/>
  <c r="N1389" i="1"/>
  <c r="M1389" i="1"/>
  <c r="L1389" i="1"/>
  <c r="I1398" i="1"/>
  <c r="N1397" i="1"/>
  <c r="M1397" i="1"/>
  <c r="L1397" i="1"/>
  <c r="K1397" i="1"/>
  <c r="I1406" i="1"/>
  <c r="N1405" i="1"/>
  <c r="M1405" i="1"/>
  <c r="L1405" i="1"/>
  <c r="K1405" i="1"/>
  <c r="I1414" i="1"/>
  <c r="N1413" i="1"/>
  <c r="M1413" i="1"/>
  <c r="L1413" i="1"/>
  <c r="K1413" i="1"/>
  <c r="I1422" i="1"/>
  <c r="N1421" i="1"/>
  <c r="K1421" i="1"/>
  <c r="I1430" i="1"/>
  <c r="N1429" i="1"/>
  <c r="K1429" i="1"/>
  <c r="I1438" i="1"/>
  <c r="N1437" i="1"/>
  <c r="M1437" i="1"/>
  <c r="L1437" i="1"/>
  <c r="K1437" i="1"/>
  <c r="I1446" i="1"/>
  <c r="N1445" i="1"/>
  <c r="M1445" i="1"/>
  <c r="L1445" i="1"/>
  <c r="K1445" i="1"/>
  <c r="I1454" i="1"/>
  <c r="N1453" i="1"/>
  <c r="M1453" i="1"/>
  <c r="L1453" i="1"/>
  <c r="K1453" i="1"/>
  <c r="I1462" i="1"/>
  <c r="N1461" i="1"/>
  <c r="M1461" i="1"/>
  <c r="L1461" i="1"/>
  <c r="I1470" i="1"/>
  <c r="N1469" i="1"/>
  <c r="M1469" i="1"/>
  <c r="L1469" i="1"/>
  <c r="I1478" i="1"/>
  <c r="N1477" i="1"/>
  <c r="M1477" i="1"/>
  <c r="K1477" i="1"/>
  <c r="I1486" i="1"/>
  <c r="N1485" i="1"/>
  <c r="M1485" i="1"/>
  <c r="L1485" i="1"/>
  <c r="K1485" i="1"/>
  <c r="I1494" i="1"/>
  <c r="N1493" i="1"/>
  <c r="M1493" i="1"/>
  <c r="K1493" i="1"/>
  <c r="I1502" i="1"/>
  <c r="N1501" i="1"/>
  <c r="M1501" i="1"/>
  <c r="L1501" i="1"/>
  <c r="K1501" i="1"/>
  <c r="I1510" i="1"/>
  <c r="N1509" i="1"/>
  <c r="M1509" i="1"/>
  <c r="L1509" i="1"/>
  <c r="K1509" i="1"/>
  <c r="I1518" i="1"/>
  <c r="N1517" i="1"/>
  <c r="K1517" i="1"/>
  <c r="I1526" i="1"/>
  <c r="N1525" i="1"/>
  <c r="M1525" i="1"/>
  <c r="L1525" i="1"/>
  <c r="K1525" i="1"/>
  <c r="I1534" i="1"/>
  <c r="N1533" i="1"/>
  <c r="M1533" i="1"/>
  <c r="L1533" i="1"/>
  <c r="K1533" i="1"/>
  <c r="I1542" i="1"/>
  <c r="N1541" i="1"/>
  <c r="M1541" i="1"/>
  <c r="L1541" i="1"/>
  <c r="K1541" i="1"/>
  <c r="I1550" i="1"/>
  <c r="N1549" i="1"/>
  <c r="M1549" i="1"/>
  <c r="L1549" i="1"/>
  <c r="I1558" i="1"/>
  <c r="N1557" i="1"/>
  <c r="M1557" i="1"/>
  <c r="L1557" i="1"/>
  <c r="K1557" i="1"/>
  <c r="I1566" i="1"/>
  <c r="N1565" i="1"/>
  <c r="M1565" i="1"/>
  <c r="L1565" i="1"/>
  <c r="K1565" i="1"/>
  <c r="I1574" i="1"/>
  <c r="N1573" i="1"/>
  <c r="M1573" i="1"/>
  <c r="L1573" i="1"/>
  <c r="K1573" i="1"/>
  <c r="I1582" i="1"/>
  <c r="N1581" i="1"/>
  <c r="M1581" i="1"/>
  <c r="L1581" i="1"/>
  <c r="K1581" i="1"/>
  <c r="I1590" i="1"/>
  <c r="N1589" i="1"/>
  <c r="M1589" i="1"/>
  <c r="K1589" i="1"/>
  <c r="I1598" i="1"/>
  <c r="N1597" i="1"/>
  <c r="M1597" i="1"/>
  <c r="K1597" i="1"/>
  <c r="I1606" i="1"/>
  <c r="N1605" i="1"/>
  <c r="M1605" i="1"/>
  <c r="L1605" i="1"/>
  <c r="K1605" i="1"/>
  <c r="I1614" i="1"/>
  <c r="N1613" i="1"/>
  <c r="M1613" i="1"/>
  <c r="L1613" i="1"/>
  <c r="I1622" i="1"/>
  <c r="N1621" i="1"/>
  <c r="M1621" i="1"/>
  <c r="L1621" i="1"/>
  <c r="K1621" i="1"/>
  <c r="I1630" i="1"/>
  <c r="N1629" i="1"/>
  <c r="M1629" i="1"/>
  <c r="L1629" i="1"/>
  <c r="K1629" i="1"/>
  <c r="I1638" i="1"/>
  <c r="N1637" i="1"/>
  <c r="M1637" i="1"/>
  <c r="L1637" i="1"/>
  <c r="I1646" i="1"/>
  <c r="N1645" i="1"/>
  <c r="M1645" i="1"/>
  <c r="L1645" i="1"/>
  <c r="K1645" i="1"/>
  <c r="I1654" i="1"/>
  <c r="N1653" i="1"/>
  <c r="M1653" i="1"/>
  <c r="L1653" i="1"/>
  <c r="K1653" i="1"/>
  <c r="I1662" i="1"/>
  <c r="N1661" i="1"/>
  <c r="M1661" i="1"/>
  <c r="L1661" i="1"/>
  <c r="K1661" i="1"/>
  <c r="I1670" i="1"/>
  <c r="N1669" i="1"/>
  <c r="M1669" i="1"/>
  <c r="L1669" i="1"/>
  <c r="I1678" i="1"/>
  <c r="N1677" i="1"/>
  <c r="M1677" i="1"/>
  <c r="L1677" i="1"/>
  <c r="K1677" i="1"/>
  <c r="I1686" i="1"/>
  <c r="N1685" i="1"/>
  <c r="M1685" i="1"/>
  <c r="L1685" i="1"/>
  <c r="K1685" i="1"/>
  <c r="I1694" i="1"/>
  <c r="N1693" i="1"/>
  <c r="M1693" i="1"/>
  <c r="L1693" i="1"/>
  <c r="K1693" i="1"/>
  <c r="I1702" i="1"/>
  <c r="N1701" i="1"/>
  <c r="M1701" i="1"/>
  <c r="L1701" i="1"/>
  <c r="K1701" i="1"/>
  <c r="I1710" i="1"/>
  <c r="N1709" i="1"/>
  <c r="M1709" i="1"/>
  <c r="K1709" i="1"/>
  <c r="I1718" i="1"/>
  <c r="N1717" i="1"/>
  <c r="M1717" i="1"/>
  <c r="L1717" i="1"/>
  <c r="K1717" i="1"/>
  <c r="I1726" i="1"/>
  <c r="N1725" i="1"/>
  <c r="K1725" i="1"/>
  <c r="I1734" i="1"/>
  <c r="N1733" i="1"/>
  <c r="M1733" i="1"/>
  <c r="L1733" i="1"/>
  <c r="K1733" i="1"/>
  <c r="I1742" i="1"/>
  <c r="N1741" i="1"/>
  <c r="M1741" i="1"/>
  <c r="L1741" i="1"/>
  <c r="I1750" i="1"/>
  <c r="N1749" i="1"/>
  <c r="M1749" i="1"/>
  <c r="L1749" i="1"/>
  <c r="I1758" i="1"/>
  <c r="N1757" i="1"/>
  <c r="M1757" i="1"/>
  <c r="L1757" i="1"/>
  <c r="K1757" i="1"/>
  <c r="I1766" i="1"/>
  <c r="N1765" i="1"/>
  <c r="M1765" i="1"/>
  <c r="K1765" i="1"/>
  <c r="I1774" i="1"/>
  <c r="N1773" i="1"/>
  <c r="M1773" i="1"/>
  <c r="K1773" i="1"/>
  <c r="I1782" i="1"/>
  <c r="N1781" i="1"/>
  <c r="M1781" i="1"/>
  <c r="L1781" i="1"/>
  <c r="I1790" i="1"/>
  <c r="N1789" i="1"/>
  <c r="M1789" i="1"/>
  <c r="K1789" i="1"/>
  <c r="I1798" i="1"/>
  <c r="N1797" i="1"/>
  <c r="M1797" i="1"/>
  <c r="L1797" i="1"/>
  <c r="K1797" i="1"/>
  <c r="I1806" i="1"/>
  <c r="N1805" i="1"/>
  <c r="M1805" i="1"/>
  <c r="L1805" i="1"/>
  <c r="K1805" i="1"/>
  <c r="I1814" i="1"/>
  <c r="N1813" i="1"/>
  <c r="M1813" i="1"/>
  <c r="L1813" i="1"/>
  <c r="K1813" i="1"/>
  <c r="I1822" i="1"/>
  <c r="N1821" i="1"/>
  <c r="M1821" i="1"/>
  <c r="K1821" i="1"/>
  <c r="I1830" i="1"/>
  <c r="N1829" i="1"/>
  <c r="M1829" i="1"/>
  <c r="L1829" i="1"/>
  <c r="K1829" i="1"/>
  <c r="I1838" i="1"/>
  <c r="N1837" i="1"/>
  <c r="M1837" i="1"/>
  <c r="L1837" i="1"/>
  <c r="K1837" i="1"/>
  <c r="I1846" i="1"/>
  <c r="N1845" i="1"/>
  <c r="M1845" i="1"/>
  <c r="L1845" i="1"/>
  <c r="K1845" i="1"/>
  <c r="I1854" i="1"/>
  <c r="N1853" i="1"/>
  <c r="M1853" i="1"/>
  <c r="L1853" i="1"/>
  <c r="K1853" i="1"/>
  <c r="I1862" i="1"/>
  <c r="N1861" i="1"/>
  <c r="M1861" i="1"/>
  <c r="L1861" i="1"/>
  <c r="K1861" i="1"/>
  <c r="I1870" i="1"/>
  <c r="N1869" i="1"/>
  <c r="M1869" i="1"/>
  <c r="L1869" i="1"/>
  <c r="I1878" i="1"/>
  <c r="N1877" i="1"/>
  <c r="M1877" i="1"/>
  <c r="L1877" i="1"/>
  <c r="I1886" i="1"/>
  <c r="N1885" i="1"/>
  <c r="M1885" i="1"/>
  <c r="L1885" i="1"/>
  <c r="K1885" i="1"/>
  <c r="I1894" i="1"/>
  <c r="N1893" i="1"/>
  <c r="M1893" i="1"/>
  <c r="K1893" i="1"/>
  <c r="I1902" i="1"/>
  <c r="N1901" i="1"/>
  <c r="M1901" i="1"/>
  <c r="L1901" i="1"/>
  <c r="K1901" i="1"/>
  <c r="I1910" i="1"/>
  <c r="N1909" i="1"/>
  <c r="M1909" i="1"/>
  <c r="L1909" i="1"/>
  <c r="K1909" i="1"/>
  <c r="I1918" i="1"/>
  <c r="N1917" i="1"/>
  <c r="M1917" i="1"/>
  <c r="L1917" i="1"/>
  <c r="K1917" i="1"/>
  <c r="I1926" i="1"/>
  <c r="N1925" i="1"/>
  <c r="M1925" i="1"/>
  <c r="L1925" i="1"/>
  <c r="K1925" i="1"/>
  <c r="I1934" i="1"/>
  <c r="N1933" i="1"/>
  <c r="M1933" i="1"/>
  <c r="L1933" i="1"/>
  <c r="I1942" i="1"/>
  <c r="N1941" i="1"/>
  <c r="M1941" i="1"/>
  <c r="L1941" i="1"/>
  <c r="K1941" i="1"/>
  <c r="I1950" i="1"/>
  <c r="N1949" i="1"/>
  <c r="M1949" i="1"/>
  <c r="L1949" i="1"/>
  <c r="K1949" i="1"/>
  <c r="I1958" i="1"/>
  <c r="N1957" i="1"/>
  <c r="M1957" i="1"/>
  <c r="L1957" i="1"/>
  <c r="I1966" i="1"/>
  <c r="N1965" i="1"/>
  <c r="M1965" i="1"/>
  <c r="L1965" i="1"/>
  <c r="K1965" i="1"/>
  <c r="I1974" i="1"/>
  <c r="N1973" i="1"/>
  <c r="M1973" i="1"/>
  <c r="L1973" i="1"/>
  <c r="I1982" i="1"/>
  <c r="N1981" i="1"/>
  <c r="M1981" i="1"/>
  <c r="L1981" i="1"/>
  <c r="K1981" i="1"/>
  <c r="I1990" i="1"/>
  <c r="N1989" i="1"/>
  <c r="M1989" i="1"/>
  <c r="L1989" i="1"/>
  <c r="K1989" i="1"/>
  <c r="I1998" i="1"/>
  <c r="N1997" i="1"/>
  <c r="M1997" i="1"/>
  <c r="L1997" i="1"/>
  <c r="K1997" i="1"/>
  <c r="I2006" i="1"/>
  <c r="N2005" i="1"/>
  <c r="M2005" i="1"/>
  <c r="L2005" i="1"/>
  <c r="K2005" i="1"/>
  <c r="I2014" i="1"/>
  <c r="N2013" i="1"/>
  <c r="M2013" i="1"/>
  <c r="K2013" i="1"/>
  <c r="I2022" i="1"/>
  <c r="N2021" i="1"/>
  <c r="M2021" i="1"/>
  <c r="L2021" i="1"/>
  <c r="K2021" i="1"/>
  <c r="I2030" i="1"/>
  <c r="N2029" i="1"/>
  <c r="M2029" i="1"/>
  <c r="L2029" i="1"/>
  <c r="K2029" i="1"/>
  <c r="I2038" i="1"/>
  <c r="N2037" i="1"/>
  <c r="M2037" i="1"/>
  <c r="L2037" i="1"/>
  <c r="K2037" i="1"/>
  <c r="I2046" i="1"/>
  <c r="M2045" i="1"/>
  <c r="L2045" i="1"/>
  <c r="I2054" i="1"/>
  <c r="N2053" i="1"/>
  <c r="M2053" i="1"/>
  <c r="L2053" i="1"/>
  <c r="K2053" i="1"/>
  <c r="I2062" i="1"/>
  <c r="N2061" i="1"/>
  <c r="M2061" i="1"/>
  <c r="L2061" i="1"/>
  <c r="K2061" i="1"/>
  <c r="I2070" i="1"/>
  <c r="N2069" i="1"/>
  <c r="M2069" i="1"/>
  <c r="K2069" i="1"/>
  <c r="I2078" i="1"/>
  <c r="N2077" i="1"/>
  <c r="M2077" i="1"/>
  <c r="L2077" i="1"/>
  <c r="K2077" i="1"/>
  <c r="I2086" i="1"/>
  <c r="N2085" i="1"/>
  <c r="M2085" i="1"/>
  <c r="L2085" i="1"/>
  <c r="K2085" i="1"/>
  <c r="I2094" i="1"/>
  <c r="N2093" i="1"/>
  <c r="M2093" i="1"/>
  <c r="L2093" i="1"/>
  <c r="K2093" i="1"/>
  <c r="I2102" i="1"/>
  <c r="N2101" i="1"/>
  <c r="M2101" i="1"/>
  <c r="L2101" i="1"/>
  <c r="K2101" i="1"/>
  <c r="I2110" i="1"/>
  <c r="N2109" i="1"/>
  <c r="M2109" i="1"/>
  <c r="K2109" i="1"/>
  <c r="I2118" i="1"/>
  <c r="N2117" i="1"/>
  <c r="M2117" i="1"/>
  <c r="K2117" i="1"/>
  <c r="I2126" i="1"/>
  <c r="N2125" i="1"/>
  <c r="M2125" i="1"/>
  <c r="L2125" i="1"/>
  <c r="K2125" i="1"/>
  <c r="I2134" i="1"/>
  <c r="N2133" i="1"/>
  <c r="M2133" i="1"/>
  <c r="K2133" i="1"/>
  <c r="I2142" i="1"/>
  <c r="N2141" i="1"/>
  <c r="M2141" i="1"/>
  <c r="L2141" i="1"/>
  <c r="K2141" i="1"/>
  <c r="I2150" i="1"/>
  <c r="N2149" i="1"/>
  <c r="M2149" i="1"/>
  <c r="L2149" i="1"/>
  <c r="I2158" i="1"/>
  <c r="N2157" i="1"/>
  <c r="M2157" i="1"/>
  <c r="L2157" i="1"/>
  <c r="I2166" i="1"/>
  <c r="N2165" i="1"/>
  <c r="M2165" i="1"/>
  <c r="L2165" i="1"/>
  <c r="I2174" i="1"/>
  <c r="N2173" i="1"/>
  <c r="M2173" i="1"/>
  <c r="K2173" i="1"/>
  <c r="I2182" i="1"/>
  <c r="N2181" i="1"/>
  <c r="M2181" i="1"/>
  <c r="L2181" i="1"/>
  <c r="I2190" i="1"/>
  <c r="N2189" i="1"/>
  <c r="M2189" i="1"/>
  <c r="K2189" i="1"/>
  <c r="I2198" i="1"/>
  <c r="N2197" i="1"/>
  <c r="M2197" i="1"/>
  <c r="L2197" i="1"/>
  <c r="K2197" i="1"/>
  <c r="I2206" i="1"/>
  <c r="N2205" i="1"/>
  <c r="M2205" i="1"/>
  <c r="L2205" i="1"/>
  <c r="I2214" i="1"/>
  <c r="N2213" i="1"/>
  <c r="K2213" i="1"/>
  <c r="I2222" i="1"/>
  <c r="N2221" i="1"/>
  <c r="M2221" i="1"/>
  <c r="L2221" i="1"/>
  <c r="K2221" i="1"/>
  <c r="I2230" i="1"/>
  <c r="N2229" i="1"/>
  <c r="M2229" i="1"/>
  <c r="L2229" i="1"/>
  <c r="K2229" i="1"/>
  <c r="I2238" i="1"/>
  <c r="N2237" i="1"/>
  <c r="M2237" i="1"/>
  <c r="L2237" i="1"/>
  <c r="K2237" i="1"/>
  <c r="I2246" i="1"/>
  <c r="N2245" i="1"/>
  <c r="M2245" i="1"/>
  <c r="L2245" i="1"/>
  <c r="K2245" i="1"/>
  <c r="I2254" i="1"/>
  <c r="N2253" i="1"/>
  <c r="M2253" i="1"/>
  <c r="L2253" i="1"/>
  <c r="K2253" i="1"/>
  <c r="I2262" i="1"/>
  <c r="N2261" i="1"/>
  <c r="M2261" i="1"/>
  <c r="L2261" i="1"/>
  <c r="K2261" i="1"/>
  <c r="I2270" i="1"/>
  <c r="N2269" i="1"/>
  <c r="L2269" i="1"/>
  <c r="K2269" i="1"/>
  <c r="I2278" i="1"/>
  <c r="N2277" i="1"/>
  <c r="M2277" i="1"/>
  <c r="L2277" i="1"/>
  <c r="I2286" i="1"/>
  <c r="N2285" i="1"/>
  <c r="M2285" i="1"/>
  <c r="K2285" i="1"/>
  <c r="I2294" i="1"/>
  <c r="N2293" i="1"/>
  <c r="M2293" i="1"/>
  <c r="L2293" i="1"/>
  <c r="K2293" i="1"/>
  <c r="I2302" i="1"/>
  <c r="N2301" i="1"/>
  <c r="M2301" i="1"/>
  <c r="L2301" i="1"/>
  <c r="K2301" i="1"/>
  <c r="I2310" i="1"/>
  <c r="N2309" i="1"/>
  <c r="M2309" i="1"/>
  <c r="L2309" i="1"/>
  <c r="K2309" i="1"/>
  <c r="I2318" i="1"/>
  <c r="N2317" i="1"/>
  <c r="M2317" i="1"/>
  <c r="L2317" i="1"/>
  <c r="K2317" i="1"/>
  <c r="I2326" i="1"/>
  <c r="N2325" i="1"/>
  <c r="M2325" i="1"/>
  <c r="L2325" i="1"/>
  <c r="I2334" i="1"/>
  <c r="N2333" i="1"/>
  <c r="M2333" i="1"/>
  <c r="L2333" i="1"/>
  <c r="K2333" i="1"/>
  <c r="I2342" i="1"/>
  <c r="N2341" i="1"/>
  <c r="M2341" i="1"/>
  <c r="L2341" i="1"/>
  <c r="K2341" i="1"/>
  <c r="I2350" i="1"/>
  <c r="N2349" i="1"/>
  <c r="M2349" i="1"/>
  <c r="L2349" i="1"/>
  <c r="K2349" i="1"/>
  <c r="I2358" i="1"/>
  <c r="N2357" i="1"/>
  <c r="M2357" i="1"/>
  <c r="L2357" i="1"/>
  <c r="K2357" i="1"/>
  <c r="I2366" i="1"/>
  <c r="N2365" i="1"/>
  <c r="M2365" i="1"/>
  <c r="L2365" i="1"/>
  <c r="K2365" i="1"/>
  <c r="I2374" i="1"/>
  <c r="M2373" i="1"/>
  <c r="L2373" i="1"/>
  <c r="I2382" i="1"/>
  <c r="N2381" i="1"/>
  <c r="M2381" i="1"/>
  <c r="L2381" i="1"/>
  <c r="K2381" i="1"/>
  <c r="I2390" i="1"/>
  <c r="N2389" i="1"/>
  <c r="M2389" i="1"/>
  <c r="L2389" i="1"/>
  <c r="K2389" i="1"/>
  <c r="I2398" i="1"/>
  <c r="N2397" i="1"/>
  <c r="M2397" i="1"/>
  <c r="L2397" i="1"/>
  <c r="K2397" i="1"/>
  <c r="I2406" i="1"/>
  <c r="N2405" i="1"/>
  <c r="M2405" i="1"/>
  <c r="K2405" i="1"/>
  <c r="I2414" i="1"/>
  <c r="N2413" i="1"/>
  <c r="M2413" i="1"/>
  <c r="K2413" i="1"/>
  <c r="I2422" i="1"/>
  <c r="N2421" i="1"/>
  <c r="M2421" i="1"/>
  <c r="K2421" i="1"/>
  <c r="I2430" i="1"/>
  <c r="N2429" i="1"/>
  <c r="M2429" i="1"/>
  <c r="L2429" i="1"/>
  <c r="K2429" i="1"/>
  <c r="I2438" i="1"/>
  <c r="N2437" i="1"/>
  <c r="M2437" i="1"/>
  <c r="L2437" i="1"/>
  <c r="I2446" i="1"/>
  <c r="N2445" i="1"/>
  <c r="M2445" i="1"/>
  <c r="K2445" i="1"/>
  <c r="I2454" i="1"/>
  <c r="N2453" i="1"/>
  <c r="M2453" i="1"/>
  <c r="L2453" i="1"/>
  <c r="K2453" i="1"/>
  <c r="I2462" i="1"/>
  <c r="N2461" i="1"/>
  <c r="M2461" i="1"/>
  <c r="K2461" i="1"/>
  <c r="I2470" i="1"/>
  <c r="N2469" i="1"/>
  <c r="M2469" i="1"/>
  <c r="K2469" i="1"/>
  <c r="I2478" i="1"/>
  <c r="N2477" i="1"/>
  <c r="M2477" i="1"/>
  <c r="L2477" i="1"/>
  <c r="K2477" i="1"/>
  <c r="I2486" i="1"/>
  <c r="N2485" i="1"/>
  <c r="M2485" i="1"/>
  <c r="L2485" i="1"/>
  <c r="K2485" i="1"/>
  <c r="I2494" i="1"/>
  <c r="N2493" i="1"/>
  <c r="M2493" i="1"/>
  <c r="L2493" i="1"/>
  <c r="K2493" i="1"/>
  <c r="I2502" i="1"/>
  <c r="N2501" i="1"/>
  <c r="M2501" i="1"/>
  <c r="L2501" i="1"/>
  <c r="I2510" i="1"/>
  <c r="N2509" i="1"/>
  <c r="M2509" i="1"/>
  <c r="L2509" i="1"/>
  <c r="K2509" i="1"/>
  <c r="I2518" i="1"/>
  <c r="N2517" i="1"/>
  <c r="M2517" i="1"/>
  <c r="L2517" i="1"/>
  <c r="K2517" i="1"/>
  <c r="I291" i="1"/>
  <c r="N290" i="1"/>
  <c r="M290" i="1"/>
  <c r="K290" i="1"/>
  <c r="I299" i="1"/>
  <c r="N298" i="1"/>
  <c r="M298" i="1"/>
  <c r="K298" i="1"/>
  <c r="I307" i="1"/>
  <c r="N306" i="1"/>
  <c r="K306" i="1"/>
  <c r="I315" i="1"/>
  <c r="N314" i="1"/>
  <c r="M314" i="1"/>
  <c r="L314" i="1"/>
  <c r="K314" i="1"/>
  <c r="I323" i="1"/>
  <c r="N322" i="1"/>
  <c r="M322" i="1"/>
  <c r="K322" i="1"/>
  <c r="I331" i="1"/>
  <c r="N330" i="1"/>
  <c r="M330" i="1"/>
  <c r="L330" i="1"/>
  <c r="K330" i="1"/>
  <c r="I339" i="1"/>
  <c r="N338" i="1"/>
  <c r="M338" i="1"/>
  <c r="L338" i="1"/>
  <c r="K338" i="1"/>
  <c r="I347" i="1"/>
  <c r="N346" i="1"/>
  <c r="M346" i="1"/>
  <c r="L346" i="1"/>
  <c r="I355" i="1"/>
  <c r="N354" i="1"/>
  <c r="M354" i="1"/>
  <c r="L354" i="1"/>
  <c r="K354" i="1"/>
  <c r="I363" i="1"/>
  <c r="N362" i="1"/>
  <c r="K362" i="1"/>
  <c r="I371" i="1"/>
  <c r="N370" i="1"/>
  <c r="M370" i="1"/>
  <c r="L370" i="1"/>
  <c r="K370" i="1"/>
  <c r="I379" i="1"/>
  <c r="M378" i="1"/>
  <c r="L378" i="1"/>
  <c r="I387" i="1"/>
  <c r="N386" i="1"/>
  <c r="M386" i="1"/>
  <c r="K386" i="1"/>
  <c r="I395" i="1"/>
  <c r="N394" i="1"/>
  <c r="M394" i="1"/>
  <c r="L394" i="1"/>
  <c r="I403" i="1"/>
  <c r="N402" i="1"/>
  <c r="K402" i="1"/>
  <c r="I411" i="1"/>
  <c r="N410" i="1"/>
  <c r="M410" i="1"/>
  <c r="L410" i="1"/>
  <c r="K410" i="1"/>
  <c r="I419" i="1"/>
  <c r="N418" i="1"/>
  <c r="M418" i="1"/>
  <c r="L418" i="1"/>
  <c r="K418" i="1"/>
  <c r="I427" i="1"/>
  <c r="N426" i="1"/>
  <c r="M426" i="1"/>
  <c r="L426" i="1"/>
  <c r="K426" i="1"/>
  <c r="I435" i="1"/>
  <c r="N434" i="1"/>
  <c r="M434" i="1"/>
  <c r="L434" i="1"/>
  <c r="I443" i="1"/>
  <c r="N442" i="1"/>
  <c r="K442" i="1"/>
  <c r="I451" i="1"/>
  <c r="N450" i="1"/>
  <c r="M450" i="1"/>
  <c r="L450" i="1"/>
  <c r="I459" i="1"/>
  <c r="N458" i="1"/>
  <c r="M458" i="1"/>
  <c r="L458" i="1"/>
  <c r="K458" i="1"/>
  <c r="I467" i="1"/>
  <c r="N466" i="1"/>
  <c r="M466" i="1"/>
  <c r="K466" i="1"/>
  <c r="I475" i="1"/>
  <c r="N474" i="1"/>
  <c r="M474" i="1"/>
  <c r="L474" i="1"/>
  <c r="I483" i="1"/>
  <c r="N482" i="1"/>
  <c r="K482" i="1"/>
  <c r="I491" i="1"/>
  <c r="N490" i="1"/>
  <c r="M490" i="1"/>
  <c r="L490" i="1"/>
  <c r="K490" i="1"/>
  <c r="I499" i="1"/>
  <c r="N498" i="1"/>
  <c r="M498" i="1"/>
  <c r="L498" i="1"/>
  <c r="K498" i="1"/>
  <c r="I507" i="1"/>
  <c r="N506" i="1"/>
  <c r="M506" i="1"/>
  <c r="L506" i="1"/>
  <c r="I515" i="1"/>
  <c r="N514" i="1"/>
  <c r="M514" i="1"/>
  <c r="L514" i="1"/>
  <c r="K514" i="1"/>
  <c r="I523" i="1"/>
  <c r="N522" i="1"/>
  <c r="M522" i="1"/>
  <c r="L522" i="1"/>
  <c r="K522" i="1"/>
  <c r="I531" i="1"/>
  <c r="N530" i="1"/>
  <c r="M530" i="1"/>
  <c r="L530" i="1"/>
  <c r="K530" i="1"/>
  <c r="I539" i="1"/>
  <c r="N538" i="1"/>
  <c r="M538" i="1"/>
  <c r="K538" i="1"/>
  <c r="I547" i="1"/>
  <c r="N546" i="1"/>
  <c r="M546" i="1"/>
  <c r="L546" i="1"/>
  <c r="K546" i="1"/>
  <c r="I555" i="1"/>
  <c r="N554" i="1"/>
  <c r="M554" i="1"/>
  <c r="L554" i="1"/>
  <c r="K554" i="1"/>
  <c r="I563" i="1"/>
  <c r="N562" i="1"/>
  <c r="M562" i="1"/>
  <c r="L562" i="1"/>
  <c r="K562" i="1"/>
  <c r="I571" i="1"/>
  <c r="N570" i="1"/>
  <c r="M570" i="1"/>
  <c r="L570" i="1"/>
  <c r="K570" i="1"/>
  <c r="I579" i="1"/>
  <c r="N578" i="1"/>
  <c r="M578" i="1"/>
  <c r="K578" i="1"/>
  <c r="I587" i="1"/>
  <c r="N586" i="1"/>
  <c r="M586" i="1"/>
  <c r="L586" i="1"/>
  <c r="K586" i="1"/>
  <c r="I595" i="1"/>
  <c r="N594" i="1"/>
  <c r="M594" i="1"/>
  <c r="L594" i="1"/>
  <c r="K594" i="1"/>
  <c r="I603" i="1"/>
  <c r="N602" i="1"/>
  <c r="K602" i="1"/>
  <c r="I611" i="1"/>
  <c r="N610" i="1"/>
  <c r="K610" i="1"/>
  <c r="I619" i="1"/>
  <c r="N618" i="1"/>
  <c r="K618" i="1"/>
  <c r="I627" i="1"/>
  <c r="N626" i="1"/>
  <c r="M626" i="1"/>
  <c r="K626" i="1"/>
  <c r="I635" i="1"/>
  <c r="N634" i="1"/>
  <c r="M634" i="1"/>
  <c r="L634" i="1"/>
  <c r="I643" i="1"/>
  <c r="N642" i="1"/>
  <c r="M642" i="1"/>
  <c r="L642" i="1"/>
  <c r="K642" i="1"/>
  <c r="I651" i="1"/>
  <c r="N650" i="1"/>
  <c r="M650" i="1"/>
  <c r="L650" i="1"/>
  <c r="I659" i="1"/>
  <c r="N658" i="1"/>
  <c r="M658" i="1"/>
  <c r="L658" i="1"/>
  <c r="K658" i="1"/>
  <c r="I667" i="1"/>
  <c r="N666" i="1"/>
  <c r="M666" i="1"/>
  <c r="L666" i="1"/>
  <c r="K666" i="1"/>
  <c r="I675" i="1"/>
  <c r="N674" i="1"/>
  <c r="M674" i="1"/>
  <c r="L674" i="1"/>
  <c r="K674" i="1"/>
  <c r="I683" i="1"/>
  <c r="N682" i="1"/>
  <c r="M682" i="1"/>
  <c r="L682" i="1"/>
  <c r="K682" i="1"/>
  <c r="I691" i="1"/>
  <c r="N690" i="1"/>
  <c r="M690" i="1"/>
  <c r="L690" i="1"/>
  <c r="K690" i="1"/>
  <c r="I699" i="1"/>
  <c r="N698" i="1"/>
  <c r="M698" i="1"/>
  <c r="L698" i="1"/>
  <c r="I707" i="1"/>
  <c r="N706" i="1"/>
  <c r="M706" i="1"/>
  <c r="L706" i="1"/>
  <c r="K706" i="1"/>
  <c r="I715" i="1"/>
  <c r="N714" i="1"/>
  <c r="M714" i="1"/>
  <c r="L714" i="1"/>
  <c r="K714" i="1"/>
  <c r="I723" i="1"/>
  <c r="N722" i="1"/>
  <c r="K722" i="1"/>
  <c r="I731" i="1"/>
  <c r="N730" i="1"/>
  <c r="M730" i="1"/>
  <c r="L730" i="1"/>
  <c r="K730" i="1"/>
  <c r="I739" i="1"/>
  <c r="N738" i="1"/>
  <c r="M738" i="1"/>
  <c r="L738" i="1"/>
  <c r="K738" i="1"/>
  <c r="I747" i="1"/>
  <c r="N746" i="1"/>
  <c r="M746" i="1"/>
  <c r="K746" i="1"/>
  <c r="I755" i="1"/>
  <c r="N754" i="1"/>
  <c r="M754" i="1"/>
  <c r="K754" i="1"/>
  <c r="I763" i="1"/>
  <c r="N762" i="1"/>
  <c r="M762" i="1"/>
  <c r="L762" i="1"/>
  <c r="K762" i="1"/>
  <c r="I771" i="1"/>
  <c r="N770" i="1"/>
  <c r="M770" i="1"/>
  <c r="L770" i="1"/>
  <c r="K770" i="1"/>
  <c r="I779" i="1"/>
  <c r="N778" i="1"/>
  <c r="M778" i="1"/>
  <c r="L778" i="1"/>
  <c r="K778" i="1"/>
  <c r="I787" i="1"/>
  <c r="N786" i="1"/>
  <c r="M786" i="1"/>
  <c r="L786" i="1"/>
  <c r="K786" i="1"/>
  <c r="I795" i="1"/>
  <c r="N794" i="1"/>
  <c r="M794" i="1"/>
  <c r="K794" i="1"/>
  <c r="I803" i="1"/>
  <c r="N802" i="1"/>
  <c r="M802" i="1"/>
  <c r="L802" i="1"/>
  <c r="K802" i="1"/>
  <c r="I811" i="1"/>
  <c r="N810" i="1"/>
  <c r="M810" i="1"/>
  <c r="K810" i="1"/>
  <c r="I819" i="1"/>
  <c r="N818" i="1"/>
  <c r="M818" i="1"/>
  <c r="K818" i="1"/>
  <c r="I827" i="1"/>
  <c r="N826" i="1"/>
  <c r="M826" i="1"/>
  <c r="L826" i="1"/>
  <c r="K826" i="1"/>
  <c r="I835" i="1"/>
  <c r="N834" i="1"/>
  <c r="M834" i="1"/>
  <c r="L834" i="1"/>
  <c r="I843" i="1"/>
  <c r="N842" i="1"/>
  <c r="M842" i="1"/>
  <c r="L842" i="1"/>
  <c r="I851" i="1"/>
  <c r="N850" i="1"/>
  <c r="M850" i="1"/>
  <c r="L850" i="1"/>
  <c r="K850" i="1"/>
  <c r="I859" i="1"/>
  <c r="N858" i="1"/>
  <c r="M858" i="1"/>
  <c r="L858" i="1"/>
  <c r="K858" i="1"/>
  <c r="I867" i="1"/>
  <c r="N866" i="1"/>
  <c r="M866" i="1"/>
  <c r="L866" i="1"/>
  <c r="I875" i="1"/>
  <c r="N874" i="1"/>
  <c r="M874" i="1"/>
  <c r="K874" i="1"/>
  <c r="I883" i="1"/>
  <c r="N882" i="1"/>
  <c r="M882" i="1"/>
  <c r="L882" i="1"/>
  <c r="K882" i="1"/>
  <c r="I891" i="1"/>
  <c r="N890" i="1"/>
  <c r="M890" i="1"/>
  <c r="L890" i="1"/>
  <c r="I899" i="1"/>
  <c r="N898" i="1"/>
  <c r="M898" i="1"/>
  <c r="K898" i="1"/>
  <c r="I907" i="1"/>
  <c r="N906" i="1"/>
  <c r="M906" i="1"/>
  <c r="L906" i="1"/>
  <c r="K906" i="1"/>
  <c r="I915" i="1"/>
  <c r="N914" i="1"/>
  <c r="M914" i="1"/>
  <c r="K914" i="1"/>
  <c r="I923" i="1"/>
  <c r="N922" i="1"/>
  <c r="M922" i="1"/>
  <c r="K922" i="1"/>
  <c r="I931" i="1"/>
  <c r="N930" i="1"/>
  <c r="M930" i="1"/>
  <c r="L930" i="1"/>
  <c r="K930" i="1"/>
  <c r="I939" i="1"/>
  <c r="N938" i="1"/>
  <c r="M938" i="1"/>
  <c r="K938" i="1"/>
  <c r="I947" i="1"/>
  <c r="N946" i="1"/>
  <c r="M946" i="1"/>
  <c r="L946" i="1"/>
  <c r="I955" i="1"/>
  <c r="N954" i="1"/>
  <c r="M954" i="1"/>
  <c r="L954" i="1"/>
  <c r="K954" i="1"/>
  <c r="I963" i="1"/>
  <c r="N962" i="1"/>
  <c r="M962" i="1"/>
  <c r="L962" i="1"/>
  <c r="K962" i="1"/>
  <c r="I971" i="1"/>
  <c r="N970" i="1"/>
  <c r="M970" i="1"/>
  <c r="L970" i="1"/>
  <c r="K970" i="1"/>
  <c r="I979" i="1"/>
  <c r="N978" i="1"/>
  <c r="M978" i="1"/>
  <c r="L978" i="1"/>
  <c r="K978" i="1"/>
  <c r="I987" i="1"/>
  <c r="N986" i="1"/>
  <c r="M986" i="1"/>
  <c r="L986" i="1"/>
  <c r="K986" i="1"/>
  <c r="I995" i="1"/>
  <c r="N994" i="1"/>
  <c r="M994" i="1"/>
  <c r="L994" i="1"/>
  <c r="K994" i="1"/>
  <c r="I1003" i="1"/>
  <c r="N1002" i="1"/>
  <c r="M1002" i="1"/>
  <c r="K1002" i="1"/>
  <c r="I1011" i="1"/>
  <c r="N1010" i="1"/>
  <c r="M1010" i="1"/>
  <c r="K1010" i="1"/>
  <c r="I1019" i="1"/>
  <c r="N1018" i="1"/>
  <c r="M1018" i="1"/>
  <c r="L1018" i="1"/>
  <c r="I1027" i="1"/>
  <c r="N1026" i="1"/>
  <c r="M1026" i="1"/>
  <c r="L1026" i="1"/>
  <c r="K1026" i="1"/>
  <c r="I1035" i="1"/>
  <c r="M1034" i="1"/>
  <c r="L1034" i="1"/>
  <c r="I1043" i="1"/>
  <c r="N1042" i="1"/>
  <c r="M1042" i="1"/>
  <c r="L1042" i="1"/>
  <c r="K1042" i="1"/>
  <c r="I1051" i="1"/>
  <c r="N1050" i="1"/>
  <c r="M1050" i="1"/>
  <c r="K1050" i="1"/>
  <c r="I1059" i="1"/>
  <c r="N1058" i="1"/>
  <c r="M1058" i="1"/>
  <c r="K1058" i="1"/>
  <c r="I1067" i="1"/>
  <c r="N1066" i="1"/>
  <c r="M1066" i="1"/>
  <c r="L1066" i="1"/>
  <c r="K1066" i="1"/>
  <c r="I1075" i="1"/>
  <c r="N1074" i="1"/>
  <c r="M1074" i="1"/>
  <c r="K1074" i="1"/>
  <c r="I1083" i="1"/>
  <c r="N1082" i="1"/>
  <c r="M1082" i="1"/>
  <c r="L1082" i="1"/>
  <c r="K1082" i="1"/>
  <c r="I1091" i="1"/>
  <c r="N1090" i="1"/>
  <c r="M1090" i="1"/>
  <c r="L1090" i="1"/>
  <c r="I1099" i="1"/>
  <c r="N1098" i="1"/>
  <c r="M1098" i="1"/>
  <c r="L1098" i="1"/>
  <c r="K1098" i="1"/>
  <c r="I1107" i="1"/>
  <c r="N1106" i="1"/>
  <c r="M1106" i="1"/>
  <c r="L1106" i="1"/>
  <c r="I1115" i="1"/>
  <c r="N1114" i="1"/>
  <c r="M1114" i="1"/>
  <c r="L1114" i="1"/>
  <c r="K1114" i="1"/>
  <c r="I1123" i="1"/>
  <c r="N1122" i="1"/>
  <c r="M1122" i="1"/>
  <c r="L1122" i="1"/>
  <c r="I1131" i="1"/>
  <c r="N1130" i="1"/>
  <c r="M1130" i="1"/>
  <c r="L1130" i="1"/>
  <c r="I1139" i="1"/>
  <c r="N1138" i="1"/>
  <c r="M1138" i="1"/>
  <c r="K1138" i="1"/>
  <c r="I1147" i="1"/>
  <c r="N1146" i="1"/>
  <c r="M1146" i="1"/>
  <c r="L1146" i="1"/>
  <c r="I1155" i="1"/>
  <c r="N1154" i="1"/>
  <c r="M1154" i="1"/>
  <c r="L1154" i="1"/>
  <c r="K1154" i="1"/>
  <c r="I1163" i="1"/>
  <c r="N1162" i="1"/>
  <c r="M1162" i="1"/>
  <c r="L1162" i="1"/>
  <c r="I1171" i="1"/>
  <c r="N1170" i="1"/>
  <c r="M1170" i="1"/>
  <c r="L1170" i="1"/>
  <c r="K1170" i="1"/>
  <c r="I1179" i="1"/>
  <c r="N1178" i="1"/>
  <c r="M1178" i="1"/>
  <c r="K1178" i="1"/>
  <c r="I1187" i="1"/>
  <c r="N1186" i="1"/>
  <c r="M1186" i="1"/>
  <c r="L1186" i="1"/>
  <c r="K1186" i="1"/>
  <c r="I1195" i="1"/>
  <c r="N1194" i="1"/>
  <c r="M1194" i="1"/>
  <c r="K1194" i="1"/>
  <c r="I1203" i="1"/>
  <c r="N1202" i="1"/>
  <c r="M1202" i="1"/>
  <c r="K1202" i="1"/>
  <c r="I1211" i="1"/>
  <c r="M1210" i="1"/>
  <c r="L1210" i="1"/>
  <c r="I1219" i="1"/>
  <c r="N1218" i="1"/>
  <c r="M1218" i="1"/>
  <c r="K1218" i="1"/>
  <c r="I1227" i="1"/>
  <c r="N1226" i="1"/>
  <c r="M1226" i="1"/>
  <c r="L1226" i="1"/>
  <c r="K1226" i="1"/>
  <c r="I1235" i="1"/>
  <c r="N1234" i="1"/>
  <c r="M1234" i="1"/>
  <c r="L1234" i="1"/>
  <c r="K1234" i="1"/>
  <c r="I1243" i="1"/>
  <c r="N1242" i="1"/>
  <c r="M1242" i="1"/>
  <c r="L1242" i="1"/>
  <c r="K1242" i="1"/>
  <c r="I1251" i="1"/>
  <c r="N1250" i="1"/>
  <c r="M1250" i="1"/>
  <c r="L1250" i="1"/>
  <c r="K1250" i="1"/>
  <c r="I1259" i="1"/>
  <c r="N1258" i="1"/>
  <c r="M1258" i="1"/>
  <c r="L1258" i="1"/>
  <c r="K1258" i="1"/>
  <c r="I1267" i="1"/>
  <c r="N1266" i="1"/>
  <c r="M1266" i="1"/>
  <c r="L1266" i="1"/>
  <c r="I1275" i="1"/>
  <c r="N1274" i="1"/>
  <c r="M1274" i="1"/>
  <c r="L1274" i="1"/>
  <c r="K1274" i="1"/>
  <c r="I1283" i="1"/>
  <c r="M1282" i="1"/>
  <c r="L1282" i="1"/>
  <c r="I1291" i="1"/>
  <c r="N1290" i="1"/>
  <c r="M1290" i="1"/>
  <c r="L1290" i="1"/>
  <c r="I1299" i="1"/>
  <c r="N1298" i="1"/>
  <c r="M1298" i="1"/>
  <c r="L1298" i="1"/>
  <c r="K1298" i="1"/>
  <c r="I1307" i="1"/>
  <c r="N1306" i="1"/>
  <c r="M1306" i="1"/>
  <c r="L1306" i="1"/>
  <c r="I1315" i="1"/>
  <c r="N1314" i="1"/>
  <c r="M1314" i="1"/>
  <c r="K1314" i="1"/>
  <c r="I1323" i="1"/>
  <c r="N1322" i="1"/>
  <c r="M1322" i="1"/>
  <c r="L1322" i="1"/>
  <c r="K1322" i="1"/>
  <c r="I1331" i="1"/>
  <c r="N1330" i="1"/>
  <c r="M1330" i="1"/>
  <c r="K1330" i="1"/>
  <c r="I1339" i="1"/>
  <c r="N1338" i="1"/>
  <c r="M1338" i="1"/>
  <c r="L1338" i="1"/>
  <c r="K1338" i="1"/>
  <c r="I1347" i="1"/>
  <c r="N1346" i="1"/>
  <c r="M1346" i="1"/>
  <c r="K1346" i="1"/>
  <c r="I1355" i="1"/>
  <c r="N1354" i="1"/>
  <c r="M1354" i="1"/>
  <c r="L1354" i="1"/>
  <c r="K1354" i="1"/>
  <c r="I1363" i="1"/>
  <c r="N1362" i="1"/>
  <c r="M1362" i="1"/>
  <c r="L1362" i="1"/>
  <c r="K1362" i="1"/>
  <c r="I1371" i="1"/>
  <c r="N1370" i="1"/>
  <c r="M1370" i="1"/>
  <c r="L1370" i="1"/>
  <c r="K1370" i="1"/>
  <c r="I1379" i="1"/>
  <c r="N1378" i="1"/>
  <c r="M1378" i="1"/>
  <c r="L1378" i="1"/>
  <c r="K1378" i="1"/>
  <c r="I1387" i="1"/>
  <c r="N1386" i="1"/>
  <c r="M1386" i="1"/>
  <c r="L1386" i="1"/>
  <c r="K1386" i="1"/>
  <c r="I1395" i="1"/>
  <c r="N1394" i="1"/>
  <c r="M1394" i="1"/>
  <c r="L1394" i="1"/>
  <c r="K1394" i="1"/>
  <c r="I1403" i="1"/>
  <c r="N1402" i="1"/>
  <c r="M1402" i="1"/>
  <c r="L1402" i="1"/>
  <c r="K1402" i="1"/>
  <c r="I1411" i="1"/>
  <c r="N1410" i="1"/>
  <c r="M1410" i="1"/>
  <c r="L1410" i="1"/>
  <c r="K1410" i="1"/>
  <c r="I1419" i="1"/>
  <c r="N1418" i="1"/>
  <c r="M1418" i="1"/>
  <c r="L1418" i="1"/>
  <c r="K1418" i="1"/>
  <c r="I1427" i="1"/>
  <c r="M1426" i="1"/>
  <c r="L1426" i="1"/>
  <c r="I1435" i="1"/>
  <c r="N1434" i="1"/>
  <c r="K1434" i="1"/>
  <c r="I1443" i="1"/>
  <c r="N1442" i="1"/>
  <c r="M1442" i="1"/>
  <c r="L1442" i="1"/>
  <c r="K1442" i="1"/>
  <c r="I1451" i="1"/>
  <c r="N1450" i="1"/>
  <c r="M1450" i="1"/>
  <c r="L1450" i="1"/>
  <c r="K1450" i="1"/>
  <c r="I1459" i="1"/>
  <c r="N1458" i="1"/>
  <c r="M1458" i="1"/>
  <c r="K1458" i="1"/>
  <c r="I1467" i="1"/>
  <c r="N1466" i="1"/>
  <c r="M1466" i="1"/>
  <c r="L1466" i="1"/>
  <c r="K1466" i="1"/>
  <c r="I1475" i="1"/>
  <c r="N1474" i="1"/>
  <c r="M1474" i="1"/>
  <c r="L1474" i="1"/>
  <c r="K1474" i="1"/>
  <c r="I1483" i="1"/>
  <c r="N1482" i="1"/>
  <c r="M1482" i="1"/>
  <c r="L1482" i="1"/>
  <c r="I1491" i="1"/>
  <c r="N1490" i="1"/>
  <c r="M1490" i="1"/>
  <c r="L1490" i="1"/>
  <c r="K1490" i="1"/>
  <c r="I1499" i="1"/>
  <c r="N1498" i="1"/>
  <c r="M1498" i="1"/>
  <c r="L1498" i="1"/>
  <c r="K1498" i="1"/>
  <c r="I1507" i="1"/>
  <c r="M1506" i="1"/>
  <c r="L1506" i="1"/>
  <c r="I1515" i="1"/>
  <c r="N1514" i="1"/>
  <c r="K1514" i="1"/>
  <c r="I1523" i="1"/>
  <c r="M1522" i="1"/>
  <c r="L1522" i="1"/>
  <c r="K1522" i="1"/>
  <c r="I1531" i="1"/>
  <c r="N1530" i="1"/>
  <c r="L1530" i="1"/>
  <c r="K1530" i="1"/>
  <c r="I1539" i="1"/>
  <c r="N1538" i="1"/>
  <c r="L1538" i="1"/>
  <c r="K1538" i="1"/>
  <c r="I1547" i="1"/>
  <c r="N1546" i="1"/>
  <c r="M1546" i="1"/>
  <c r="L1546" i="1"/>
  <c r="K1546" i="1"/>
  <c r="I1555" i="1"/>
  <c r="N1554" i="1"/>
  <c r="M1554" i="1"/>
  <c r="L1554" i="1"/>
  <c r="I1563" i="1"/>
  <c r="N1562" i="1"/>
  <c r="M1562" i="1"/>
  <c r="L1562" i="1"/>
  <c r="K1562" i="1"/>
  <c r="I1571" i="1"/>
  <c r="N1570" i="1"/>
  <c r="M1570" i="1"/>
  <c r="L1570" i="1"/>
  <c r="K1570" i="1"/>
  <c r="I1579" i="1"/>
  <c r="N1578" i="1"/>
  <c r="M1578" i="1"/>
  <c r="L1578" i="1"/>
  <c r="I1587" i="1"/>
  <c r="N1586" i="1"/>
  <c r="M1586" i="1"/>
  <c r="L1586" i="1"/>
  <c r="I1595" i="1"/>
  <c r="N1594" i="1"/>
  <c r="M1594" i="1"/>
  <c r="K1594" i="1"/>
  <c r="I1603" i="1"/>
  <c r="N1602" i="1"/>
  <c r="M1602" i="1"/>
  <c r="L1602" i="1"/>
  <c r="I1611" i="1"/>
  <c r="N1610" i="1"/>
  <c r="M1610" i="1"/>
  <c r="L1610" i="1"/>
  <c r="K1610" i="1"/>
  <c r="I1619" i="1"/>
  <c r="N1618" i="1"/>
  <c r="M1618" i="1"/>
  <c r="L1618" i="1"/>
  <c r="I1627" i="1"/>
  <c r="N1626" i="1"/>
  <c r="M1626" i="1"/>
  <c r="L1626" i="1"/>
  <c r="K1626" i="1"/>
  <c r="I1635" i="1"/>
  <c r="N1634" i="1"/>
  <c r="M1634" i="1"/>
  <c r="K1634" i="1"/>
  <c r="I1643" i="1"/>
  <c r="N1642" i="1"/>
  <c r="M1642" i="1"/>
  <c r="L1642" i="1"/>
  <c r="K1642" i="1"/>
  <c r="I1651" i="1"/>
  <c r="N1650" i="1"/>
  <c r="M1650" i="1"/>
  <c r="L1650" i="1"/>
  <c r="K1650" i="1"/>
  <c r="I1659" i="1"/>
  <c r="N1658" i="1"/>
  <c r="M1658" i="1"/>
  <c r="L1658" i="1"/>
  <c r="K1658" i="1"/>
  <c r="I1667" i="1"/>
  <c r="N1666" i="1"/>
  <c r="M1666" i="1"/>
  <c r="L1666" i="1"/>
  <c r="K1666" i="1"/>
  <c r="I1675" i="1"/>
  <c r="N1674" i="1"/>
  <c r="M1674" i="1"/>
  <c r="K1674" i="1"/>
  <c r="I1683" i="1"/>
  <c r="N1682" i="1"/>
  <c r="M1682" i="1"/>
  <c r="L1682" i="1"/>
  <c r="K1682" i="1"/>
  <c r="I1691" i="1"/>
  <c r="N1690" i="1"/>
  <c r="M1690" i="1"/>
  <c r="L1690" i="1"/>
  <c r="K1690" i="1"/>
  <c r="I1699" i="1"/>
  <c r="N1698" i="1"/>
  <c r="M1698" i="1"/>
  <c r="L1698" i="1"/>
  <c r="K1698" i="1"/>
  <c r="I1707" i="1"/>
  <c r="N1706" i="1"/>
  <c r="M1706" i="1"/>
  <c r="L1706" i="1"/>
  <c r="K1706" i="1"/>
  <c r="I1715" i="1"/>
  <c r="N1714" i="1"/>
  <c r="M1714" i="1"/>
  <c r="L1714" i="1"/>
  <c r="I1723" i="1"/>
  <c r="N1722" i="1"/>
  <c r="M1722" i="1"/>
  <c r="K1722" i="1"/>
  <c r="I1731" i="1"/>
  <c r="N1730" i="1"/>
  <c r="M1730" i="1"/>
  <c r="L1730" i="1"/>
  <c r="I1739" i="1"/>
  <c r="N1738" i="1"/>
  <c r="M1738" i="1"/>
  <c r="L1738" i="1"/>
  <c r="I1747" i="1"/>
  <c r="N1746" i="1"/>
  <c r="M1746" i="1"/>
  <c r="L1746" i="1"/>
  <c r="K1746" i="1"/>
  <c r="I1755" i="1"/>
  <c r="N1754" i="1"/>
  <c r="M1754" i="1"/>
  <c r="K1754" i="1"/>
  <c r="I1763" i="1"/>
  <c r="N1762" i="1"/>
  <c r="M1762" i="1"/>
  <c r="L1762" i="1"/>
  <c r="K1762" i="1"/>
  <c r="I1771" i="1"/>
  <c r="N1770" i="1"/>
  <c r="M1770" i="1"/>
  <c r="L1770" i="1"/>
  <c r="K1770" i="1"/>
  <c r="I1779" i="1"/>
  <c r="N1778" i="1"/>
  <c r="M1778" i="1"/>
  <c r="L1778" i="1"/>
  <c r="K1778" i="1"/>
  <c r="I1787" i="1"/>
  <c r="N1786" i="1"/>
  <c r="M1786" i="1"/>
  <c r="L1786" i="1"/>
  <c r="K1786" i="1"/>
  <c r="I1795" i="1"/>
  <c r="N1794" i="1"/>
  <c r="M1794" i="1"/>
  <c r="L1794" i="1"/>
  <c r="I1803" i="1"/>
  <c r="N1802" i="1"/>
  <c r="M1802" i="1"/>
  <c r="L1802" i="1"/>
  <c r="K1802" i="1"/>
  <c r="I1811" i="1"/>
  <c r="N1810" i="1"/>
  <c r="M1810" i="1"/>
  <c r="K1810" i="1"/>
  <c r="I1819" i="1"/>
  <c r="N1818" i="1"/>
  <c r="M1818" i="1"/>
  <c r="K1818" i="1"/>
  <c r="I1827" i="1"/>
  <c r="N1826" i="1"/>
  <c r="M1826" i="1"/>
  <c r="L1826" i="1"/>
  <c r="K1826" i="1"/>
  <c r="I1835" i="1"/>
  <c r="N1834" i="1"/>
  <c r="M1834" i="1"/>
  <c r="L1834" i="1"/>
  <c r="K1834" i="1"/>
  <c r="I1843" i="1"/>
  <c r="N1842" i="1"/>
  <c r="M1842" i="1"/>
  <c r="L1842" i="1"/>
  <c r="K1842" i="1"/>
  <c r="I1851" i="1"/>
  <c r="N1850" i="1"/>
  <c r="M1850" i="1"/>
  <c r="L1850" i="1"/>
  <c r="K1850" i="1"/>
  <c r="I1859" i="1"/>
  <c r="N1858" i="1"/>
  <c r="M1858" i="1"/>
  <c r="L1858" i="1"/>
  <c r="K1858" i="1"/>
  <c r="I1867" i="1"/>
  <c r="N1866" i="1"/>
  <c r="M1866" i="1"/>
  <c r="L1866" i="1"/>
  <c r="K1866" i="1"/>
  <c r="I1875" i="1"/>
  <c r="N1874" i="1"/>
  <c r="M1874" i="1"/>
  <c r="L1874" i="1"/>
  <c r="K1874" i="1"/>
  <c r="I1883" i="1"/>
  <c r="N1882" i="1"/>
  <c r="M1882" i="1"/>
  <c r="K1882" i="1"/>
  <c r="I1891" i="1"/>
  <c r="N1890" i="1"/>
  <c r="M1890" i="1"/>
  <c r="L1890" i="1"/>
  <c r="K1890" i="1"/>
  <c r="I1899" i="1"/>
  <c r="N1898" i="1"/>
  <c r="M1898" i="1"/>
  <c r="L1898" i="1"/>
  <c r="K1898" i="1"/>
  <c r="I1907" i="1"/>
  <c r="N1906" i="1"/>
  <c r="M1906" i="1"/>
  <c r="L1906" i="1"/>
  <c r="I1915" i="1"/>
  <c r="N1914" i="1"/>
  <c r="M1914" i="1"/>
  <c r="L1914" i="1"/>
  <c r="K1914" i="1"/>
  <c r="I1923" i="1"/>
  <c r="N1922" i="1"/>
  <c r="M1922" i="1"/>
  <c r="L1922" i="1"/>
  <c r="K1922" i="1"/>
  <c r="I1931" i="1"/>
  <c r="N1930" i="1"/>
  <c r="M1930" i="1"/>
  <c r="L1930" i="1"/>
  <c r="K1930" i="1"/>
  <c r="I1939" i="1"/>
  <c r="N1938" i="1"/>
  <c r="M1938" i="1"/>
  <c r="L1938" i="1"/>
  <c r="K1938" i="1"/>
  <c r="I1947" i="1"/>
  <c r="N1946" i="1"/>
  <c r="M1946" i="1"/>
  <c r="L1946" i="1"/>
  <c r="K1946" i="1"/>
  <c r="I1955" i="1"/>
  <c r="N1954" i="1"/>
  <c r="M1954" i="1"/>
  <c r="L1954" i="1"/>
  <c r="K1954" i="1"/>
  <c r="I1963" i="1"/>
  <c r="N1962" i="1"/>
  <c r="M1962" i="1"/>
  <c r="K1962" i="1"/>
  <c r="I1971" i="1"/>
  <c r="N1970" i="1"/>
  <c r="M1970" i="1"/>
  <c r="L1970" i="1"/>
  <c r="K1970" i="1"/>
  <c r="I1979" i="1"/>
  <c r="N1978" i="1"/>
  <c r="M1978" i="1"/>
  <c r="L1978" i="1"/>
  <c r="K1978" i="1"/>
  <c r="I1987" i="1"/>
  <c r="N1986" i="1"/>
  <c r="M1986" i="1"/>
  <c r="L1986" i="1"/>
  <c r="K1986" i="1"/>
  <c r="I1995" i="1"/>
  <c r="N1994" i="1"/>
  <c r="M1994" i="1"/>
  <c r="L1994" i="1"/>
  <c r="I2003" i="1"/>
  <c r="N2002" i="1"/>
  <c r="M2002" i="1"/>
  <c r="L2002" i="1"/>
  <c r="I2011" i="1"/>
  <c r="N2010" i="1"/>
  <c r="M2010" i="1"/>
  <c r="L2010" i="1"/>
  <c r="K2010" i="1"/>
  <c r="I2019" i="1"/>
  <c r="N2018" i="1"/>
  <c r="M2018" i="1"/>
  <c r="L2018" i="1"/>
  <c r="K2018" i="1"/>
  <c r="I2027" i="1"/>
  <c r="N2026" i="1"/>
  <c r="M2026" i="1"/>
  <c r="K2026" i="1"/>
  <c r="I2035" i="1"/>
  <c r="N2034" i="1"/>
  <c r="M2034" i="1"/>
  <c r="L2034" i="1"/>
  <c r="K2034" i="1"/>
  <c r="I2043" i="1"/>
  <c r="N2042" i="1"/>
  <c r="M2042" i="1"/>
  <c r="K2042" i="1"/>
  <c r="I2051" i="1"/>
  <c r="N2050" i="1"/>
  <c r="M2050" i="1"/>
  <c r="L2050" i="1"/>
  <c r="K2050" i="1"/>
  <c r="I2059" i="1"/>
  <c r="N2058" i="1"/>
  <c r="M2058" i="1"/>
  <c r="L2058" i="1"/>
  <c r="K2058" i="1"/>
  <c r="I2067" i="1"/>
  <c r="N2066" i="1"/>
  <c r="M2066" i="1"/>
  <c r="L2066" i="1"/>
  <c r="K2066" i="1"/>
  <c r="I2075" i="1"/>
  <c r="M2074" i="1"/>
  <c r="L2074" i="1"/>
  <c r="I2083" i="1"/>
  <c r="N2082" i="1"/>
  <c r="K2082" i="1"/>
  <c r="I2091" i="1"/>
  <c r="N2090" i="1"/>
  <c r="M2090" i="1"/>
  <c r="L2090" i="1"/>
  <c r="K2090" i="1"/>
  <c r="I2099" i="1"/>
  <c r="N2098" i="1"/>
  <c r="M2098" i="1"/>
  <c r="K2098" i="1"/>
  <c r="I2107" i="1"/>
  <c r="N2106" i="1"/>
  <c r="M2106" i="1"/>
  <c r="L2106" i="1"/>
  <c r="I2115" i="1"/>
  <c r="N2114" i="1"/>
  <c r="M2114" i="1"/>
  <c r="L2114" i="1"/>
  <c r="K2114" i="1"/>
  <c r="I2123" i="1"/>
  <c r="N2122" i="1"/>
  <c r="M2122" i="1"/>
  <c r="L2122" i="1"/>
  <c r="K2122" i="1"/>
  <c r="I2131" i="1"/>
  <c r="N2130" i="1"/>
  <c r="M2130" i="1"/>
  <c r="L2130" i="1"/>
  <c r="K2130" i="1"/>
  <c r="I2139" i="1"/>
  <c r="N2138" i="1"/>
  <c r="M2138" i="1"/>
  <c r="L2138" i="1"/>
  <c r="K2138" i="1"/>
  <c r="I2147" i="1"/>
  <c r="N2146" i="1"/>
  <c r="M2146" i="1"/>
  <c r="L2146" i="1"/>
  <c r="I2155" i="1"/>
  <c r="N2154" i="1"/>
  <c r="M2154" i="1"/>
  <c r="K2154" i="1"/>
  <c r="I2163" i="1"/>
  <c r="N2162" i="1"/>
  <c r="M2162" i="1"/>
  <c r="L2162" i="1"/>
  <c r="K2162" i="1"/>
  <c r="I2171" i="1"/>
  <c r="N2170" i="1"/>
  <c r="M2170" i="1"/>
  <c r="K2170" i="1"/>
  <c r="I2179" i="1"/>
  <c r="N2178" i="1"/>
  <c r="M2178" i="1"/>
  <c r="K2178" i="1"/>
  <c r="I2187" i="1"/>
  <c r="N2186" i="1"/>
  <c r="M2186" i="1"/>
  <c r="L2186" i="1"/>
  <c r="K2186" i="1"/>
  <c r="I2195" i="1"/>
  <c r="N2194" i="1"/>
  <c r="M2194" i="1"/>
  <c r="L2194" i="1"/>
  <c r="K2194" i="1"/>
  <c r="I2203" i="1"/>
  <c r="N2202" i="1"/>
  <c r="M2202" i="1"/>
  <c r="K2202" i="1"/>
  <c r="I2211" i="1"/>
  <c r="N2210" i="1"/>
  <c r="M2210" i="1"/>
  <c r="L2210" i="1"/>
  <c r="K2210" i="1"/>
  <c r="I2219" i="1"/>
  <c r="N2218" i="1"/>
  <c r="K2218" i="1"/>
  <c r="I2227" i="1"/>
  <c r="M2226" i="1"/>
  <c r="L2226" i="1"/>
  <c r="K2226" i="1"/>
  <c r="I2235" i="1"/>
  <c r="N2234" i="1"/>
  <c r="M2234" i="1"/>
  <c r="K2234" i="1"/>
  <c r="I2243" i="1"/>
  <c r="N2242" i="1"/>
  <c r="M2242" i="1"/>
  <c r="L2242" i="1"/>
  <c r="K2242" i="1"/>
  <c r="I2251" i="1"/>
  <c r="N2250" i="1"/>
  <c r="K2250" i="1"/>
  <c r="I2259" i="1"/>
  <c r="N2258" i="1"/>
  <c r="K2258" i="1"/>
  <c r="I2267" i="1"/>
  <c r="N2266" i="1"/>
  <c r="M2266" i="1"/>
  <c r="L2266" i="1"/>
  <c r="K2266" i="1"/>
  <c r="I2275" i="1"/>
  <c r="N2274" i="1"/>
  <c r="M2274" i="1"/>
  <c r="L2274" i="1"/>
  <c r="K2274" i="1"/>
  <c r="I2283" i="1"/>
  <c r="N2282" i="1"/>
  <c r="M2282" i="1"/>
  <c r="L2282" i="1"/>
  <c r="K2282" i="1"/>
  <c r="I2291" i="1"/>
  <c r="N2290" i="1"/>
  <c r="M2290" i="1"/>
  <c r="L2290" i="1"/>
  <c r="K2290" i="1"/>
  <c r="I2299" i="1"/>
  <c r="N2298" i="1"/>
  <c r="M2298" i="1"/>
  <c r="L2298" i="1"/>
  <c r="K2298" i="1"/>
  <c r="I2307" i="1"/>
  <c r="N2306" i="1"/>
  <c r="M2306" i="1"/>
  <c r="L2306" i="1"/>
  <c r="K2306" i="1"/>
  <c r="I2315" i="1"/>
  <c r="N2314" i="1"/>
  <c r="M2314" i="1"/>
  <c r="L2314" i="1"/>
  <c r="I2323" i="1"/>
  <c r="N2322" i="1"/>
  <c r="M2322" i="1"/>
  <c r="L2322" i="1"/>
  <c r="K2322" i="1"/>
  <c r="I2331" i="1"/>
  <c r="N2330" i="1"/>
  <c r="M2330" i="1"/>
  <c r="L2330" i="1"/>
  <c r="K2330" i="1"/>
  <c r="I2339" i="1"/>
  <c r="N2338" i="1"/>
  <c r="M2338" i="1"/>
  <c r="L2338" i="1"/>
  <c r="K2338" i="1"/>
  <c r="I2347" i="1"/>
  <c r="N2346" i="1"/>
  <c r="M2346" i="1"/>
  <c r="L2346" i="1"/>
  <c r="K2346" i="1"/>
  <c r="I2355" i="1"/>
  <c r="N2354" i="1"/>
  <c r="M2354" i="1"/>
  <c r="K2354" i="1"/>
  <c r="I2363" i="1"/>
  <c r="N2362" i="1"/>
  <c r="M2362" i="1"/>
  <c r="L2362" i="1"/>
  <c r="K2362" i="1"/>
  <c r="I2371" i="1"/>
  <c r="N2370" i="1"/>
  <c r="M2370" i="1"/>
  <c r="L2370" i="1"/>
  <c r="K2370" i="1"/>
  <c r="I2379" i="1"/>
  <c r="N2378" i="1"/>
  <c r="M2378" i="1"/>
  <c r="L2378" i="1"/>
  <c r="K2378" i="1"/>
  <c r="I2387" i="1"/>
  <c r="N2386" i="1"/>
  <c r="M2386" i="1"/>
  <c r="L2386" i="1"/>
  <c r="K2386" i="1"/>
  <c r="I2395" i="1"/>
  <c r="N2394" i="1"/>
  <c r="M2394" i="1"/>
  <c r="L2394" i="1"/>
  <c r="K2394" i="1"/>
  <c r="I2403" i="1"/>
  <c r="N2402" i="1"/>
  <c r="M2402" i="1"/>
  <c r="L2402" i="1"/>
  <c r="K2402" i="1"/>
  <c r="I2411" i="1"/>
  <c r="N2410" i="1"/>
  <c r="M2410" i="1"/>
  <c r="L2410" i="1"/>
  <c r="K2410" i="1"/>
  <c r="I2419" i="1"/>
  <c r="N2418" i="1"/>
  <c r="M2418" i="1"/>
  <c r="L2418" i="1"/>
  <c r="K2418" i="1"/>
  <c r="I2427" i="1"/>
  <c r="N2426" i="1"/>
  <c r="M2426" i="1"/>
  <c r="L2426" i="1"/>
  <c r="I2435" i="1"/>
  <c r="N2434" i="1"/>
  <c r="M2434" i="1"/>
  <c r="L2434" i="1"/>
  <c r="I2443" i="1"/>
  <c r="N2442" i="1"/>
  <c r="M2442" i="1"/>
  <c r="L2442" i="1"/>
  <c r="K2442" i="1"/>
  <c r="I2451" i="1"/>
  <c r="N2450" i="1"/>
  <c r="M2450" i="1"/>
  <c r="L2450" i="1"/>
  <c r="K2450" i="1"/>
  <c r="I2459" i="1"/>
  <c r="N2458" i="1"/>
  <c r="M2458" i="1"/>
  <c r="L2458" i="1"/>
  <c r="I2467" i="1"/>
  <c r="N2466" i="1"/>
  <c r="M2466" i="1"/>
  <c r="L2466" i="1"/>
  <c r="I2475" i="1"/>
  <c r="N2474" i="1"/>
  <c r="M2474" i="1"/>
  <c r="L2474" i="1"/>
  <c r="K2474" i="1"/>
  <c r="I2483" i="1"/>
  <c r="N2482" i="1"/>
  <c r="M2482" i="1"/>
  <c r="L2482" i="1"/>
  <c r="K2482" i="1"/>
  <c r="I2491" i="1"/>
  <c r="N2490" i="1"/>
  <c r="M2490" i="1"/>
  <c r="L2490" i="1"/>
  <c r="K2490" i="1"/>
  <c r="I2499" i="1"/>
  <c r="N2498" i="1"/>
  <c r="M2498" i="1"/>
  <c r="L2498" i="1"/>
  <c r="K2498" i="1"/>
  <c r="I2507" i="1"/>
  <c r="N2506" i="1"/>
  <c r="M2506" i="1"/>
  <c r="L2506" i="1"/>
  <c r="I2515" i="1"/>
  <c r="N2514" i="1"/>
  <c r="M2514" i="1"/>
  <c r="L2514" i="1"/>
  <c r="K2514" i="1"/>
  <c r="I272" i="1"/>
  <c r="N271" i="1"/>
  <c r="M271" i="1"/>
  <c r="L271" i="1"/>
  <c r="K271" i="1"/>
  <c r="I288" i="1"/>
  <c r="N287" i="1"/>
  <c r="M287" i="1"/>
  <c r="L287" i="1"/>
  <c r="K287" i="1"/>
  <c r="I312" i="1"/>
  <c r="N311" i="1"/>
  <c r="M311" i="1"/>
  <c r="L311" i="1"/>
  <c r="K311" i="1"/>
  <c r="I328" i="1"/>
  <c r="N327" i="1"/>
  <c r="M327" i="1"/>
  <c r="L327" i="1"/>
  <c r="K327" i="1"/>
  <c r="I352" i="1"/>
  <c r="N351" i="1"/>
  <c r="M351" i="1"/>
  <c r="L351" i="1"/>
  <c r="K351" i="1"/>
  <c r="I368" i="1"/>
  <c r="N367" i="1"/>
  <c r="M367" i="1"/>
  <c r="L367" i="1"/>
  <c r="K367" i="1"/>
  <c r="I392" i="1"/>
  <c r="N391" i="1"/>
  <c r="M391" i="1"/>
  <c r="L391" i="1"/>
  <c r="K391" i="1"/>
  <c r="I408" i="1"/>
  <c r="M407" i="1"/>
  <c r="L407" i="1"/>
  <c r="I424" i="1"/>
  <c r="M423" i="1"/>
  <c r="L423" i="1"/>
  <c r="I448" i="1"/>
  <c r="M447" i="1"/>
  <c r="L447" i="1"/>
  <c r="I464" i="1"/>
  <c r="N463" i="1"/>
  <c r="M463" i="1"/>
  <c r="L463" i="1"/>
  <c r="K463" i="1"/>
  <c r="I488" i="1"/>
  <c r="N487" i="1"/>
  <c r="M487" i="1"/>
  <c r="L487" i="1"/>
  <c r="K487" i="1"/>
  <c r="I504" i="1"/>
  <c r="N503" i="1"/>
  <c r="M503" i="1"/>
  <c r="L503" i="1"/>
  <c r="I552" i="1"/>
  <c r="N551" i="1"/>
  <c r="M551" i="1"/>
  <c r="K551" i="1"/>
  <c r="I107" i="1"/>
  <c r="N106" i="1"/>
  <c r="M106" i="1"/>
  <c r="L106" i="1"/>
  <c r="K106" i="1"/>
  <c r="I115" i="1"/>
  <c r="M114" i="1"/>
  <c r="L114" i="1"/>
  <c r="I123" i="1"/>
  <c r="N122" i="1"/>
  <c r="M122" i="1"/>
  <c r="L122" i="1"/>
  <c r="K122" i="1"/>
  <c r="I131" i="1"/>
  <c r="N130" i="1"/>
  <c r="M130" i="1"/>
  <c r="L130" i="1"/>
  <c r="K130" i="1"/>
  <c r="I139" i="1"/>
  <c r="N138" i="1"/>
  <c r="K138" i="1"/>
  <c r="I147" i="1"/>
  <c r="N146" i="1"/>
  <c r="M146" i="1"/>
  <c r="K146" i="1"/>
  <c r="I155" i="1"/>
  <c r="N154" i="1"/>
  <c r="M154" i="1"/>
  <c r="L154" i="1"/>
  <c r="K154" i="1"/>
  <c r="I163" i="1"/>
  <c r="N162" i="1"/>
  <c r="M162" i="1"/>
  <c r="K162" i="1"/>
  <c r="I171" i="1"/>
  <c r="N170" i="1"/>
  <c r="M170" i="1"/>
  <c r="L170" i="1"/>
  <c r="K170" i="1"/>
  <c r="I179" i="1"/>
  <c r="N178" i="1"/>
  <c r="M178" i="1"/>
  <c r="L178" i="1"/>
  <c r="I187" i="1"/>
  <c r="N186" i="1"/>
  <c r="M186" i="1"/>
  <c r="K186" i="1"/>
  <c r="I195" i="1"/>
  <c r="N194" i="1"/>
  <c r="M194" i="1"/>
  <c r="L194" i="1"/>
  <c r="I203" i="1"/>
  <c r="N202" i="1"/>
  <c r="M202" i="1"/>
  <c r="L202" i="1"/>
  <c r="K202" i="1"/>
  <c r="I211" i="1"/>
  <c r="N210" i="1"/>
  <c r="M210" i="1"/>
  <c r="K210" i="1"/>
  <c r="I219" i="1"/>
  <c r="N218" i="1"/>
  <c r="M218" i="1"/>
  <c r="L218" i="1"/>
  <c r="K218" i="1"/>
  <c r="I227" i="1"/>
  <c r="N226" i="1"/>
  <c r="M226" i="1"/>
  <c r="L226" i="1"/>
  <c r="I235" i="1"/>
  <c r="N234" i="1"/>
  <c r="M234" i="1"/>
  <c r="L234" i="1"/>
  <c r="I243" i="1"/>
  <c r="N242" i="1"/>
  <c r="M242" i="1"/>
  <c r="L242" i="1"/>
  <c r="K242" i="1"/>
  <c r="I251" i="1"/>
  <c r="N250" i="1"/>
  <c r="M250" i="1"/>
  <c r="L250" i="1"/>
  <c r="K250" i="1"/>
  <c r="I259" i="1"/>
  <c r="N258" i="1"/>
  <c r="M258" i="1"/>
  <c r="L258" i="1"/>
  <c r="K258" i="1"/>
  <c r="I260" i="1"/>
  <c r="N259" i="1"/>
  <c r="M259" i="1"/>
  <c r="L259" i="1"/>
  <c r="K259" i="1"/>
  <c r="K260" i="1"/>
  <c r="N260" i="1"/>
  <c r="M260" i="1"/>
  <c r="L260" i="1"/>
  <c r="I269" i="1"/>
  <c r="N268" i="1"/>
  <c r="M268" i="1"/>
  <c r="L268" i="1"/>
  <c r="K268" i="1"/>
  <c r="I277" i="1"/>
  <c r="N276" i="1"/>
  <c r="M276" i="1"/>
  <c r="L276" i="1"/>
  <c r="K276" i="1"/>
  <c r="I285" i="1"/>
  <c r="N284" i="1"/>
  <c r="M284" i="1"/>
  <c r="L284" i="1"/>
  <c r="K284" i="1"/>
  <c r="I293" i="1"/>
  <c r="N292" i="1"/>
  <c r="M292" i="1"/>
  <c r="L292" i="1"/>
  <c r="K292" i="1"/>
  <c r="I301" i="1"/>
  <c r="N300" i="1"/>
  <c r="M300" i="1"/>
  <c r="L300" i="1"/>
  <c r="K300" i="1"/>
  <c r="I309" i="1"/>
  <c r="M308" i="1"/>
  <c r="L308" i="1"/>
  <c r="I317" i="1"/>
  <c r="N316" i="1"/>
  <c r="M316" i="1"/>
  <c r="L316" i="1"/>
  <c r="K316" i="1"/>
  <c r="I325" i="1"/>
  <c r="N324" i="1"/>
  <c r="M324" i="1"/>
  <c r="K324" i="1"/>
  <c r="I333" i="1"/>
  <c r="N332" i="1"/>
  <c r="M332" i="1"/>
  <c r="L332" i="1"/>
  <c r="K332" i="1"/>
  <c r="I341" i="1"/>
  <c r="N340" i="1"/>
  <c r="M340" i="1"/>
  <c r="K340" i="1"/>
  <c r="I349" i="1"/>
  <c r="N348" i="1"/>
  <c r="M348" i="1"/>
  <c r="K348" i="1"/>
  <c r="I357" i="1"/>
  <c r="N356" i="1"/>
  <c r="M356" i="1"/>
  <c r="L356" i="1"/>
  <c r="K356" i="1"/>
  <c r="I365" i="1"/>
  <c r="N364" i="1"/>
  <c r="M364" i="1"/>
  <c r="L364" i="1"/>
  <c r="K364" i="1"/>
  <c r="I373" i="1"/>
  <c r="N372" i="1"/>
  <c r="M372" i="1"/>
  <c r="L372" i="1"/>
  <c r="K372" i="1"/>
  <c r="I381" i="1"/>
  <c r="N380" i="1"/>
  <c r="M380" i="1"/>
  <c r="L380" i="1"/>
  <c r="K380" i="1"/>
  <c r="I389" i="1"/>
  <c r="N388" i="1"/>
  <c r="M388" i="1"/>
  <c r="L388" i="1"/>
  <c r="K388" i="1"/>
  <c r="I397" i="1"/>
  <c r="N396" i="1"/>
  <c r="M396" i="1"/>
  <c r="K396" i="1"/>
  <c r="I405" i="1"/>
  <c r="N404" i="1"/>
  <c r="K404" i="1"/>
  <c r="I413" i="1"/>
  <c r="N412" i="1"/>
  <c r="L412" i="1"/>
  <c r="K412" i="1"/>
  <c r="I421" i="1"/>
  <c r="N420" i="1"/>
  <c r="M420" i="1"/>
  <c r="L420" i="1"/>
  <c r="K420" i="1"/>
  <c r="I429" i="1"/>
  <c r="N428" i="1"/>
  <c r="M428" i="1"/>
  <c r="L428" i="1"/>
  <c r="K428" i="1"/>
  <c r="I437" i="1"/>
  <c r="N436" i="1"/>
  <c r="M436" i="1"/>
  <c r="L436" i="1"/>
  <c r="K436" i="1"/>
  <c r="I445" i="1"/>
  <c r="N444" i="1"/>
  <c r="K444" i="1"/>
  <c r="I453" i="1"/>
  <c r="N452" i="1"/>
  <c r="M452" i="1"/>
  <c r="L452" i="1"/>
  <c r="I461" i="1"/>
  <c r="N460" i="1"/>
  <c r="M460" i="1"/>
  <c r="L460" i="1"/>
  <c r="K460" i="1"/>
  <c r="I469" i="1"/>
  <c r="N468" i="1"/>
  <c r="M468" i="1"/>
  <c r="L468" i="1"/>
  <c r="I477" i="1"/>
  <c r="N476" i="1"/>
  <c r="M476" i="1"/>
  <c r="L476" i="1"/>
  <c r="K476" i="1"/>
  <c r="I485" i="1"/>
  <c r="M484" i="1"/>
  <c r="L484" i="1"/>
  <c r="I493" i="1"/>
  <c r="N492" i="1"/>
  <c r="M492" i="1"/>
  <c r="K492" i="1"/>
  <c r="I501" i="1"/>
  <c r="N500" i="1"/>
  <c r="M500" i="1"/>
  <c r="L500" i="1"/>
  <c r="I509" i="1"/>
  <c r="N508" i="1"/>
  <c r="M508" i="1"/>
  <c r="L508" i="1"/>
  <c r="I517" i="1"/>
  <c r="N516" i="1"/>
  <c r="M516" i="1"/>
  <c r="L516" i="1"/>
  <c r="K516" i="1"/>
  <c r="I525" i="1"/>
  <c r="N524" i="1"/>
  <c r="M524" i="1"/>
  <c r="L524" i="1"/>
  <c r="K524" i="1"/>
  <c r="I533" i="1"/>
  <c r="N532" i="1"/>
  <c r="M532" i="1"/>
  <c r="L532" i="1"/>
  <c r="K532" i="1"/>
  <c r="I541" i="1"/>
  <c r="N540" i="1"/>
  <c r="M540" i="1"/>
  <c r="L540" i="1"/>
  <c r="K540" i="1"/>
  <c r="I549" i="1"/>
  <c r="N548" i="1"/>
  <c r="M548" i="1"/>
  <c r="L548" i="1"/>
  <c r="K548" i="1"/>
  <c r="I557" i="1"/>
  <c r="N556" i="1"/>
  <c r="M556" i="1"/>
  <c r="L556" i="1"/>
  <c r="I565" i="1"/>
  <c r="N564" i="1"/>
  <c r="M564" i="1"/>
  <c r="L564" i="1"/>
  <c r="K564" i="1"/>
  <c r="I573" i="1"/>
  <c r="N572" i="1"/>
  <c r="M572" i="1"/>
  <c r="K572" i="1"/>
  <c r="I581" i="1"/>
  <c r="N580" i="1"/>
  <c r="M580" i="1"/>
  <c r="L580" i="1"/>
  <c r="I589" i="1"/>
  <c r="N588" i="1"/>
  <c r="M588" i="1"/>
  <c r="L588" i="1"/>
  <c r="K588" i="1"/>
  <c r="I597" i="1"/>
  <c r="N596" i="1"/>
  <c r="K596" i="1"/>
  <c r="I605" i="1"/>
  <c r="M604" i="1"/>
  <c r="L604" i="1"/>
  <c r="I613" i="1"/>
  <c r="N612" i="1"/>
  <c r="K612" i="1"/>
  <c r="I621" i="1"/>
  <c r="N620" i="1"/>
  <c r="K620" i="1"/>
  <c r="I629" i="1"/>
  <c r="N628" i="1"/>
  <c r="K628" i="1"/>
  <c r="I637" i="1"/>
  <c r="N636" i="1"/>
  <c r="M636" i="1"/>
  <c r="K636" i="1"/>
  <c r="I645" i="1"/>
  <c r="N644" i="1"/>
  <c r="M644" i="1"/>
  <c r="L644" i="1"/>
  <c r="I653" i="1"/>
  <c r="N652" i="1"/>
  <c r="M652" i="1"/>
  <c r="L652" i="1"/>
  <c r="K652" i="1"/>
  <c r="I661" i="1"/>
  <c r="N660" i="1"/>
  <c r="M660" i="1"/>
  <c r="L660" i="1"/>
  <c r="K660" i="1"/>
  <c r="I669" i="1"/>
  <c r="N668" i="1"/>
  <c r="M668" i="1"/>
  <c r="L668" i="1"/>
  <c r="K668" i="1"/>
  <c r="I677" i="1"/>
  <c r="N676" i="1"/>
  <c r="M676" i="1"/>
  <c r="L676" i="1"/>
  <c r="K676" i="1"/>
  <c r="I685" i="1"/>
  <c r="N684" i="1"/>
  <c r="M684" i="1"/>
  <c r="L684" i="1"/>
  <c r="I693" i="1"/>
  <c r="N692" i="1"/>
  <c r="M692" i="1"/>
  <c r="K692" i="1"/>
  <c r="I701" i="1"/>
  <c r="N700" i="1"/>
  <c r="M700" i="1"/>
  <c r="K700" i="1"/>
  <c r="I709" i="1"/>
  <c r="N708" i="1"/>
  <c r="M708" i="1"/>
  <c r="L708" i="1"/>
  <c r="I717" i="1"/>
  <c r="N716" i="1"/>
  <c r="M716" i="1"/>
  <c r="L716" i="1"/>
  <c r="K716" i="1"/>
  <c r="I725" i="1"/>
  <c r="N724" i="1"/>
  <c r="M724" i="1"/>
  <c r="L724" i="1"/>
  <c r="K724" i="1"/>
  <c r="I733" i="1"/>
  <c r="M732" i="1"/>
  <c r="L732" i="1"/>
  <c r="I741" i="1"/>
  <c r="N740" i="1"/>
  <c r="M740" i="1"/>
  <c r="L740" i="1"/>
  <c r="K740" i="1"/>
  <c r="I749" i="1"/>
  <c r="N748" i="1"/>
  <c r="M748" i="1"/>
  <c r="L748" i="1"/>
  <c r="I757" i="1"/>
  <c r="N756" i="1"/>
  <c r="M756" i="1"/>
  <c r="L756" i="1"/>
  <c r="K756" i="1"/>
  <c r="I765" i="1"/>
  <c r="N764" i="1"/>
  <c r="M764" i="1"/>
  <c r="L764" i="1"/>
  <c r="K764" i="1"/>
  <c r="I773" i="1"/>
  <c r="N772" i="1"/>
  <c r="M772" i="1"/>
  <c r="L772" i="1"/>
  <c r="K772" i="1"/>
  <c r="I781" i="1"/>
  <c r="N780" i="1"/>
  <c r="M780" i="1"/>
  <c r="L780" i="1"/>
  <c r="K780" i="1"/>
  <c r="I789" i="1"/>
  <c r="N788" i="1"/>
  <c r="M788" i="1"/>
  <c r="L788" i="1"/>
  <c r="K788" i="1"/>
  <c r="I797" i="1"/>
  <c r="N796" i="1"/>
  <c r="M796" i="1"/>
  <c r="L796" i="1"/>
  <c r="I805" i="1"/>
  <c r="N804" i="1"/>
  <c r="M804" i="1"/>
  <c r="L804" i="1"/>
  <c r="K804" i="1"/>
  <c r="I813" i="1"/>
  <c r="N812" i="1"/>
  <c r="M812" i="1"/>
  <c r="K812" i="1"/>
  <c r="I821" i="1"/>
  <c r="N820" i="1"/>
  <c r="M820" i="1"/>
  <c r="K820" i="1"/>
  <c r="I829" i="1"/>
  <c r="N828" i="1"/>
  <c r="M828" i="1"/>
  <c r="K828" i="1"/>
  <c r="I837" i="1"/>
  <c r="N836" i="1"/>
  <c r="M836" i="1"/>
  <c r="L836" i="1"/>
  <c r="I845" i="1"/>
  <c r="N844" i="1"/>
  <c r="M844" i="1"/>
  <c r="L844" i="1"/>
  <c r="K844" i="1"/>
  <c r="I853" i="1"/>
  <c r="N852" i="1"/>
  <c r="M852" i="1"/>
  <c r="L852" i="1"/>
  <c r="I861" i="1"/>
  <c r="N860" i="1"/>
  <c r="M860" i="1"/>
  <c r="L860" i="1"/>
  <c r="K860" i="1"/>
  <c r="I869" i="1"/>
  <c r="N868" i="1"/>
  <c r="M868" i="1"/>
  <c r="K868" i="1"/>
  <c r="I877" i="1"/>
  <c r="N876" i="1"/>
  <c r="M876" i="1"/>
  <c r="L876" i="1"/>
  <c r="K876" i="1"/>
  <c r="I885" i="1"/>
  <c r="N884" i="1"/>
  <c r="M884" i="1"/>
  <c r="L884" i="1"/>
  <c r="K884" i="1"/>
  <c r="I893" i="1"/>
  <c r="N892" i="1"/>
  <c r="M892" i="1"/>
  <c r="K892" i="1"/>
  <c r="I901" i="1"/>
  <c r="N900" i="1"/>
  <c r="M900" i="1"/>
  <c r="L900" i="1"/>
  <c r="I909" i="1"/>
  <c r="N908" i="1"/>
  <c r="M908" i="1"/>
  <c r="K908" i="1"/>
  <c r="I917" i="1"/>
  <c r="N916" i="1"/>
  <c r="M916" i="1"/>
  <c r="L916" i="1"/>
  <c r="K916" i="1"/>
  <c r="I925" i="1"/>
  <c r="N924" i="1"/>
  <c r="M924" i="1"/>
  <c r="L924" i="1"/>
  <c r="K924" i="1"/>
  <c r="I933" i="1"/>
  <c r="N932" i="1"/>
  <c r="M932" i="1"/>
  <c r="L932" i="1"/>
  <c r="K932" i="1"/>
  <c r="I941" i="1"/>
  <c r="N940" i="1"/>
  <c r="M940" i="1"/>
  <c r="K940" i="1"/>
  <c r="I949" i="1"/>
  <c r="N948" i="1"/>
  <c r="M948" i="1"/>
  <c r="K948" i="1"/>
  <c r="I957" i="1"/>
  <c r="N956" i="1"/>
  <c r="M956" i="1"/>
  <c r="K956" i="1"/>
  <c r="I965" i="1"/>
  <c r="N964" i="1"/>
  <c r="M964" i="1"/>
  <c r="L964" i="1"/>
  <c r="K964" i="1"/>
  <c r="I973" i="1"/>
  <c r="N972" i="1"/>
  <c r="M972" i="1"/>
  <c r="L972" i="1"/>
  <c r="K972" i="1"/>
  <c r="I981" i="1"/>
  <c r="N980" i="1"/>
  <c r="M980" i="1"/>
  <c r="L980" i="1"/>
  <c r="K980" i="1"/>
  <c r="I989" i="1"/>
  <c r="N988" i="1"/>
  <c r="M988" i="1"/>
  <c r="L988" i="1"/>
  <c r="K988" i="1"/>
  <c r="I997" i="1"/>
  <c r="N996" i="1"/>
  <c r="M996" i="1"/>
  <c r="K996" i="1"/>
  <c r="I1005" i="1"/>
  <c r="N1004" i="1"/>
  <c r="M1004" i="1"/>
  <c r="L1004" i="1"/>
  <c r="I1013" i="1"/>
  <c r="N1012" i="1"/>
  <c r="M1012" i="1"/>
  <c r="L1012" i="1"/>
  <c r="K1012" i="1"/>
  <c r="I1021" i="1"/>
  <c r="N1020" i="1"/>
  <c r="M1020" i="1"/>
  <c r="K1020" i="1"/>
  <c r="I1029" i="1"/>
  <c r="N1028" i="1"/>
  <c r="M1028" i="1"/>
  <c r="K1028" i="1"/>
  <c r="I1037" i="1"/>
  <c r="N1036" i="1"/>
  <c r="M1036" i="1"/>
  <c r="L1036" i="1"/>
  <c r="K1036" i="1"/>
  <c r="I1045" i="1"/>
  <c r="N1044" i="1"/>
  <c r="M1044" i="1"/>
  <c r="L1044" i="1"/>
  <c r="K1044" i="1"/>
  <c r="I1053" i="1"/>
  <c r="N1052" i="1"/>
  <c r="M1052" i="1"/>
  <c r="K1052" i="1"/>
  <c r="I1061" i="1"/>
  <c r="N1060" i="1"/>
  <c r="M1060" i="1"/>
  <c r="L1060" i="1"/>
  <c r="I1069" i="1"/>
  <c r="N1068" i="1"/>
  <c r="M1068" i="1"/>
  <c r="L1068" i="1"/>
  <c r="K1068" i="1"/>
  <c r="I1077" i="1"/>
  <c r="N1076" i="1"/>
  <c r="M1076" i="1"/>
  <c r="L1076" i="1"/>
  <c r="K1076" i="1"/>
  <c r="I1085" i="1"/>
  <c r="N1084" i="1"/>
  <c r="M1084" i="1"/>
  <c r="L1084" i="1"/>
  <c r="I1093" i="1"/>
  <c r="N1092" i="1"/>
  <c r="M1092" i="1"/>
  <c r="L1092" i="1"/>
  <c r="K1092" i="1"/>
  <c r="I1101" i="1"/>
  <c r="N1100" i="1"/>
  <c r="M1100" i="1"/>
  <c r="L1100" i="1"/>
  <c r="K1100" i="1"/>
  <c r="I1109" i="1"/>
  <c r="N1108" i="1"/>
  <c r="M1108" i="1"/>
  <c r="L1108" i="1"/>
  <c r="K1108" i="1"/>
  <c r="I1117" i="1"/>
  <c r="N1116" i="1"/>
  <c r="M1116" i="1"/>
  <c r="L1116" i="1"/>
  <c r="I1125" i="1"/>
  <c r="N1124" i="1"/>
  <c r="M1124" i="1"/>
  <c r="L1124" i="1"/>
  <c r="K1124" i="1"/>
  <c r="I1133" i="1"/>
  <c r="N1132" i="1"/>
  <c r="M1132" i="1"/>
  <c r="L1132" i="1"/>
  <c r="K1132" i="1"/>
  <c r="I1141" i="1"/>
  <c r="N1140" i="1"/>
  <c r="M1140" i="1"/>
  <c r="K1140" i="1"/>
  <c r="I1149" i="1"/>
  <c r="N1148" i="1"/>
  <c r="M1148" i="1"/>
  <c r="L1148" i="1"/>
  <c r="I1157" i="1"/>
  <c r="N1156" i="1"/>
  <c r="M1156" i="1"/>
  <c r="K1156" i="1"/>
  <c r="I1165" i="1"/>
  <c r="N1164" i="1"/>
  <c r="M1164" i="1"/>
  <c r="L1164" i="1"/>
  <c r="K1164" i="1"/>
  <c r="I1173" i="1"/>
  <c r="N1172" i="1"/>
  <c r="M1172" i="1"/>
  <c r="L1172" i="1"/>
  <c r="I1181" i="1"/>
  <c r="N1180" i="1"/>
  <c r="M1180" i="1"/>
  <c r="L1180" i="1"/>
  <c r="I1189" i="1"/>
  <c r="N1188" i="1"/>
  <c r="M1188" i="1"/>
  <c r="L1188" i="1"/>
  <c r="K1188" i="1"/>
  <c r="I1197" i="1"/>
  <c r="N1196" i="1"/>
  <c r="M1196" i="1"/>
  <c r="L1196" i="1"/>
  <c r="K1196" i="1"/>
  <c r="I1205" i="1"/>
  <c r="N1204" i="1"/>
  <c r="K1204" i="1"/>
  <c r="I1213" i="1"/>
  <c r="M1212" i="1"/>
  <c r="L1212" i="1"/>
  <c r="I1221" i="1"/>
  <c r="N1220" i="1"/>
  <c r="M1220" i="1"/>
  <c r="L1220" i="1"/>
  <c r="I1229" i="1"/>
  <c r="N1228" i="1"/>
  <c r="M1228" i="1"/>
  <c r="L1228" i="1"/>
  <c r="K1228" i="1"/>
  <c r="I1237" i="1"/>
  <c r="N1236" i="1"/>
  <c r="M1236" i="1"/>
  <c r="L1236" i="1"/>
  <c r="K1236" i="1"/>
  <c r="I1245" i="1"/>
  <c r="N1244" i="1"/>
  <c r="M1244" i="1"/>
  <c r="L1244" i="1"/>
  <c r="K1244" i="1"/>
  <c r="I1253" i="1"/>
  <c r="N1252" i="1"/>
  <c r="M1252" i="1"/>
  <c r="L1252" i="1"/>
  <c r="I1261" i="1"/>
  <c r="N1260" i="1"/>
  <c r="M1260" i="1"/>
  <c r="K1260" i="1"/>
  <c r="I1269" i="1"/>
  <c r="N1268" i="1"/>
  <c r="M1268" i="1"/>
  <c r="L1268" i="1"/>
  <c r="K1268" i="1"/>
  <c r="I1277" i="1"/>
  <c r="N1276" i="1"/>
  <c r="M1276" i="1"/>
  <c r="L1276" i="1"/>
  <c r="K1276" i="1"/>
  <c r="I1285" i="1"/>
  <c r="N1284" i="1"/>
  <c r="M1284" i="1"/>
  <c r="L1284" i="1"/>
  <c r="K1284" i="1"/>
  <c r="I1293" i="1"/>
  <c r="N1292" i="1"/>
  <c r="M1292" i="1"/>
  <c r="L1292" i="1"/>
  <c r="K1292" i="1"/>
  <c r="I1301" i="1"/>
  <c r="N1300" i="1"/>
  <c r="M1300" i="1"/>
  <c r="K1300" i="1"/>
  <c r="I1309" i="1"/>
  <c r="N1308" i="1"/>
  <c r="M1308" i="1"/>
  <c r="L1308" i="1"/>
  <c r="K1308" i="1"/>
  <c r="I1317" i="1"/>
  <c r="N1316" i="1"/>
  <c r="M1316" i="1"/>
  <c r="L1316" i="1"/>
  <c r="K1316" i="1"/>
  <c r="I1325" i="1"/>
  <c r="N1324" i="1"/>
  <c r="M1324" i="1"/>
  <c r="L1324" i="1"/>
  <c r="K1324" i="1"/>
  <c r="I1333" i="1"/>
  <c r="N1332" i="1"/>
  <c r="M1332" i="1"/>
  <c r="L1332" i="1"/>
  <c r="I1341" i="1"/>
  <c r="N1340" i="1"/>
  <c r="M1340" i="1"/>
  <c r="L1340" i="1"/>
  <c r="K1340" i="1"/>
  <c r="I1349" i="1"/>
  <c r="N1348" i="1"/>
  <c r="M1348" i="1"/>
  <c r="L1348" i="1"/>
  <c r="K1348" i="1"/>
  <c r="I1357" i="1"/>
  <c r="N1356" i="1"/>
  <c r="M1356" i="1"/>
  <c r="K1356" i="1"/>
  <c r="I1365" i="1"/>
  <c r="N1364" i="1"/>
  <c r="M1364" i="1"/>
  <c r="L1364" i="1"/>
  <c r="K1364" i="1"/>
  <c r="I1373" i="1"/>
  <c r="N1372" i="1"/>
  <c r="M1372" i="1"/>
  <c r="L1372" i="1"/>
  <c r="K1372" i="1"/>
  <c r="I1381" i="1"/>
  <c r="N1380" i="1"/>
  <c r="M1380" i="1"/>
  <c r="L1380" i="1"/>
  <c r="K1380" i="1"/>
  <c r="I1389" i="1"/>
  <c r="N1388" i="1"/>
  <c r="M1388" i="1"/>
  <c r="L1388" i="1"/>
  <c r="K1388" i="1"/>
  <c r="I1397" i="1"/>
  <c r="N1396" i="1"/>
  <c r="M1396" i="1"/>
  <c r="L1396" i="1"/>
  <c r="I1405" i="1"/>
  <c r="N1404" i="1"/>
  <c r="M1404" i="1"/>
  <c r="L1404" i="1"/>
  <c r="I1413" i="1"/>
  <c r="N1412" i="1"/>
  <c r="M1412" i="1"/>
  <c r="L1412" i="1"/>
  <c r="K1412" i="1"/>
  <c r="I1421" i="1"/>
  <c r="N1420" i="1"/>
  <c r="M1420" i="1"/>
  <c r="L1420" i="1"/>
  <c r="K1420" i="1"/>
  <c r="I1429" i="1"/>
  <c r="N1428" i="1"/>
  <c r="M1428" i="1"/>
  <c r="L1428" i="1"/>
  <c r="K1428" i="1"/>
  <c r="I1437" i="1"/>
  <c r="N1436" i="1"/>
  <c r="M1436" i="1"/>
  <c r="L1436" i="1"/>
  <c r="K1436" i="1"/>
  <c r="I1445" i="1"/>
  <c r="N1444" i="1"/>
  <c r="M1444" i="1"/>
  <c r="L1444" i="1"/>
  <c r="K1444" i="1"/>
  <c r="I1453" i="1"/>
  <c r="M1452" i="1"/>
  <c r="L1452" i="1"/>
  <c r="I1461" i="1"/>
  <c r="N1460" i="1"/>
  <c r="M1460" i="1"/>
  <c r="L1460" i="1"/>
  <c r="I1469" i="1"/>
  <c r="N1468" i="1"/>
  <c r="M1468" i="1"/>
  <c r="L1468" i="1"/>
  <c r="K1468" i="1"/>
  <c r="I1477" i="1"/>
  <c r="N1476" i="1"/>
  <c r="M1476" i="1"/>
  <c r="L1476" i="1"/>
  <c r="K1476" i="1"/>
  <c r="I1485" i="1"/>
  <c r="N1484" i="1"/>
  <c r="M1484" i="1"/>
  <c r="L1484" i="1"/>
  <c r="I1493" i="1"/>
  <c r="N1492" i="1"/>
  <c r="M1492" i="1"/>
  <c r="L1492" i="1"/>
  <c r="I1501" i="1"/>
  <c r="N1500" i="1"/>
  <c r="M1500" i="1"/>
  <c r="K1500" i="1"/>
  <c r="I1509" i="1"/>
  <c r="N1508" i="1"/>
  <c r="M1508" i="1"/>
  <c r="L1508" i="1"/>
  <c r="K1508" i="1"/>
  <c r="I1517" i="1"/>
  <c r="N1516" i="1"/>
  <c r="K1516" i="1"/>
  <c r="I1525" i="1"/>
  <c r="N1524" i="1"/>
  <c r="M1524" i="1"/>
  <c r="L1524" i="1"/>
  <c r="K1524" i="1"/>
  <c r="I1533" i="1"/>
  <c r="M1532" i="1"/>
  <c r="L1532" i="1"/>
  <c r="I1541" i="1"/>
  <c r="N1540" i="1"/>
  <c r="M1540" i="1"/>
  <c r="L1540" i="1"/>
  <c r="K1540" i="1"/>
  <c r="I1549" i="1"/>
  <c r="N1548" i="1"/>
  <c r="M1548" i="1"/>
  <c r="K1548" i="1"/>
  <c r="I1557" i="1"/>
  <c r="N1556" i="1"/>
  <c r="M1556" i="1"/>
  <c r="L1556" i="1"/>
  <c r="K1556" i="1"/>
  <c r="I1565" i="1"/>
  <c r="N1564" i="1"/>
  <c r="M1564" i="1"/>
  <c r="L1564" i="1"/>
  <c r="I1573" i="1"/>
  <c r="N1572" i="1"/>
  <c r="M1572" i="1"/>
  <c r="L1572" i="1"/>
  <c r="K1572" i="1"/>
  <c r="I1581" i="1"/>
  <c r="N1580" i="1"/>
  <c r="M1580" i="1"/>
  <c r="L1580" i="1"/>
  <c r="K1580" i="1"/>
  <c r="I1589" i="1"/>
  <c r="N1588" i="1"/>
  <c r="M1588" i="1"/>
  <c r="L1588" i="1"/>
  <c r="K1588" i="1"/>
  <c r="I1597" i="1"/>
  <c r="N1596" i="1"/>
  <c r="M1596" i="1"/>
  <c r="L1596" i="1"/>
  <c r="I1605" i="1"/>
  <c r="N1604" i="1"/>
  <c r="M1604" i="1"/>
  <c r="L1604" i="1"/>
  <c r="K1604" i="1"/>
  <c r="I1613" i="1"/>
  <c r="N1612" i="1"/>
  <c r="M1612" i="1"/>
  <c r="L1612" i="1"/>
  <c r="K1612" i="1"/>
  <c r="I1621" i="1"/>
  <c r="N1620" i="1"/>
  <c r="M1620" i="1"/>
  <c r="L1620" i="1"/>
  <c r="I1629" i="1"/>
  <c r="N1628" i="1"/>
  <c r="M1628" i="1"/>
  <c r="L1628" i="1"/>
  <c r="K1628" i="1"/>
  <c r="I1637" i="1"/>
  <c r="M1636" i="1"/>
  <c r="L1636" i="1"/>
  <c r="I1645" i="1"/>
  <c r="N1644" i="1"/>
  <c r="M1644" i="1"/>
  <c r="L1644" i="1"/>
  <c r="I1653" i="1"/>
  <c r="N1652" i="1"/>
  <c r="M1652" i="1"/>
  <c r="L1652" i="1"/>
  <c r="K1652" i="1"/>
  <c r="I1661" i="1"/>
  <c r="N1660" i="1"/>
  <c r="M1660" i="1"/>
  <c r="K1660" i="1"/>
  <c r="I1669" i="1"/>
  <c r="N1668" i="1"/>
  <c r="M1668" i="1"/>
  <c r="K1668" i="1"/>
  <c r="I1677" i="1"/>
  <c r="N1676" i="1"/>
  <c r="M1676" i="1"/>
  <c r="K1676" i="1"/>
  <c r="I1685" i="1"/>
  <c r="N1684" i="1"/>
  <c r="M1684" i="1"/>
  <c r="L1684" i="1"/>
  <c r="K1684" i="1"/>
  <c r="I1693" i="1"/>
  <c r="N1692" i="1"/>
  <c r="M1692" i="1"/>
  <c r="K1692" i="1"/>
  <c r="I1701" i="1"/>
  <c r="N1700" i="1"/>
  <c r="M1700" i="1"/>
  <c r="L1700" i="1"/>
  <c r="K1700" i="1"/>
  <c r="I1709" i="1"/>
  <c r="N1708" i="1"/>
  <c r="M1708" i="1"/>
  <c r="L1708" i="1"/>
  <c r="K1708" i="1"/>
  <c r="I1717" i="1"/>
  <c r="N1716" i="1"/>
  <c r="M1716" i="1"/>
  <c r="L1716" i="1"/>
  <c r="K1716" i="1"/>
  <c r="I1725" i="1"/>
  <c r="N1724" i="1"/>
  <c r="M1724" i="1"/>
  <c r="L1724" i="1"/>
  <c r="K1724" i="1"/>
  <c r="I1733" i="1"/>
  <c r="N1732" i="1"/>
  <c r="M1732" i="1"/>
  <c r="L1732" i="1"/>
  <c r="K1732" i="1"/>
  <c r="I1741" i="1"/>
  <c r="N1740" i="1"/>
  <c r="M1740" i="1"/>
  <c r="L1740" i="1"/>
  <c r="K1740" i="1"/>
  <c r="I1749" i="1"/>
  <c r="N1748" i="1"/>
  <c r="M1748" i="1"/>
  <c r="L1748" i="1"/>
  <c r="I1757" i="1"/>
  <c r="N1756" i="1"/>
  <c r="M1756" i="1"/>
  <c r="L1756" i="1"/>
  <c r="K1756" i="1"/>
  <c r="I1765" i="1"/>
  <c r="N1764" i="1"/>
  <c r="M1764" i="1"/>
  <c r="L1764" i="1"/>
  <c r="K1764" i="1"/>
  <c r="I1773" i="1"/>
  <c r="N1772" i="1"/>
  <c r="M1772" i="1"/>
  <c r="L1772" i="1"/>
  <c r="I1781" i="1"/>
  <c r="N1780" i="1"/>
  <c r="M1780" i="1"/>
  <c r="L1780" i="1"/>
  <c r="I1789" i="1"/>
  <c r="N1788" i="1"/>
  <c r="M1788" i="1"/>
  <c r="L1788" i="1"/>
  <c r="I1797" i="1"/>
  <c r="N1796" i="1"/>
  <c r="M1796" i="1"/>
  <c r="L1796" i="1"/>
  <c r="K1796" i="1"/>
  <c r="I1805" i="1"/>
  <c r="N1804" i="1"/>
  <c r="M1804" i="1"/>
  <c r="L1804" i="1"/>
  <c r="K1804" i="1"/>
  <c r="I1813" i="1"/>
  <c r="N1812" i="1"/>
  <c r="M1812" i="1"/>
  <c r="L1812" i="1"/>
  <c r="K1812" i="1"/>
  <c r="I1821" i="1"/>
  <c r="N1820" i="1"/>
  <c r="M1820" i="1"/>
  <c r="L1820" i="1"/>
  <c r="K1820" i="1"/>
  <c r="I1829" i="1"/>
  <c r="N1828" i="1"/>
  <c r="M1828" i="1"/>
  <c r="K1828" i="1"/>
  <c r="I1837" i="1"/>
  <c r="N1836" i="1"/>
  <c r="M1836" i="1"/>
  <c r="L1836" i="1"/>
  <c r="K1836" i="1"/>
  <c r="I1845" i="1"/>
  <c r="N1844" i="1"/>
  <c r="M1844" i="1"/>
  <c r="L1844" i="1"/>
  <c r="K1844" i="1"/>
  <c r="I1853" i="1"/>
  <c r="N1852" i="1"/>
  <c r="M1852" i="1"/>
  <c r="L1852" i="1"/>
  <c r="K1852" i="1"/>
  <c r="I1861" i="1"/>
  <c r="N1860" i="1"/>
  <c r="M1860" i="1"/>
  <c r="L1860" i="1"/>
  <c r="K1860" i="1"/>
  <c r="I1869" i="1"/>
  <c r="N1868" i="1"/>
  <c r="M1868" i="1"/>
  <c r="L1868" i="1"/>
  <c r="K1868" i="1"/>
  <c r="I1877" i="1"/>
  <c r="N1876" i="1"/>
  <c r="M1876" i="1"/>
  <c r="K1876" i="1"/>
  <c r="I1885" i="1"/>
  <c r="N1884" i="1"/>
  <c r="M1884" i="1"/>
  <c r="L1884" i="1"/>
  <c r="K1884" i="1"/>
  <c r="I1893" i="1"/>
  <c r="N1892" i="1"/>
  <c r="M1892" i="1"/>
  <c r="L1892" i="1"/>
  <c r="I1901" i="1"/>
  <c r="N1900" i="1"/>
  <c r="M1900" i="1"/>
  <c r="L1900" i="1"/>
  <c r="K1900" i="1"/>
  <c r="I1909" i="1"/>
  <c r="N1908" i="1"/>
  <c r="M1908" i="1"/>
  <c r="K1908" i="1"/>
  <c r="I1917" i="1"/>
  <c r="N1916" i="1"/>
  <c r="M1916" i="1"/>
  <c r="L1916" i="1"/>
  <c r="K1916" i="1"/>
  <c r="I1925" i="1"/>
  <c r="N1924" i="1"/>
  <c r="M1924" i="1"/>
  <c r="L1924" i="1"/>
  <c r="K1924" i="1"/>
  <c r="I1933" i="1"/>
  <c r="N1932" i="1"/>
  <c r="M1932" i="1"/>
  <c r="L1932" i="1"/>
  <c r="K1932" i="1"/>
  <c r="I1941" i="1"/>
  <c r="N1940" i="1"/>
  <c r="M1940" i="1"/>
  <c r="L1940" i="1"/>
  <c r="K1940" i="1"/>
  <c r="I1949" i="1"/>
  <c r="N1948" i="1"/>
  <c r="M1948" i="1"/>
  <c r="L1948" i="1"/>
  <c r="K1948" i="1"/>
  <c r="I1957" i="1"/>
  <c r="N1956" i="1"/>
  <c r="M1956" i="1"/>
  <c r="L1956" i="1"/>
  <c r="K1956" i="1"/>
  <c r="I1965" i="1"/>
  <c r="N1964" i="1"/>
  <c r="M1964" i="1"/>
  <c r="L1964" i="1"/>
  <c r="K1964" i="1"/>
  <c r="I1973" i="1"/>
  <c r="N1972" i="1"/>
  <c r="M1972" i="1"/>
  <c r="L1972" i="1"/>
  <c r="K1972" i="1"/>
  <c r="I1981" i="1"/>
  <c r="N1980" i="1"/>
  <c r="M1980" i="1"/>
  <c r="L1980" i="1"/>
  <c r="K1980" i="1"/>
  <c r="I1989" i="1"/>
  <c r="N1988" i="1"/>
  <c r="M1988" i="1"/>
  <c r="L1988" i="1"/>
  <c r="K1988" i="1"/>
  <c r="I1997" i="1"/>
  <c r="N1996" i="1"/>
  <c r="M1996" i="1"/>
  <c r="L1996" i="1"/>
  <c r="I2005" i="1"/>
  <c r="N2004" i="1"/>
  <c r="M2004" i="1"/>
  <c r="L2004" i="1"/>
  <c r="K2004" i="1"/>
  <c r="I2013" i="1"/>
  <c r="N2012" i="1"/>
  <c r="M2012" i="1"/>
  <c r="L2012" i="1"/>
  <c r="K2012" i="1"/>
  <c r="I2021" i="1"/>
  <c r="N2020" i="1"/>
  <c r="M2020" i="1"/>
  <c r="L2020" i="1"/>
  <c r="K2020" i="1"/>
  <c r="I2029" i="1"/>
  <c r="N2028" i="1"/>
  <c r="M2028" i="1"/>
  <c r="L2028" i="1"/>
  <c r="K2028" i="1"/>
  <c r="I2037" i="1"/>
  <c r="N2036" i="1"/>
  <c r="M2036" i="1"/>
  <c r="K2036" i="1"/>
  <c r="I2045" i="1"/>
  <c r="N2044" i="1"/>
  <c r="M2044" i="1"/>
  <c r="L2044" i="1"/>
  <c r="K2044" i="1"/>
  <c r="I2053" i="1"/>
  <c r="N2052" i="1"/>
  <c r="M2052" i="1"/>
  <c r="L2052" i="1"/>
  <c r="K2052" i="1"/>
  <c r="I2061" i="1"/>
  <c r="N2060" i="1"/>
  <c r="M2060" i="1"/>
  <c r="L2060" i="1"/>
  <c r="K2060" i="1"/>
  <c r="I2069" i="1"/>
  <c r="N2068" i="1"/>
  <c r="M2068" i="1"/>
  <c r="L2068" i="1"/>
  <c r="K2068" i="1"/>
  <c r="I2077" i="1"/>
  <c r="N2076" i="1"/>
  <c r="M2076" i="1"/>
  <c r="L2076" i="1"/>
  <c r="K2076" i="1"/>
  <c r="I2085" i="1"/>
  <c r="M2084" i="1"/>
  <c r="L2084" i="1"/>
  <c r="I2093" i="1"/>
  <c r="N2092" i="1"/>
  <c r="M2092" i="1"/>
  <c r="L2092" i="1"/>
  <c r="K2092" i="1"/>
  <c r="I2101" i="1"/>
  <c r="N2100" i="1"/>
  <c r="M2100" i="1"/>
  <c r="K2100" i="1"/>
  <c r="I2109" i="1"/>
  <c r="N2108" i="1"/>
  <c r="M2108" i="1"/>
  <c r="L2108" i="1"/>
  <c r="K2108" i="1"/>
  <c r="I2117" i="1"/>
  <c r="N2116" i="1"/>
  <c r="M2116" i="1"/>
  <c r="L2116" i="1"/>
  <c r="K2116" i="1"/>
  <c r="I2125" i="1"/>
  <c r="N2124" i="1"/>
  <c r="M2124" i="1"/>
  <c r="L2124" i="1"/>
  <c r="I2133" i="1"/>
  <c r="N2132" i="1"/>
  <c r="M2132" i="1"/>
  <c r="K2132" i="1"/>
  <c r="I2141" i="1"/>
  <c r="N2140" i="1"/>
  <c r="M2140" i="1"/>
  <c r="L2140" i="1"/>
  <c r="K2140" i="1"/>
  <c r="I2149" i="1"/>
  <c r="N2148" i="1"/>
  <c r="M2148" i="1"/>
  <c r="K2148" i="1"/>
  <c r="I2157" i="1"/>
  <c r="N2156" i="1"/>
  <c r="M2156" i="1"/>
  <c r="L2156" i="1"/>
  <c r="K2156" i="1"/>
  <c r="I2165" i="1"/>
  <c r="N2164" i="1"/>
  <c r="M2164" i="1"/>
  <c r="L2164" i="1"/>
  <c r="I2173" i="1"/>
  <c r="N2172" i="1"/>
  <c r="M2172" i="1"/>
  <c r="L2172" i="1"/>
  <c r="I2181" i="1"/>
  <c r="N2180" i="1"/>
  <c r="M2180" i="1"/>
  <c r="L2180" i="1"/>
  <c r="I2189" i="1"/>
  <c r="N2188" i="1"/>
  <c r="M2188" i="1"/>
  <c r="K2188" i="1"/>
  <c r="I2197" i="1"/>
  <c r="N2196" i="1"/>
  <c r="M2196" i="1"/>
  <c r="L2196" i="1"/>
  <c r="I2205" i="1"/>
  <c r="N2204" i="1"/>
  <c r="M2204" i="1"/>
  <c r="L2204" i="1"/>
  <c r="K2204" i="1"/>
  <c r="I2213" i="1"/>
  <c r="N2212" i="1"/>
  <c r="K2212" i="1"/>
  <c r="I2221" i="1"/>
  <c r="N2220" i="1"/>
  <c r="M2220" i="1"/>
  <c r="L2220" i="1"/>
  <c r="K2220" i="1"/>
  <c r="I2229" i="1"/>
  <c r="N2228" i="1"/>
  <c r="M2228" i="1"/>
  <c r="L2228" i="1"/>
  <c r="K2228" i="1"/>
  <c r="I2237" i="1"/>
  <c r="N2236" i="1"/>
  <c r="M2236" i="1"/>
  <c r="L2236" i="1"/>
  <c r="K2236" i="1"/>
  <c r="I2245" i="1"/>
  <c r="M2244" i="1"/>
  <c r="L2244" i="1"/>
  <c r="I2253" i="1"/>
  <c r="N2252" i="1"/>
  <c r="K2252" i="1"/>
  <c r="I2261" i="1"/>
  <c r="N2260" i="1"/>
  <c r="M2260" i="1"/>
  <c r="L2260" i="1"/>
  <c r="K2260" i="1"/>
  <c r="I2269" i="1"/>
  <c r="N2268" i="1"/>
  <c r="M2268" i="1"/>
  <c r="L2268" i="1"/>
  <c r="K2268" i="1"/>
  <c r="I2277" i="1"/>
  <c r="N2276" i="1"/>
  <c r="M2276" i="1"/>
  <c r="L2276" i="1"/>
  <c r="K2276" i="1"/>
  <c r="I2285" i="1"/>
  <c r="N2284" i="1"/>
  <c r="M2284" i="1"/>
  <c r="L2284" i="1"/>
  <c r="I2293" i="1"/>
  <c r="N2292" i="1"/>
  <c r="M2292" i="1"/>
  <c r="K2292" i="1"/>
  <c r="I2301" i="1"/>
  <c r="N2300" i="1"/>
  <c r="M2300" i="1"/>
  <c r="L2300" i="1"/>
  <c r="K2300" i="1"/>
  <c r="I2309" i="1"/>
  <c r="N2308" i="1"/>
  <c r="M2308" i="1"/>
  <c r="L2308" i="1"/>
  <c r="K2308" i="1"/>
  <c r="I2317" i="1"/>
  <c r="N2316" i="1"/>
  <c r="M2316" i="1"/>
  <c r="L2316" i="1"/>
  <c r="K2316" i="1"/>
  <c r="I2325" i="1"/>
  <c r="N2324" i="1"/>
  <c r="M2324" i="1"/>
  <c r="K2324" i="1"/>
  <c r="I2333" i="1"/>
  <c r="N2332" i="1"/>
  <c r="M2332" i="1"/>
  <c r="L2332" i="1"/>
  <c r="K2332" i="1"/>
  <c r="I2341" i="1"/>
  <c r="N2340" i="1"/>
  <c r="M2340" i="1"/>
  <c r="L2340" i="1"/>
  <c r="K2340" i="1"/>
  <c r="I2349" i="1"/>
  <c r="N2348" i="1"/>
  <c r="M2348" i="1"/>
  <c r="L2348" i="1"/>
  <c r="K2348" i="1"/>
  <c r="I2357" i="1"/>
  <c r="N2356" i="1"/>
  <c r="M2356" i="1"/>
  <c r="L2356" i="1"/>
  <c r="K2356" i="1"/>
  <c r="I2365" i="1"/>
  <c r="N2364" i="1"/>
  <c r="M2364" i="1"/>
  <c r="L2364" i="1"/>
  <c r="K2364" i="1"/>
  <c r="I2373" i="1"/>
  <c r="N2372" i="1"/>
  <c r="M2372" i="1"/>
  <c r="L2372" i="1"/>
  <c r="K2372" i="1"/>
  <c r="I2381" i="1"/>
  <c r="N2380" i="1"/>
  <c r="M2380" i="1"/>
  <c r="L2380" i="1"/>
  <c r="K2380" i="1"/>
  <c r="I2389" i="1"/>
  <c r="N2388" i="1"/>
  <c r="M2388" i="1"/>
  <c r="K2388" i="1"/>
  <c r="I2397" i="1"/>
  <c r="N2396" i="1"/>
  <c r="M2396" i="1"/>
  <c r="L2396" i="1"/>
  <c r="K2396" i="1"/>
  <c r="I2405" i="1"/>
  <c r="N2404" i="1"/>
  <c r="M2404" i="1"/>
  <c r="L2404" i="1"/>
  <c r="K2404" i="1"/>
  <c r="I2413" i="1"/>
  <c r="N2412" i="1"/>
  <c r="M2412" i="1"/>
  <c r="L2412" i="1"/>
  <c r="K2412" i="1"/>
  <c r="I2421" i="1"/>
  <c r="N2420" i="1"/>
  <c r="M2420" i="1"/>
  <c r="L2420" i="1"/>
  <c r="K2420" i="1"/>
  <c r="I2429" i="1"/>
  <c r="N2428" i="1"/>
  <c r="M2428" i="1"/>
  <c r="L2428" i="1"/>
  <c r="I2437" i="1"/>
  <c r="N2436" i="1"/>
  <c r="M2436" i="1"/>
  <c r="K2436" i="1"/>
  <c r="I2445" i="1"/>
  <c r="N2444" i="1"/>
  <c r="M2444" i="1"/>
  <c r="L2444" i="1"/>
  <c r="K2444" i="1"/>
  <c r="I2453" i="1"/>
  <c r="N2452" i="1"/>
  <c r="M2452" i="1"/>
  <c r="L2452" i="1"/>
  <c r="I2461" i="1"/>
  <c r="N2460" i="1"/>
  <c r="M2460" i="1"/>
  <c r="L2460" i="1"/>
  <c r="K2460" i="1"/>
  <c r="I2469" i="1"/>
  <c r="N2468" i="1"/>
  <c r="M2468" i="1"/>
  <c r="L2468" i="1"/>
  <c r="I2477" i="1"/>
  <c r="N2476" i="1"/>
  <c r="M2476" i="1"/>
  <c r="L2476" i="1"/>
  <c r="K2476" i="1"/>
  <c r="I2485" i="1"/>
  <c r="N2484" i="1"/>
  <c r="M2484" i="1"/>
  <c r="L2484" i="1"/>
  <c r="K2484" i="1"/>
  <c r="I2493" i="1"/>
  <c r="N2492" i="1"/>
  <c r="M2492" i="1"/>
  <c r="L2492" i="1"/>
  <c r="K2492" i="1"/>
  <c r="I2501" i="1"/>
  <c r="N2500" i="1"/>
  <c r="M2500" i="1"/>
  <c r="K2500" i="1"/>
  <c r="I2509" i="1"/>
  <c r="N2508" i="1"/>
  <c r="M2508" i="1"/>
  <c r="L2508" i="1"/>
  <c r="K2508" i="1"/>
  <c r="I2517" i="1"/>
  <c r="N2516" i="1"/>
  <c r="M2516" i="1"/>
  <c r="L2516" i="1"/>
  <c r="K2516" i="1"/>
  <c r="I266" i="1"/>
  <c r="N265" i="1"/>
  <c r="M265" i="1"/>
  <c r="L265" i="1"/>
  <c r="I274" i="1"/>
  <c r="N273" i="1"/>
  <c r="M273" i="1"/>
  <c r="L273" i="1"/>
  <c r="K273" i="1"/>
  <c r="I282" i="1"/>
  <c r="N281" i="1"/>
  <c r="M281" i="1"/>
  <c r="L281" i="1"/>
  <c r="K281" i="1"/>
  <c r="I290" i="1"/>
  <c r="N289" i="1"/>
  <c r="M289" i="1"/>
  <c r="L289" i="1"/>
  <c r="K289" i="1"/>
  <c r="I298" i="1"/>
  <c r="N297" i="1"/>
  <c r="M297" i="1"/>
  <c r="L297" i="1"/>
  <c r="I306" i="1"/>
  <c r="N305" i="1"/>
  <c r="M305" i="1"/>
  <c r="K305" i="1"/>
  <c r="I102" i="1"/>
  <c r="N101" i="1"/>
  <c r="M101" i="1"/>
  <c r="L101" i="1"/>
  <c r="K101" i="1"/>
  <c r="I110" i="1"/>
  <c r="N109" i="1"/>
  <c r="K109" i="1"/>
  <c r="I118" i="1"/>
  <c r="N117" i="1"/>
  <c r="M117" i="1"/>
  <c r="L117" i="1"/>
  <c r="K117" i="1"/>
  <c r="I126" i="1"/>
  <c r="N125" i="1"/>
  <c r="M125" i="1"/>
  <c r="L125" i="1"/>
  <c r="K125" i="1"/>
  <c r="I134" i="1"/>
  <c r="M133" i="1"/>
  <c r="L133" i="1"/>
  <c r="I142" i="1"/>
  <c r="N141" i="1"/>
  <c r="M141" i="1"/>
  <c r="K141" i="1"/>
  <c r="I150" i="1"/>
  <c r="N149" i="1"/>
  <c r="M149" i="1"/>
  <c r="L149" i="1"/>
  <c r="I158" i="1"/>
  <c r="N157" i="1"/>
  <c r="M157" i="1"/>
  <c r="L157" i="1"/>
  <c r="K157" i="1"/>
  <c r="I166" i="1"/>
  <c r="N165" i="1"/>
  <c r="K165" i="1"/>
  <c r="I174" i="1"/>
  <c r="N173" i="1"/>
  <c r="M173" i="1"/>
  <c r="L173" i="1"/>
  <c r="I182" i="1"/>
  <c r="N181" i="1"/>
  <c r="M181" i="1"/>
  <c r="L181" i="1"/>
  <c r="K181" i="1"/>
  <c r="I190" i="1"/>
  <c r="N189" i="1"/>
  <c r="M189" i="1"/>
  <c r="L189" i="1"/>
  <c r="K189" i="1"/>
  <c r="I198" i="1"/>
  <c r="N197" i="1"/>
  <c r="M197" i="1"/>
  <c r="L197" i="1"/>
  <c r="I206" i="1"/>
  <c r="N205" i="1"/>
  <c r="M205" i="1"/>
  <c r="L205" i="1"/>
  <c r="I214" i="1"/>
  <c r="N213" i="1"/>
  <c r="M213" i="1"/>
  <c r="L213" i="1"/>
  <c r="K213" i="1"/>
  <c r="I222" i="1"/>
  <c r="N221" i="1"/>
  <c r="M221" i="1"/>
  <c r="K221" i="1"/>
  <c r="I230" i="1"/>
  <c r="N229" i="1"/>
  <c r="M229" i="1"/>
  <c r="K229" i="1"/>
  <c r="I238" i="1"/>
  <c r="N237" i="1"/>
  <c r="M237" i="1"/>
  <c r="L237" i="1"/>
  <c r="K237" i="1"/>
  <c r="I246" i="1"/>
  <c r="N245" i="1"/>
  <c r="M245" i="1"/>
  <c r="L245" i="1"/>
  <c r="K245" i="1"/>
  <c r="I254" i="1"/>
  <c r="N253" i="1"/>
  <c r="M253" i="1"/>
  <c r="L253" i="1"/>
  <c r="K253" i="1"/>
  <c r="I263" i="1"/>
  <c r="N262" i="1"/>
  <c r="M262" i="1"/>
  <c r="L262" i="1"/>
  <c r="K262" i="1"/>
  <c r="I271" i="1"/>
  <c r="N270" i="1"/>
  <c r="M270" i="1"/>
  <c r="L270" i="1"/>
  <c r="K270" i="1"/>
  <c r="I279" i="1"/>
  <c r="N278" i="1"/>
  <c r="M278" i="1"/>
  <c r="L278" i="1"/>
  <c r="K278" i="1"/>
  <c r="I276" i="1"/>
  <c r="N275" i="1"/>
  <c r="M275" i="1"/>
  <c r="L275" i="1"/>
  <c r="I284" i="1"/>
  <c r="N283" i="1"/>
  <c r="M283" i="1"/>
  <c r="L283" i="1"/>
  <c r="K283" i="1"/>
  <c r="I300" i="1"/>
  <c r="N299" i="1"/>
  <c r="M299" i="1"/>
  <c r="K299" i="1"/>
  <c r="I316" i="1"/>
  <c r="N315" i="1"/>
  <c r="M315" i="1"/>
  <c r="L315" i="1"/>
  <c r="I324" i="1"/>
  <c r="N323" i="1"/>
  <c r="M323" i="1"/>
  <c r="L323" i="1"/>
  <c r="K323" i="1"/>
  <c r="I340" i="1"/>
  <c r="N339" i="1"/>
  <c r="M339" i="1"/>
  <c r="L339" i="1"/>
  <c r="K339" i="1"/>
  <c r="I356" i="1"/>
  <c r="N355" i="1"/>
  <c r="M355" i="1"/>
  <c r="L355" i="1"/>
  <c r="K355" i="1"/>
  <c r="I364" i="1"/>
  <c r="N363" i="1"/>
  <c r="M363" i="1"/>
  <c r="L363" i="1"/>
  <c r="K363" i="1"/>
  <c r="I380" i="1"/>
  <c r="N379" i="1"/>
  <c r="M379" i="1"/>
  <c r="L379" i="1"/>
  <c r="I396" i="1"/>
  <c r="N395" i="1"/>
  <c r="M395" i="1"/>
  <c r="L395" i="1"/>
  <c r="K395" i="1"/>
  <c r="I412" i="1"/>
  <c r="M411" i="1"/>
  <c r="L411" i="1"/>
  <c r="K411" i="1"/>
  <c r="I428" i="1"/>
  <c r="M427" i="1"/>
  <c r="L427" i="1"/>
  <c r="I436" i="1"/>
  <c r="N435" i="1"/>
  <c r="M435" i="1"/>
  <c r="K435" i="1"/>
  <c r="I452" i="1"/>
  <c r="N451" i="1"/>
  <c r="M451" i="1"/>
  <c r="L451" i="1"/>
  <c r="I468" i="1"/>
  <c r="N467" i="1"/>
  <c r="M467" i="1"/>
  <c r="L467" i="1"/>
  <c r="I484" i="1"/>
  <c r="N483" i="1"/>
  <c r="M483" i="1"/>
  <c r="L483" i="1"/>
  <c r="K483" i="1"/>
  <c r="I492" i="1"/>
  <c r="N491" i="1"/>
  <c r="M491" i="1"/>
  <c r="L491" i="1"/>
  <c r="K491" i="1"/>
  <c r="I508" i="1"/>
  <c r="N507" i="1"/>
  <c r="M507" i="1"/>
  <c r="K507" i="1"/>
  <c r="I516" i="1"/>
  <c r="N515" i="1"/>
  <c r="M515" i="1"/>
  <c r="L515" i="1"/>
  <c r="K515" i="1"/>
  <c r="I524" i="1"/>
  <c r="N523" i="1"/>
  <c r="M523" i="1"/>
  <c r="L523" i="1"/>
  <c r="K523" i="1"/>
  <c r="I532" i="1"/>
  <c r="N531" i="1"/>
  <c r="M531" i="1"/>
  <c r="L531" i="1"/>
  <c r="K531" i="1"/>
  <c r="I540" i="1"/>
  <c r="N539" i="1"/>
  <c r="M539" i="1"/>
  <c r="L539" i="1"/>
  <c r="I556" i="1"/>
  <c r="N555" i="1"/>
  <c r="M555" i="1"/>
  <c r="L555" i="1"/>
  <c r="K555" i="1"/>
  <c r="I564" i="1"/>
  <c r="N563" i="1"/>
  <c r="M563" i="1"/>
  <c r="L563" i="1"/>
  <c r="K563" i="1"/>
  <c r="I572" i="1"/>
  <c r="N571" i="1"/>
  <c r="M571" i="1"/>
  <c r="L571" i="1"/>
  <c r="K571" i="1"/>
  <c r="I580" i="1"/>
  <c r="N579" i="1"/>
  <c r="M579" i="1"/>
  <c r="L579" i="1"/>
  <c r="K579" i="1"/>
  <c r="I588" i="1"/>
  <c r="N587" i="1"/>
  <c r="M587" i="1"/>
  <c r="L587" i="1"/>
  <c r="I596" i="1"/>
  <c r="N595" i="1"/>
  <c r="M595" i="1"/>
  <c r="L595" i="1"/>
  <c r="K595" i="1"/>
  <c r="I604" i="1"/>
  <c r="N603" i="1"/>
  <c r="L603" i="1"/>
  <c r="K603" i="1"/>
  <c r="I612" i="1"/>
  <c r="N611" i="1"/>
  <c r="M611" i="1"/>
  <c r="L611" i="1"/>
  <c r="K611" i="1"/>
  <c r="I620" i="1"/>
  <c r="M619" i="1"/>
  <c r="L619" i="1"/>
  <c r="I628" i="1"/>
  <c r="N627" i="1"/>
  <c r="M627" i="1"/>
  <c r="L627" i="1"/>
  <c r="I636" i="1"/>
  <c r="N635" i="1"/>
  <c r="M635" i="1"/>
  <c r="K635" i="1"/>
  <c r="I644" i="1"/>
  <c r="N643" i="1"/>
  <c r="M643" i="1"/>
  <c r="L643" i="1"/>
  <c r="I652" i="1"/>
  <c r="N651" i="1"/>
  <c r="M651" i="1"/>
  <c r="L651" i="1"/>
  <c r="I660" i="1"/>
  <c r="N659" i="1"/>
  <c r="M659" i="1"/>
  <c r="L659" i="1"/>
  <c r="K659" i="1"/>
  <c r="I668" i="1"/>
  <c r="N667" i="1"/>
  <c r="M667" i="1"/>
  <c r="L667" i="1"/>
  <c r="K667" i="1"/>
  <c r="I676" i="1"/>
  <c r="N675" i="1"/>
  <c r="M675" i="1"/>
  <c r="K675" i="1"/>
  <c r="I684" i="1"/>
  <c r="N683" i="1"/>
  <c r="M683" i="1"/>
  <c r="L683" i="1"/>
  <c r="K683" i="1"/>
  <c r="I692" i="1"/>
  <c r="N691" i="1"/>
  <c r="M691" i="1"/>
  <c r="L691" i="1"/>
  <c r="K691" i="1"/>
  <c r="I700" i="1"/>
  <c r="N699" i="1"/>
  <c r="M699" i="1"/>
  <c r="L699" i="1"/>
  <c r="I708" i="1"/>
  <c r="N707" i="1"/>
  <c r="M707" i="1"/>
  <c r="L707" i="1"/>
  <c r="I716" i="1"/>
  <c r="N715" i="1"/>
  <c r="M715" i="1"/>
  <c r="L715" i="1"/>
  <c r="K715" i="1"/>
  <c r="I724" i="1"/>
  <c r="N723" i="1"/>
  <c r="M723" i="1"/>
  <c r="L723" i="1"/>
  <c r="K723" i="1"/>
  <c r="I732" i="1"/>
  <c r="N731" i="1"/>
  <c r="M731" i="1"/>
  <c r="L731" i="1"/>
  <c r="K731" i="1"/>
  <c r="I740" i="1"/>
  <c r="N739" i="1"/>
  <c r="M739" i="1"/>
  <c r="L739" i="1"/>
  <c r="K739" i="1"/>
  <c r="I748" i="1"/>
  <c r="N747" i="1"/>
  <c r="M747" i="1"/>
  <c r="L747" i="1"/>
  <c r="K747" i="1"/>
  <c r="I756" i="1"/>
  <c r="N755" i="1"/>
  <c r="M755" i="1"/>
  <c r="L755" i="1"/>
  <c r="K755" i="1"/>
  <c r="I764" i="1"/>
  <c r="N763" i="1"/>
  <c r="M763" i="1"/>
  <c r="L763" i="1"/>
  <c r="K763" i="1"/>
  <c r="I772" i="1"/>
  <c r="N771" i="1"/>
  <c r="M771" i="1"/>
  <c r="L771" i="1"/>
  <c r="K771" i="1"/>
  <c r="I780" i="1"/>
  <c r="N779" i="1"/>
  <c r="M779" i="1"/>
  <c r="L779" i="1"/>
  <c r="K779" i="1"/>
  <c r="I788" i="1"/>
  <c r="N787" i="1"/>
  <c r="M787" i="1"/>
  <c r="L787" i="1"/>
  <c r="K787" i="1"/>
  <c r="I796" i="1"/>
  <c r="N795" i="1"/>
  <c r="M795" i="1"/>
  <c r="L795" i="1"/>
  <c r="I804" i="1"/>
  <c r="N803" i="1"/>
  <c r="M803" i="1"/>
  <c r="L803" i="1"/>
  <c r="K803" i="1"/>
  <c r="I812" i="1"/>
  <c r="N811" i="1"/>
  <c r="M811" i="1"/>
  <c r="L811" i="1"/>
  <c r="I820" i="1"/>
  <c r="N819" i="1"/>
  <c r="M819" i="1"/>
  <c r="L819" i="1"/>
  <c r="I828" i="1"/>
  <c r="N827" i="1"/>
  <c r="M827" i="1"/>
  <c r="L827" i="1"/>
  <c r="K827" i="1"/>
  <c r="I836" i="1"/>
  <c r="N835" i="1"/>
  <c r="M835" i="1"/>
  <c r="L835" i="1"/>
  <c r="K835" i="1"/>
  <c r="I844" i="1"/>
  <c r="N843" i="1"/>
  <c r="M843" i="1"/>
  <c r="L843" i="1"/>
  <c r="K843" i="1"/>
  <c r="I852" i="1"/>
  <c r="N851" i="1"/>
  <c r="M851" i="1"/>
  <c r="K851" i="1"/>
  <c r="I860" i="1"/>
  <c r="N859" i="1"/>
  <c r="M859" i="1"/>
  <c r="L859" i="1"/>
  <c r="K859" i="1"/>
  <c r="I868" i="1"/>
  <c r="N867" i="1"/>
  <c r="M867" i="1"/>
  <c r="K867" i="1"/>
  <c r="I876" i="1"/>
  <c r="N875" i="1"/>
  <c r="M875" i="1"/>
  <c r="K875" i="1"/>
  <c r="I884" i="1"/>
  <c r="N883" i="1"/>
  <c r="M883" i="1"/>
  <c r="L883" i="1"/>
  <c r="K883" i="1"/>
  <c r="I892" i="1"/>
  <c r="N891" i="1"/>
  <c r="M891" i="1"/>
  <c r="L891" i="1"/>
  <c r="K891" i="1"/>
  <c r="I900" i="1"/>
  <c r="N899" i="1"/>
  <c r="M899" i="1"/>
  <c r="L899" i="1"/>
  <c r="K899" i="1"/>
  <c r="I908" i="1"/>
  <c r="N907" i="1"/>
  <c r="M907" i="1"/>
  <c r="L907" i="1"/>
  <c r="K907" i="1"/>
  <c r="I916" i="1"/>
  <c r="N915" i="1"/>
  <c r="M915" i="1"/>
  <c r="L915" i="1"/>
  <c r="K915" i="1"/>
  <c r="I924" i="1"/>
  <c r="N923" i="1"/>
  <c r="M923" i="1"/>
  <c r="L923" i="1"/>
  <c r="K923" i="1"/>
  <c r="I932" i="1"/>
  <c r="N931" i="1"/>
  <c r="M931" i="1"/>
  <c r="L931" i="1"/>
  <c r="I940" i="1"/>
  <c r="N939" i="1"/>
  <c r="M939" i="1"/>
  <c r="K939" i="1"/>
  <c r="I948" i="1"/>
  <c r="N947" i="1"/>
  <c r="M947" i="1"/>
  <c r="L947" i="1"/>
  <c r="K947" i="1"/>
  <c r="I956" i="1"/>
  <c r="N955" i="1"/>
  <c r="M955" i="1"/>
  <c r="L955" i="1"/>
  <c r="I964" i="1"/>
  <c r="N963" i="1"/>
  <c r="M963" i="1"/>
  <c r="L963" i="1"/>
  <c r="K963" i="1"/>
  <c r="I972" i="1"/>
  <c r="N971" i="1"/>
  <c r="M971" i="1"/>
  <c r="L971" i="1"/>
  <c r="K971" i="1"/>
  <c r="I980" i="1"/>
  <c r="N979" i="1"/>
  <c r="M979" i="1"/>
  <c r="L979" i="1"/>
  <c r="K979" i="1"/>
  <c r="I988" i="1"/>
  <c r="N987" i="1"/>
  <c r="M987" i="1"/>
  <c r="L987" i="1"/>
  <c r="K987" i="1"/>
  <c r="I996" i="1"/>
  <c r="N995" i="1"/>
  <c r="M995" i="1"/>
  <c r="K995" i="1"/>
  <c r="I1004" i="1"/>
  <c r="N1003" i="1"/>
  <c r="M1003" i="1"/>
  <c r="L1003" i="1"/>
  <c r="I1012" i="1"/>
  <c r="N1011" i="1"/>
  <c r="M1011" i="1"/>
  <c r="K1011" i="1"/>
  <c r="I1020" i="1"/>
  <c r="N1019" i="1"/>
  <c r="M1019" i="1"/>
  <c r="L1019" i="1"/>
  <c r="I1028" i="1"/>
  <c r="N1027" i="1"/>
  <c r="M1027" i="1"/>
  <c r="L1027" i="1"/>
  <c r="I1036" i="1"/>
  <c r="N1035" i="1"/>
  <c r="M1035" i="1"/>
  <c r="L1035" i="1"/>
  <c r="I1044" i="1"/>
  <c r="N1043" i="1"/>
  <c r="M1043" i="1"/>
  <c r="L1043" i="1"/>
  <c r="K1043" i="1"/>
  <c r="I1052" i="1"/>
  <c r="N1051" i="1"/>
  <c r="M1051" i="1"/>
  <c r="L1051" i="1"/>
  <c r="I1060" i="1"/>
  <c r="N1059" i="1"/>
  <c r="M1059" i="1"/>
  <c r="K1059" i="1"/>
  <c r="I1068" i="1"/>
  <c r="N1067" i="1"/>
  <c r="M1067" i="1"/>
  <c r="L1067" i="1"/>
  <c r="K1067" i="1"/>
  <c r="I1076" i="1"/>
  <c r="N1075" i="1"/>
  <c r="M1075" i="1"/>
  <c r="K1075" i="1"/>
  <c r="I1084" i="1"/>
  <c r="N1083" i="1"/>
  <c r="M1083" i="1"/>
  <c r="L1083" i="1"/>
  <c r="K1083" i="1"/>
  <c r="I1092" i="1"/>
  <c r="N1091" i="1"/>
  <c r="M1091" i="1"/>
  <c r="L1091" i="1"/>
  <c r="K1091" i="1"/>
  <c r="I1100" i="1"/>
  <c r="N1099" i="1"/>
  <c r="M1099" i="1"/>
  <c r="L1099" i="1"/>
  <c r="I1108" i="1"/>
  <c r="N1107" i="1"/>
  <c r="M1107" i="1"/>
  <c r="L1107" i="1"/>
  <c r="K1107" i="1"/>
  <c r="I1116" i="1"/>
  <c r="N1115" i="1"/>
  <c r="M1115" i="1"/>
  <c r="L1115" i="1"/>
  <c r="K1115" i="1"/>
  <c r="I1124" i="1"/>
  <c r="N1123" i="1"/>
  <c r="M1123" i="1"/>
  <c r="L1123" i="1"/>
  <c r="K1123" i="1"/>
  <c r="I1132" i="1"/>
  <c r="N1131" i="1"/>
  <c r="M1131" i="1"/>
  <c r="K1131" i="1"/>
  <c r="I1140" i="1"/>
  <c r="N1139" i="1"/>
  <c r="M1139" i="1"/>
  <c r="L1139" i="1"/>
  <c r="I1148" i="1"/>
  <c r="N1147" i="1"/>
  <c r="M1147" i="1"/>
  <c r="K1147" i="1"/>
  <c r="I1156" i="1"/>
  <c r="N1155" i="1"/>
  <c r="M1155" i="1"/>
  <c r="K1155" i="1"/>
  <c r="I1164" i="1"/>
  <c r="N1163" i="1"/>
  <c r="M1163" i="1"/>
  <c r="L1163" i="1"/>
  <c r="K1163" i="1"/>
  <c r="I1172" i="1"/>
  <c r="N1171" i="1"/>
  <c r="M1171" i="1"/>
  <c r="L1171" i="1"/>
  <c r="K1171" i="1"/>
  <c r="I1180" i="1"/>
  <c r="N1179" i="1"/>
  <c r="M1179" i="1"/>
  <c r="L1179" i="1"/>
  <c r="K1179" i="1"/>
  <c r="I1188" i="1"/>
  <c r="N1187" i="1"/>
  <c r="M1187" i="1"/>
  <c r="L1187" i="1"/>
  <c r="I1196" i="1"/>
  <c r="N1195" i="1"/>
  <c r="M1195" i="1"/>
  <c r="L1195" i="1"/>
  <c r="K1195" i="1"/>
  <c r="I1204" i="1"/>
  <c r="N1203" i="1"/>
  <c r="M1203" i="1"/>
  <c r="L1203" i="1"/>
  <c r="I1212" i="1"/>
  <c r="N1211" i="1"/>
  <c r="M1211" i="1"/>
  <c r="L1211" i="1"/>
  <c r="K1211" i="1"/>
  <c r="I1220" i="1"/>
  <c r="N1219" i="1"/>
  <c r="M1219" i="1"/>
  <c r="L1219" i="1"/>
  <c r="I1228" i="1"/>
  <c r="N1227" i="1"/>
  <c r="M1227" i="1"/>
  <c r="L1227" i="1"/>
  <c r="K1227" i="1"/>
  <c r="I1236" i="1"/>
  <c r="N1235" i="1"/>
  <c r="M1235" i="1"/>
  <c r="L1235" i="1"/>
  <c r="K1235" i="1"/>
  <c r="I1244" i="1"/>
  <c r="N1243" i="1"/>
  <c r="M1243" i="1"/>
  <c r="L1243" i="1"/>
  <c r="K1243" i="1"/>
  <c r="I1252" i="1"/>
  <c r="N1251" i="1"/>
  <c r="M1251" i="1"/>
  <c r="K1251" i="1"/>
  <c r="I1260" i="1"/>
  <c r="N1259" i="1"/>
  <c r="M1259" i="1"/>
  <c r="L1259" i="1"/>
  <c r="K1259" i="1"/>
  <c r="I1268" i="1"/>
  <c r="N1267" i="1"/>
  <c r="M1267" i="1"/>
  <c r="K1267" i="1"/>
  <c r="I1276" i="1"/>
  <c r="N1275" i="1"/>
  <c r="M1275" i="1"/>
  <c r="L1275" i="1"/>
  <c r="K1275" i="1"/>
  <c r="I1284" i="1"/>
  <c r="N1283" i="1"/>
  <c r="M1283" i="1"/>
  <c r="L1283" i="1"/>
  <c r="I1292" i="1"/>
  <c r="N1291" i="1"/>
  <c r="M1291" i="1"/>
  <c r="L1291" i="1"/>
  <c r="I1300" i="1"/>
  <c r="N1299" i="1"/>
  <c r="M1299" i="1"/>
  <c r="L1299" i="1"/>
  <c r="K1299" i="1"/>
  <c r="I1308" i="1"/>
  <c r="N1307" i="1"/>
  <c r="M1307" i="1"/>
  <c r="K1307" i="1"/>
  <c r="I1316" i="1"/>
  <c r="N1315" i="1"/>
  <c r="M1315" i="1"/>
  <c r="L1315" i="1"/>
  <c r="I1324" i="1"/>
  <c r="N1323" i="1"/>
  <c r="M1323" i="1"/>
  <c r="L1323" i="1"/>
  <c r="K1323" i="1"/>
  <c r="I1332" i="1"/>
  <c r="N1331" i="1"/>
  <c r="M1331" i="1"/>
  <c r="L1331" i="1"/>
  <c r="K1331" i="1"/>
  <c r="I1340" i="1"/>
  <c r="N1339" i="1"/>
  <c r="M1339" i="1"/>
  <c r="L1339" i="1"/>
  <c r="K1339" i="1"/>
  <c r="I1348" i="1"/>
  <c r="N1347" i="1"/>
  <c r="M1347" i="1"/>
  <c r="L1347" i="1"/>
  <c r="K1347" i="1"/>
  <c r="I1356" i="1"/>
  <c r="N1355" i="1"/>
  <c r="M1355" i="1"/>
  <c r="L1355" i="1"/>
  <c r="I1364" i="1"/>
  <c r="N1363" i="1"/>
  <c r="M1363" i="1"/>
  <c r="K1363" i="1"/>
  <c r="I1372" i="1"/>
  <c r="N1371" i="1"/>
  <c r="M1371" i="1"/>
  <c r="L1371" i="1"/>
  <c r="K1371" i="1"/>
  <c r="I1380" i="1"/>
  <c r="N1379" i="1"/>
  <c r="M1379" i="1"/>
  <c r="L1379" i="1"/>
  <c r="I1388" i="1"/>
  <c r="N1387" i="1"/>
  <c r="M1387" i="1"/>
  <c r="L1387" i="1"/>
  <c r="K1387" i="1"/>
  <c r="I1396" i="1"/>
  <c r="N1395" i="1"/>
  <c r="M1395" i="1"/>
  <c r="L1395" i="1"/>
  <c r="K1395" i="1"/>
  <c r="I1404" i="1"/>
  <c r="N1403" i="1"/>
  <c r="M1403" i="1"/>
  <c r="K1403" i="1"/>
  <c r="I1412" i="1"/>
  <c r="N1411" i="1"/>
  <c r="M1411" i="1"/>
  <c r="L1411" i="1"/>
  <c r="K1411" i="1"/>
  <c r="I1420" i="1"/>
  <c r="N1419" i="1"/>
  <c r="M1419" i="1"/>
  <c r="L1419" i="1"/>
  <c r="K1419" i="1"/>
  <c r="I1428" i="1"/>
  <c r="N1427" i="1"/>
  <c r="M1427" i="1"/>
  <c r="L1427" i="1"/>
  <c r="K1427" i="1"/>
  <c r="I1436" i="1"/>
  <c r="M1435" i="1"/>
  <c r="L1435" i="1"/>
  <c r="I1444" i="1"/>
  <c r="N1443" i="1"/>
  <c r="M1443" i="1"/>
  <c r="L1443" i="1"/>
  <c r="K1443" i="1"/>
  <c r="I1452" i="1"/>
  <c r="M1451" i="1"/>
  <c r="L1451" i="1"/>
  <c r="I1460" i="1"/>
  <c r="N1459" i="1"/>
  <c r="M1459" i="1"/>
  <c r="L1459" i="1"/>
  <c r="K1459" i="1"/>
  <c r="I1468" i="1"/>
  <c r="N1467" i="1"/>
  <c r="M1467" i="1"/>
  <c r="L1467" i="1"/>
  <c r="K1467" i="1"/>
  <c r="I1476" i="1"/>
  <c r="N1475" i="1"/>
  <c r="M1475" i="1"/>
  <c r="L1475" i="1"/>
  <c r="K1475" i="1"/>
  <c r="I1484" i="1"/>
  <c r="N1483" i="1"/>
  <c r="M1483" i="1"/>
  <c r="L1483" i="1"/>
  <c r="K1483" i="1"/>
  <c r="I1492" i="1"/>
  <c r="N1491" i="1"/>
  <c r="M1491" i="1"/>
  <c r="K1491" i="1"/>
  <c r="I1500" i="1"/>
  <c r="N1499" i="1"/>
  <c r="M1499" i="1"/>
  <c r="L1499" i="1"/>
  <c r="K1499" i="1"/>
  <c r="I1508" i="1"/>
  <c r="N1507" i="1"/>
  <c r="M1507" i="1"/>
  <c r="L1507" i="1"/>
  <c r="I1516" i="1"/>
  <c r="N1515" i="1"/>
  <c r="M1515" i="1"/>
  <c r="L1515" i="1"/>
  <c r="K1515" i="1"/>
  <c r="I1524" i="1"/>
  <c r="N1523" i="1"/>
  <c r="L1523" i="1"/>
  <c r="K1523" i="1"/>
  <c r="I1532" i="1"/>
  <c r="M1531" i="1"/>
  <c r="L1531" i="1"/>
  <c r="K1531" i="1"/>
  <c r="I1540" i="1"/>
  <c r="N1539" i="1"/>
  <c r="M1539" i="1"/>
  <c r="L1539" i="1"/>
  <c r="K1539" i="1"/>
  <c r="I1548" i="1"/>
  <c r="N1547" i="1"/>
  <c r="M1547" i="1"/>
  <c r="L1547" i="1"/>
  <c r="I1556" i="1"/>
  <c r="N1555" i="1"/>
  <c r="M1555" i="1"/>
  <c r="L1555" i="1"/>
  <c r="I1564" i="1"/>
  <c r="N1563" i="1"/>
  <c r="M1563" i="1"/>
  <c r="L1563" i="1"/>
  <c r="K1563" i="1"/>
  <c r="I1572" i="1"/>
  <c r="N1571" i="1"/>
  <c r="M1571" i="1"/>
  <c r="L1571" i="1"/>
  <c r="K1571" i="1"/>
  <c r="I1580" i="1"/>
  <c r="N1579" i="1"/>
  <c r="M1579" i="1"/>
  <c r="K1579" i="1"/>
  <c r="I1588" i="1"/>
  <c r="N1587" i="1"/>
  <c r="M1587" i="1"/>
  <c r="L1587" i="1"/>
  <c r="K1587" i="1"/>
  <c r="I1596" i="1"/>
  <c r="N1595" i="1"/>
  <c r="M1595" i="1"/>
  <c r="K1595" i="1"/>
  <c r="I1604" i="1"/>
  <c r="N1603" i="1"/>
  <c r="M1603" i="1"/>
  <c r="K1603" i="1"/>
  <c r="I1612" i="1"/>
  <c r="N1611" i="1"/>
  <c r="M1611" i="1"/>
  <c r="L1611" i="1"/>
  <c r="K1611" i="1"/>
  <c r="I1620" i="1"/>
  <c r="N1619" i="1"/>
  <c r="M1619" i="1"/>
  <c r="K1619" i="1"/>
  <c r="I1628" i="1"/>
  <c r="N1627" i="1"/>
  <c r="M1627" i="1"/>
  <c r="L1627" i="1"/>
  <c r="K1627" i="1"/>
  <c r="I1636" i="1"/>
  <c r="N1635" i="1"/>
  <c r="K1635" i="1"/>
  <c r="I1644" i="1"/>
  <c r="N1643" i="1"/>
  <c r="M1643" i="1"/>
  <c r="L1643" i="1"/>
  <c r="I1652" i="1"/>
  <c r="N1651" i="1"/>
  <c r="M1651" i="1"/>
  <c r="L1651" i="1"/>
  <c r="K1651" i="1"/>
  <c r="I1660" i="1"/>
  <c r="N1659" i="1"/>
  <c r="M1659" i="1"/>
  <c r="K1659" i="1"/>
  <c r="I1668" i="1"/>
  <c r="N1667" i="1"/>
  <c r="M1667" i="1"/>
  <c r="L1667" i="1"/>
  <c r="I1676" i="1"/>
  <c r="N1675" i="1"/>
  <c r="M1675" i="1"/>
  <c r="L1675" i="1"/>
  <c r="K1675" i="1"/>
  <c r="I1684" i="1"/>
  <c r="N1683" i="1"/>
  <c r="M1683" i="1"/>
  <c r="L1683" i="1"/>
  <c r="K1683" i="1"/>
  <c r="I1692" i="1"/>
  <c r="N1691" i="1"/>
  <c r="M1691" i="1"/>
  <c r="L1691" i="1"/>
  <c r="I1700" i="1"/>
  <c r="N1699" i="1"/>
  <c r="M1699" i="1"/>
  <c r="L1699" i="1"/>
  <c r="K1699" i="1"/>
  <c r="I1708" i="1"/>
  <c r="N1707" i="1"/>
  <c r="M1707" i="1"/>
  <c r="L1707" i="1"/>
  <c r="K1707" i="1"/>
  <c r="I1716" i="1"/>
  <c r="N1715" i="1"/>
  <c r="M1715" i="1"/>
  <c r="L1715" i="1"/>
  <c r="K1715" i="1"/>
  <c r="I1724" i="1"/>
  <c r="N1723" i="1"/>
  <c r="M1723" i="1"/>
  <c r="L1723" i="1"/>
  <c r="K1723" i="1"/>
  <c r="I1732" i="1"/>
  <c r="N1731" i="1"/>
  <c r="M1731" i="1"/>
  <c r="L1731" i="1"/>
  <c r="K1731" i="1"/>
  <c r="I1740" i="1"/>
  <c r="N1739" i="1"/>
  <c r="M1739" i="1"/>
  <c r="L1739" i="1"/>
  <c r="K1739" i="1"/>
  <c r="I1748" i="1"/>
  <c r="N1747" i="1"/>
  <c r="M1747" i="1"/>
  <c r="L1747" i="1"/>
  <c r="I1756" i="1"/>
  <c r="N1755" i="1"/>
  <c r="M1755" i="1"/>
  <c r="L1755" i="1"/>
  <c r="K1755" i="1"/>
  <c r="I1764" i="1"/>
  <c r="N1763" i="1"/>
  <c r="M1763" i="1"/>
  <c r="K1763" i="1"/>
  <c r="I1772" i="1"/>
  <c r="N1771" i="1"/>
  <c r="M1771" i="1"/>
  <c r="K1771" i="1"/>
  <c r="I1780" i="1"/>
  <c r="N1779" i="1"/>
  <c r="M1779" i="1"/>
  <c r="L1779" i="1"/>
  <c r="K1779" i="1"/>
  <c r="I1788" i="1"/>
  <c r="N1787" i="1"/>
  <c r="M1787" i="1"/>
  <c r="L1787" i="1"/>
  <c r="K1787" i="1"/>
  <c r="I1796" i="1"/>
  <c r="N1795" i="1"/>
  <c r="M1795" i="1"/>
  <c r="L1795" i="1"/>
  <c r="I1804" i="1"/>
  <c r="N1803" i="1"/>
  <c r="M1803" i="1"/>
  <c r="L1803" i="1"/>
  <c r="K1803" i="1"/>
  <c r="I1812" i="1"/>
  <c r="N1811" i="1"/>
  <c r="M1811" i="1"/>
  <c r="L1811" i="1"/>
  <c r="K1811" i="1"/>
  <c r="I1820" i="1"/>
  <c r="N1819" i="1"/>
  <c r="M1819" i="1"/>
  <c r="K1819" i="1"/>
  <c r="I1828" i="1"/>
  <c r="N1827" i="1"/>
  <c r="M1827" i="1"/>
  <c r="L1827" i="1"/>
  <c r="K1827" i="1"/>
  <c r="I1836" i="1"/>
  <c r="N1835" i="1"/>
  <c r="M1835" i="1"/>
  <c r="L1835" i="1"/>
  <c r="K1835" i="1"/>
  <c r="I1844" i="1"/>
  <c r="N1843" i="1"/>
  <c r="M1843" i="1"/>
  <c r="L1843" i="1"/>
  <c r="I1852" i="1"/>
  <c r="N1851" i="1"/>
  <c r="M1851" i="1"/>
  <c r="L1851" i="1"/>
  <c r="K1851" i="1"/>
  <c r="I1860" i="1"/>
  <c r="N1859" i="1"/>
  <c r="M1859" i="1"/>
  <c r="K1859" i="1"/>
  <c r="I1868" i="1"/>
  <c r="N1867" i="1"/>
  <c r="M1867" i="1"/>
  <c r="K1867" i="1"/>
  <c r="I1876" i="1"/>
  <c r="N1875" i="1"/>
  <c r="M1875" i="1"/>
  <c r="L1875" i="1"/>
  <c r="K1875" i="1"/>
  <c r="I1884" i="1"/>
  <c r="N1883" i="1"/>
  <c r="M1883" i="1"/>
  <c r="L1883" i="1"/>
  <c r="K1883" i="1"/>
  <c r="I1892" i="1"/>
  <c r="N1891" i="1"/>
  <c r="M1891" i="1"/>
  <c r="L1891" i="1"/>
  <c r="K1891" i="1"/>
  <c r="I1900" i="1"/>
  <c r="N1899" i="1"/>
  <c r="M1899" i="1"/>
  <c r="L1899" i="1"/>
  <c r="K1899" i="1"/>
  <c r="I1908" i="1"/>
  <c r="N1907" i="1"/>
  <c r="M1907" i="1"/>
  <c r="L1907" i="1"/>
  <c r="K1907" i="1"/>
  <c r="I1916" i="1"/>
  <c r="N1915" i="1"/>
  <c r="M1915" i="1"/>
  <c r="L1915" i="1"/>
  <c r="K1915" i="1"/>
  <c r="I1924" i="1"/>
  <c r="N1923" i="1"/>
  <c r="M1923" i="1"/>
  <c r="L1923" i="1"/>
  <c r="K1923" i="1"/>
  <c r="I1932" i="1"/>
  <c r="N1931" i="1"/>
  <c r="M1931" i="1"/>
  <c r="L1931" i="1"/>
  <c r="K1931" i="1"/>
  <c r="I1940" i="1"/>
  <c r="N1939" i="1"/>
  <c r="M1939" i="1"/>
  <c r="L1939" i="1"/>
  <c r="I1948" i="1"/>
  <c r="N1947" i="1"/>
  <c r="M1947" i="1"/>
  <c r="L1947" i="1"/>
  <c r="K1947" i="1"/>
  <c r="I1956" i="1"/>
  <c r="N1955" i="1"/>
  <c r="M1955" i="1"/>
  <c r="L1955" i="1"/>
  <c r="I1964" i="1"/>
  <c r="N1963" i="1"/>
  <c r="M1963" i="1"/>
  <c r="L1963" i="1"/>
  <c r="K1963" i="1"/>
  <c r="I1972" i="1"/>
  <c r="N1971" i="1"/>
  <c r="M1971" i="1"/>
  <c r="K1971" i="1"/>
  <c r="I1980" i="1"/>
  <c r="N1979" i="1"/>
  <c r="M1979" i="1"/>
  <c r="L1979" i="1"/>
  <c r="K1979" i="1"/>
  <c r="I1988" i="1"/>
  <c r="N1987" i="1"/>
  <c r="M1987" i="1"/>
  <c r="L1987" i="1"/>
  <c r="K1987" i="1"/>
  <c r="I1996" i="1"/>
  <c r="N1995" i="1"/>
  <c r="M1995" i="1"/>
  <c r="L1995" i="1"/>
  <c r="K1995" i="1"/>
  <c r="I2004" i="1"/>
  <c r="N2003" i="1"/>
  <c r="M2003" i="1"/>
  <c r="L2003" i="1"/>
  <c r="I2012" i="1"/>
  <c r="N2011" i="1"/>
  <c r="M2011" i="1"/>
  <c r="L2011" i="1"/>
  <c r="K2011" i="1"/>
  <c r="I2020" i="1"/>
  <c r="N2019" i="1"/>
  <c r="M2019" i="1"/>
  <c r="L2019" i="1"/>
  <c r="K2019" i="1"/>
  <c r="I2028" i="1"/>
  <c r="N2027" i="1"/>
  <c r="M2027" i="1"/>
  <c r="L2027" i="1"/>
  <c r="I2036" i="1"/>
  <c r="N2035" i="1"/>
  <c r="M2035" i="1"/>
  <c r="L2035" i="1"/>
  <c r="K2035" i="1"/>
  <c r="I2044" i="1"/>
  <c r="N2043" i="1"/>
  <c r="K2043" i="1"/>
  <c r="I2052" i="1"/>
  <c r="N2051" i="1"/>
  <c r="M2051" i="1"/>
  <c r="L2051" i="1"/>
  <c r="K2051" i="1"/>
  <c r="I2060" i="1"/>
  <c r="N2059" i="1"/>
  <c r="M2059" i="1"/>
  <c r="L2059" i="1"/>
  <c r="I2068" i="1"/>
  <c r="N2067" i="1"/>
  <c r="M2067" i="1"/>
  <c r="L2067" i="1"/>
  <c r="K2067" i="1"/>
  <c r="I2076" i="1"/>
  <c r="N2075" i="1"/>
  <c r="K2075" i="1"/>
  <c r="I2084" i="1"/>
  <c r="N2083" i="1"/>
  <c r="M2083" i="1"/>
  <c r="L2083" i="1"/>
  <c r="K2083" i="1"/>
  <c r="I2092" i="1"/>
  <c r="N2091" i="1"/>
  <c r="M2091" i="1"/>
  <c r="L2091" i="1"/>
  <c r="K2091" i="1"/>
  <c r="I2100" i="1"/>
  <c r="N2099" i="1"/>
  <c r="M2099" i="1"/>
  <c r="L2099" i="1"/>
  <c r="I2108" i="1"/>
  <c r="N2107" i="1"/>
  <c r="M2107" i="1"/>
  <c r="L2107" i="1"/>
  <c r="I2116" i="1"/>
  <c r="N2115" i="1"/>
  <c r="M2115" i="1"/>
  <c r="L2115" i="1"/>
  <c r="K2115" i="1"/>
  <c r="I2124" i="1"/>
  <c r="N2123" i="1"/>
  <c r="M2123" i="1"/>
  <c r="L2123" i="1"/>
  <c r="K2123" i="1"/>
  <c r="I2132" i="1"/>
  <c r="N2131" i="1"/>
  <c r="M2131" i="1"/>
  <c r="L2131" i="1"/>
  <c r="K2131" i="1"/>
  <c r="I2140" i="1"/>
  <c r="N2139" i="1"/>
  <c r="M2139" i="1"/>
  <c r="L2139" i="1"/>
  <c r="K2139" i="1"/>
  <c r="I2148" i="1"/>
  <c r="N2147" i="1"/>
  <c r="M2147" i="1"/>
  <c r="L2147" i="1"/>
  <c r="I2156" i="1"/>
  <c r="N2155" i="1"/>
  <c r="M2155" i="1"/>
  <c r="L2155" i="1"/>
  <c r="K2155" i="1"/>
  <c r="I2164" i="1"/>
  <c r="N2163" i="1"/>
  <c r="M2163" i="1"/>
  <c r="L2163" i="1"/>
  <c r="K2163" i="1"/>
  <c r="I2172" i="1"/>
  <c r="N2171" i="1"/>
  <c r="M2171" i="1"/>
  <c r="L2171" i="1"/>
  <c r="K2171" i="1"/>
  <c r="I2180" i="1"/>
  <c r="N2179" i="1"/>
  <c r="M2179" i="1"/>
  <c r="L2179" i="1"/>
  <c r="K2179" i="1"/>
  <c r="I2188" i="1"/>
  <c r="N2187" i="1"/>
  <c r="M2187" i="1"/>
  <c r="K2187" i="1"/>
  <c r="I2196" i="1"/>
  <c r="N2195" i="1"/>
  <c r="M2195" i="1"/>
  <c r="K2195" i="1"/>
  <c r="I2204" i="1"/>
  <c r="N2203" i="1"/>
  <c r="M2203" i="1"/>
  <c r="L2203" i="1"/>
  <c r="K2203" i="1"/>
  <c r="I2212" i="1"/>
  <c r="N2211" i="1"/>
  <c r="M2211" i="1"/>
  <c r="L2211" i="1"/>
  <c r="K2211" i="1"/>
  <c r="I2220" i="1"/>
  <c r="N2219" i="1"/>
  <c r="M2219" i="1"/>
  <c r="L2219" i="1"/>
  <c r="K2219" i="1"/>
  <c r="I2228" i="1"/>
  <c r="M2227" i="1"/>
  <c r="L2227" i="1"/>
  <c r="I2236" i="1"/>
  <c r="N2235" i="1"/>
  <c r="K2235" i="1"/>
  <c r="I2244" i="1"/>
  <c r="N2243" i="1"/>
  <c r="M2243" i="1"/>
  <c r="L2243" i="1"/>
  <c r="K2243" i="1"/>
  <c r="I2252" i="1"/>
  <c r="N2251" i="1"/>
  <c r="M2251" i="1"/>
  <c r="L2251" i="1"/>
  <c r="K2251" i="1"/>
  <c r="I2260" i="1"/>
  <c r="N2259" i="1"/>
  <c r="M2259" i="1"/>
  <c r="L2259" i="1"/>
  <c r="K2259" i="1"/>
  <c r="I2268" i="1"/>
  <c r="M2267" i="1"/>
  <c r="L2267" i="1"/>
  <c r="K2267" i="1"/>
  <c r="I2276" i="1"/>
  <c r="N2275" i="1"/>
  <c r="M2275" i="1"/>
  <c r="L2275" i="1"/>
  <c r="K2275" i="1"/>
  <c r="I2284" i="1"/>
  <c r="N2283" i="1"/>
  <c r="M2283" i="1"/>
  <c r="L2283" i="1"/>
  <c r="I2292" i="1"/>
  <c r="N2291" i="1"/>
  <c r="M2291" i="1"/>
  <c r="L2291" i="1"/>
  <c r="I2300" i="1"/>
  <c r="N2299" i="1"/>
  <c r="M2299" i="1"/>
  <c r="L2299" i="1"/>
  <c r="K2299" i="1"/>
  <c r="I2308" i="1"/>
  <c r="N2307" i="1"/>
  <c r="M2307" i="1"/>
  <c r="L2307" i="1"/>
  <c r="K2307" i="1"/>
  <c r="I2316" i="1"/>
  <c r="N2315" i="1"/>
  <c r="M2315" i="1"/>
  <c r="L2315" i="1"/>
  <c r="K2315" i="1"/>
  <c r="I2324" i="1"/>
  <c r="N2323" i="1"/>
  <c r="M2323" i="1"/>
  <c r="K2323" i="1"/>
  <c r="I2332" i="1"/>
  <c r="N2331" i="1"/>
  <c r="M2331" i="1"/>
  <c r="L2331" i="1"/>
  <c r="K2331" i="1"/>
  <c r="I2340" i="1"/>
  <c r="N2339" i="1"/>
  <c r="M2339" i="1"/>
  <c r="L2339" i="1"/>
  <c r="K2339" i="1"/>
  <c r="I2348" i="1"/>
  <c r="N2347" i="1"/>
  <c r="M2347" i="1"/>
  <c r="L2347" i="1"/>
  <c r="K2347" i="1"/>
  <c r="I2356" i="1"/>
  <c r="N2355" i="1"/>
  <c r="M2355" i="1"/>
  <c r="K2355" i="1"/>
  <c r="I2364" i="1"/>
  <c r="N2363" i="1"/>
  <c r="M2363" i="1"/>
  <c r="L2363" i="1"/>
  <c r="K2363" i="1"/>
  <c r="I2372" i="1"/>
  <c r="N2371" i="1"/>
  <c r="K2371" i="1"/>
  <c r="I2380" i="1"/>
  <c r="N2379" i="1"/>
  <c r="M2379" i="1"/>
  <c r="L2379" i="1"/>
  <c r="K2379" i="1"/>
  <c r="I2388" i="1"/>
  <c r="N2387" i="1"/>
  <c r="M2387" i="1"/>
  <c r="L2387" i="1"/>
  <c r="K2387" i="1"/>
  <c r="I2396" i="1"/>
  <c r="N2395" i="1"/>
  <c r="M2395" i="1"/>
  <c r="L2395" i="1"/>
  <c r="K2395" i="1"/>
  <c r="I2404" i="1"/>
  <c r="N2403" i="1"/>
  <c r="M2403" i="1"/>
  <c r="L2403" i="1"/>
  <c r="K2403" i="1"/>
  <c r="I2412" i="1"/>
  <c r="N2411" i="1"/>
  <c r="M2411" i="1"/>
  <c r="L2411" i="1"/>
  <c r="K2411" i="1"/>
  <c r="I2420" i="1"/>
  <c r="N2419" i="1"/>
  <c r="M2419" i="1"/>
  <c r="L2419" i="1"/>
  <c r="I2428" i="1"/>
  <c r="N2427" i="1"/>
  <c r="M2427" i="1"/>
  <c r="K2427" i="1"/>
  <c r="I2436" i="1"/>
  <c r="N2435" i="1"/>
  <c r="M2435" i="1"/>
  <c r="L2435" i="1"/>
  <c r="K2435" i="1"/>
  <c r="I2444" i="1"/>
  <c r="N2443" i="1"/>
  <c r="M2443" i="1"/>
  <c r="L2443" i="1"/>
  <c r="I2452" i="1"/>
  <c r="N2451" i="1"/>
  <c r="M2451" i="1"/>
  <c r="K2451" i="1"/>
  <c r="I2460" i="1"/>
  <c r="N2459" i="1"/>
  <c r="M2459" i="1"/>
  <c r="L2459" i="1"/>
  <c r="K2459" i="1"/>
  <c r="I2468" i="1"/>
  <c r="N2467" i="1"/>
  <c r="M2467" i="1"/>
  <c r="K2467" i="1"/>
  <c r="I2476" i="1"/>
  <c r="N2475" i="1"/>
  <c r="M2475" i="1"/>
  <c r="L2475" i="1"/>
  <c r="I2484" i="1"/>
  <c r="N2483" i="1"/>
  <c r="M2483" i="1"/>
  <c r="L2483" i="1"/>
  <c r="K2483" i="1"/>
  <c r="I2492" i="1"/>
  <c r="N2491" i="1"/>
  <c r="M2491" i="1"/>
  <c r="L2491" i="1"/>
  <c r="K2491" i="1"/>
  <c r="I2500" i="1"/>
  <c r="N2499" i="1"/>
  <c r="M2499" i="1"/>
  <c r="K2499" i="1"/>
  <c r="I2508" i="1"/>
  <c r="N2507" i="1"/>
  <c r="M2507" i="1"/>
  <c r="L2507" i="1"/>
  <c r="K2507" i="1"/>
  <c r="I2516" i="1"/>
  <c r="N2515" i="1"/>
  <c r="M2515" i="1"/>
  <c r="L2515" i="1"/>
  <c r="K2515" i="1"/>
  <c r="I104" i="1"/>
  <c r="N103" i="1"/>
  <c r="M103" i="1"/>
  <c r="L103" i="1"/>
  <c r="K103" i="1"/>
  <c r="I112" i="1"/>
  <c r="N111" i="1"/>
  <c r="M111" i="1"/>
  <c r="L111" i="1"/>
  <c r="K111" i="1"/>
  <c r="I120" i="1"/>
  <c r="N119" i="1"/>
  <c r="M119" i="1"/>
  <c r="L119" i="1"/>
  <c r="K119" i="1"/>
  <c r="I128" i="1"/>
  <c r="N127" i="1"/>
  <c r="M127" i="1"/>
  <c r="L127" i="1"/>
  <c r="K127" i="1"/>
  <c r="I136" i="1"/>
  <c r="N135" i="1"/>
  <c r="M135" i="1"/>
  <c r="L135" i="1"/>
  <c r="I144" i="1"/>
  <c r="N143" i="1"/>
  <c r="M143" i="1"/>
  <c r="L143" i="1"/>
  <c r="I152" i="1"/>
  <c r="N151" i="1"/>
  <c r="M151" i="1"/>
  <c r="L151" i="1"/>
  <c r="K151" i="1"/>
  <c r="I160" i="1"/>
  <c r="N159" i="1"/>
  <c r="M159" i="1"/>
  <c r="L159" i="1"/>
  <c r="K159" i="1"/>
  <c r="I168" i="1"/>
  <c r="N167" i="1"/>
  <c r="K167" i="1"/>
  <c r="I176" i="1"/>
  <c r="N175" i="1"/>
  <c r="M175" i="1"/>
  <c r="L175" i="1"/>
  <c r="K175" i="1"/>
  <c r="I184" i="1"/>
  <c r="N183" i="1"/>
  <c r="M183" i="1"/>
  <c r="L183" i="1"/>
  <c r="K183" i="1"/>
  <c r="I192" i="1"/>
  <c r="N191" i="1"/>
  <c r="M191" i="1"/>
  <c r="L191" i="1"/>
  <c r="K191" i="1"/>
  <c r="I200" i="1"/>
  <c r="N199" i="1"/>
  <c r="M199" i="1"/>
  <c r="L199" i="1"/>
  <c r="K199" i="1"/>
  <c r="I208" i="1"/>
  <c r="N207" i="1"/>
  <c r="M207" i="1"/>
  <c r="L207" i="1"/>
  <c r="K207" i="1"/>
  <c r="I216" i="1"/>
  <c r="N215" i="1"/>
  <c r="M215" i="1"/>
  <c r="L215" i="1"/>
  <c r="K215" i="1"/>
  <c r="I224" i="1"/>
  <c r="N223" i="1"/>
  <c r="M223" i="1"/>
  <c r="L223" i="1"/>
  <c r="K223" i="1"/>
  <c r="I232" i="1"/>
  <c r="N231" i="1"/>
  <c r="M231" i="1"/>
  <c r="K231" i="1"/>
  <c r="I240" i="1"/>
  <c r="N239" i="1"/>
  <c r="M239" i="1"/>
  <c r="L239" i="1"/>
  <c r="K239" i="1"/>
  <c r="I248" i="1"/>
  <c r="N247" i="1"/>
  <c r="M247" i="1"/>
  <c r="L247" i="1"/>
  <c r="K247" i="1"/>
  <c r="I256" i="1"/>
  <c r="N255" i="1"/>
  <c r="M255" i="1"/>
  <c r="L255" i="1"/>
  <c r="K255" i="1"/>
  <c r="I105" i="1"/>
  <c r="M104" i="1"/>
  <c r="L104" i="1"/>
  <c r="K104" i="1"/>
  <c r="I113" i="1"/>
  <c r="N112" i="1"/>
  <c r="M112" i="1"/>
  <c r="L112" i="1"/>
  <c r="K112" i="1"/>
  <c r="I121" i="1"/>
  <c r="N120" i="1"/>
  <c r="M120" i="1"/>
  <c r="L120" i="1"/>
  <c r="K120" i="1"/>
  <c r="I129" i="1"/>
  <c r="N128" i="1"/>
  <c r="M128" i="1"/>
  <c r="L128" i="1"/>
  <c r="K128" i="1"/>
  <c r="I137" i="1"/>
  <c r="N136" i="1"/>
  <c r="M136" i="1"/>
  <c r="L136" i="1"/>
  <c r="K136" i="1"/>
  <c r="I145" i="1"/>
  <c r="N144" i="1"/>
  <c r="M144" i="1"/>
  <c r="L144" i="1"/>
  <c r="I153" i="1"/>
  <c r="N152" i="1"/>
  <c r="M152" i="1"/>
  <c r="L152" i="1"/>
  <c r="K152" i="1"/>
  <c r="I161" i="1"/>
  <c r="N160" i="1"/>
  <c r="M160" i="1"/>
  <c r="L160" i="1"/>
  <c r="K160" i="1"/>
  <c r="I169" i="1"/>
  <c r="M168" i="1"/>
  <c r="L168" i="1"/>
  <c r="I177" i="1"/>
  <c r="N176" i="1"/>
  <c r="M176" i="1"/>
  <c r="L176" i="1"/>
  <c r="I185" i="1"/>
  <c r="N184" i="1"/>
  <c r="M184" i="1"/>
  <c r="L184" i="1"/>
  <c r="K184" i="1"/>
  <c r="I193" i="1"/>
  <c r="N192" i="1"/>
  <c r="M192" i="1"/>
  <c r="L192" i="1"/>
  <c r="K192" i="1"/>
  <c r="I201" i="1"/>
  <c r="N200" i="1"/>
  <c r="M200" i="1"/>
  <c r="L200" i="1"/>
  <c r="K200" i="1"/>
  <c r="I209" i="1"/>
  <c r="N208" i="1"/>
  <c r="M208" i="1"/>
  <c r="L208" i="1"/>
  <c r="K208" i="1"/>
  <c r="I217" i="1"/>
  <c r="N216" i="1"/>
  <c r="M216" i="1"/>
  <c r="L216" i="1"/>
  <c r="K216" i="1"/>
  <c r="I225" i="1"/>
  <c r="N224" i="1"/>
  <c r="M224" i="1"/>
  <c r="K224" i="1"/>
  <c r="I233" i="1"/>
  <c r="N232" i="1"/>
  <c r="M232" i="1"/>
  <c r="L232" i="1"/>
  <c r="K232" i="1"/>
  <c r="I241" i="1"/>
  <c r="N240" i="1"/>
  <c r="M240" i="1"/>
  <c r="L240" i="1"/>
  <c r="K240" i="1"/>
  <c r="I249" i="1"/>
  <c r="N248" i="1"/>
  <c r="M248" i="1"/>
  <c r="L248" i="1"/>
  <c r="K248" i="1"/>
  <c r="I257" i="1"/>
  <c r="N256" i="1"/>
  <c r="M256" i="1"/>
  <c r="L256" i="1"/>
  <c r="K256" i="1"/>
  <c r="I314" i="1"/>
  <c r="N313" i="1"/>
  <c r="M313" i="1"/>
  <c r="L313" i="1"/>
  <c r="K313" i="1"/>
  <c r="I322" i="1"/>
  <c r="N321" i="1"/>
  <c r="M321" i="1"/>
  <c r="L321" i="1"/>
  <c r="I330" i="1"/>
  <c r="N329" i="1"/>
  <c r="M329" i="1"/>
  <c r="L329" i="1"/>
  <c r="K329" i="1"/>
  <c r="I338" i="1"/>
  <c r="N337" i="1"/>
  <c r="M337" i="1"/>
  <c r="L337" i="1"/>
  <c r="K337" i="1"/>
  <c r="I346" i="1"/>
  <c r="N345" i="1"/>
  <c r="M345" i="1"/>
  <c r="K345" i="1"/>
  <c r="I354" i="1"/>
  <c r="N353" i="1"/>
  <c r="M353" i="1"/>
  <c r="L353" i="1"/>
  <c r="K353" i="1"/>
  <c r="I362" i="1"/>
  <c r="N361" i="1"/>
  <c r="K361" i="1"/>
  <c r="I370" i="1"/>
  <c r="N369" i="1"/>
  <c r="K369" i="1"/>
  <c r="I378" i="1"/>
  <c r="M377" i="1"/>
  <c r="L377" i="1"/>
  <c r="I386" i="1"/>
  <c r="N385" i="1"/>
  <c r="M385" i="1"/>
  <c r="K385" i="1"/>
  <c r="I394" i="1"/>
  <c r="N393" i="1"/>
  <c r="M393" i="1"/>
  <c r="L393" i="1"/>
  <c r="K393" i="1"/>
  <c r="I402" i="1"/>
  <c r="N401" i="1"/>
  <c r="M401" i="1"/>
  <c r="L401" i="1"/>
  <c r="K401" i="1"/>
  <c r="I410" i="1"/>
  <c r="M409" i="1"/>
  <c r="L409" i="1"/>
  <c r="I418" i="1"/>
  <c r="M417" i="1"/>
  <c r="L417" i="1"/>
  <c r="I426" i="1"/>
  <c r="N425" i="1"/>
  <c r="K425" i="1"/>
  <c r="I434" i="1"/>
  <c r="M433" i="1"/>
  <c r="L433" i="1"/>
  <c r="I442" i="1"/>
  <c r="M441" i="1"/>
  <c r="L441" i="1"/>
  <c r="I450" i="1"/>
  <c r="N449" i="1"/>
  <c r="M449" i="1"/>
  <c r="L449" i="1"/>
  <c r="K449" i="1"/>
  <c r="I458" i="1"/>
  <c r="N457" i="1"/>
  <c r="M457" i="1"/>
  <c r="L457" i="1"/>
  <c r="K457" i="1"/>
  <c r="I466" i="1"/>
  <c r="N465" i="1"/>
  <c r="M465" i="1"/>
  <c r="L465" i="1"/>
  <c r="K465" i="1"/>
  <c r="I474" i="1"/>
  <c r="N473" i="1"/>
  <c r="M473" i="1"/>
  <c r="L473" i="1"/>
  <c r="I482" i="1"/>
  <c r="N481" i="1"/>
  <c r="M481" i="1"/>
  <c r="K481" i="1"/>
  <c r="I490" i="1"/>
  <c r="N489" i="1"/>
  <c r="M489" i="1"/>
  <c r="L489" i="1"/>
  <c r="K489" i="1"/>
  <c r="I498" i="1"/>
  <c r="N497" i="1"/>
  <c r="M497" i="1"/>
  <c r="L497" i="1"/>
  <c r="K497" i="1"/>
  <c r="I506" i="1"/>
  <c r="N505" i="1"/>
  <c r="M505" i="1"/>
  <c r="K505" i="1"/>
  <c r="I514" i="1"/>
  <c r="N513" i="1"/>
  <c r="M513" i="1"/>
  <c r="L513" i="1"/>
  <c r="K513" i="1"/>
  <c r="I522" i="1"/>
  <c r="N521" i="1"/>
  <c r="M521" i="1"/>
  <c r="L521" i="1"/>
  <c r="K521" i="1"/>
  <c r="I530" i="1"/>
  <c r="N529" i="1"/>
  <c r="M529" i="1"/>
  <c r="L529" i="1"/>
  <c r="K529" i="1"/>
  <c r="I538" i="1"/>
  <c r="N537" i="1"/>
  <c r="M537" i="1"/>
  <c r="L537" i="1"/>
  <c r="K537" i="1"/>
  <c r="I546" i="1"/>
  <c r="N545" i="1"/>
  <c r="M545" i="1"/>
  <c r="L545" i="1"/>
  <c r="K545" i="1"/>
  <c r="I554" i="1"/>
  <c r="N553" i="1"/>
  <c r="M553" i="1"/>
  <c r="L553" i="1"/>
  <c r="I562" i="1"/>
  <c r="N561" i="1"/>
  <c r="M561" i="1"/>
  <c r="K561" i="1"/>
  <c r="I570" i="1"/>
  <c r="N569" i="1"/>
  <c r="M569" i="1"/>
  <c r="L569" i="1"/>
  <c r="K569" i="1"/>
  <c r="I578" i="1"/>
  <c r="N577" i="1"/>
  <c r="M577" i="1"/>
  <c r="L577" i="1"/>
  <c r="I586" i="1"/>
  <c r="N585" i="1"/>
  <c r="M585" i="1"/>
  <c r="L585" i="1"/>
  <c r="K585" i="1"/>
  <c r="I594" i="1"/>
  <c r="N593" i="1"/>
  <c r="M593" i="1"/>
  <c r="K593" i="1"/>
  <c r="I602" i="1"/>
  <c r="N601" i="1"/>
  <c r="M601" i="1"/>
  <c r="L601" i="1"/>
  <c r="K601" i="1"/>
  <c r="I610" i="1"/>
  <c r="M609" i="1"/>
  <c r="L609" i="1"/>
  <c r="I618" i="1"/>
  <c r="N617" i="1"/>
  <c r="M617" i="1"/>
  <c r="L617" i="1"/>
  <c r="K617" i="1"/>
  <c r="I626" i="1"/>
  <c r="N625" i="1"/>
  <c r="M625" i="1"/>
  <c r="K625" i="1"/>
  <c r="I634" i="1"/>
  <c r="N633" i="1"/>
  <c r="M633" i="1"/>
  <c r="L633" i="1"/>
  <c r="I642" i="1"/>
  <c r="N641" i="1"/>
  <c r="M641" i="1"/>
  <c r="L641" i="1"/>
  <c r="I650" i="1"/>
  <c r="N649" i="1"/>
  <c r="M649" i="1"/>
  <c r="L649" i="1"/>
  <c r="K649" i="1"/>
  <c r="I658" i="1"/>
  <c r="N657" i="1"/>
  <c r="M657" i="1"/>
  <c r="L657" i="1"/>
  <c r="K657" i="1"/>
  <c r="I666" i="1"/>
  <c r="N665" i="1"/>
  <c r="M665" i="1"/>
  <c r="L665" i="1"/>
  <c r="K665" i="1"/>
  <c r="I674" i="1"/>
  <c r="N673" i="1"/>
  <c r="M673" i="1"/>
  <c r="K673" i="1"/>
  <c r="I682" i="1"/>
  <c r="N681" i="1"/>
  <c r="M681" i="1"/>
  <c r="L681" i="1"/>
  <c r="K681" i="1"/>
  <c r="I690" i="1"/>
  <c r="N689" i="1"/>
  <c r="M689" i="1"/>
  <c r="L689" i="1"/>
  <c r="K689" i="1"/>
  <c r="I698" i="1"/>
  <c r="N697" i="1"/>
  <c r="M697" i="1"/>
  <c r="L697" i="1"/>
  <c r="K697" i="1"/>
  <c r="I706" i="1"/>
  <c r="N705" i="1"/>
  <c r="M705" i="1"/>
  <c r="L705" i="1"/>
  <c r="K705" i="1"/>
  <c r="I714" i="1"/>
  <c r="N713" i="1"/>
  <c r="M713" i="1"/>
  <c r="L713" i="1"/>
  <c r="K713" i="1"/>
  <c r="I722" i="1"/>
  <c r="N721" i="1"/>
  <c r="K721" i="1"/>
  <c r="I730" i="1"/>
  <c r="M729" i="1"/>
  <c r="L729" i="1"/>
  <c r="I738" i="1"/>
  <c r="N737" i="1"/>
  <c r="M737" i="1"/>
  <c r="L737" i="1"/>
  <c r="K737" i="1"/>
  <c r="I746" i="1"/>
  <c r="N745" i="1"/>
  <c r="M745" i="1"/>
  <c r="L745" i="1"/>
  <c r="K745" i="1"/>
  <c r="I754" i="1"/>
  <c r="N753" i="1"/>
  <c r="M753" i="1"/>
  <c r="L753" i="1"/>
  <c r="K753" i="1"/>
  <c r="I762" i="1"/>
  <c r="N761" i="1"/>
  <c r="M761" i="1"/>
  <c r="L761" i="1"/>
  <c r="K761" i="1"/>
  <c r="I770" i="1"/>
  <c r="N769" i="1"/>
  <c r="M769" i="1"/>
  <c r="L769" i="1"/>
  <c r="K769" i="1"/>
  <c r="I778" i="1"/>
  <c r="N777" i="1"/>
  <c r="M777" i="1"/>
  <c r="K777" i="1"/>
  <c r="I786" i="1"/>
  <c r="N785" i="1"/>
  <c r="M785" i="1"/>
  <c r="L785" i="1"/>
  <c r="K785" i="1"/>
  <c r="I794" i="1"/>
  <c r="N793" i="1"/>
  <c r="M793" i="1"/>
  <c r="L793" i="1"/>
  <c r="I802" i="1"/>
  <c r="N801" i="1"/>
  <c r="M801" i="1"/>
  <c r="L801" i="1"/>
  <c r="K801" i="1"/>
  <c r="I810" i="1"/>
  <c r="N809" i="1"/>
  <c r="M809" i="1"/>
  <c r="L809" i="1"/>
  <c r="K809" i="1"/>
  <c r="I818" i="1"/>
  <c r="N817" i="1"/>
  <c r="M817" i="1"/>
  <c r="L817" i="1"/>
  <c r="I826" i="1"/>
  <c r="N825" i="1"/>
  <c r="M825" i="1"/>
  <c r="L825" i="1"/>
  <c r="I834" i="1"/>
  <c r="N833" i="1"/>
  <c r="M833" i="1"/>
  <c r="L833" i="1"/>
  <c r="I842" i="1"/>
  <c r="N841" i="1"/>
  <c r="M841" i="1"/>
  <c r="L841" i="1"/>
  <c r="I850" i="1"/>
  <c r="N849" i="1"/>
  <c r="M849" i="1"/>
  <c r="L849" i="1"/>
  <c r="I858" i="1"/>
  <c r="N857" i="1"/>
  <c r="M857" i="1"/>
  <c r="L857" i="1"/>
  <c r="K857" i="1"/>
  <c r="I866" i="1"/>
  <c r="N865" i="1"/>
  <c r="M865" i="1"/>
  <c r="L865" i="1"/>
  <c r="I874" i="1"/>
  <c r="N873" i="1"/>
  <c r="M873" i="1"/>
  <c r="L873" i="1"/>
  <c r="I882" i="1"/>
  <c r="N881" i="1"/>
  <c r="M881" i="1"/>
  <c r="L881" i="1"/>
  <c r="K881" i="1"/>
  <c r="I890" i="1"/>
  <c r="N889" i="1"/>
  <c r="M889" i="1"/>
  <c r="L889" i="1"/>
  <c r="I898" i="1"/>
  <c r="N897" i="1"/>
  <c r="M897" i="1"/>
  <c r="L897" i="1"/>
  <c r="K897" i="1"/>
  <c r="I906" i="1"/>
  <c r="N905" i="1"/>
  <c r="M905" i="1"/>
  <c r="L905" i="1"/>
  <c r="K905" i="1"/>
  <c r="I914" i="1"/>
  <c r="N913" i="1"/>
  <c r="M913" i="1"/>
  <c r="K913" i="1"/>
  <c r="I922" i="1"/>
  <c r="N921" i="1"/>
  <c r="M921" i="1"/>
  <c r="L921" i="1"/>
  <c r="K921" i="1"/>
  <c r="I930" i="1"/>
  <c r="N929" i="1"/>
  <c r="M929" i="1"/>
  <c r="L929" i="1"/>
  <c r="K929" i="1"/>
  <c r="I938" i="1"/>
  <c r="N937" i="1"/>
  <c r="M937" i="1"/>
  <c r="L937" i="1"/>
  <c r="I946" i="1"/>
  <c r="N945" i="1"/>
  <c r="M945" i="1"/>
  <c r="L945" i="1"/>
  <c r="K945" i="1"/>
  <c r="I954" i="1"/>
  <c r="N953" i="1"/>
  <c r="M953" i="1"/>
  <c r="L953" i="1"/>
  <c r="I962" i="1"/>
  <c r="N961" i="1"/>
  <c r="M961" i="1"/>
  <c r="L961" i="1"/>
  <c r="K961" i="1"/>
  <c r="I970" i="1"/>
  <c r="N969" i="1"/>
  <c r="M969" i="1"/>
  <c r="L969" i="1"/>
  <c r="K969" i="1"/>
  <c r="I978" i="1"/>
  <c r="N977" i="1"/>
  <c r="M977" i="1"/>
  <c r="L977" i="1"/>
  <c r="K977" i="1"/>
  <c r="I986" i="1"/>
  <c r="N985" i="1"/>
  <c r="M985" i="1"/>
  <c r="L985" i="1"/>
  <c r="K985" i="1"/>
  <c r="I994" i="1"/>
  <c r="N993" i="1"/>
  <c r="M993" i="1"/>
  <c r="L993" i="1"/>
  <c r="I1002" i="1"/>
  <c r="N1001" i="1"/>
  <c r="M1001" i="1"/>
  <c r="L1001" i="1"/>
  <c r="I1010" i="1"/>
  <c r="N1009" i="1"/>
  <c r="M1009" i="1"/>
  <c r="L1009" i="1"/>
  <c r="K1009" i="1"/>
  <c r="I1018" i="1"/>
  <c r="N1017" i="1"/>
  <c r="M1017" i="1"/>
  <c r="K1017" i="1"/>
  <c r="I1026" i="1"/>
  <c r="N1025" i="1"/>
  <c r="M1025" i="1"/>
  <c r="K1025" i="1"/>
  <c r="I1034" i="1"/>
  <c r="N1033" i="1"/>
  <c r="K1033" i="1"/>
  <c r="I1042" i="1"/>
  <c r="N1041" i="1"/>
  <c r="M1041" i="1"/>
  <c r="L1041" i="1"/>
  <c r="K1041" i="1"/>
  <c r="I1050" i="1"/>
  <c r="N1049" i="1"/>
  <c r="M1049" i="1"/>
  <c r="L1049" i="1"/>
  <c r="K1049" i="1"/>
  <c r="I1058" i="1"/>
  <c r="N1057" i="1"/>
  <c r="M1057" i="1"/>
  <c r="L1057" i="1"/>
  <c r="K1057" i="1"/>
  <c r="I1066" i="1"/>
  <c r="N1065" i="1"/>
  <c r="M1065" i="1"/>
  <c r="K1065" i="1"/>
  <c r="I1074" i="1"/>
  <c r="N1073" i="1"/>
  <c r="M1073" i="1"/>
  <c r="L1073" i="1"/>
  <c r="K1073" i="1"/>
  <c r="I1082" i="1"/>
  <c r="N1081" i="1"/>
  <c r="M1081" i="1"/>
  <c r="L1081" i="1"/>
  <c r="K1081" i="1"/>
  <c r="I1090" i="1"/>
  <c r="N1089" i="1"/>
  <c r="M1089" i="1"/>
  <c r="L1089" i="1"/>
  <c r="K1089" i="1"/>
  <c r="I1098" i="1"/>
  <c r="N1097" i="1"/>
  <c r="M1097" i="1"/>
  <c r="L1097" i="1"/>
  <c r="K1097" i="1"/>
  <c r="I1106" i="1"/>
  <c r="N1105" i="1"/>
  <c r="M1105" i="1"/>
  <c r="K1105" i="1"/>
  <c r="I1114" i="1"/>
  <c r="N1113" i="1"/>
  <c r="M1113" i="1"/>
  <c r="L1113" i="1"/>
  <c r="K1113" i="1"/>
  <c r="I1122" i="1"/>
  <c r="N1121" i="1"/>
  <c r="M1121" i="1"/>
  <c r="K1121" i="1"/>
  <c r="I1130" i="1"/>
  <c r="N1129" i="1"/>
  <c r="M1129" i="1"/>
  <c r="K1129" i="1"/>
  <c r="I1138" i="1"/>
  <c r="N1137" i="1"/>
  <c r="M1137" i="1"/>
  <c r="L1137" i="1"/>
  <c r="K1137" i="1"/>
  <c r="I1146" i="1"/>
  <c r="N1145" i="1"/>
  <c r="M1145" i="1"/>
  <c r="K1145" i="1"/>
  <c r="I1154" i="1"/>
  <c r="N1153" i="1"/>
  <c r="M1153" i="1"/>
  <c r="L1153" i="1"/>
  <c r="K1153" i="1"/>
  <c r="I1162" i="1"/>
  <c r="M1161" i="1"/>
  <c r="L1161" i="1"/>
  <c r="I1170" i="1"/>
  <c r="N1169" i="1"/>
  <c r="M1169" i="1"/>
  <c r="L1169" i="1"/>
  <c r="K1169" i="1"/>
  <c r="I1178" i="1"/>
  <c r="N1177" i="1"/>
  <c r="M1177" i="1"/>
  <c r="L1177" i="1"/>
  <c r="K1177" i="1"/>
  <c r="I1186" i="1"/>
  <c r="N1185" i="1"/>
  <c r="M1185" i="1"/>
  <c r="K1185" i="1"/>
  <c r="I1194" i="1"/>
  <c r="N1193" i="1"/>
  <c r="M1193" i="1"/>
  <c r="L1193" i="1"/>
  <c r="I1202" i="1"/>
  <c r="N1201" i="1"/>
  <c r="M1201" i="1"/>
  <c r="L1201" i="1"/>
  <c r="K1201" i="1"/>
  <c r="I1210" i="1"/>
  <c r="N1209" i="1"/>
  <c r="M1209" i="1"/>
  <c r="L1209" i="1"/>
  <c r="K1209" i="1"/>
  <c r="I1218" i="1"/>
  <c r="N1217" i="1"/>
  <c r="M1217" i="1"/>
  <c r="L1217" i="1"/>
  <c r="I1226" i="1"/>
  <c r="N1225" i="1"/>
  <c r="M1225" i="1"/>
  <c r="L1225" i="1"/>
  <c r="K1225" i="1"/>
  <c r="I1234" i="1"/>
  <c r="N1233" i="1"/>
  <c r="M1233" i="1"/>
  <c r="L1233" i="1"/>
  <c r="K1233" i="1"/>
  <c r="I1242" i="1"/>
  <c r="N1241" i="1"/>
  <c r="M1241" i="1"/>
  <c r="L1241" i="1"/>
  <c r="K1241" i="1"/>
  <c r="I1250" i="1"/>
  <c r="N1249" i="1"/>
  <c r="M1249" i="1"/>
  <c r="K1249" i="1"/>
  <c r="I1258" i="1"/>
  <c r="N1257" i="1"/>
  <c r="M1257" i="1"/>
  <c r="L1257" i="1"/>
  <c r="K1257" i="1"/>
  <c r="I1266" i="1"/>
  <c r="N1265" i="1"/>
  <c r="M1265" i="1"/>
  <c r="L1265" i="1"/>
  <c r="I1274" i="1"/>
  <c r="N1273" i="1"/>
  <c r="M1273" i="1"/>
  <c r="L1273" i="1"/>
  <c r="I1282" i="1"/>
  <c r="N1281" i="1"/>
  <c r="K1281" i="1"/>
  <c r="I1290" i="1"/>
  <c r="N1289" i="1"/>
  <c r="M1289" i="1"/>
  <c r="L1289" i="1"/>
  <c r="K1289" i="1"/>
  <c r="I1298" i="1"/>
  <c r="N1297" i="1"/>
  <c r="M1297" i="1"/>
  <c r="L1297" i="1"/>
  <c r="K1297" i="1"/>
  <c r="I1306" i="1"/>
  <c r="N1305" i="1"/>
  <c r="M1305" i="1"/>
  <c r="K1305" i="1"/>
  <c r="I1314" i="1"/>
  <c r="N1313" i="1"/>
  <c r="M1313" i="1"/>
  <c r="L1313" i="1"/>
  <c r="I1322" i="1"/>
  <c r="N1321" i="1"/>
  <c r="M1321" i="1"/>
  <c r="L1321" i="1"/>
  <c r="K1321" i="1"/>
  <c r="I1330" i="1"/>
  <c r="N1329" i="1"/>
  <c r="M1329" i="1"/>
  <c r="L1329" i="1"/>
  <c r="I1338" i="1"/>
  <c r="N1337" i="1"/>
  <c r="M1337" i="1"/>
  <c r="L1337" i="1"/>
  <c r="I1346" i="1"/>
  <c r="N1345" i="1"/>
  <c r="M1345" i="1"/>
  <c r="L1345" i="1"/>
  <c r="I1354" i="1"/>
  <c r="N1353" i="1"/>
  <c r="M1353" i="1"/>
  <c r="L1353" i="1"/>
  <c r="I1362" i="1"/>
  <c r="N1361" i="1"/>
  <c r="M1361" i="1"/>
  <c r="L1361" i="1"/>
  <c r="I1370" i="1"/>
  <c r="N1369" i="1"/>
  <c r="M1369" i="1"/>
  <c r="L1369" i="1"/>
  <c r="K1369" i="1"/>
  <c r="I1378" i="1"/>
  <c r="N1377" i="1"/>
  <c r="M1377" i="1"/>
  <c r="L1377" i="1"/>
  <c r="K1377" i="1"/>
  <c r="I1386" i="1"/>
  <c r="M1385" i="1"/>
  <c r="L1385" i="1"/>
  <c r="I1394" i="1"/>
  <c r="N1393" i="1"/>
  <c r="M1393" i="1"/>
  <c r="L1393" i="1"/>
  <c r="K1393" i="1"/>
  <c r="I1402" i="1"/>
  <c r="N1401" i="1"/>
  <c r="M1401" i="1"/>
  <c r="L1401" i="1"/>
  <c r="K1401" i="1"/>
  <c r="I1410" i="1"/>
  <c r="N1409" i="1"/>
  <c r="M1409" i="1"/>
  <c r="L1409" i="1"/>
  <c r="K1409" i="1"/>
  <c r="I1418" i="1"/>
  <c r="N1417" i="1"/>
  <c r="M1417" i="1"/>
  <c r="L1417" i="1"/>
  <c r="K1417" i="1"/>
  <c r="I1426" i="1"/>
  <c r="M1425" i="1"/>
  <c r="L1425" i="1"/>
  <c r="I1434" i="1"/>
  <c r="M1433" i="1"/>
  <c r="L1433" i="1"/>
  <c r="I1442" i="1"/>
  <c r="N1441" i="1"/>
  <c r="K1441" i="1"/>
  <c r="I1450" i="1"/>
  <c r="M1449" i="1"/>
  <c r="L1449" i="1"/>
  <c r="I1458" i="1"/>
  <c r="N1457" i="1"/>
  <c r="M1457" i="1"/>
  <c r="L1457" i="1"/>
  <c r="K1457" i="1"/>
  <c r="I1466" i="1"/>
  <c r="N1465" i="1"/>
  <c r="M1465" i="1"/>
  <c r="L1465" i="1"/>
  <c r="I1474" i="1"/>
  <c r="N1473" i="1"/>
  <c r="M1473" i="1"/>
  <c r="L1473" i="1"/>
  <c r="K1473" i="1"/>
  <c r="I1482" i="1"/>
  <c r="N1481" i="1"/>
  <c r="M1481" i="1"/>
  <c r="K1481" i="1"/>
  <c r="I1490" i="1"/>
  <c r="N1489" i="1"/>
  <c r="M1489" i="1"/>
  <c r="L1489" i="1"/>
  <c r="K1489" i="1"/>
  <c r="I1498" i="1"/>
  <c r="N1497" i="1"/>
  <c r="M1497" i="1"/>
  <c r="K1497" i="1"/>
  <c r="I1506" i="1"/>
  <c r="N1505" i="1"/>
  <c r="K1505" i="1"/>
  <c r="I1514" i="1"/>
  <c r="N1513" i="1"/>
  <c r="M1513" i="1"/>
  <c r="L1513" i="1"/>
  <c r="K1513" i="1"/>
  <c r="I1522" i="1"/>
  <c r="N1521" i="1"/>
  <c r="L1521" i="1"/>
  <c r="K1521" i="1"/>
  <c r="I1530" i="1"/>
  <c r="M1529" i="1"/>
  <c r="L1529" i="1"/>
  <c r="K1529" i="1"/>
  <c r="I1538" i="1"/>
  <c r="N1537" i="1"/>
  <c r="K1537" i="1"/>
  <c r="I1546" i="1"/>
  <c r="N1545" i="1"/>
  <c r="M1545" i="1"/>
  <c r="L1545" i="1"/>
  <c r="K1545" i="1"/>
  <c r="I1554" i="1"/>
  <c r="N1553" i="1"/>
  <c r="M1553" i="1"/>
  <c r="L1553" i="1"/>
  <c r="I1562" i="1"/>
  <c r="N1561" i="1"/>
  <c r="M1561" i="1"/>
  <c r="L1561" i="1"/>
  <c r="K1561" i="1"/>
  <c r="I1570" i="1"/>
  <c r="N1569" i="1"/>
  <c r="M1569" i="1"/>
  <c r="L1569" i="1"/>
  <c r="K1569" i="1"/>
  <c r="I1578" i="1"/>
  <c r="N1577" i="1"/>
  <c r="M1577" i="1"/>
  <c r="K1577" i="1"/>
  <c r="I1586" i="1"/>
  <c r="N1585" i="1"/>
  <c r="M1585" i="1"/>
  <c r="K1585" i="1"/>
  <c r="I1594" i="1"/>
  <c r="N1593" i="1"/>
  <c r="M1593" i="1"/>
  <c r="L1593" i="1"/>
  <c r="K1593" i="1"/>
  <c r="I1602" i="1"/>
  <c r="N1601" i="1"/>
  <c r="M1601" i="1"/>
  <c r="L1601" i="1"/>
  <c r="K1601" i="1"/>
  <c r="I1610" i="1"/>
  <c r="N1609" i="1"/>
  <c r="M1609" i="1"/>
  <c r="L1609" i="1"/>
  <c r="K1609" i="1"/>
  <c r="I1618" i="1"/>
  <c r="N1617" i="1"/>
  <c r="M1617" i="1"/>
  <c r="L1617" i="1"/>
  <c r="K1617" i="1"/>
  <c r="I1626" i="1"/>
  <c r="N1625" i="1"/>
  <c r="M1625" i="1"/>
  <c r="K1625" i="1"/>
  <c r="I1634" i="1"/>
  <c r="N1633" i="1"/>
  <c r="M1633" i="1"/>
  <c r="L1633" i="1"/>
  <c r="I1642" i="1"/>
  <c r="N1641" i="1"/>
  <c r="M1641" i="1"/>
  <c r="L1641" i="1"/>
  <c r="I1650" i="1"/>
  <c r="N1649" i="1"/>
  <c r="M1649" i="1"/>
  <c r="L1649" i="1"/>
  <c r="K1649" i="1"/>
  <c r="I1658" i="1"/>
  <c r="N1657" i="1"/>
  <c r="M1657" i="1"/>
  <c r="L1657" i="1"/>
  <c r="K1657" i="1"/>
  <c r="I1666" i="1"/>
  <c r="N1665" i="1"/>
  <c r="M1665" i="1"/>
  <c r="K1665" i="1"/>
  <c r="I1674" i="1"/>
  <c r="N1673" i="1"/>
  <c r="M1673" i="1"/>
  <c r="L1673" i="1"/>
  <c r="K1673" i="1"/>
  <c r="I1682" i="1"/>
  <c r="N1681" i="1"/>
  <c r="M1681" i="1"/>
  <c r="L1681" i="1"/>
  <c r="K1681" i="1"/>
  <c r="I1690" i="1"/>
  <c r="N1689" i="1"/>
  <c r="M1689" i="1"/>
  <c r="K1689" i="1"/>
  <c r="I1698" i="1"/>
  <c r="N1697" i="1"/>
  <c r="M1697" i="1"/>
  <c r="L1697" i="1"/>
  <c r="K1697" i="1"/>
  <c r="I1706" i="1"/>
  <c r="N1705" i="1"/>
  <c r="M1705" i="1"/>
  <c r="L1705" i="1"/>
  <c r="K1705" i="1"/>
  <c r="I1714" i="1"/>
  <c r="N1713" i="1"/>
  <c r="M1713" i="1"/>
  <c r="L1713" i="1"/>
  <c r="K1713" i="1"/>
  <c r="I1722" i="1"/>
  <c r="N1721" i="1"/>
  <c r="M1721" i="1"/>
  <c r="L1721" i="1"/>
  <c r="K1721" i="1"/>
  <c r="I1730" i="1"/>
  <c r="N1729" i="1"/>
  <c r="M1729" i="1"/>
  <c r="L1729" i="1"/>
  <c r="K1729" i="1"/>
  <c r="I1738" i="1"/>
  <c r="N1737" i="1"/>
  <c r="M1737" i="1"/>
  <c r="K1737" i="1"/>
  <c r="I1746" i="1"/>
  <c r="N1745" i="1"/>
  <c r="M1745" i="1"/>
  <c r="K1745" i="1"/>
  <c r="I1754" i="1"/>
  <c r="N1753" i="1"/>
  <c r="M1753" i="1"/>
  <c r="L1753" i="1"/>
  <c r="I1762" i="1"/>
  <c r="N1761" i="1"/>
  <c r="M1761" i="1"/>
  <c r="L1761" i="1"/>
  <c r="K1761" i="1"/>
  <c r="I1770" i="1"/>
  <c r="N1769" i="1"/>
  <c r="M1769" i="1"/>
  <c r="L1769" i="1"/>
  <c r="K1769" i="1"/>
  <c r="I1778" i="1"/>
  <c r="N1777" i="1"/>
  <c r="M1777" i="1"/>
  <c r="K1777" i="1"/>
  <c r="I1786" i="1"/>
  <c r="N1785" i="1"/>
  <c r="M1785" i="1"/>
  <c r="L1785" i="1"/>
  <c r="K1785" i="1"/>
  <c r="I1794" i="1"/>
  <c r="N1793" i="1"/>
  <c r="M1793" i="1"/>
  <c r="L1793" i="1"/>
  <c r="K1793" i="1"/>
  <c r="I1802" i="1"/>
  <c r="N1801" i="1"/>
  <c r="M1801" i="1"/>
  <c r="L1801" i="1"/>
  <c r="K1801" i="1"/>
  <c r="I1810" i="1"/>
  <c r="N1809" i="1"/>
  <c r="M1809" i="1"/>
  <c r="L1809" i="1"/>
  <c r="K1809" i="1"/>
  <c r="I1818" i="1"/>
  <c r="N1817" i="1"/>
  <c r="M1817" i="1"/>
  <c r="L1817" i="1"/>
  <c r="K1817" i="1"/>
  <c r="I1826" i="1"/>
  <c r="N1825" i="1"/>
  <c r="M1825" i="1"/>
  <c r="L1825" i="1"/>
  <c r="K1825" i="1"/>
  <c r="I1834" i="1"/>
  <c r="N1833" i="1"/>
  <c r="M1833" i="1"/>
  <c r="L1833" i="1"/>
  <c r="K1833" i="1"/>
  <c r="I1842" i="1"/>
  <c r="N1841" i="1"/>
  <c r="M1841" i="1"/>
  <c r="L1841" i="1"/>
  <c r="K1841" i="1"/>
  <c r="I1850" i="1"/>
  <c r="N1849" i="1"/>
  <c r="M1849" i="1"/>
  <c r="L1849" i="1"/>
  <c r="K1849" i="1"/>
  <c r="I1858" i="1"/>
  <c r="N1857" i="1"/>
  <c r="M1857" i="1"/>
  <c r="L1857" i="1"/>
  <c r="K1857" i="1"/>
  <c r="I1866" i="1"/>
  <c r="N1865" i="1"/>
  <c r="M1865" i="1"/>
  <c r="L1865" i="1"/>
  <c r="I1874" i="1"/>
  <c r="N1873" i="1"/>
  <c r="M1873" i="1"/>
  <c r="L1873" i="1"/>
  <c r="K1873" i="1"/>
  <c r="I1882" i="1"/>
  <c r="N1881" i="1"/>
  <c r="M1881" i="1"/>
  <c r="L1881" i="1"/>
  <c r="I1890" i="1"/>
  <c r="N1889" i="1"/>
  <c r="M1889" i="1"/>
  <c r="K1889" i="1"/>
  <c r="I1898" i="1"/>
  <c r="N1897" i="1"/>
  <c r="M1897" i="1"/>
  <c r="L1897" i="1"/>
  <c r="I1906" i="1"/>
  <c r="N1905" i="1"/>
  <c r="M1905" i="1"/>
  <c r="K1905" i="1"/>
  <c r="I1914" i="1"/>
  <c r="N1913" i="1"/>
  <c r="M1913" i="1"/>
  <c r="L1913" i="1"/>
  <c r="K1913" i="1"/>
  <c r="I1922" i="1"/>
  <c r="N1921" i="1"/>
  <c r="M1921" i="1"/>
  <c r="L1921" i="1"/>
  <c r="K1921" i="1"/>
  <c r="I1930" i="1"/>
  <c r="N1929" i="1"/>
  <c r="M1929" i="1"/>
  <c r="L1929" i="1"/>
  <c r="K1929" i="1"/>
  <c r="I1938" i="1"/>
  <c r="N1937" i="1"/>
  <c r="M1937" i="1"/>
  <c r="L1937" i="1"/>
  <c r="K1937" i="1"/>
  <c r="I1946" i="1"/>
  <c r="N1945" i="1"/>
  <c r="M1945" i="1"/>
  <c r="L1945" i="1"/>
  <c r="K1945" i="1"/>
  <c r="I1954" i="1"/>
  <c r="N1953" i="1"/>
  <c r="M1953" i="1"/>
  <c r="L1953" i="1"/>
  <c r="I1962" i="1"/>
  <c r="N1961" i="1"/>
  <c r="M1961" i="1"/>
  <c r="L1961" i="1"/>
  <c r="I1970" i="1"/>
  <c r="N1969" i="1"/>
  <c r="M1969" i="1"/>
  <c r="K1969" i="1"/>
  <c r="I1978" i="1"/>
  <c r="N1977" i="1"/>
  <c r="M1977" i="1"/>
  <c r="L1977" i="1"/>
  <c r="K1977" i="1"/>
  <c r="I1986" i="1"/>
  <c r="N1985" i="1"/>
  <c r="M1985" i="1"/>
  <c r="K1985" i="1"/>
  <c r="I1994" i="1"/>
  <c r="N1993" i="1"/>
  <c r="M1993" i="1"/>
  <c r="K1993" i="1"/>
  <c r="I2002" i="1"/>
  <c r="N2001" i="1"/>
  <c r="M2001" i="1"/>
  <c r="L2001" i="1"/>
  <c r="K2001" i="1"/>
  <c r="I2010" i="1"/>
  <c r="N2009" i="1"/>
  <c r="M2009" i="1"/>
  <c r="L2009" i="1"/>
  <c r="K2009" i="1"/>
  <c r="I2018" i="1"/>
  <c r="N2017" i="1"/>
  <c r="M2017" i="1"/>
  <c r="L2017" i="1"/>
  <c r="I2026" i="1"/>
  <c r="N2025" i="1"/>
  <c r="M2025" i="1"/>
  <c r="L2025" i="1"/>
  <c r="I2034" i="1"/>
  <c r="N2033" i="1"/>
  <c r="M2033" i="1"/>
  <c r="L2033" i="1"/>
  <c r="K2033" i="1"/>
  <c r="I2042" i="1"/>
  <c r="M2041" i="1"/>
  <c r="L2041" i="1"/>
  <c r="I2050" i="1"/>
  <c r="N2049" i="1"/>
  <c r="M2049" i="1"/>
  <c r="L2049" i="1"/>
  <c r="K2049" i="1"/>
  <c r="I2058" i="1"/>
  <c r="N2057" i="1"/>
  <c r="M2057" i="1"/>
  <c r="K2057" i="1"/>
  <c r="I2066" i="1"/>
  <c r="N2065" i="1"/>
  <c r="M2065" i="1"/>
  <c r="K2065" i="1"/>
  <c r="I2074" i="1"/>
  <c r="N2073" i="1"/>
  <c r="K2073" i="1"/>
  <c r="I2082" i="1"/>
  <c r="M2081" i="1"/>
  <c r="L2081" i="1"/>
  <c r="I2090" i="1"/>
  <c r="N2089" i="1"/>
  <c r="M2089" i="1"/>
  <c r="L2089" i="1"/>
  <c r="K2089" i="1"/>
  <c r="I2098" i="1"/>
  <c r="N2097" i="1"/>
  <c r="M2097" i="1"/>
  <c r="L2097" i="1"/>
  <c r="K2097" i="1"/>
  <c r="I2106" i="1"/>
  <c r="N2105" i="1"/>
  <c r="M2105" i="1"/>
  <c r="L2105" i="1"/>
  <c r="K2105" i="1"/>
  <c r="I2114" i="1"/>
  <c r="N2113" i="1"/>
  <c r="M2113" i="1"/>
  <c r="L2113" i="1"/>
  <c r="I2122" i="1"/>
  <c r="N2121" i="1"/>
  <c r="M2121" i="1"/>
  <c r="L2121" i="1"/>
  <c r="I2130" i="1"/>
  <c r="N2129" i="1"/>
  <c r="M2129" i="1"/>
  <c r="L2129" i="1"/>
  <c r="K2129" i="1"/>
  <c r="I2138" i="1"/>
  <c r="N2137" i="1"/>
  <c r="M2137" i="1"/>
  <c r="K2137" i="1"/>
  <c r="I2146" i="1"/>
  <c r="N2145" i="1"/>
  <c r="M2145" i="1"/>
  <c r="L2145" i="1"/>
  <c r="I2154" i="1"/>
  <c r="N2153" i="1"/>
  <c r="M2153" i="1"/>
  <c r="L2153" i="1"/>
  <c r="K2153" i="1"/>
  <c r="I2162" i="1"/>
  <c r="N2161" i="1"/>
  <c r="M2161" i="1"/>
  <c r="K2161" i="1"/>
  <c r="I2170" i="1"/>
  <c r="N2169" i="1"/>
  <c r="M2169" i="1"/>
  <c r="L2169" i="1"/>
  <c r="K2169" i="1"/>
  <c r="I2178" i="1"/>
  <c r="N2177" i="1"/>
  <c r="M2177" i="1"/>
  <c r="L2177" i="1"/>
  <c r="I2186" i="1"/>
  <c r="N2185" i="1"/>
  <c r="M2185" i="1"/>
  <c r="L2185" i="1"/>
  <c r="K2185" i="1"/>
  <c r="I2194" i="1"/>
  <c r="N2193" i="1"/>
  <c r="M2193" i="1"/>
  <c r="L2193" i="1"/>
  <c r="K2193" i="1"/>
  <c r="I2202" i="1"/>
  <c r="N2201" i="1"/>
  <c r="M2201" i="1"/>
  <c r="L2201" i="1"/>
  <c r="K2201" i="1"/>
  <c r="I2210" i="1"/>
  <c r="N2209" i="1"/>
  <c r="M2209" i="1"/>
  <c r="K2209" i="1"/>
  <c r="I2218" i="1"/>
  <c r="N2217" i="1"/>
  <c r="M2217" i="1"/>
  <c r="L2217" i="1"/>
  <c r="K2217" i="1"/>
  <c r="I2226" i="1"/>
  <c r="N2225" i="1"/>
  <c r="M2225" i="1"/>
  <c r="L2225" i="1"/>
  <c r="K2225" i="1"/>
  <c r="I2234" i="1"/>
  <c r="N2233" i="1"/>
  <c r="M2233" i="1"/>
  <c r="L2233" i="1"/>
  <c r="K2233" i="1"/>
  <c r="I2242" i="1"/>
  <c r="N2241" i="1"/>
  <c r="K2241" i="1"/>
  <c r="I2250" i="1"/>
  <c r="N2249" i="1"/>
  <c r="M2249" i="1"/>
  <c r="L2249" i="1"/>
  <c r="K2249" i="1"/>
  <c r="I2258" i="1"/>
  <c r="N2257" i="1"/>
  <c r="K2257" i="1"/>
  <c r="I2266" i="1"/>
  <c r="N2265" i="1"/>
  <c r="M2265" i="1"/>
  <c r="L2265" i="1"/>
  <c r="K2265" i="1"/>
  <c r="I2274" i="1"/>
  <c r="M2273" i="1"/>
  <c r="L2273" i="1"/>
  <c r="I2282" i="1"/>
  <c r="N2281" i="1"/>
  <c r="M2281" i="1"/>
  <c r="K2281" i="1"/>
  <c r="I2290" i="1"/>
  <c r="N2289" i="1"/>
  <c r="M2289" i="1"/>
  <c r="L2289" i="1"/>
  <c r="K2289" i="1"/>
  <c r="I2298" i="1"/>
  <c r="N2297" i="1"/>
  <c r="M2297" i="1"/>
  <c r="L2297" i="1"/>
  <c r="K2297" i="1"/>
  <c r="I2306" i="1"/>
  <c r="N2305" i="1"/>
  <c r="M2305" i="1"/>
  <c r="L2305" i="1"/>
  <c r="K2305" i="1"/>
  <c r="I2314" i="1"/>
  <c r="N2313" i="1"/>
  <c r="M2313" i="1"/>
  <c r="K2313" i="1"/>
  <c r="I2322" i="1"/>
  <c r="N2321" i="1"/>
  <c r="M2321" i="1"/>
  <c r="L2321" i="1"/>
  <c r="K2321" i="1"/>
  <c r="I2330" i="1"/>
  <c r="N2329" i="1"/>
  <c r="M2329" i="1"/>
  <c r="L2329" i="1"/>
  <c r="K2329" i="1"/>
  <c r="I2338" i="1"/>
  <c r="N2337" i="1"/>
  <c r="M2337" i="1"/>
  <c r="L2337" i="1"/>
  <c r="K2337" i="1"/>
  <c r="I2346" i="1"/>
  <c r="N2345" i="1"/>
  <c r="M2345" i="1"/>
  <c r="L2345" i="1"/>
  <c r="K2345" i="1"/>
  <c r="I2354" i="1"/>
  <c r="N2353" i="1"/>
  <c r="M2353" i="1"/>
  <c r="K2353" i="1"/>
  <c r="I2362" i="1"/>
  <c r="N2361" i="1"/>
  <c r="M2361" i="1"/>
  <c r="L2361" i="1"/>
  <c r="K2361" i="1"/>
  <c r="I2370" i="1"/>
  <c r="N2369" i="1"/>
  <c r="M2369" i="1"/>
  <c r="L2369" i="1"/>
  <c r="K2369" i="1"/>
  <c r="I2378" i="1"/>
  <c r="N2377" i="1"/>
  <c r="M2377" i="1"/>
  <c r="L2377" i="1"/>
  <c r="K2377" i="1"/>
  <c r="I2386" i="1"/>
  <c r="N2385" i="1"/>
  <c r="M2385" i="1"/>
  <c r="L2385" i="1"/>
  <c r="I2394" i="1"/>
  <c r="N2393" i="1"/>
  <c r="M2393" i="1"/>
  <c r="L2393" i="1"/>
  <c r="K2393" i="1"/>
  <c r="I2402" i="1"/>
  <c r="N2401" i="1"/>
  <c r="M2401" i="1"/>
  <c r="L2401" i="1"/>
  <c r="K2401" i="1"/>
  <c r="I2410" i="1"/>
  <c r="N2409" i="1"/>
  <c r="M2409" i="1"/>
  <c r="L2409" i="1"/>
  <c r="K2409" i="1"/>
  <c r="I2418" i="1"/>
  <c r="M2417" i="1"/>
  <c r="L2417" i="1"/>
  <c r="I2426" i="1"/>
  <c r="M2425" i="1"/>
  <c r="L2425" i="1"/>
  <c r="I2434" i="1"/>
  <c r="M2433" i="1"/>
  <c r="L2433" i="1"/>
  <c r="I2442" i="1"/>
  <c r="N2441" i="1"/>
  <c r="M2441" i="1"/>
  <c r="L2441" i="1"/>
  <c r="K2441" i="1"/>
  <c r="I2450" i="1"/>
  <c r="N2449" i="1"/>
  <c r="M2449" i="1"/>
  <c r="K2449" i="1"/>
  <c r="I2458" i="1"/>
  <c r="N2457" i="1"/>
  <c r="M2457" i="1"/>
  <c r="K2457" i="1"/>
  <c r="I2466" i="1"/>
  <c r="N2465" i="1"/>
  <c r="M2465" i="1"/>
  <c r="L2465" i="1"/>
  <c r="K2465" i="1"/>
  <c r="I2474" i="1"/>
  <c r="N2473" i="1"/>
  <c r="M2473" i="1"/>
  <c r="L2473" i="1"/>
  <c r="I2482" i="1"/>
  <c r="N2481" i="1"/>
  <c r="M2481" i="1"/>
  <c r="L2481" i="1"/>
  <c r="K2481" i="1"/>
  <c r="I2490" i="1"/>
  <c r="N2489" i="1"/>
  <c r="M2489" i="1"/>
  <c r="L2489" i="1"/>
  <c r="K2489" i="1"/>
  <c r="I2498" i="1"/>
  <c r="N2497" i="1"/>
  <c r="M2497" i="1"/>
  <c r="L2497" i="1"/>
  <c r="K2497" i="1"/>
  <c r="I2506" i="1"/>
  <c r="N2505" i="1"/>
  <c r="M2505" i="1"/>
  <c r="K2505" i="1"/>
  <c r="I2514" i="1"/>
  <c r="N2513" i="1"/>
  <c r="M2513" i="1"/>
  <c r="L2513" i="1"/>
  <c r="K2513" i="1"/>
  <c r="I287" i="1"/>
  <c r="N286" i="1"/>
  <c r="M286" i="1"/>
  <c r="L286" i="1"/>
  <c r="K286" i="1"/>
  <c r="I295" i="1"/>
  <c r="N294" i="1"/>
  <c r="M294" i="1"/>
  <c r="L294" i="1"/>
  <c r="I303" i="1"/>
  <c r="N302" i="1"/>
  <c r="M302" i="1"/>
  <c r="K302" i="1"/>
  <c r="I311" i="1"/>
  <c r="N310" i="1"/>
  <c r="M310" i="1"/>
  <c r="L310" i="1"/>
  <c r="K310" i="1"/>
  <c r="I319" i="1"/>
  <c r="N318" i="1"/>
  <c r="M318" i="1"/>
  <c r="L318" i="1"/>
  <c r="K318" i="1"/>
  <c r="I327" i="1"/>
  <c r="N326" i="1"/>
  <c r="M326" i="1"/>
  <c r="L326" i="1"/>
  <c r="K326" i="1"/>
  <c r="I335" i="1"/>
  <c r="N334" i="1"/>
  <c r="M334" i="1"/>
  <c r="L334" i="1"/>
  <c r="I343" i="1"/>
  <c r="N342" i="1"/>
  <c r="M342" i="1"/>
  <c r="L342" i="1"/>
  <c r="K342" i="1"/>
  <c r="I351" i="1"/>
  <c r="N350" i="1"/>
  <c r="M350" i="1"/>
  <c r="L350" i="1"/>
  <c r="I359" i="1"/>
  <c r="N358" i="1"/>
  <c r="M358" i="1"/>
  <c r="L358" i="1"/>
  <c r="I367" i="1"/>
  <c r="N366" i="1"/>
  <c r="K366" i="1"/>
  <c r="I375" i="1"/>
  <c r="N374" i="1"/>
  <c r="K374" i="1"/>
  <c r="I383" i="1"/>
  <c r="N382" i="1"/>
  <c r="M382" i="1"/>
  <c r="L382" i="1"/>
  <c r="K382" i="1"/>
  <c r="I391" i="1"/>
  <c r="N390" i="1"/>
  <c r="M390" i="1"/>
  <c r="L390" i="1"/>
  <c r="K390" i="1"/>
  <c r="I399" i="1"/>
  <c r="N398" i="1"/>
  <c r="M398" i="1"/>
  <c r="K398" i="1"/>
  <c r="I407" i="1"/>
  <c r="N406" i="1"/>
  <c r="K406" i="1"/>
  <c r="I415" i="1"/>
  <c r="N414" i="1"/>
  <c r="K414" i="1"/>
  <c r="I423" i="1"/>
  <c r="N422" i="1"/>
  <c r="M422" i="1"/>
  <c r="L422" i="1"/>
  <c r="K422" i="1"/>
  <c r="I431" i="1"/>
  <c r="N430" i="1"/>
  <c r="M430" i="1"/>
  <c r="L430" i="1"/>
  <c r="K430" i="1"/>
  <c r="I439" i="1"/>
  <c r="N438" i="1"/>
  <c r="K438" i="1"/>
  <c r="I447" i="1"/>
  <c r="M446" i="1"/>
  <c r="L446" i="1"/>
  <c r="K446" i="1"/>
  <c r="I455" i="1"/>
  <c r="N454" i="1"/>
  <c r="M454" i="1"/>
  <c r="L454" i="1"/>
  <c r="I463" i="1"/>
  <c r="N462" i="1"/>
  <c r="M462" i="1"/>
  <c r="L462" i="1"/>
  <c r="I471" i="1"/>
  <c r="N470" i="1"/>
  <c r="M470" i="1"/>
  <c r="L470" i="1"/>
  <c r="I479" i="1"/>
  <c r="N478" i="1"/>
  <c r="M478" i="1"/>
  <c r="K478" i="1"/>
  <c r="I487" i="1"/>
  <c r="N486" i="1"/>
  <c r="M486" i="1"/>
  <c r="L486" i="1"/>
  <c r="I495" i="1"/>
  <c r="N494" i="1"/>
  <c r="M494" i="1"/>
  <c r="K494" i="1"/>
  <c r="I503" i="1"/>
  <c r="N502" i="1"/>
  <c r="M502" i="1"/>
  <c r="L502" i="1"/>
  <c r="K502" i="1"/>
  <c r="I511" i="1"/>
  <c r="N510" i="1"/>
  <c r="M510" i="1"/>
  <c r="L510" i="1"/>
  <c r="K510" i="1"/>
  <c r="I519" i="1"/>
  <c r="N518" i="1"/>
  <c r="M518" i="1"/>
  <c r="L518" i="1"/>
  <c r="I527" i="1"/>
  <c r="N526" i="1"/>
  <c r="M526" i="1"/>
  <c r="K526" i="1"/>
  <c r="I535" i="1"/>
  <c r="N534" i="1"/>
  <c r="M534" i="1"/>
  <c r="L534" i="1"/>
  <c r="K534" i="1"/>
  <c r="I543" i="1"/>
  <c r="N542" i="1"/>
  <c r="M542" i="1"/>
  <c r="K542" i="1"/>
  <c r="I551" i="1"/>
  <c r="N550" i="1"/>
  <c r="M550" i="1"/>
  <c r="L550" i="1"/>
  <c r="K550" i="1"/>
  <c r="I559" i="1"/>
  <c r="N558" i="1"/>
  <c r="M558" i="1"/>
  <c r="L558" i="1"/>
  <c r="I567" i="1"/>
  <c r="N566" i="1"/>
  <c r="M566" i="1"/>
  <c r="L566" i="1"/>
  <c r="K566" i="1"/>
  <c r="I575" i="1"/>
  <c r="N574" i="1"/>
  <c r="M574" i="1"/>
  <c r="K574" i="1"/>
  <c r="I583" i="1"/>
  <c r="N582" i="1"/>
  <c r="M582" i="1"/>
  <c r="L582" i="1"/>
  <c r="K582" i="1"/>
  <c r="I591" i="1"/>
  <c r="N590" i="1"/>
  <c r="M590" i="1"/>
  <c r="L590" i="1"/>
  <c r="K590" i="1"/>
  <c r="I599" i="1"/>
  <c r="N598" i="1"/>
  <c r="K598" i="1"/>
  <c r="I607" i="1"/>
  <c r="N606" i="1"/>
  <c r="M606" i="1"/>
  <c r="L606" i="1"/>
  <c r="K606" i="1"/>
  <c r="I615" i="1"/>
  <c r="M614" i="1"/>
  <c r="L614" i="1"/>
  <c r="K614" i="1"/>
  <c r="I623" i="1"/>
  <c r="N622" i="1"/>
  <c r="M622" i="1"/>
  <c r="L622" i="1"/>
  <c r="I631" i="1"/>
  <c r="N630" i="1"/>
  <c r="M630" i="1"/>
  <c r="L630" i="1"/>
  <c r="I639" i="1"/>
  <c r="N638" i="1"/>
  <c r="M638" i="1"/>
  <c r="K638" i="1"/>
  <c r="I647" i="1"/>
  <c r="N646" i="1"/>
  <c r="M646" i="1"/>
  <c r="K646" i="1"/>
  <c r="I655" i="1"/>
  <c r="N654" i="1"/>
  <c r="M654" i="1"/>
  <c r="K654" i="1"/>
  <c r="I663" i="1"/>
  <c r="N662" i="1"/>
  <c r="M662" i="1"/>
  <c r="L662" i="1"/>
  <c r="K662" i="1"/>
  <c r="I671" i="1"/>
  <c r="N670" i="1"/>
  <c r="M670" i="1"/>
  <c r="K670" i="1"/>
  <c r="I679" i="1"/>
  <c r="N678" i="1"/>
  <c r="M678" i="1"/>
  <c r="K678" i="1"/>
  <c r="I687" i="1"/>
  <c r="N686" i="1"/>
  <c r="M686" i="1"/>
  <c r="L686" i="1"/>
  <c r="K686" i="1"/>
  <c r="I695" i="1"/>
  <c r="N694" i="1"/>
  <c r="M694" i="1"/>
  <c r="L694" i="1"/>
  <c r="I703" i="1"/>
  <c r="N702" i="1"/>
  <c r="M702" i="1"/>
  <c r="K702" i="1"/>
  <c r="I711" i="1"/>
  <c r="N710" i="1"/>
  <c r="M710" i="1"/>
  <c r="K710" i="1"/>
  <c r="I719" i="1"/>
  <c r="N718" i="1"/>
  <c r="M718" i="1"/>
  <c r="K718" i="1"/>
  <c r="I727" i="1"/>
  <c r="N726" i="1"/>
  <c r="K726" i="1"/>
  <c r="I735" i="1"/>
  <c r="N734" i="1"/>
  <c r="M734" i="1"/>
  <c r="L734" i="1"/>
  <c r="K734" i="1"/>
  <c r="I743" i="1"/>
  <c r="N742" i="1"/>
  <c r="M742" i="1"/>
  <c r="L742" i="1"/>
  <c r="K742" i="1"/>
  <c r="I751" i="1"/>
  <c r="N750" i="1"/>
  <c r="M750" i="1"/>
  <c r="K750" i="1"/>
  <c r="I759" i="1"/>
  <c r="N758" i="1"/>
  <c r="M758" i="1"/>
  <c r="L758" i="1"/>
  <c r="I767" i="1"/>
  <c r="N766" i="1"/>
  <c r="M766" i="1"/>
  <c r="L766" i="1"/>
  <c r="K766" i="1"/>
  <c r="I775" i="1"/>
  <c r="N774" i="1"/>
  <c r="M774" i="1"/>
  <c r="L774" i="1"/>
  <c r="I783" i="1"/>
  <c r="N782" i="1"/>
  <c r="M782" i="1"/>
  <c r="L782" i="1"/>
  <c r="K782" i="1"/>
  <c r="I791" i="1"/>
  <c r="N790" i="1"/>
  <c r="M790" i="1"/>
  <c r="L790" i="1"/>
  <c r="K790" i="1"/>
  <c r="I799" i="1"/>
  <c r="N798" i="1"/>
  <c r="M798" i="1"/>
  <c r="L798" i="1"/>
  <c r="I807" i="1"/>
  <c r="N806" i="1"/>
  <c r="M806" i="1"/>
  <c r="L806" i="1"/>
  <c r="K806" i="1"/>
  <c r="I815" i="1"/>
  <c r="N814" i="1"/>
  <c r="M814" i="1"/>
  <c r="K814" i="1"/>
  <c r="I823" i="1"/>
  <c r="N822" i="1"/>
  <c r="M822" i="1"/>
  <c r="K822" i="1"/>
  <c r="I831" i="1"/>
  <c r="N830" i="1"/>
  <c r="M830" i="1"/>
  <c r="K830" i="1"/>
  <c r="I839" i="1"/>
  <c r="N838" i="1"/>
  <c r="M838" i="1"/>
  <c r="L838" i="1"/>
  <c r="I847" i="1"/>
  <c r="N846" i="1"/>
  <c r="M846" i="1"/>
  <c r="L846" i="1"/>
  <c r="K846" i="1"/>
  <c r="I855" i="1"/>
  <c r="N854" i="1"/>
  <c r="M854" i="1"/>
  <c r="L854" i="1"/>
  <c r="K854" i="1"/>
  <c r="I863" i="1"/>
  <c r="N862" i="1"/>
  <c r="M862" i="1"/>
  <c r="L862" i="1"/>
  <c r="I871" i="1"/>
  <c r="N870" i="1"/>
  <c r="M870" i="1"/>
  <c r="L870" i="1"/>
  <c r="I879" i="1"/>
  <c r="M878" i="1"/>
  <c r="L878" i="1"/>
  <c r="I887" i="1"/>
  <c r="N886" i="1"/>
  <c r="M886" i="1"/>
  <c r="L886" i="1"/>
  <c r="I895" i="1"/>
  <c r="N894" i="1"/>
  <c r="M894" i="1"/>
  <c r="L894" i="1"/>
  <c r="I903" i="1"/>
  <c r="N902" i="1"/>
  <c r="M902" i="1"/>
  <c r="L902" i="1"/>
  <c r="K902" i="1"/>
  <c r="I911" i="1"/>
  <c r="N910" i="1"/>
  <c r="M910" i="1"/>
  <c r="L910" i="1"/>
  <c r="K910" i="1"/>
  <c r="I919" i="1"/>
  <c r="N918" i="1"/>
  <c r="M918" i="1"/>
  <c r="L918" i="1"/>
  <c r="K918" i="1"/>
  <c r="I927" i="1"/>
  <c r="N926" i="1"/>
  <c r="M926" i="1"/>
  <c r="L926" i="1"/>
  <c r="K926" i="1"/>
  <c r="I935" i="1"/>
  <c r="N934" i="1"/>
  <c r="M934" i="1"/>
  <c r="L934" i="1"/>
  <c r="I943" i="1"/>
  <c r="N942" i="1"/>
  <c r="M942" i="1"/>
  <c r="K942" i="1"/>
  <c r="I951" i="1"/>
  <c r="N950" i="1"/>
  <c r="M950" i="1"/>
  <c r="L950" i="1"/>
  <c r="K950" i="1"/>
  <c r="I959" i="1"/>
  <c r="N958" i="1"/>
  <c r="M958" i="1"/>
  <c r="L958" i="1"/>
  <c r="I967" i="1"/>
  <c r="N966" i="1"/>
  <c r="M966" i="1"/>
  <c r="L966" i="1"/>
  <c r="K966" i="1"/>
  <c r="I975" i="1"/>
  <c r="N974" i="1"/>
  <c r="M974" i="1"/>
  <c r="L974" i="1"/>
  <c r="I983" i="1"/>
  <c r="N982" i="1"/>
  <c r="M982" i="1"/>
  <c r="L982" i="1"/>
  <c r="K982" i="1"/>
  <c r="I991" i="1"/>
  <c r="N990" i="1"/>
  <c r="M990" i="1"/>
  <c r="L990" i="1"/>
  <c r="K990" i="1"/>
  <c r="I999" i="1"/>
  <c r="N998" i="1"/>
  <c r="M998" i="1"/>
  <c r="L998" i="1"/>
  <c r="K998" i="1"/>
  <c r="I1007" i="1"/>
  <c r="N1006" i="1"/>
  <c r="M1006" i="1"/>
  <c r="L1006" i="1"/>
  <c r="K1006" i="1"/>
  <c r="I1015" i="1"/>
  <c r="N1014" i="1"/>
  <c r="M1014" i="1"/>
  <c r="K1014" i="1"/>
  <c r="I1023" i="1"/>
  <c r="N1022" i="1"/>
  <c r="M1022" i="1"/>
  <c r="L1022" i="1"/>
  <c r="I1031" i="1"/>
  <c r="N1030" i="1"/>
  <c r="M1030" i="1"/>
  <c r="K1030" i="1"/>
  <c r="I1039" i="1"/>
  <c r="N1038" i="1"/>
  <c r="M1038" i="1"/>
  <c r="L1038" i="1"/>
  <c r="K1038" i="1"/>
  <c r="I1047" i="1"/>
  <c r="N1046" i="1"/>
  <c r="M1046" i="1"/>
  <c r="K1046" i="1"/>
  <c r="I1055" i="1"/>
  <c r="N1054" i="1"/>
  <c r="M1054" i="1"/>
  <c r="L1054" i="1"/>
  <c r="K1054" i="1"/>
  <c r="I1063" i="1"/>
  <c r="N1062" i="1"/>
  <c r="M1062" i="1"/>
  <c r="K1062" i="1"/>
  <c r="I1071" i="1"/>
  <c r="N1070" i="1"/>
  <c r="M1070" i="1"/>
  <c r="L1070" i="1"/>
  <c r="I1079" i="1"/>
  <c r="N1078" i="1"/>
  <c r="M1078" i="1"/>
  <c r="K1078" i="1"/>
  <c r="I1087" i="1"/>
  <c r="N1086" i="1"/>
  <c r="M1086" i="1"/>
  <c r="L1086" i="1"/>
  <c r="K1086" i="1"/>
  <c r="I1095" i="1"/>
  <c r="N1094" i="1"/>
  <c r="M1094" i="1"/>
  <c r="L1094" i="1"/>
  <c r="K1094" i="1"/>
  <c r="I1103" i="1"/>
  <c r="N1102" i="1"/>
  <c r="M1102" i="1"/>
  <c r="K1102" i="1"/>
  <c r="I1111" i="1"/>
  <c r="N1110" i="1"/>
  <c r="M1110" i="1"/>
  <c r="L1110" i="1"/>
  <c r="K1110" i="1"/>
  <c r="I1119" i="1"/>
  <c r="N1118" i="1"/>
  <c r="M1118" i="1"/>
  <c r="L1118" i="1"/>
  <c r="K1118" i="1"/>
  <c r="I1127" i="1"/>
  <c r="N1126" i="1"/>
  <c r="M1126" i="1"/>
  <c r="L1126" i="1"/>
  <c r="K1126" i="1"/>
  <c r="I1135" i="1"/>
  <c r="N1134" i="1"/>
  <c r="M1134" i="1"/>
  <c r="L1134" i="1"/>
  <c r="I1143" i="1"/>
  <c r="N1142" i="1"/>
  <c r="M1142" i="1"/>
  <c r="L1142" i="1"/>
  <c r="I1151" i="1"/>
  <c r="N1150" i="1"/>
  <c r="M1150" i="1"/>
  <c r="L1150" i="1"/>
  <c r="K1150" i="1"/>
  <c r="I1159" i="1"/>
  <c r="N1158" i="1"/>
  <c r="M1158" i="1"/>
  <c r="K1158" i="1"/>
  <c r="I1167" i="1"/>
  <c r="N1166" i="1"/>
  <c r="M1166" i="1"/>
  <c r="L1166" i="1"/>
  <c r="K1166" i="1"/>
  <c r="I1175" i="1"/>
  <c r="N1174" i="1"/>
  <c r="M1174" i="1"/>
  <c r="L1174" i="1"/>
  <c r="K1174" i="1"/>
  <c r="I1183" i="1"/>
  <c r="N1182" i="1"/>
  <c r="M1182" i="1"/>
  <c r="L1182" i="1"/>
  <c r="K1182" i="1"/>
  <c r="I1191" i="1"/>
  <c r="N1190" i="1"/>
  <c r="M1190" i="1"/>
  <c r="K1190" i="1"/>
  <c r="I1199" i="1"/>
  <c r="N1198" i="1"/>
  <c r="M1198" i="1"/>
  <c r="K1198" i="1"/>
  <c r="I1207" i="1"/>
  <c r="N1206" i="1"/>
  <c r="M1206" i="1"/>
  <c r="L1206" i="1"/>
  <c r="K1206" i="1"/>
  <c r="I1215" i="1"/>
  <c r="N1214" i="1"/>
  <c r="M1214" i="1"/>
  <c r="L1214" i="1"/>
  <c r="I1223" i="1"/>
  <c r="N1222" i="1"/>
  <c r="M1222" i="1"/>
  <c r="K1222" i="1"/>
  <c r="I1231" i="1"/>
  <c r="N1230" i="1"/>
  <c r="M1230" i="1"/>
  <c r="L1230" i="1"/>
  <c r="K1230" i="1"/>
  <c r="I1239" i="1"/>
  <c r="N1238" i="1"/>
  <c r="M1238" i="1"/>
  <c r="L1238" i="1"/>
  <c r="K1238" i="1"/>
  <c r="I1247" i="1"/>
  <c r="N1246" i="1"/>
  <c r="M1246" i="1"/>
  <c r="L1246" i="1"/>
  <c r="K1246" i="1"/>
  <c r="I1255" i="1"/>
  <c r="N1254" i="1"/>
  <c r="M1254" i="1"/>
  <c r="L1254" i="1"/>
  <c r="K1254" i="1"/>
  <c r="I1263" i="1"/>
  <c r="N1262" i="1"/>
  <c r="M1262" i="1"/>
  <c r="L1262" i="1"/>
  <c r="K1262" i="1"/>
  <c r="I1271" i="1"/>
  <c r="N1270" i="1"/>
  <c r="M1270" i="1"/>
  <c r="K1270" i="1"/>
  <c r="I1279" i="1"/>
  <c r="N1278" i="1"/>
  <c r="M1278" i="1"/>
  <c r="L1278" i="1"/>
  <c r="K1278" i="1"/>
  <c r="I1287" i="1"/>
  <c r="N1286" i="1"/>
  <c r="M1286" i="1"/>
  <c r="K1286" i="1"/>
  <c r="I1295" i="1"/>
  <c r="N1294" i="1"/>
  <c r="M1294" i="1"/>
  <c r="L1294" i="1"/>
  <c r="K1294" i="1"/>
  <c r="I1303" i="1"/>
  <c r="N1302" i="1"/>
  <c r="M1302" i="1"/>
  <c r="K1302" i="1"/>
  <c r="I1311" i="1"/>
  <c r="N1310" i="1"/>
  <c r="M1310" i="1"/>
  <c r="L1310" i="1"/>
  <c r="K1310" i="1"/>
  <c r="I1319" i="1"/>
  <c r="N1318" i="1"/>
  <c r="M1318" i="1"/>
  <c r="K1318" i="1"/>
  <c r="I1327" i="1"/>
  <c r="N1326" i="1"/>
  <c r="M1326" i="1"/>
  <c r="L1326" i="1"/>
  <c r="K1326" i="1"/>
  <c r="I1335" i="1"/>
  <c r="N1334" i="1"/>
  <c r="M1334" i="1"/>
  <c r="K1334" i="1"/>
  <c r="I1343" i="1"/>
  <c r="N1342" i="1"/>
  <c r="M1342" i="1"/>
  <c r="K1342" i="1"/>
  <c r="I1351" i="1"/>
  <c r="N1350" i="1"/>
  <c r="M1350" i="1"/>
  <c r="K1350" i="1"/>
  <c r="I1359" i="1"/>
  <c r="N1358" i="1"/>
  <c r="M1358" i="1"/>
  <c r="L1358" i="1"/>
  <c r="K1358" i="1"/>
  <c r="I1367" i="1"/>
  <c r="N1366" i="1"/>
  <c r="M1366" i="1"/>
  <c r="L1366" i="1"/>
  <c r="K1366" i="1"/>
  <c r="I1375" i="1"/>
  <c r="N1374" i="1"/>
  <c r="M1374" i="1"/>
  <c r="L1374" i="1"/>
  <c r="K1374" i="1"/>
  <c r="I1383" i="1"/>
  <c r="N1382" i="1"/>
  <c r="M1382" i="1"/>
  <c r="L1382" i="1"/>
  <c r="K1382" i="1"/>
  <c r="I1391" i="1"/>
  <c r="N1390" i="1"/>
  <c r="K1390" i="1"/>
  <c r="I1399" i="1"/>
  <c r="N1398" i="1"/>
  <c r="M1398" i="1"/>
  <c r="L1398" i="1"/>
  <c r="K1398" i="1"/>
  <c r="I1407" i="1"/>
  <c r="N1406" i="1"/>
  <c r="M1406" i="1"/>
  <c r="L1406" i="1"/>
  <c r="K1406" i="1"/>
  <c r="I1415" i="1"/>
  <c r="N1414" i="1"/>
  <c r="M1414" i="1"/>
  <c r="L1414" i="1"/>
  <c r="K1414" i="1"/>
  <c r="I1423" i="1"/>
  <c r="N1422" i="1"/>
  <c r="K1422" i="1"/>
  <c r="I1431" i="1"/>
  <c r="M1430" i="1"/>
  <c r="L1430" i="1"/>
  <c r="K1430" i="1"/>
  <c r="I1439" i="1"/>
  <c r="M1438" i="1"/>
  <c r="L1438" i="1"/>
  <c r="I1447" i="1"/>
  <c r="N1446" i="1"/>
  <c r="M1446" i="1"/>
  <c r="L1446" i="1"/>
  <c r="K1446" i="1"/>
  <c r="I1455" i="1"/>
  <c r="N1454" i="1"/>
  <c r="M1454" i="1"/>
  <c r="L1454" i="1"/>
  <c r="K1454" i="1"/>
  <c r="I1463" i="1"/>
  <c r="N1462" i="1"/>
  <c r="M1462" i="1"/>
  <c r="L1462" i="1"/>
  <c r="K1462" i="1"/>
  <c r="I1471" i="1"/>
  <c r="N1470" i="1"/>
  <c r="M1470" i="1"/>
  <c r="L1470" i="1"/>
  <c r="K1470" i="1"/>
  <c r="I1479" i="1"/>
  <c r="N1478" i="1"/>
  <c r="M1478" i="1"/>
  <c r="L1478" i="1"/>
  <c r="K1478" i="1"/>
  <c r="I1487" i="1"/>
  <c r="N1486" i="1"/>
  <c r="M1486" i="1"/>
  <c r="L1486" i="1"/>
  <c r="K1486" i="1"/>
  <c r="I1495" i="1"/>
  <c r="N1494" i="1"/>
  <c r="M1494" i="1"/>
  <c r="K1494" i="1"/>
  <c r="I1503" i="1"/>
  <c r="N1502" i="1"/>
  <c r="M1502" i="1"/>
  <c r="L1502" i="1"/>
  <c r="I1511" i="1"/>
  <c r="N1510" i="1"/>
  <c r="M1510" i="1"/>
  <c r="L1510" i="1"/>
  <c r="K1510" i="1"/>
  <c r="I1519" i="1"/>
  <c r="N1518" i="1"/>
  <c r="L1518" i="1"/>
  <c r="K1518" i="1"/>
  <c r="I1527" i="1"/>
  <c r="N1526" i="1"/>
  <c r="M1526" i="1"/>
  <c r="L1526" i="1"/>
  <c r="K1526" i="1"/>
  <c r="I1535" i="1"/>
  <c r="N1534" i="1"/>
  <c r="M1534" i="1"/>
  <c r="L1534" i="1"/>
  <c r="K1534" i="1"/>
  <c r="I1543" i="1"/>
  <c r="M1542" i="1"/>
  <c r="L1542" i="1"/>
  <c r="I1551" i="1"/>
  <c r="N1550" i="1"/>
  <c r="M1550" i="1"/>
  <c r="L1550" i="1"/>
  <c r="K1550" i="1"/>
  <c r="I1559" i="1"/>
  <c r="N1558" i="1"/>
  <c r="M1558" i="1"/>
  <c r="K1558" i="1"/>
  <c r="I1567" i="1"/>
  <c r="N1566" i="1"/>
  <c r="M1566" i="1"/>
  <c r="L1566" i="1"/>
  <c r="K1566" i="1"/>
  <c r="I1575" i="1"/>
  <c r="N1574" i="1"/>
  <c r="M1574" i="1"/>
  <c r="L1574" i="1"/>
  <c r="K1574" i="1"/>
  <c r="I1583" i="1"/>
  <c r="N1582" i="1"/>
  <c r="M1582" i="1"/>
  <c r="L1582" i="1"/>
  <c r="K1582" i="1"/>
  <c r="I1591" i="1"/>
  <c r="N1590" i="1"/>
  <c r="M1590" i="1"/>
  <c r="L1590" i="1"/>
  <c r="K1590" i="1"/>
  <c r="I1599" i="1"/>
  <c r="N1598" i="1"/>
  <c r="M1598" i="1"/>
  <c r="K1598" i="1"/>
  <c r="I1607" i="1"/>
  <c r="N1606" i="1"/>
  <c r="M1606" i="1"/>
  <c r="L1606" i="1"/>
  <c r="K1606" i="1"/>
  <c r="I1615" i="1"/>
  <c r="N1614" i="1"/>
  <c r="M1614" i="1"/>
  <c r="L1614" i="1"/>
  <c r="K1614" i="1"/>
  <c r="I1623" i="1"/>
  <c r="N1622" i="1"/>
  <c r="M1622" i="1"/>
  <c r="L1622" i="1"/>
  <c r="K1622" i="1"/>
  <c r="I1631" i="1"/>
  <c r="N1630" i="1"/>
  <c r="M1630" i="1"/>
  <c r="L1630" i="1"/>
  <c r="K1630" i="1"/>
  <c r="I1639" i="1"/>
  <c r="N1638" i="1"/>
  <c r="M1638" i="1"/>
  <c r="L1638" i="1"/>
  <c r="I1647" i="1"/>
  <c r="N1646" i="1"/>
  <c r="M1646" i="1"/>
  <c r="L1646" i="1"/>
  <c r="K1646" i="1"/>
  <c r="I1655" i="1"/>
  <c r="N1654" i="1"/>
  <c r="M1654" i="1"/>
  <c r="L1654" i="1"/>
  <c r="K1654" i="1"/>
  <c r="I1663" i="1"/>
  <c r="N1662" i="1"/>
  <c r="M1662" i="1"/>
  <c r="L1662" i="1"/>
  <c r="K1662" i="1"/>
  <c r="I1671" i="1"/>
  <c r="N1670" i="1"/>
  <c r="M1670" i="1"/>
  <c r="K1670" i="1"/>
  <c r="I1679" i="1"/>
  <c r="N1678" i="1"/>
  <c r="M1678" i="1"/>
  <c r="L1678" i="1"/>
  <c r="K1678" i="1"/>
  <c r="I1687" i="1"/>
  <c r="N1686" i="1"/>
  <c r="M1686" i="1"/>
  <c r="L1686" i="1"/>
  <c r="K1686" i="1"/>
  <c r="I1695" i="1"/>
  <c r="N1694" i="1"/>
  <c r="M1694" i="1"/>
  <c r="L1694" i="1"/>
  <c r="K1694" i="1"/>
  <c r="I1703" i="1"/>
  <c r="N1702" i="1"/>
  <c r="M1702" i="1"/>
  <c r="L1702" i="1"/>
  <c r="K1702" i="1"/>
  <c r="I1711" i="1"/>
  <c r="N1710" i="1"/>
  <c r="M1710" i="1"/>
  <c r="L1710" i="1"/>
  <c r="K1710" i="1"/>
  <c r="I1719" i="1"/>
  <c r="N1718" i="1"/>
  <c r="M1718" i="1"/>
  <c r="L1718" i="1"/>
  <c r="K1718" i="1"/>
  <c r="I1727" i="1"/>
  <c r="N1726" i="1"/>
  <c r="M1726" i="1"/>
  <c r="L1726" i="1"/>
  <c r="K1726" i="1"/>
  <c r="I1735" i="1"/>
  <c r="N1734" i="1"/>
  <c r="M1734" i="1"/>
  <c r="L1734" i="1"/>
  <c r="K1734" i="1"/>
  <c r="I1743" i="1"/>
  <c r="N1742" i="1"/>
  <c r="M1742" i="1"/>
  <c r="K1742" i="1"/>
  <c r="I1751" i="1"/>
  <c r="N1750" i="1"/>
  <c r="M1750" i="1"/>
  <c r="L1750" i="1"/>
  <c r="K1750" i="1"/>
  <c r="I1759" i="1"/>
  <c r="N1758" i="1"/>
  <c r="M1758" i="1"/>
  <c r="L1758" i="1"/>
  <c r="K1758" i="1"/>
  <c r="I1767" i="1"/>
  <c r="N1766" i="1"/>
  <c r="M1766" i="1"/>
  <c r="L1766" i="1"/>
  <c r="I1775" i="1"/>
  <c r="N1774" i="1"/>
  <c r="M1774" i="1"/>
  <c r="L1774" i="1"/>
  <c r="K1774" i="1"/>
  <c r="I1783" i="1"/>
  <c r="N1782" i="1"/>
  <c r="M1782" i="1"/>
  <c r="L1782" i="1"/>
  <c r="K1782" i="1"/>
  <c r="I1791" i="1"/>
  <c r="N1790" i="1"/>
  <c r="M1790" i="1"/>
  <c r="L1790" i="1"/>
  <c r="K1790" i="1"/>
  <c r="I1799" i="1"/>
  <c r="N1798" i="1"/>
  <c r="M1798" i="1"/>
  <c r="L1798" i="1"/>
  <c r="K1798" i="1"/>
  <c r="I1807" i="1"/>
  <c r="N1806" i="1"/>
  <c r="M1806" i="1"/>
  <c r="L1806" i="1"/>
  <c r="K1806" i="1"/>
  <c r="I1815" i="1"/>
  <c r="N1814" i="1"/>
  <c r="M1814" i="1"/>
  <c r="K1814" i="1"/>
  <c r="I1823" i="1"/>
  <c r="N1822" i="1"/>
  <c r="M1822" i="1"/>
  <c r="L1822" i="1"/>
  <c r="K1822" i="1"/>
  <c r="I1831" i="1"/>
  <c r="N1830" i="1"/>
  <c r="M1830" i="1"/>
  <c r="L1830" i="1"/>
  <c r="K1830" i="1"/>
  <c r="I1839" i="1"/>
  <c r="N1838" i="1"/>
  <c r="M1838" i="1"/>
  <c r="L1838" i="1"/>
  <c r="K1838" i="1"/>
  <c r="I1847" i="1"/>
  <c r="N1846" i="1"/>
  <c r="M1846" i="1"/>
  <c r="L1846" i="1"/>
  <c r="K1846" i="1"/>
  <c r="I1855" i="1"/>
  <c r="N1854" i="1"/>
  <c r="M1854" i="1"/>
  <c r="L1854" i="1"/>
  <c r="K1854" i="1"/>
  <c r="I1863" i="1"/>
  <c r="N1862" i="1"/>
  <c r="M1862" i="1"/>
  <c r="L1862" i="1"/>
  <c r="I1871" i="1"/>
  <c r="N1870" i="1"/>
  <c r="M1870" i="1"/>
  <c r="L1870" i="1"/>
  <c r="K1870" i="1"/>
  <c r="I1879" i="1"/>
  <c r="N1878" i="1"/>
  <c r="M1878" i="1"/>
  <c r="L1878" i="1"/>
  <c r="K1878" i="1"/>
  <c r="I1887" i="1"/>
  <c r="N1886" i="1"/>
  <c r="M1886" i="1"/>
  <c r="L1886" i="1"/>
  <c r="K1886" i="1"/>
  <c r="I1895" i="1"/>
  <c r="N1894" i="1"/>
  <c r="M1894" i="1"/>
  <c r="L1894" i="1"/>
  <c r="K1894" i="1"/>
  <c r="I1903" i="1"/>
  <c r="N1902" i="1"/>
  <c r="M1902" i="1"/>
  <c r="L1902" i="1"/>
  <c r="I1911" i="1"/>
  <c r="N1910" i="1"/>
  <c r="M1910" i="1"/>
  <c r="L1910" i="1"/>
  <c r="K1910" i="1"/>
  <c r="I1919" i="1"/>
  <c r="N1918" i="1"/>
  <c r="M1918" i="1"/>
  <c r="K1918" i="1"/>
  <c r="I1927" i="1"/>
  <c r="N1926" i="1"/>
  <c r="M1926" i="1"/>
  <c r="L1926" i="1"/>
  <c r="K1926" i="1"/>
  <c r="I1935" i="1"/>
  <c r="N1934" i="1"/>
  <c r="M1934" i="1"/>
  <c r="L1934" i="1"/>
  <c r="K1934" i="1"/>
  <c r="I1943" i="1"/>
  <c r="N1942" i="1"/>
  <c r="M1942" i="1"/>
  <c r="L1942" i="1"/>
  <c r="K1942" i="1"/>
  <c r="I1951" i="1"/>
  <c r="N1950" i="1"/>
  <c r="M1950" i="1"/>
  <c r="L1950" i="1"/>
  <c r="K1950" i="1"/>
  <c r="I1959" i="1"/>
  <c r="N1958" i="1"/>
  <c r="M1958" i="1"/>
  <c r="L1958" i="1"/>
  <c r="K1958" i="1"/>
  <c r="I1967" i="1"/>
  <c r="N1966" i="1"/>
  <c r="M1966" i="1"/>
  <c r="L1966" i="1"/>
  <c r="K1966" i="1"/>
  <c r="I1975" i="1"/>
  <c r="N1974" i="1"/>
  <c r="M1974" i="1"/>
  <c r="K1974" i="1"/>
  <c r="I1983" i="1"/>
  <c r="N1982" i="1"/>
  <c r="M1982" i="1"/>
  <c r="K1982" i="1"/>
  <c r="I1991" i="1"/>
  <c r="N1990" i="1"/>
  <c r="M1990" i="1"/>
  <c r="L1990" i="1"/>
  <c r="I1999" i="1"/>
  <c r="N1998" i="1"/>
  <c r="M1998" i="1"/>
  <c r="K1998" i="1"/>
  <c r="I2007" i="1"/>
  <c r="N2006" i="1"/>
  <c r="M2006" i="1"/>
  <c r="K2006" i="1"/>
  <c r="I2015" i="1"/>
  <c r="N2014" i="1"/>
  <c r="M2014" i="1"/>
  <c r="L2014" i="1"/>
  <c r="K2014" i="1"/>
  <c r="I2023" i="1"/>
  <c r="N2022" i="1"/>
  <c r="M2022" i="1"/>
  <c r="L2022" i="1"/>
  <c r="K2022" i="1"/>
  <c r="I2031" i="1"/>
  <c r="N2030" i="1"/>
  <c r="M2030" i="1"/>
  <c r="L2030" i="1"/>
  <c r="K2030" i="1"/>
  <c r="I2039" i="1"/>
  <c r="N2038" i="1"/>
  <c r="M2038" i="1"/>
  <c r="L2038" i="1"/>
  <c r="K2038" i="1"/>
  <c r="I2047" i="1"/>
  <c r="M2046" i="1"/>
  <c r="L2046" i="1"/>
  <c r="I2055" i="1"/>
  <c r="N2054" i="1"/>
  <c r="M2054" i="1"/>
  <c r="L2054" i="1"/>
  <c r="I2063" i="1"/>
  <c r="N2062" i="1"/>
  <c r="M2062" i="1"/>
  <c r="L2062" i="1"/>
  <c r="K2062" i="1"/>
  <c r="I2071" i="1"/>
  <c r="N2070" i="1"/>
  <c r="M2070" i="1"/>
  <c r="L2070" i="1"/>
  <c r="I2079" i="1"/>
  <c r="N2078" i="1"/>
  <c r="K2078" i="1"/>
  <c r="I2087" i="1"/>
  <c r="N2086" i="1"/>
  <c r="M2086" i="1"/>
  <c r="L2086" i="1"/>
  <c r="I2095" i="1"/>
  <c r="N2094" i="1"/>
  <c r="M2094" i="1"/>
  <c r="K2094" i="1"/>
  <c r="I2103" i="1"/>
  <c r="N2102" i="1"/>
  <c r="M2102" i="1"/>
  <c r="L2102" i="1"/>
  <c r="I2111" i="1"/>
  <c r="N2110" i="1"/>
  <c r="M2110" i="1"/>
  <c r="L2110" i="1"/>
  <c r="K2110" i="1"/>
  <c r="I2119" i="1"/>
  <c r="N2118" i="1"/>
  <c r="M2118" i="1"/>
  <c r="K2118" i="1"/>
  <c r="I2127" i="1"/>
  <c r="N2126" i="1"/>
  <c r="M2126" i="1"/>
  <c r="L2126" i="1"/>
  <c r="K2126" i="1"/>
  <c r="I2135" i="1"/>
  <c r="N2134" i="1"/>
  <c r="M2134" i="1"/>
  <c r="L2134" i="1"/>
  <c r="K2134" i="1"/>
  <c r="I2143" i="1"/>
  <c r="N2142" i="1"/>
  <c r="M2142" i="1"/>
  <c r="L2142" i="1"/>
  <c r="K2142" i="1"/>
  <c r="I2151" i="1"/>
  <c r="N2150" i="1"/>
  <c r="M2150" i="1"/>
  <c r="L2150" i="1"/>
  <c r="K2150" i="1"/>
  <c r="I2159" i="1"/>
  <c r="N2158" i="1"/>
  <c r="M2158" i="1"/>
  <c r="L2158" i="1"/>
  <c r="I2167" i="1"/>
  <c r="N2166" i="1"/>
  <c r="M2166" i="1"/>
  <c r="L2166" i="1"/>
  <c r="K2166" i="1"/>
  <c r="I2175" i="1"/>
  <c r="N2174" i="1"/>
  <c r="M2174" i="1"/>
  <c r="L2174" i="1"/>
  <c r="K2174" i="1"/>
  <c r="I2183" i="1"/>
  <c r="N2182" i="1"/>
  <c r="M2182" i="1"/>
  <c r="L2182" i="1"/>
  <c r="K2182" i="1"/>
  <c r="I2191" i="1"/>
  <c r="N2190" i="1"/>
  <c r="M2190" i="1"/>
  <c r="L2190" i="1"/>
  <c r="K2190" i="1"/>
  <c r="I2199" i="1"/>
  <c r="N2198" i="1"/>
  <c r="M2198" i="1"/>
  <c r="L2198" i="1"/>
  <c r="I2207" i="1"/>
  <c r="N2206" i="1"/>
  <c r="M2206" i="1"/>
  <c r="K2206" i="1"/>
  <c r="I2215" i="1"/>
  <c r="M2214" i="1"/>
  <c r="L2214" i="1"/>
  <c r="I2223" i="1"/>
  <c r="N2222" i="1"/>
  <c r="K2222" i="1"/>
  <c r="I2231" i="1"/>
  <c r="N2230" i="1"/>
  <c r="M2230" i="1"/>
  <c r="L2230" i="1"/>
  <c r="K2230" i="1"/>
  <c r="I2239" i="1"/>
  <c r="M2238" i="1"/>
  <c r="L2238" i="1"/>
  <c r="I2247" i="1"/>
  <c r="M2246" i="1"/>
  <c r="L2246" i="1"/>
  <c r="I2255" i="1"/>
  <c r="N2254" i="1"/>
  <c r="M2254" i="1"/>
  <c r="L2254" i="1"/>
  <c r="K2254" i="1"/>
  <c r="I2263" i="1"/>
  <c r="N2262" i="1"/>
  <c r="K2262" i="1"/>
  <c r="I2271" i="1"/>
  <c r="M2270" i="1"/>
  <c r="L2270" i="1"/>
  <c r="I2279" i="1"/>
  <c r="N2278" i="1"/>
  <c r="M2278" i="1"/>
  <c r="L2278" i="1"/>
  <c r="K2278" i="1"/>
  <c r="I2287" i="1"/>
  <c r="N2286" i="1"/>
  <c r="M2286" i="1"/>
  <c r="L2286" i="1"/>
  <c r="K2286" i="1"/>
  <c r="I2295" i="1"/>
  <c r="N2294" i="1"/>
  <c r="M2294" i="1"/>
  <c r="L2294" i="1"/>
  <c r="K2294" i="1"/>
  <c r="I2303" i="1"/>
  <c r="N2302" i="1"/>
  <c r="M2302" i="1"/>
  <c r="L2302" i="1"/>
  <c r="K2302" i="1"/>
  <c r="I2311" i="1"/>
  <c r="N2310" i="1"/>
  <c r="M2310" i="1"/>
  <c r="L2310" i="1"/>
  <c r="K2310" i="1"/>
  <c r="I2319" i="1"/>
  <c r="N2318" i="1"/>
  <c r="M2318" i="1"/>
  <c r="L2318" i="1"/>
  <c r="K2318" i="1"/>
  <c r="I2327" i="1"/>
  <c r="N2326" i="1"/>
  <c r="M2326" i="1"/>
  <c r="K2326" i="1"/>
  <c r="I2335" i="1"/>
  <c r="N2334" i="1"/>
  <c r="M2334" i="1"/>
  <c r="L2334" i="1"/>
  <c r="K2334" i="1"/>
  <c r="I2343" i="1"/>
  <c r="N2342" i="1"/>
  <c r="M2342" i="1"/>
  <c r="L2342" i="1"/>
  <c r="K2342" i="1"/>
  <c r="I2351" i="1"/>
  <c r="N2350" i="1"/>
  <c r="M2350" i="1"/>
  <c r="K2350" i="1"/>
  <c r="I2359" i="1"/>
  <c r="N2358" i="1"/>
  <c r="M2358" i="1"/>
  <c r="K2358" i="1"/>
  <c r="I2367" i="1"/>
  <c r="N2366" i="1"/>
  <c r="M2366" i="1"/>
  <c r="K2366" i="1"/>
  <c r="I2375" i="1"/>
  <c r="M2374" i="1"/>
  <c r="L2374" i="1"/>
  <c r="I2383" i="1"/>
  <c r="N2382" i="1"/>
  <c r="M2382" i="1"/>
  <c r="L2382" i="1"/>
  <c r="K2382" i="1"/>
  <c r="I2391" i="1"/>
  <c r="N2390" i="1"/>
  <c r="M2390" i="1"/>
  <c r="L2390" i="1"/>
  <c r="K2390" i="1"/>
  <c r="I2399" i="1"/>
  <c r="N2398" i="1"/>
  <c r="M2398" i="1"/>
  <c r="L2398" i="1"/>
  <c r="K2398" i="1"/>
  <c r="I2407" i="1"/>
  <c r="N2406" i="1"/>
  <c r="M2406" i="1"/>
  <c r="L2406" i="1"/>
  <c r="I2415" i="1"/>
  <c r="N2414" i="1"/>
  <c r="M2414" i="1"/>
  <c r="K2414" i="1"/>
  <c r="I2423" i="1"/>
  <c r="N2422" i="1"/>
  <c r="M2422" i="1"/>
  <c r="L2422" i="1"/>
  <c r="I2431" i="1"/>
  <c r="N2430" i="1"/>
  <c r="K2430" i="1"/>
  <c r="I2439" i="1"/>
  <c r="N2438" i="1"/>
  <c r="M2438" i="1"/>
  <c r="L2438" i="1"/>
  <c r="I2447" i="1"/>
  <c r="N2446" i="1"/>
  <c r="M2446" i="1"/>
  <c r="L2446" i="1"/>
  <c r="I2455" i="1"/>
  <c r="N2454" i="1"/>
  <c r="M2454" i="1"/>
  <c r="K2454" i="1"/>
  <c r="I2463" i="1"/>
  <c r="N2462" i="1"/>
  <c r="M2462" i="1"/>
  <c r="L2462" i="1"/>
  <c r="I2471" i="1"/>
  <c r="N2470" i="1"/>
  <c r="M2470" i="1"/>
  <c r="L2470" i="1"/>
  <c r="I2479" i="1"/>
  <c r="N2478" i="1"/>
  <c r="M2478" i="1"/>
  <c r="K2478" i="1"/>
  <c r="I2487" i="1"/>
  <c r="N2486" i="1"/>
  <c r="M2486" i="1"/>
  <c r="L2486" i="1"/>
  <c r="K2486" i="1"/>
  <c r="I2495" i="1"/>
  <c r="N2494" i="1"/>
  <c r="M2494" i="1"/>
  <c r="L2494" i="1"/>
  <c r="K2494" i="1"/>
  <c r="I2503" i="1"/>
  <c r="N2502" i="1"/>
  <c r="M2502" i="1"/>
  <c r="L2502" i="1"/>
  <c r="K2502" i="1"/>
  <c r="I2511" i="1"/>
  <c r="N2510" i="1"/>
  <c r="M2510" i="1"/>
  <c r="L2510" i="1"/>
  <c r="K2510" i="1"/>
  <c r="I2519" i="1"/>
  <c r="N2518" i="1"/>
  <c r="M2518" i="1"/>
  <c r="L2518" i="1"/>
  <c r="K2518" i="1"/>
  <c r="N91" i="1"/>
  <c r="M89" i="1"/>
  <c r="M95" i="1" s="1"/>
  <c r="N104" i="1" l="1"/>
  <c r="M99" i="1"/>
  <c r="K65" i="1"/>
  <c r="T101" i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T833" i="1" s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T904" i="1" s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T1003" i="1" s="1"/>
  <c r="T1004" i="1" s="1"/>
  <c r="T1005" i="1" s="1"/>
  <c r="T1006" i="1" s="1"/>
  <c r="T1007" i="1" s="1"/>
  <c r="T1008" i="1" s="1"/>
  <c r="T1009" i="1" s="1"/>
  <c r="T1010" i="1" s="1"/>
  <c r="T1011" i="1" s="1"/>
  <c r="T1012" i="1" s="1"/>
  <c r="T1013" i="1" s="1"/>
  <c r="T1014" i="1" s="1"/>
  <c r="T1015" i="1" s="1"/>
  <c r="T1016" i="1" s="1"/>
  <c r="T1017" i="1" s="1"/>
  <c r="T1018" i="1" s="1"/>
  <c r="T1019" i="1" s="1"/>
  <c r="T1020" i="1" s="1"/>
  <c r="T1021" i="1" s="1"/>
  <c r="T1022" i="1" s="1"/>
  <c r="T1023" i="1" s="1"/>
  <c r="T1024" i="1" s="1"/>
  <c r="T1025" i="1" s="1"/>
  <c r="T1026" i="1" s="1"/>
  <c r="T1027" i="1" s="1"/>
  <c r="T1028" i="1" s="1"/>
  <c r="T1029" i="1" s="1"/>
  <c r="T1030" i="1" s="1"/>
  <c r="T1031" i="1" s="1"/>
  <c r="T1032" i="1" s="1"/>
  <c r="T1033" i="1" s="1"/>
  <c r="T1034" i="1" s="1"/>
  <c r="T1035" i="1" s="1"/>
  <c r="T1036" i="1" s="1"/>
  <c r="T1037" i="1" s="1"/>
  <c r="T1038" i="1" s="1"/>
  <c r="T1039" i="1" s="1"/>
  <c r="T1040" i="1" s="1"/>
  <c r="T1041" i="1" s="1"/>
  <c r="T1042" i="1" s="1"/>
  <c r="T1043" i="1" s="1"/>
  <c r="T1044" i="1" s="1"/>
  <c r="T1045" i="1" s="1"/>
  <c r="T1046" i="1" s="1"/>
  <c r="T1047" i="1" s="1"/>
  <c r="T1048" i="1" s="1"/>
  <c r="T1049" i="1" s="1"/>
  <c r="T1050" i="1" s="1"/>
  <c r="T1051" i="1" s="1"/>
  <c r="T1052" i="1" s="1"/>
  <c r="T1053" i="1" s="1"/>
  <c r="T1054" i="1" s="1"/>
  <c r="T1055" i="1" s="1"/>
  <c r="T1056" i="1" s="1"/>
  <c r="T1057" i="1" s="1"/>
  <c r="T1058" i="1" s="1"/>
  <c r="T1059" i="1" s="1"/>
  <c r="T1060" i="1" s="1"/>
  <c r="T1061" i="1" s="1"/>
  <c r="T1062" i="1" s="1"/>
  <c r="T1063" i="1" s="1"/>
  <c r="T1064" i="1" s="1"/>
  <c r="T1065" i="1" s="1"/>
  <c r="T1066" i="1" s="1"/>
  <c r="T1067" i="1" s="1"/>
  <c r="T1068" i="1" s="1"/>
  <c r="T1069" i="1" s="1"/>
  <c r="T1070" i="1" s="1"/>
  <c r="T1071" i="1" s="1"/>
  <c r="T1072" i="1" s="1"/>
  <c r="T1073" i="1" s="1"/>
  <c r="T1074" i="1" s="1"/>
  <c r="T1075" i="1" s="1"/>
  <c r="T1076" i="1" s="1"/>
  <c r="T1077" i="1" s="1"/>
  <c r="T1078" i="1" s="1"/>
  <c r="T1079" i="1" s="1"/>
  <c r="T1080" i="1" s="1"/>
  <c r="T1081" i="1" s="1"/>
  <c r="T1082" i="1" s="1"/>
  <c r="T1083" i="1" s="1"/>
  <c r="T1084" i="1" s="1"/>
  <c r="T1085" i="1" s="1"/>
  <c r="T1086" i="1" s="1"/>
  <c r="T1087" i="1" s="1"/>
  <c r="T1088" i="1" s="1"/>
  <c r="T1089" i="1" s="1"/>
  <c r="T1090" i="1" s="1"/>
  <c r="T1091" i="1" s="1"/>
  <c r="T1092" i="1" s="1"/>
  <c r="T1093" i="1" s="1"/>
  <c r="T1094" i="1" s="1"/>
  <c r="T1095" i="1" s="1"/>
  <c r="T1096" i="1" s="1"/>
  <c r="T1097" i="1" s="1"/>
  <c r="T1098" i="1" s="1"/>
  <c r="T1099" i="1" s="1"/>
  <c r="T1100" i="1" s="1"/>
  <c r="T1101" i="1" s="1"/>
  <c r="T1102" i="1" s="1"/>
  <c r="T1103" i="1" s="1"/>
  <c r="T1104" i="1" s="1"/>
  <c r="T1105" i="1" s="1"/>
  <c r="T1106" i="1" s="1"/>
  <c r="T1107" i="1" s="1"/>
  <c r="T1108" i="1" s="1"/>
  <c r="T1109" i="1" s="1"/>
  <c r="T1110" i="1" s="1"/>
  <c r="T1111" i="1" s="1"/>
  <c r="T1112" i="1" s="1"/>
  <c r="T1113" i="1" s="1"/>
  <c r="T1114" i="1" s="1"/>
  <c r="T1115" i="1" s="1"/>
  <c r="T1116" i="1" s="1"/>
  <c r="T1117" i="1" s="1"/>
  <c r="T1118" i="1" s="1"/>
  <c r="T1119" i="1" s="1"/>
  <c r="T1120" i="1" s="1"/>
  <c r="T1121" i="1" s="1"/>
  <c r="T1122" i="1" s="1"/>
  <c r="T1123" i="1" s="1"/>
  <c r="T1124" i="1" s="1"/>
  <c r="T1125" i="1" s="1"/>
  <c r="T1126" i="1" s="1"/>
  <c r="T1127" i="1" s="1"/>
  <c r="T1128" i="1" s="1"/>
  <c r="T1129" i="1" s="1"/>
  <c r="T1130" i="1" s="1"/>
  <c r="T1131" i="1" s="1"/>
  <c r="T1132" i="1" s="1"/>
  <c r="T1133" i="1" s="1"/>
  <c r="T1134" i="1" s="1"/>
  <c r="T1135" i="1" s="1"/>
  <c r="T1136" i="1" s="1"/>
  <c r="T1137" i="1" s="1"/>
  <c r="T1138" i="1" s="1"/>
  <c r="T1139" i="1" s="1"/>
  <c r="T1140" i="1" s="1"/>
  <c r="T1141" i="1" s="1"/>
  <c r="T1142" i="1" s="1"/>
  <c r="T1143" i="1" s="1"/>
  <c r="T1144" i="1" s="1"/>
  <c r="T1145" i="1" s="1"/>
  <c r="T1146" i="1" s="1"/>
  <c r="T1147" i="1" s="1"/>
  <c r="T1148" i="1" s="1"/>
  <c r="T1149" i="1" s="1"/>
  <c r="T1150" i="1" s="1"/>
  <c r="T1151" i="1" s="1"/>
  <c r="T1152" i="1" s="1"/>
  <c r="T1153" i="1" s="1"/>
  <c r="T1154" i="1" s="1"/>
  <c r="T1155" i="1" s="1"/>
  <c r="T1156" i="1" s="1"/>
  <c r="T1157" i="1" s="1"/>
  <c r="T1158" i="1" s="1"/>
  <c r="T1159" i="1" s="1"/>
  <c r="T1160" i="1" s="1"/>
  <c r="T1161" i="1" s="1"/>
  <c r="T1162" i="1" s="1"/>
  <c r="T1163" i="1" s="1"/>
  <c r="T1164" i="1" s="1"/>
  <c r="T1165" i="1" s="1"/>
  <c r="T1166" i="1" s="1"/>
  <c r="T1167" i="1" s="1"/>
  <c r="T1168" i="1" s="1"/>
  <c r="T1169" i="1" s="1"/>
  <c r="T1170" i="1" s="1"/>
  <c r="T1171" i="1" s="1"/>
  <c r="T1172" i="1" s="1"/>
  <c r="T1173" i="1" s="1"/>
  <c r="T1174" i="1" s="1"/>
  <c r="T1175" i="1" s="1"/>
  <c r="T1176" i="1" s="1"/>
  <c r="T1177" i="1" s="1"/>
  <c r="T1178" i="1" s="1"/>
  <c r="T1179" i="1" s="1"/>
  <c r="T1180" i="1" s="1"/>
  <c r="T1181" i="1" s="1"/>
  <c r="T1182" i="1" s="1"/>
  <c r="T1183" i="1" s="1"/>
  <c r="T1184" i="1" s="1"/>
  <c r="T1185" i="1" s="1"/>
  <c r="T1186" i="1" s="1"/>
  <c r="T1187" i="1" s="1"/>
  <c r="T1188" i="1" s="1"/>
  <c r="T1189" i="1" s="1"/>
  <c r="T1190" i="1" s="1"/>
  <c r="T1191" i="1" s="1"/>
  <c r="T1192" i="1" s="1"/>
  <c r="T1193" i="1" s="1"/>
  <c r="T1194" i="1" s="1"/>
  <c r="T1195" i="1" s="1"/>
  <c r="T1196" i="1" s="1"/>
  <c r="T1197" i="1" s="1"/>
  <c r="T1198" i="1" s="1"/>
  <c r="T1199" i="1" s="1"/>
  <c r="T1200" i="1" s="1"/>
  <c r="T1201" i="1" s="1"/>
  <c r="T1202" i="1" s="1"/>
  <c r="T1203" i="1" s="1"/>
  <c r="T1204" i="1" s="1"/>
  <c r="T1205" i="1" s="1"/>
  <c r="T1206" i="1" s="1"/>
  <c r="T1207" i="1" s="1"/>
  <c r="T1208" i="1" s="1"/>
  <c r="T1209" i="1" s="1"/>
  <c r="T1210" i="1" s="1"/>
  <c r="T1211" i="1" s="1"/>
  <c r="T1212" i="1" s="1"/>
  <c r="T1213" i="1" s="1"/>
  <c r="T1214" i="1" s="1"/>
  <c r="T1215" i="1" s="1"/>
  <c r="T1216" i="1" s="1"/>
  <c r="T1217" i="1" s="1"/>
  <c r="T1218" i="1" s="1"/>
  <c r="T1219" i="1" s="1"/>
  <c r="T1220" i="1" s="1"/>
  <c r="T1221" i="1" s="1"/>
  <c r="T1222" i="1" s="1"/>
  <c r="T1223" i="1" s="1"/>
  <c r="T1224" i="1" s="1"/>
  <c r="T1225" i="1" s="1"/>
  <c r="T1226" i="1" s="1"/>
  <c r="T1227" i="1" s="1"/>
  <c r="T1228" i="1" s="1"/>
  <c r="T1229" i="1" s="1"/>
  <c r="T1230" i="1" s="1"/>
  <c r="T1231" i="1" s="1"/>
  <c r="T1232" i="1" s="1"/>
  <c r="T1233" i="1" s="1"/>
  <c r="T1234" i="1" s="1"/>
  <c r="T1235" i="1" s="1"/>
  <c r="T1236" i="1" s="1"/>
  <c r="T1237" i="1" s="1"/>
  <c r="T1238" i="1" s="1"/>
  <c r="T1239" i="1" s="1"/>
  <c r="T1240" i="1" s="1"/>
  <c r="T1241" i="1" s="1"/>
  <c r="T1242" i="1" s="1"/>
  <c r="T1243" i="1" s="1"/>
  <c r="T1244" i="1" s="1"/>
  <c r="T1245" i="1" s="1"/>
  <c r="T1246" i="1" s="1"/>
  <c r="T1247" i="1" s="1"/>
  <c r="T1248" i="1" s="1"/>
  <c r="T1249" i="1" s="1"/>
  <c r="T1250" i="1" s="1"/>
  <c r="T1251" i="1" s="1"/>
  <c r="T1252" i="1" s="1"/>
  <c r="T1253" i="1" s="1"/>
  <c r="T1254" i="1" s="1"/>
  <c r="T1255" i="1" s="1"/>
  <c r="T1256" i="1" s="1"/>
  <c r="T1257" i="1" s="1"/>
  <c r="T1258" i="1" s="1"/>
  <c r="T1259" i="1" s="1"/>
  <c r="T1260" i="1" s="1"/>
  <c r="T1261" i="1" s="1"/>
  <c r="T1262" i="1" s="1"/>
  <c r="T1263" i="1" s="1"/>
  <c r="T1264" i="1" s="1"/>
  <c r="T1265" i="1" s="1"/>
  <c r="T1266" i="1" s="1"/>
  <c r="T1267" i="1" s="1"/>
  <c r="T1268" i="1" s="1"/>
  <c r="T1269" i="1" s="1"/>
  <c r="T1270" i="1" s="1"/>
  <c r="T1271" i="1" s="1"/>
  <c r="T1272" i="1" s="1"/>
  <c r="T1273" i="1" s="1"/>
  <c r="T1274" i="1" s="1"/>
  <c r="T1275" i="1" s="1"/>
  <c r="T1276" i="1" s="1"/>
  <c r="T1277" i="1" s="1"/>
  <c r="T1278" i="1" s="1"/>
  <c r="T1279" i="1" s="1"/>
  <c r="T1280" i="1" s="1"/>
  <c r="T1281" i="1" s="1"/>
  <c r="T1282" i="1" s="1"/>
  <c r="T1283" i="1" s="1"/>
  <c r="T1284" i="1" s="1"/>
  <c r="T1285" i="1" s="1"/>
  <c r="T1286" i="1" s="1"/>
  <c r="T1287" i="1" s="1"/>
  <c r="T1288" i="1" s="1"/>
  <c r="T1289" i="1" s="1"/>
  <c r="T1290" i="1" s="1"/>
  <c r="T1291" i="1" s="1"/>
  <c r="T1292" i="1" s="1"/>
  <c r="T1293" i="1" s="1"/>
  <c r="T1294" i="1" s="1"/>
  <c r="T1295" i="1" s="1"/>
  <c r="T1296" i="1" s="1"/>
  <c r="T1297" i="1" s="1"/>
  <c r="T1298" i="1" s="1"/>
  <c r="T1299" i="1" s="1"/>
  <c r="T1300" i="1" s="1"/>
  <c r="T1301" i="1" s="1"/>
  <c r="T1302" i="1" s="1"/>
  <c r="T1303" i="1" s="1"/>
  <c r="T1304" i="1" s="1"/>
  <c r="T1305" i="1" s="1"/>
  <c r="T1306" i="1" s="1"/>
  <c r="T1307" i="1" s="1"/>
  <c r="T1308" i="1" s="1"/>
  <c r="T1309" i="1" s="1"/>
  <c r="T1310" i="1" s="1"/>
  <c r="T1311" i="1" s="1"/>
  <c r="T1312" i="1" s="1"/>
  <c r="T1313" i="1" s="1"/>
  <c r="T1314" i="1" s="1"/>
  <c r="T1315" i="1" s="1"/>
  <c r="T1316" i="1" s="1"/>
  <c r="T1317" i="1" s="1"/>
  <c r="T1318" i="1" s="1"/>
  <c r="T1319" i="1" s="1"/>
  <c r="T1320" i="1" s="1"/>
  <c r="T1321" i="1" s="1"/>
  <c r="T1322" i="1" s="1"/>
  <c r="T1323" i="1" s="1"/>
  <c r="T1324" i="1" s="1"/>
  <c r="T1325" i="1" s="1"/>
  <c r="T1326" i="1" s="1"/>
  <c r="T1327" i="1" s="1"/>
  <c r="T1328" i="1" s="1"/>
  <c r="T1329" i="1" s="1"/>
  <c r="T1330" i="1" s="1"/>
  <c r="T1331" i="1" s="1"/>
  <c r="T1332" i="1" s="1"/>
  <c r="T1333" i="1" s="1"/>
  <c r="T1334" i="1" s="1"/>
  <c r="T1335" i="1" s="1"/>
  <c r="T1336" i="1" s="1"/>
  <c r="T1337" i="1" s="1"/>
  <c r="T1338" i="1" s="1"/>
  <c r="T1339" i="1" s="1"/>
  <c r="T1340" i="1" s="1"/>
  <c r="T1341" i="1" s="1"/>
  <c r="T1342" i="1" s="1"/>
  <c r="T1343" i="1" s="1"/>
  <c r="T1344" i="1" s="1"/>
  <c r="T1345" i="1" s="1"/>
  <c r="T1346" i="1" s="1"/>
  <c r="T1347" i="1" s="1"/>
  <c r="T1348" i="1" s="1"/>
  <c r="T1349" i="1" s="1"/>
  <c r="T1350" i="1" s="1"/>
  <c r="T1351" i="1" s="1"/>
  <c r="T1352" i="1" s="1"/>
  <c r="T1353" i="1" s="1"/>
  <c r="T1354" i="1" s="1"/>
  <c r="T1355" i="1" s="1"/>
  <c r="T1356" i="1" s="1"/>
  <c r="T1357" i="1" s="1"/>
  <c r="T1358" i="1" s="1"/>
  <c r="T1359" i="1" s="1"/>
  <c r="T1360" i="1" s="1"/>
  <c r="T1361" i="1" s="1"/>
  <c r="T1362" i="1" s="1"/>
  <c r="T1363" i="1" s="1"/>
  <c r="T1364" i="1" s="1"/>
  <c r="T1365" i="1" s="1"/>
  <c r="T1366" i="1" s="1"/>
  <c r="T1367" i="1" s="1"/>
  <c r="T1368" i="1" s="1"/>
  <c r="T1369" i="1" s="1"/>
  <c r="T1370" i="1" s="1"/>
  <c r="T1371" i="1" s="1"/>
  <c r="T1372" i="1" s="1"/>
  <c r="T1373" i="1" s="1"/>
  <c r="T1374" i="1" s="1"/>
  <c r="T1375" i="1" s="1"/>
  <c r="T1376" i="1" s="1"/>
  <c r="T1377" i="1" s="1"/>
  <c r="T1378" i="1" s="1"/>
  <c r="T1379" i="1" s="1"/>
  <c r="T1380" i="1" s="1"/>
  <c r="T1381" i="1" s="1"/>
  <c r="T1382" i="1" s="1"/>
  <c r="T1383" i="1" s="1"/>
  <c r="T1384" i="1" s="1"/>
  <c r="T1385" i="1" s="1"/>
  <c r="T1386" i="1" s="1"/>
  <c r="T1387" i="1" s="1"/>
  <c r="T1388" i="1" s="1"/>
  <c r="T1389" i="1" s="1"/>
  <c r="T1390" i="1" s="1"/>
  <c r="T1391" i="1" s="1"/>
  <c r="T1392" i="1" s="1"/>
  <c r="T1393" i="1" s="1"/>
  <c r="T1394" i="1" s="1"/>
  <c r="T1395" i="1" s="1"/>
  <c r="T1396" i="1" s="1"/>
  <c r="T1397" i="1" s="1"/>
  <c r="T1398" i="1" s="1"/>
  <c r="T1399" i="1" s="1"/>
  <c r="T1400" i="1" s="1"/>
  <c r="T1401" i="1" s="1"/>
  <c r="T1402" i="1" s="1"/>
  <c r="T1403" i="1" s="1"/>
  <c r="T1404" i="1" s="1"/>
  <c r="T1405" i="1" s="1"/>
  <c r="T1406" i="1" s="1"/>
  <c r="T1407" i="1" s="1"/>
  <c r="T1408" i="1" s="1"/>
  <c r="T1409" i="1" s="1"/>
  <c r="T1410" i="1" s="1"/>
  <c r="T1411" i="1" s="1"/>
  <c r="T1412" i="1" s="1"/>
  <c r="T1413" i="1" s="1"/>
  <c r="T1414" i="1" s="1"/>
  <c r="T1415" i="1" s="1"/>
  <c r="T1416" i="1" s="1"/>
  <c r="T1417" i="1" s="1"/>
  <c r="T1418" i="1" s="1"/>
  <c r="T1419" i="1" s="1"/>
  <c r="T1420" i="1" s="1"/>
  <c r="T1421" i="1" s="1"/>
  <c r="T1422" i="1" s="1"/>
  <c r="T1423" i="1" s="1"/>
  <c r="T1424" i="1" s="1"/>
  <c r="T1425" i="1" s="1"/>
  <c r="T1426" i="1" s="1"/>
  <c r="T1427" i="1" s="1"/>
  <c r="T1428" i="1" s="1"/>
  <c r="T1429" i="1" s="1"/>
  <c r="T1430" i="1" s="1"/>
  <c r="T1431" i="1" s="1"/>
  <c r="T1432" i="1" s="1"/>
  <c r="T1433" i="1" s="1"/>
  <c r="T1434" i="1" s="1"/>
  <c r="T1435" i="1" s="1"/>
  <c r="T1436" i="1" s="1"/>
  <c r="T1437" i="1" s="1"/>
  <c r="T1438" i="1" s="1"/>
  <c r="T1439" i="1" s="1"/>
  <c r="T1440" i="1" s="1"/>
  <c r="T1441" i="1" s="1"/>
  <c r="T1442" i="1" s="1"/>
  <c r="T1443" i="1" s="1"/>
  <c r="T1444" i="1" s="1"/>
  <c r="T1445" i="1" s="1"/>
  <c r="T1446" i="1" s="1"/>
  <c r="T1447" i="1" s="1"/>
  <c r="T1448" i="1" s="1"/>
  <c r="T1449" i="1" s="1"/>
  <c r="T1450" i="1" s="1"/>
  <c r="T1451" i="1" s="1"/>
  <c r="T1452" i="1" s="1"/>
  <c r="T1453" i="1" s="1"/>
  <c r="T1454" i="1" s="1"/>
  <c r="T1455" i="1" s="1"/>
  <c r="T1456" i="1" s="1"/>
  <c r="T1457" i="1" s="1"/>
  <c r="T1458" i="1" s="1"/>
  <c r="T1459" i="1" s="1"/>
  <c r="T1460" i="1" s="1"/>
  <c r="T1461" i="1" s="1"/>
  <c r="T1462" i="1" s="1"/>
  <c r="T1463" i="1" s="1"/>
  <c r="T1464" i="1" s="1"/>
  <c r="T1465" i="1" s="1"/>
  <c r="T1466" i="1" s="1"/>
  <c r="T1467" i="1" s="1"/>
  <c r="T1468" i="1" s="1"/>
  <c r="T1469" i="1" s="1"/>
  <c r="T1470" i="1" s="1"/>
  <c r="T1471" i="1" s="1"/>
  <c r="T1472" i="1" s="1"/>
  <c r="T1473" i="1" s="1"/>
  <c r="T1474" i="1" s="1"/>
  <c r="T1475" i="1" s="1"/>
  <c r="T1476" i="1" s="1"/>
  <c r="T1477" i="1" s="1"/>
  <c r="T1478" i="1" s="1"/>
  <c r="T1479" i="1" s="1"/>
  <c r="T1480" i="1" s="1"/>
  <c r="T1481" i="1" s="1"/>
  <c r="T1482" i="1" s="1"/>
  <c r="T1483" i="1" s="1"/>
  <c r="T1484" i="1" s="1"/>
  <c r="T1485" i="1" s="1"/>
  <c r="T1486" i="1" s="1"/>
  <c r="T1487" i="1" s="1"/>
  <c r="T1488" i="1" s="1"/>
  <c r="T1489" i="1" s="1"/>
  <c r="T1490" i="1" s="1"/>
  <c r="T1491" i="1" s="1"/>
  <c r="T1492" i="1" s="1"/>
  <c r="T1493" i="1" s="1"/>
  <c r="T1494" i="1" s="1"/>
  <c r="T1495" i="1" s="1"/>
  <c r="T1496" i="1" s="1"/>
  <c r="T1497" i="1" s="1"/>
  <c r="T1498" i="1" s="1"/>
  <c r="T1499" i="1" s="1"/>
  <c r="T1500" i="1" s="1"/>
  <c r="T1501" i="1" s="1"/>
  <c r="T1502" i="1" s="1"/>
  <c r="T1503" i="1" s="1"/>
  <c r="T1504" i="1" s="1"/>
  <c r="T1505" i="1" s="1"/>
  <c r="T1506" i="1" s="1"/>
  <c r="T1507" i="1" s="1"/>
  <c r="T1508" i="1" s="1"/>
  <c r="T1509" i="1" s="1"/>
  <c r="T1510" i="1" s="1"/>
  <c r="T1511" i="1" s="1"/>
  <c r="T1512" i="1" s="1"/>
  <c r="T1513" i="1" s="1"/>
  <c r="T1514" i="1" s="1"/>
  <c r="T1515" i="1" s="1"/>
  <c r="T1516" i="1" s="1"/>
  <c r="T1517" i="1" s="1"/>
  <c r="T1518" i="1" s="1"/>
  <c r="T1519" i="1" s="1"/>
  <c r="T1520" i="1" s="1"/>
  <c r="T1521" i="1" s="1"/>
  <c r="T1522" i="1" s="1"/>
  <c r="T1523" i="1" s="1"/>
  <c r="T1524" i="1" s="1"/>
  <c r="T1525" i="1" s="1"/>
  <c r="T1526" i="1" s="1"/>
  <c r="T1527" i="1" s="1"/>
  <c r="T1528" i="1" s="1"/>
  <c r="T1529" i="1" s="1"/>
  <c r="T1530" i="1" s="1"/>
  <c r="T1531" i="1" s="1"/>
  <c r="T1532" i="1" s="1"/>
  <c r="T1533" i="1" s="1"/>
  <c r="T1534" i="1" s="1"/>
  <c r="T1535" i="1" s="1"/>
  <c r="T1536" i="1" s="1"/>
  <c r="T1537" i="1" s="1"/>
  <c r="T1538" i="1" s="1"/>
  <c r="T1539" i="1" s="1"/>
  <c r="T1540" i="1" s="1"/>
  <c r="T1541" i="1" s="1"/>
  <c r="T1542" i="1" s="1"/>
  <c r="T1543" i="1" s="1"/>
  <c r="T1544" i="1" s="1"/>
  <c r="T1545" i="1" s="1"/>
  <c r="T1546" i="1" s="1"/>
  <c r="T1547" i="1" s="1"/>
  <c r="T1548" i="1" s="1"/>
  <c r="T1549" i="1" s="1"/>
  <c r="T1550" i="1" s="1"/>
  <c r="T1551" i="1" s="1"/>
  <c r="T1552" i="1" s="1"/>
  <c r="T1553" i="1" s="1"/>
  <c r="T1554" i="1" s="1"/>
  <c r="T1555" i="1" s="1"/>
  <c r="T1556" i="1" s="1"/>
  <c r="T1557" i="1" s="1"/>
  <c r="T1558" i="1" s="1"/>
  <c r="T1559" i="1" s="1"/>
  <c r="T1560" i="1" s="1"/>
  <c r="T1561" i="1" s="1"/>
  <c r="T1562" i="1" s="1"/>
  <c r="T1563" i="1" s="1"/>
  <c r="T1564" i="1" s="1"/>
  <c r="T1565" i="1" s="1"/>
  <c r="T1566" i="1" s="1"/>
  <c r="T1567" i="1" s="1"/>
  <c r="T1568" i="1" s="1"/>
  <c r="T1569" i="1" s="1"/>
  <c r="T1570" i="1" s="1"/>
  <c r="T1571" i="1" s="1"/>
  <c r="T1572" i="1" s="1"/>
  <c r="T1573" i="1" s="1"/>
  <c r="T1574" i="1" s="1"/>
  <c r="T1575" i="1" s="1"/>
  <c r="T1576" i="1" s="1"/>
  <c r="T1577" i="1" s="1"/>
  <c r="T1578" i="1" s="1"/>
  <c r="T1579" i="1" s="1"/>
  <c r="T1580" i="1" s="1"/>
  <c r="T1581" i="1" s="1"/>
  <c r="T1582" i="1" s="1"/>
  <c r="T1583" i="1" s="1"/>
  <c r="T1584" i="1" s="1"/>
  <c r="T1585" i="1" s="1"/>
  <c r="T1586" i="1" s="1"/>
  <c r="T1587" i="1" s="1"/>
  <c r="T1588" i="1" s="1"/>
  <c r="T1589" i="1" s="1"/>
  <c r="T1590" i="1" s="1"/>
  <c r="T1591" i="1" s="1"/>
  <c r="T1592" i="1" s="1"/>
  <c r="T1593" i="1" s="1"/>
  <c r="T1594" i="1" s="1"/>
  <c r="T1595" i="1" s="1"/>
  <c r="T1596" i="1" s="1"/>
  <c r="T1597" i="1" s="1"/>
  <c r="T1598" i="1" s="1"/>
  <c r="T1599" i="1" s="1"/>
  <c r="T1600" i="1" s="1"/>
  <c r="T1601" i="1" s="1"/>
  <c r="T1602" i="1" s="1"/>
  <c r="T1603" i="1" s="1"/>
  <c r="T1604" i="1" s="1"/>
  <c r="T1605" i="1" s="1"/>
  <c r="T1606" i="1" s="1"/>
  <c r="T1607" i="1" s="1"/>
  <c r="T1608" i="1" s="1"/>
  <c r="T1609" i="1" s="1"/>
  <c r="T1610" i="1" s="1"/>
  <c r="T1611" i="1" s="1"/>
  <c r="T1612" i="1" s="1"/>
  <c r="T1613" i="1" s="1"/>
  <c r="T1614" i="1" s="1"/>
  <c r="T1615" i="1" s="1"/>
  <c r="T1616" i="1" s="1"/>
  <c r="T1617" i="1" s="1"/>
  <c r="T1618" i="1" s="1"/>
  <c r="T1619" i="1" s="1"/>
  <c r="T1620" i="1" s="1"/>
  <c r="T1621" i="1" s="1"/>
  <c r="T1622" i="1" s="1"/>
  <c r="T1623" i="1" s="1"/>
  <c r="T1624" i="1" s="1"/>
  <c r="T1625" i="1" s="1"/>
  <c r="T1626" i="1" s="1"/>
  <c r="T1627" i="1" s="1"/>
  <c r="T1628" i="1" s="1"/>
  <c r="T1629" i="1" s="1"/>
  <c r="T1630" i="1" s="1"/>
  <c r="T1631" i="1" s="1"/>
  <c r="T1632" i="1" s="1"/>
  <c r="T1633" i="1" s="1"/>
  <c r="T1634" i="1" s="1"/>
  <c r="T1635" i="1" s="1"/>
  <c r="T1636" i="1" s="1"/>
  <c r="T1637" i="1" s="1"/>
  <c r="T1638" i="1" s="1"/>
  <c r="T1639" i="1" s="1"/>
  <c r="T1640" i="1" s="1"/>
  <c r="T1641" i="1" s="1"/>
  <c r="T1642" i="1" s="1"/>
  <c r="T1643" i="1" s="1"/>
  <c r="T1644" i="1" s="1"/>
  <c r="T1645" i="1" s="1"/>
  <c r="T1646" i="1" s="1"/>
  <c r="T1647" i="1" s="1"/>
  <c r="T1648" i="1" s="1"/>
  <c r="T1649" i="1" s="1"/>
  <c r="T1650" i="1" s="1"/>
  <c r="T1651" i="1" s="1"/>
  <c r="T1652" i="1" s="1"/>
  <c r="T1653" i="1" s="1"/>
  <c r="T1654" i="1" s="1"/>
  <c r="T1655" i="1" s="1"/>
  <c r="T1656" i="1" s="1"/>
  <c r="T1657" i="1" s="1"/>
  <c r="T1658" i="1" s="1"/>
  <c r="T1659" i="1" s="1"/>
  <c r="T1660" i="1" s="1"/>
  <c r="T1661" i="1" s="1"/>
  <c r="T1662" i="1" s="1"/>
  <c r="T1663" i="1" s="1"/>
  <c r="T1664" i="1" s="1"/>
  <c r="T1665" i="1" s="1"/>
  <c r="T1666" i="1" s="1"/>
  <c r="T1667" i="1" s="1"/>
  <c r="T1668" i="1" s="1"/>
  <c r="T1669" i="1" s="1"/>
  <c r="T1670" i="1" s="1"/>
  <c r="T1671" i="1" s="1"/>
  <c r="T1672" i="1" s="1"/>
  <c r="T1673" i="1" s="1"/>
  <c r="T1674" i="1" s="1"/>
  <c r="T1675" i="1" s="1"/>
  <c r="T1676" i="1" s="1"/>
  <c r="T1677" i="1" s="1"/>
  <c r="T1678" i="1" s="1"/>
  <c r="T1679" i="1" s="1"/>
  <c r="T1680" i="1" s="1"/>
  <c r="T1681" i="1" s="1"/>
  <c r="T1682" i="1" s="1"/>
  <c r="T1683" i="1" s="1"/>
  <c r="T1684" i="1" s="1"/>
  <c r="T1685" i="1" s="1"/>
  <c r="T1686" i="1" s="1"/>
  <c r="T1687" i="1" s="1"/>
  <c r="T1688" i="1" s="1"/>
  <c r="T1689" i="1" s="1"/>
  <c r="T1690" i="1" s="1"/>
  <c r="T1691" i="1" s="1"/>
  <c r="T1692" i="1" s="1"/>
  <c r="T1693" i="1" s="1"/>
  <c r="T1694" i="1" s="1"/>
  <c r="T1695" i="1" s="1"/>
  <c r="T1696" i="1" s="1"/>
  <c r="T1697" i="1" s="1"/>
  <c r="T1698" i="1" s="1"/>
  <c r="T1699" i="1" s="1"/>
  <c r="T1700" i="1" s="1"/>
  <c r="T1701" i="1" s="1"/>
  <c r="T1702" i="1" s="1"/>
  <c r="T1703" i="1" s="1"/>
  <c r="T1704" i="1" s="1"/>
  <c r="T1705" i="1" s="1"/>
  <c r="T1706" i="1" s="1"/>
  <c r="T1707" i="1" s="1"/>
  <c r="T1708" i="1" s="1"/>
  <c r="T1709" i="1" s="1"/>
  <c r="T1710" i="1" s="1"/>
  <c r="T1711" i="1" s="1"/>
  <c r="T1712" i="1" s="1"/>
  <c r="T1713" i="1" s="1"/>
  <c r="T1714" i="1" s="1"/>
  <c r="T1715" i="1" s="1"/>
  <c r="T1716" i="1" s="1"/>
  <c r="T1717" i="1" s="1"/>
  <c r="T1718" i="1" s="1"/>
  <c r="T1719" i="1" s="1"/>
  <c r="T1720" i="1" s="1"/>
  <c r="T1721" i="1" s="1"/>
  <c r="T1722" i="1" s="1"/>
  <c r="T1723" i="1" s="1"/>
  <c r="T1724" i="1" s="1"/>
  <c r="T1725" i="1" s="1"/>
  <c r="T1726" i="1" s="1"/>
  <c r="T1727" i="1" s="1"/>
  <c r="T1728" i="1" s="1"/>
  <c r="T1729" i="1" s="1"/>
  <c r="T1730" i="1" s="1"/>
  <c r="T1731" i="1" s="1"/>
  <c r="T1732" i="1" s="1"/>
  <c r="T1733" i="1" s="1"/>
  <c r="T1734" i="1" s="1"/>
  <c r="T1735" i="1" s="1"/>
  <c r="T1736" i="1" s="1"/>
  <c r="T1737" i="1" s="1"/>
  <c r="T1738" i="1" s="1"/>
  <c r="T1739" i="1" s="1"/>
  <c r="T1740" i="1" s="1"/>
  <c r="T1741" i="1" s="1"/>
  <c r="T1742" i="1" s="1"/>
  <c r="T1743" i="1" s="1"/>
  <c r="T1744" i="1" s="1"/>
  <c r="T1745" i="1" s="1"/>
  <c r="T1746" i="1" s="1"/>
  <c r="T1747" i="1" s="1"/>
  <c r="T1748" i="1" s="1"/>
  <c r="T1749" i="1" s="1"/>
  <c r="T1750" i="1" s="1"/>
  <c r="T1751" i="1" s="1"/>
  <c r="T1752" i="1" s="1"/>
  <c r="T1753" i="1" s="1"/>
  <c r="T1754" i="1" s="1"/>
  <c r="T1755" i="1" s="1"/>
  <c r="T1756" i="1" s="1"/>
  <c r="T1757" i="1" s="1"/>
  <c r="T1758" i="1" s="1"/>
  <c r="T1759" i="1" s="1"/>
  <c r="T1760" i="1" s="1"/>
  <c r="T1761" i="1" s="1"/>
  <c r="T1762" i="1" s="1"/>
  <c r="T1763" i="1" s="1"/>
  <c r="T1764" i="1" s="1"/>
  <c r="T1765" i="1" s="1"/>
  <c r="T1766" i="1" s="1"/>
  <c r="T1767" i="1" s="1"/>
  <c r="T1768" i="1" s="1"/>
  <c r="T1769" i="1" s="1"/>
  <c r="T1770" i="1" s="1"/>
  <c r="T1771" i="1" s="1"/>
  <c r="T1772" i="1" s="1"/>
  <c r="T1773" i="1" s="1"/>
  <c r="T1774" i="1" s="1"/>
  <c r="T1775" i="1" s="1"/>
  <c r="T1776" i="1" s="1"/>
  <c r="T1777" i="1" s="1"/>
  <c r="T1778" i="1" s="1"/>
  <c r="T1779" i="1" s="1"/>
  <c r="T1780" i="1" s="1"/>
  <c r="T1781" i="1" s="1"/>
  <c r="T1782" i="1" s="1"/>
  <c r="T1783" i="1" s="1"/>
  <c r="T1784" i="1" s="1"/>
  <c r="T1785" i="1" s="1"/>
  <c r="T1786" i="1" s="1"/>
  <c r="T1787" i="1" s="1"/>
  <c r="T1788" i="1" s="1"/>
  <c r="T1789" i="1" s="1"/>
  <c r="T1790" i="1" s="1"/>
  <c r="T1791" i="1" s="1"/>
  <c r="T1792" i="1" s="1"/>
  <c r="T1793" i="1" s="1"/>
  <c r="T1794" i="1" s="1"/>
  <c r="T1795" i="1" s="1"/>
  <c r="T1796" i="1" s="1"/>
  <c r="T1797" i="1" s="1"/>
  <c r="T1798" i="1" s="1"/>
  <c r="T1799" i="1" s="1"/>
  <c r="T1800" i="1" s="1"/>
  <c r="T1801" i="1" s="1"/>
  <c r="T1802" i="1" s="1"/>
  <c r="T1803" i="1" s="1"/>
  <c r="T1804" i="1" s="1"/>
  <c r="T1805" i="1" s="1"/>
  <c r="T1806" i="1" s="1"/>
  <c r="T1807" i="1" s="1"/>
  <c r="T1808" i="1" s="1"/>
  <c r="T1809" i="1" s="1"/>
  <c r="T1810" i="1" s="1"/>
  <c r="T1811" i="1" s="1"/>
  <c r="T1812" i="1" s="1"/>
  <c r="T1813" i="1" s="1"/>
  <c r="T1814" i="1" s="1"/>
  <c r="T1815" i="1" s="1"/>
  <c r="T1816" i="1" s="1"/>
  <c r="T1817" i="1" s="1"/>
  <c r="T1818" i="1" s="1"/>
  <c r="T1819" i="1" s="1"/>
  <c r="T1820" i="1" s="1"/>
  <c r="T1821" i="1" s="1"/>
  <c r="T1822" i="1" s="1"/>
  <c r="T1823" i="1" s="1"/>
  <c r="T1824" i="1" s="1"/>
  <c r="T1825" i="1" s="1"/>
  <c r="T1826" i="1" s="1"/>
  <c r="T1827" i="1" s="1"/>
  <c r="T1828" i="1" s="1"/>
  <c r="T1829" i="1" s="1"/>
  <c r="T1830" i="1" s="1"/>
  <c r="T1831" i="1" s="1"/>
  <c r="T1832" i="1" s="1"/>
  <c r="T1833" i="1" s="1"/>
  <c r="T1834" i="1" s="1"/>
  <c r="T1835" i="1" s="1"/>
  <c r="T1836" i="1" s="1"/>
  <c r="T1837" i="1" s="1"/>
  <c r="T1838" i="1" s="1"/>
  <c r="T1839" i="1" s="1"/>
  <c r="T1840" i="1" s="1"/>
  <c r="T1841" i="1" s="1"/>
  <c r="T1842" i="1" s="1"/>
  <c r="T1843" i="1" s="1"/>
  <c r="T1844" i="1" s="1"/>
  <c r="T1845" i="1" s="1"/>
  <c r="T1846" i="1" s="1"/>
  <c r="T1847" i="1" s="1"/>
  <c r="T1848" i="1" s="1"/>
  <c r="T1849" i="1" s="1"/>
  <c r="T1850" i="1" s="1"/>
  <c r="T1851" i="1" s="1"/>
  <c r="T1852" i="1" s="1"/>
  <c r="T1853" i="1" s="1"/>
  <c r="T1854" i="1" s="1"/>
  <c r="T1855" i="1" s="1"/>
  <c r="T1856" i="1" s="1"/>
  <c r="T1857" i="1" s="1"/>
  <c r="T1858" i="1" s="1"/>
  <c r="T1859" i="1" s="1"/>
  <c r="T1860" i="1" s="1"/>
  <c r="T1861" i="1" s="1"/>
  <c r="T1862" i="1" s="1"/>
  <c r="T1863" i="1" s="1"/>
  <c r="T1864" i="1" s="1"/>
  <c r="T1865" i="1" s="1"/>
  <c r="T1866" i="1" s="1"/>
  <c r="T1867" i="1" s="1"/>
  <c r="T1868" i="1" s="1"/>
  <c r="T1869" i="1" s="1"/>
  <c r="T1870" i="1" s="1"/>
  <c r="T1871" i="1" s="1"/>
  <c r="T1872" i="1" s="1"/>
  <c r="T1873" i="1" s="1"/>
  <c r="T1874" i="1" s="1"/>
  <c r="T1875" i="1" s="1"/>
  <c r="T1876" i="1" s="1"/>
  <c r="T1877" i="1" s="1"/>
  <c r="T1878" i="1" s="1"/>
  <c r="T1879" i="1" s="1"/>
  <c r="T1880" i="1" s="1"/>
  <c r="T1881" i="1" s="1"/>
  <c r="T1882" i="1" s="1"/>
  <c r="T1883" i="1" s="1"/>
  <c r="T1884" i="1" s="1"/>
  <c r="T1885" i="1" s="1"/>
  <c r="T1886" i="1" s="1"/>
  <c r="T1887" i="1" s="1"/>
  <c r="T1888" i="1" s="1"/>
  <c r="T1889" i="1" s="1"/>
  <c r="T1890" i="1" s="1"/>
  <c r="T1891" i="1" s="1"/>
  <c r="T1892" i="1" s="1"/>
  <c r="T1893" i="1" s="1"/>
  <c r="T1894" i="1" s="1"/>
  <c r="T1895" i="1" s="1"/>
  <c r="T1896" i="1" s="1"/>
  <c r="T1897" i="1" s="1"/>
  <c r="T1898" i="1" s="1"/>
  <c r="T1899" i="1" s="1"/>
  <c r="T1900" i="1" s="1"/>
  <c r="T1901" i="1" s="1"/>
  <c r="T1902" i="1" s="1"/>
  <c r="T1903" i="1" s="1"/>
  <c r="T1904" i="1" s="1"/>
  <c r="T1905" i="1" s="1"/>
  <c r="T1906" i="1" s="1"/>
  <c r="T1907" i="1" s="1"/>
  <c r="T1908" i="1" s="1"/>
  <c r="T1909" i="1" s="1"/>
  <c r="T1910" i="1" s="1"/>
  <c r="T1911" i="1" s="1"/>
  <c r="T1912" i="1" s="1"/>
  <c r="T1913" i="1" s="1"/>
  <c r="T1914" i="1" s="1"/>
  <c r="T1915" i="1" s="1"/>
  <c r="T1916" i="1" s="1"/>
  <c r="T1917" i="1" s="1"/>
  <c r="T1918" i="1" s="1"/>
  <c r="T1919" i="1" s="1"/>
  <c r="T1920" i="1" s="1"/>
  <c r="T1921" i="1" s="1"/>
  <c r="T1922" i="1" s="1"/>
  <c r="T1923" i="1" s="1"/>
  <c r="T1924" i="1" s="1"/>
  <c r="T1925" i="1" s="1"/>
  <c r="T1926" i="1" s="1"/>
  <c r="T1927" i="1" s="1"/>
  <c r="T1928" i="1" s="1"/>
  <c r="T1929" i="1" s="1"/>
  <c r="T1930" i="1" s="1"/>
  <c r="T1931" i="1" s="1"/>
  <c r="T1932" i="1" s="1"/>
  <c r="T1933" i="1" s="1"/>
  <c r="T1934" i="1" s="1"/>
  <c r="T1935" i="1" s="1"/>
  <c r="T1936" i="1" s="1"/>
  <c r="T1937" i="1" s="1"/>
  <c r="T1938" i="1" s="1"/>
  <c r="T1939" i="1" s="1"/>
  <c r="T1940" i="1" s="1"/>
  <c r="T1941" i="1" s="1"/>
  <c r="T1942" i="1" s="1"/>
  <c r="T1943" i="1" s="1"/>
  <c r="T1944" i="1" s="1"/>
  <c r="T1945" i="1" s="1"/>
  <c r="T1946" i="1" s="1"/>
  <c r="T1947" i="1" s="1"/>
  <c r="T1948" i="1" s="1"/>
  <c r="T1949" i="1" s="1"/>
  <c r="T1950" i="1" s="1"/>
  <c r="T1951" i="1" s="1"/>
  <c r="T1952" i="1" s="1"/>
  <c r="T1953" i="1" s="1"/>
  <c r="T1954" i="1" s="1"/>
  <c r="T1955" i="1" s="1"/>
  <c r="T1956" i="1" s="1"/>
  <c r="T1957" i="1" s="1"/>
  <c r="T1958" i="1" s="1"/>
  <c r="T1959" i="1" s="1"/>
  <c r="T1960" i="1" s="1"/>
  <c r="T1961" i="1" s="1"/>
  <c r="T1962" i="1" s="1"/>
  <c r="T1963" i="1" s="1"/>
  <c r="T1964" i="1" s="1"/>
  <c r="T1965" i="1" s="1"/>
  <c r="T1966" i="1" s="1"/>
  <c r="T1967" i="1" s="1"/>
  <c r="T1968" i="1" s="1"/>
  <c r="T1969" i="1" s="1"/>
  <c r="T1970" i="1" s="1"/>
  <c r="T1971" i="1" s="1"/>
  <c r="T1972" i="1" s="1"/>
  <c r="T1973" i="1" s="1"/>
  <c r="T1974" i="1" s="1"/>
  <c r="T1975" i="1" s="1"/>
  <c r="T1976" i="1" s="1"/>
  <c r="T1977" i="1" s="1"/>
  <c r="T1978" i="1" s="1"/>
  <c r="T1979" i="1" s="1"/>
  <c r="T1980" i="1" s="1"/>
  <c r="T1981" i="1" s="1"/>
  <c r="T1982" i="1" s="1"/>
  <c r="T1983" i="1" s="1"/>
  <c r="T1984" i="1" s="1"/>
  <c r="T1985" i="1" s="1"/>
  <c r="T1986" i="1" s="1"/>
  <c r="T1987" i="1" s="1"/>
  <c r="T1988" i="1" s="1"/>
  <c r="T1989" i="1" s="1"/>
  <c r="T1990" i="1" s="1"/>
  <c r="T1991" i="1" s="1"/>
  <c r="T1992" i="1" s="1"/>
  <c r="T1993" i="1" s="1"/>
  <c r="T1994" i="1" s="1"/>
  <c r="T1995" i="1" s="1"/>
  <c r="T1996" i="1" s="1"/>
  <c r="T1997" i="1" s="1"/>
  <c r="T1998" i="1" s="1"/>
  <c r="T1999" i="1" s="1"/>
  <c r="T2000" i="1" s="1"/>
  <c r="T2001" i="1" s="1"/>
  <c r="T2002" i="1" s="1"/>
  <c r="T2003" i="1" s="1"/>
  <c r="T2004" i="1" s="1"/>
  <c r="T2005" i="1" s="1"/>
  <c r="T2006" i="1" s="1"/>
  <c r="T2007" i="1" s="1"/>
  <c r="T2008" i="1" s="1"/>
  <c r="T2009" i="1" s="1"/>
  <c r="T2010" i="1" s="1"/>
  <c r="T2011" i="1" s="1"/>
  <c r="T2012" i="1" s="1"/>
  <c r="T2013" i="1" s="1"/>
  <c r="T2014" i="1" s="1"/>
  <c r="T2015" i="1" s="1"/>
  <c r="T2016" i="1" s="1"/>
  <c r="T2017" i="1" s="1"/>
  <c r="T2018" i="1" s="1"/>
  <c r="T2019" i="1" s="1"/>
  <c r="T2020" i="1" s="1"/>
  <c r="T2021" i="1" s="1"/>
  <c r="T2022" i="1" s="1"/>
  <c r="T2023" i="1" s="1"/>
  <c r="T2024" i="1" s="1"/>
  <c r="T2025" i="1" s="1"/>
  <c r="T2026" i="1" s="1"/>
  <c r="T2027" i="1" s="1"/>
  <c r="T2028" i="1" s="1"/>
  <c r="T2029" i="1" s="1"/>
  <c r="T2030" i="1" s="1"/>
  <c r="T2031" i="1" s="1"/>
  <c r="T2032" i="1" s="1"/>
  <c r="T2033" i="1" s="1"/>
  <c r="T2034" i="1" s="1"/>
  <c r="T2035" i="1" s="1"/>
  <c r="T2036" i="1" s="1"/>
  <c r="T2037" i="1" s="1"/>
  <c r="T2038" i="1" s="1"/>
  <c r="T2039" i="1" s="1"/>
  <c r="T2040" i="1" s="1"/>
  <c r="T2041" i="1" s="1"/>
  <c r="T2042" i="1" s="1"/>
  <c r="T2043" i="1" s="1"/>
  <c r="T2044" i="1" s="1"/>
  <c r="T2045" i="1" s="1"/>
  <c r="T2046" i="1" s="1"/>
  <c r="T2047" i="1" s="1"/>
  <c r="T2048" i="1" s="1"/>
  <c r="T2049" i="1" s="1"/>
  <c r="T2050" i="1" s="1"/>
  <c r="T2051" i="1" s="1"/>
  <c r="T2052" i="1" s="1"/>
  <c r="T2053" i="1" s="1"/>
  <c r="T2054" i="1" s="1"/>
  <c r="T2055" i="1" s="1"/>
  <c r="T2056" i="1" s="1"/>
  <c r="T2057" i="1" s="1"/>
  <c r="T2058" i="1" s="1"/>
  <c r="T2059" i="1" s="1"/>
  <c r="T2060" i="1" s="1"/>
  <c r="T2061" i="1" s="1"/>
  <c r="T2062" i="1" s="1"/>
  <c r="T2063" i="1" s="1"/>
  <c r="T2064" i="1" s="1"/>
  <c r="T2065" i="1" s="1"/>
  <c r="T2066" i="1" s="1"/>
  <c r="T2067" i="1" s="1"/>
  <c r="T2068" i="1" s="1"/>
  <c r="T2069" i="1" s="1"/>
  <c r="T2070" i="1" s="1"/>
  <c r="T2071" i="1" s="1"/>
  <c r="T2072" i="1" s="1"/>
  <c r="T2073" i="1" s="1"/>
  <c r="T2074" i="1" s="1"/>
  <c r="T2075" i="1" s="1"/>
  <c r="T2076" i="1" s="1"/>
  <c r="T2077" i="1" s="1"/>
  <c r="T2078" i="1" s="1"/>
  <c r="T2079" i="1" s="1"/>
  <c r="T2080" i="1" s="1"/>
  <c r="T2081" i="1" s="1"/>
  <c r="T2082" i="1" s="1"/>
  <c r="T2083" i="1" s="1"/>
  <c r="T2084" i="1" s="1"/>
  <c r="T2085" i="1" s="1"/>
  <c r="T2086" i="1" s="1"/>
  <c r="T2087" i="1" s="1"/>
  <c r="T2088" i="1" s="1"/>
  <c r="T2089" i="1" s="1"/>
  <c r="T2090" i="1" s="1"/>
  <c r="T2091" i="1" s="1"/>
  <c r="T2092" i="1" s="1"/>
  <c r="T2093" i="1" s="1"/>
  <c r="T2094" i="1" s="1"/>
  <c r="T2095" i="1" s="1"/>
  <c r="T2096" i="1" s="1"/>
  <c r="T2097" i="1" s="1"/>
  <c r="T2098" i="1" s="1"/>
  <c r="T2099" i="1" s="1"/>
  <c r="T2100" i="1" s="1"/>
  <c r="T2101" i="1" s="1"/>
  <c r="T2102" i="1" s="1"/>
  <c r="T2103" i="1" s="1"/>
  <c r="T2104" i="1" s="1"/>
  <c r="T2105" i="1" s="1"/>
  <c r="T2106" i="1" s="1"/>
  <c r="T2107" i="1" s="1"/>
  <c r="T2108" i="1" s="1"/>
  <c r="T2109" i="1" s="1"/>
  <c r="T2110" i="1" s="1"/>
  <c r="T2111" i="1" s="1"/>
  <c r="T2112" i="1" s="1"/>
  <c r="T2113" i="1" s="1"/>
  <c r="T2114" i="1" s="1"/>
  <c r="T2115" i="1" s="1"/>
  <c r="T2116" i="1" s="1"/>
  <c r="T2117" i="1" s="1"/>
  <c r="T2118" i="1" s="1"/>
  <c r="T2119" i="1" s="1"/>
  <c r="T2120" i="1" s="1"/>
  <c r="T2121" i="1" s="1"/>
  <c r="T2122" i="1" s="1"/>
  <c r="T2123" i="1" s="1"/>
  <c r="T2124" i="1" s="1"/>
  <c r="T2125" i="1" s="1"/>
  <c r="T2126" i="1" s="1"/>
  <c r="T2127" i="1" s="1"/>
  <c r="T2128" i="1" s="1"/>
  <c r="T2129" i="1" s="1"/>
  <c r="T2130" i="1" s="1"/>
  <c r="T2131" i="1" s="1"/>
  <c r="T2132" i="1" s="1"/>
  <c r="T2133" i="1" s="1"/>
  <c r="T2134" i="1" s="1"/>
  <c r="T2135" i="1" s="1"/>
  <c r="T2136" i="1" s="1"/>
  <c r="T2137" i="1" s="1"/>
  <c r="T2138" i="1" s="1"/>
  <c r="T2139" i="1" s="1"/>
  <c r="T2140" i="1" s="1"/>
  <c r="T2141" i="1" s="1"/>
  <c r="T2142" i="1" s="1"/>
  <c r="T2143" i="1" s="1"/>
  <c r="T2144" i="1" s="1"/>
  <c r="T2145" i="1" s="1"/>
  <c r="T2146" i="1" s="1"/>
  <c r="T2147" i="1" s="1"/>
  <c r="T2148" i="1" s="1"/>
  <c r="T2149" i="1" s="1"/>
  <c r="T2150" i="1" s="1"/>
  <c r="T2151" i="1" s="1"/>
  <c r="T2152" i="1" s="1"/>
  <c r="T2153" i="1" s="1"/>
  <c r="T2154" i="1" s="1"/>
  <c r="T2155" i="1" s="1"/>
  <c r="T2156" i="1" s="1"/>
  <c r="T2157" i="1" s="1"/>
  <c r="T2158" i="1" s="1"/>
  <c r="T2159" i="1" s="1"/>
  <c r="T2160" i="1" s="1"/>
  <c r="T2161" i="1" s="1"/>
  <c r="T2162" i="1" s="1"/>
  <c r="T2163" i="1" s="1"/>
  <c r="T2164" i="1" s="1"/>
  <c r="T2165" i="1" s="1"/>
  <c r="T2166" i="1" s="1"/>
  <c r="T2167" i="1" s="1"/>
  <c r="T2168" i="1" s="1"/>
  <c r="T2169" i="1" s="1"/>
  <c r="T2170" i="1" s="1"/>
  <c r="T2171" i="1" s="1"/>
  <c r="T2172" i="1" s="1"/>
  <c r="T2173" i="1" s="1"/>
  <c r="T2174" i="1" s="1"/>
  <c r="T2175" i="1" s="1"/>
  <c r="T2176" i="1" s="1"/>
  <c r="T2177" i="1" s="1"/>
  <c r="T2178" i="1" s="1"/>
  <c r="T2179" i="1" s="1"/>
  <c r="T2180" i="1" s="1"/>
  <c r="T2181" i="1" s="1"/>
  <c r="T2182" i="1" s="1"/>
  <c r="T2183" i="1" s="1"/>
  <c r="T2184" i="1" s="1"/>
  <c r="T2185" i="1" s="1"/>
  <c r="T2186" i="1" s="1"/>
  <c r="T2187" i="1" s="1"/>
  <c r="T2188" i="1" s="1"/>
  <c r="T2189" i="1" s="1"/>
  <c r="T2190" i="1" s="1"/>
  <c r="T2191" i="1" s="1"/>
  <c r="T2192" i="1" s="1"/>
  <c r="T2193" i="1" s="1"/>
  <c r="T2194" i="1" s="1"/>
  <c r="T2195" i="1" s="1"/>
  <c r="T2196" i="1" s="1"/>
  <c r="T2197" i="1" s="1"/>
  <c r="T2198" i="1" s="1"/>
  <c r="T2199" i="1" s="1"/>
  <c r="T2200" i="1" s="1"/>
  <c r="T2201" i="1" s="1"/>
  <c r="T2202" i="1" s="1"/>
  <c r="T2203" i="1" s="1"/>
  <c r="T2204" i="1" s="1"/>
  <c r="T2205" i="1" s="1"/>
  <c r="T2206" i="1" s="1"/>
  <c r="T2207" i="1" s="1"/>
  <c r="T2208" i="1" s="1"/>
  <c r="T2209" i="1" s="1"/>
  <c r="T2210" i="1" s="1"/>
  <c r="T2211" i="1" s="1"/>
  <c r="T2212" i="1" s="1"/>
  <c r="T2213" i="1" s="1"/>
  <c r="T2214" i="1" s="1"/>
  <c r="T2215" i="1" s="1"/>
  <c r="T2216" i="1" s="1"/>
  <c r="T2217" i="1" s="1"/>
  <c r="T2218" i="1" s="1"/>
  <c r="T2219" i="1" s="1"/>
  <c r="T2220" i="1" s="1"/>
  <c r="T2221" i="1" s="1"/>
  <c r="T2222" i="1" s="1"/>
  <c r="T2223" i="1" s="1"/>
  <c r="T2224" i="1" s="1"/>
  <c r="T2225" i="1" s="1"/>
  <c r="T2226" i="1" s="1"/>
  <c r="T2227" i="1" s="1"/>
  <c r="T2228" i="1" s="1"/>
  <c r="T2229" i="1" s="1"/>
  <c r="T2230" i="1" s="1"/>
  <c r="T2231" i="1" s="1"/>
  <c r="T2232" i="1" s="1"/>
  <c r="T2233" i="1" s="1"/>
  <c r="T2234" i="1" s="1"/>
  <c r="T2235" i="1" s="1"/>
  <c r="T2236" i="1" s="1"/>
  <c r="T2237" i="1" s="1"/>
  <c r="T2238" i="1" s="1"/>
  <c r="T2239" i="1" s="1"/>
  <c r="T2240" i="1" s="1"/>
  <c r="T2241" i="1" s="1"/>
  <c r="T2242" i="1" s="1"/>
  <c r="T2243" i="1" s="1"/>
  <c r="T2244" i="1" s="1"/>
  <c r="T2245" i="1" s="1"/>
  <c r="T2246" i="1" s="1"/>
  <c r="T2247" i="1" s="1"/>
  <c r="T2248" i="1" s="1"/>
  <c r="T2249" i="1" s="1"/>
  <c r="T2250" i="1" s="1"/>
  <c r="T2251" i="1" s="1"/>
  <c r="T2252" i="1" s="1"/>
  <c r="T2253" i="1" s="1"/>
  <c r="T2254" i="1" s="1"/>
  <c r="T2255" i="1" s="1"/>
  <c r="T2256" i="1" s="1"/>
  <c r="T2257" i="1" s="1"/>
  <c r="T2258" i="1" s="1"/>
  <c r="T2259" i="1" s="1"/>
  <c r="T2260" i="1" s="1"/>
  <c r="T2261" i="1" s="1"/>
  <c r="T2262" i="1" s="1"/>
  <c r="T2263" i="1" s="1"/>
  <c r="T2264" i="1" s="1"/>
  <c r="T2265" i="1" s="1"/>
  <c r="T2266" i="1" s="1"/>
  <c r="T2267" i="1" s="1"/>
  <c r="T2268" i="1" s="1"/>
  <c r="T2269" i="1" s="1"/>
  <c r="T2270" i="1" s="1"/>
  <c r="T2271" i="1" s="1"/>
  <c r="T2272" i="1" s="1"/>
  <c r="T2273" i="1" s="1"/>
  <c r="T2274" i="1" s="1"/>
  <c r="T2275" i="1" s="1"/>
  <c r="T2276" i="1" s="1"/>
  <c r="T2277" i="1" s="1"/>
  <c r="T2278" i="1" s="1"/>
  <c r="T2279" i="1" s="1"/>
  <c r="T2280" i="1" s="1"/>
  <c r="T2281" i="1" s="1"/>
  <c r="T2282" i="1" s="1"/>
  <c r="T2283" i="1" s="1"/>
  <c r="T2284" i="1" s="1"/>
  <c r="T2285" i="1" s="1"/>
  <c r="T2286" i="1" s="1"/>
  <c r="T2287" i="1" s="1"/>
  <c r="T2288" i="1" s="1"/>
  <c r="T2289" i="1" s="1"/>
  <c r="T2290" i="1" s="1"/>
  <c r="T2291" i="1" s="1"/>
  <c r="T2292" i="1" s="1"/>
  <c r="T2293" i="1" s="1"/>
  <c r="T2294" i="1" s="1"/>
  <c r="T2295" i="1" s="1"/>
  <c r="T2296" i="1" s="1"/>
  <c r="T2297" i="1" s="1"/>
  <c r="T2298" i="1" s="1"/>
  <c r="T2299" i="1" s="1"/>
  <c r="T2300" i="1" s="1"/>
  <c r="T2301" i="1" s="1"/>
  <c r="T2302" i="1" s="1"/>
  <c r="T2303" i="1" s="1"/>
  <c r="T2304" i="1" s="1"/>
  <c r="T2305" i="1" s="1"/>
  <c r="T2306" i="1" s="1"/>
  <c r="T2307" i="1" s="1"/>
  <c r="T2308" i="1" s="1"/>
  <c r="T2309" i="1" s="1"/>
  <c r="T2310" i="1" s="1"/>
  <c r="T2311" i="1" s="1"/>
  <c r="T2312" i="1" s="1"/>
  <c r="T2313" i="1" s="1"/>
  <c r="T2314" i="1" s="1"/>
  <c r="T2315" i="1" s="1"/>
  <c r="T2316" i="1" s="1"/>
  <c r="T2317" i="1" s="1"/>
  <c r="T2318" i="1" s="1"/>
  <c r="T2319" i="1" s="1"/>
  <c r="T2320" i="1" s="1"/>
  <c r="T2321" i="1" s="1"/>
  <c r="T2322" i="1" s="1"/>
  <c r="T2323" i="1" s="1"/>
  <c r="T2324" i="1" s="1"/>
  <c r="T2325" i="1" s="1"/>
  <c r="T2326" i="1" s="1"/>
  <c r="T2327" i="1" s="1"/>
  <c r="T2328" i="1" s="1"/>
  <c r="T2329" i="1" s="1"/>
  <c r="T2330" i="1" s="1"/>
  <c r="T2331" i="1" s="1"/>
  <c r="T2332" i="1" s="1"/>
  <c r="T2333" i="1" s="1"/>
  <c r="T2334" i="1" s="1"/>
  <c r="T2335" i="1" s="1"/>
  <c r="T2336" i="1" s="1"/>
  <c r="T2337" i="1" s="1"/>
  <c r="T2338" i="1" s="1"/>
  <c r="T2339" i="1" s="1"/>
  <c r="T2340" i="1" s="1"/>
  <c r="T2341" i="1" s="1"/>
  <c r="T2342" i="1" s="1"/>
  <c r="T2343" i="1" s="1"/>
  <c r="T2344" i="1" s="1"/>
  <c r="T2345" i="1" s="1"/>
  <c r="T2346" i="1" s="1"/>
  <c r="T2347" i="1" s="1"/>
  <c r="T2348" i="1" s="1"/>
  <c r="T2349" i="1" s="1"/>
  <c r="T2350" i="1" s="1"/>
  <c r="T2351" i="1" s="1"/>
  <c r="T2352" i="1" s="1"/>
  <c r="T2353" i="1" s="1"/>
  <c r="T2354" i="1" s="1"/>
  <c r="T2355" i="1" s="1"/>
  <c r="T2356" i="1" s="1"/>
  <c r="T2357" i="1" s="1"/>
  <c r="T2358" i="1" s="1"/>
  <c r="T2359" i="1" s="1"/>
  <c r="T2360" i="1" s="1"/>
  <c r="T2361" i="1" s="1"/>
  <c r="T2362" i="1" s="1"/>
  <c r="T2363" i="1" s="1"/>
  <c r="T2364" i="1" s="1"/>
  <c r="T2365" i="1" s="1"/>
  <c r="T2366" i="1" s="1"/>
  <c r="T2367" i="1" s="1"/>
  <c r="T2368" i="1" s="1"/>
  <c r="T2369" i="1" s="1"/>
  <c r="T2370" i="1" s="1"/>
  <c r="T2371" i="1" s="1"/>
  <c r="T2372" i="1" s="1"/>
  <c r="T2373" i="1" s="1"/>
  <c r="T2374" i="1" s="1"/>
  <c r="T2375" i="1" s="1"/>
  <c r="T2376" i="1" s="1"/>
  <c r="T2377" i="1" s="1"/>
  <c r="T2378" i="1" s="1"/>
  <c r="T2379" i="1" s="1"/>
  <c r="T2380" i="1" s="1"/>
  <c r="T2381" i="1" s="1"/>
  <c r="T2382" i="1" s="1"/>
  <c r="T2383" i="1" s="1"/>
  <c r="T2384" i="1" s="1"/>
  <c r="T2385" i="1" s="1"/>
  <c r="T2386" i="1" s="1"/>
  <c r="T2387" i="1" s="1"/>
  <c r="T2388" i="1" s="1"/>
  <c r="T2389" i="1" s="1"/>
  <c r="T2390" i="1" s="1"/>
  <c r="T2391" i="1" s="1"/>
  <c r="T2392" i="1" s="1"/>
  <c r="T2393" i="1" s="1"/>
  <c r="T2394" i="1" s="1"/>
  <c r="T2395" i="1" s="1"/>
  <c r="T2396" i="1" s="1"/>
  <c r="T2397" i="1" s="1"/>
  <c r="T2398" i="1" s="1"/>
  <c r="T2399" i="1" s="1"/>
  <c r="T2400" i="1" s="1"/>
  <c r="T2401" i="1" s="1"/>
  <c r="T2402" i="1" s="1"/>
  <c r="T2403" i="1" s="1"/>
  <c r="T2404" i="1" s="1"/>
  <c r="T2405" i="1" s="1"/>
  <c r="T2406" i="1" s="1"/>
  <c r="T2407" i="1" s="1"/>
  <c r="T2408" i="1" s="1"/>
  <c r="T2409" i="1" s="1"/>
  <c r="T2410" i="1" s="1"/>
  <c r="T2411" i="1" s="1"/>
  <c r="T2412" i="1" s="1"/>
  <c r="T2413" i="1" s="1"/>
  <c r="T2414" i="1" s="1"/>
  <c r="T2415" i="1" s="1"/>
  <c r="T2416" i="1" s="1"/>
  <c r="T2417" i="1" s="1"/>
  <c r="T2418" i="1" s="1"/>
  <c r="T2419" i="1" s="1"/>
  <c r="T2420" i="1" s="1"/>
  <c r="T2421" i="1" s="1"/>
  <c r="T2422" i="1" s="1"/>
  <c r="T2423" i="1" s="1"/>
  <c r="T2424" i="1" s="1"/>
  <c r="T2425" i="1" s="1"/>
  <c r="T2426" i="1" s="1"/>
  <c r="T2427" i="1" s="1"/>
  <c r="T2428" i="1" s="1"/>
  <c r="T2429" i="1" s="1"/>
  <c r="T2430" i="1" s="1"/>
  <c r="T2431" i="1" s="1"/>
  <c r="T2432" i="1" s="1"/>
  <c r="T2433" i="1" s="1"/>
  <c r="T2434" i="1" s="1"/>
  <c r="T2435" i="1" s="1"/>
  <c r="T2436" i="1" s="1"/>
  <c r="T2437" i="1" s="1"/>
  <c r="T2438" i="1" s="1"/>
  <c r="T2439" i="1" s="1"/>
  <c r="T2440" i="1" s="1"/>
  <c r="T2441" i="1" s="1"/>
  <c r="T2442" i="1" s="1"/>
  <c r="T2443" i="1" s="1"/>
  <c r="T2444" i="1" s="1"/>
  <c r="T2445" i="1" s="1"/>
  <c r="T2446" i="1" s="1"/>
  <c r="T2447" i="1" s="1"/>
  <c r="T2448" i="1" s="1"/>
  <c r="T2449" i="1" s="1"/>
  <c r="T2450" i="1" s="1"/>
  <c r="T2451" i="1" s="1"/>
  <c r="T2452" i="1" s="1"/>
  <c r="T2453" i="1" s="1"/>
  <c r="T2454" i="1" s="1"/>
  <c r="T2455" i="1" s="1"/>
  <c r="T2456" i="1" s="1"/>
  <c r="T2457" i="1" s="1"/>
  <c r="T2458" i="1" s="1"/>
  <c r="T2459" i="1" s="1"/>
  <c r="T2460" i="1" s="1"/>
  <c r="T2461" i="1" s="1"/>
  <c r="T2462" i="1" s="1"/>
  <c r="T2463" i="1" s="1"/>
  <c r="T2464" i="1" s="1"/>
  <c r="T2465" i="1" s="1"/>
  <c r="T2466" i="1" s="1"/>
  <c r="T2467" i="1" s="1"/>
  <c r="T2468" i="1" s="1"/>
  <c r="T2469" i="1" s="1"/>
  <c r="T2470" i="1" s="1"/>
  <c r="T2471" i="1" s="1"/>
  <c r="T2472" i="1" s="1"/>
  <c r="T2473" i="1" s="1"/>
  <c r="T2474" i="1" s="1"/>
  <c r="T2475" i="1" s="1"/>
  <c r="T2476" i="1" s="1"/>
  <c r="T2477" i="1" s="1"/>
  <c r="T2478" i="1" s="1"/>
  <c r="T2479" i="1" s="1"/>
  <c r="T2480" i="1" s="1"/>
  <c r="T2481" i="1" s="1"/>
  <c r="T2482" i="1" s="1"/>
  <c r="T2483" i="1" s="1"/>
  <c r="T2484" i="1" s="1"/>
  <c r="T2485" i="1" s="1"/>
  <c r="T2486" i="1" s="1"/>
  <c r="T2487" i="1" s="1"/>
  <c r="T2488" i="1" s="1"/>
  <c r="T2489" i="1" s="1"/>
  <c r="T2490" i="1" s="1"/>
  <c r="T2491" i="1" s="1"/>
  <c r="T2492" i="1" s="1"/>
  <c r="T2493" i="1" s="1"/>
  <c r="T2494" i="1" s="1"/>
  <c r="T2495" i="1" s="1"/>
  <c r="T2496" i="1" s="1"/>
  <c r="T2497" i="1" s="1"/>
  <c r="T2498" i="1" s="1"/>
  <c r="T2499" i="1" s="1"/>
  <c r="T2500" i="1" s="1"/>
  <c r="T2501" i="1" s="1"/>
  <c r="T2502" i="1" s="1"/>
  <c r="T2503" i="1" s="1"/>
  <c r="T2504" i="1" s="1"/>
  <c r="T2505" i="1" s="1"/>
  <c r="T2506" i="1" s="1"/>
  <c r="T2507" i="1" s="1"/>
  <c r="T2508" i="1" s="1"/>
  <c r="T2509" i="1" s="1"/>
  <c r="T2510" i="1" s="1"/>
  <c r="T2511" i="1" s="1"/>
  <c r="T2512" i="1" s="1"/>
  <c r="T2513" i="1" s="1"/>
  <c r="T2514" i="1" s="1"/>
  <c r="T2515" i="1" s="1"/>
  <c r="T2516" i="1" s="1"/>
  <c r="T2517" i="1" s="1"/>
  <c r="T2518" i="1" s="1"/>
  <c r="T2519" i="1" s="1"/>
  <c r="L64" i="1"/>
  <c r="M105" i="1" l="1"/>
  <c r="N107" i="1"/>
  <c r="N108" i="1" s="1"/>
  <c r="M109" i="1"/>
  <c r="K77" i="1"/>
  <c r="L75" i="1"/>
  <c r="N113" i="1" l="1"/>
  <c r="N114" i="1" s="1"/>
  <c r="M121" i="1"/>
  <c r="M126" i="1" s="1"/>
  <c r="N116" i="1"/>
  <c r="N118" i="1" s="1"/>
  <c r="K83" i="1"/>
  <c r="L81" i="1"/>
  <c r="N131" i="1" l="1"/>
  <c r="M138" i="1"/>
  <c r="M165" i="1" s="1"/>
  <c r="N132" i="1"/>
  <c r="N133" i="1" s="1"/>
  <c r="K84" i="1"/>
  <c r="K86" i="1" s="1"/>
  <c r="L82" i="1"/>
  <c r="M167" i="1" l="1"/>
  <c r="K91" i="1"/>
  <c r="L85" i="1"/>
  <c r="L87" i="1" s="1"/>
  <c r="N139" i="1"/>
  <c r="M169" i="1" l="1"/>
  <c r="M306" i="1" s="1"/>
  <c r="M361" i="1" s="1"/>
  <c r="M362" i="1" s="1"/>
  <c r="M366" i="1" s="1"/>
  <c r="N166" i="1"/>
  <c r="K93" i="1"/>
  <c r="L89" i="1"/>
  <c r="N168" i="1"/>
  <c r="K108" i="1" l="1"/>
  <c r="K118" i="1" s="1"/>
  <c r="K114" i="1"/>
  <c r="K116" i="1" s="1"/>
  <c r="M369" i="1"/>
  <c r="M374" i="1" s="1"/>
  <c r="L92" i="1"/>
  <c r="N171" i="1"/>
  <c r="K131" i="1" l="1"/>
  <c r="M376" i="1"/>
  <c r="L94" i="1"/>
  <c r="M402" i="1"/>
  <c r="M404" i="1" s="1"/>
  <c r="L95" i="1"/>
  <c r="N307" i="1"/>
  <c r="K132" i="1"/>
  <c r="M406" i="1"/>
  <c r="L99" i="1" l="1"/>
  <c r="L109" i="1"/>
  <c r="L121" i="1" s="1"/>
  <c r="N308" i="1"/>
  <c r="N365" i="1" s="1"/>
  <c r="N368" i="1" s="1"/>
  <c r="K133" i="1"/>
  <c r="K135" i="1"/>
  <c r="K197" i="1"/>
  <c r="L195" i="1"/>
  <c r="K205" i="1"/>
  <c r="K214" i="1" s="1"/>
  <c r="M408" i="1"/>
  <c r="M412" i="1" s="1"/>
  <c r="N373" i="1" l="1"/>
  <c r="N377" i="1" s="1"/>
  <c r="L126" i="1"/>
  <c r="L138" i="1" s="1"/>
  <c r="L141" i="1" s="1"/>
  <c r="L146" i="1"/>
  <c r="L147" i="1"/>
  <c r="K139" i="1"/>
  <c r="K265" i="1"/>
  <c r="L204" i="1"/>
  <c r="L228" i="1"/>
  <c r="M414" i="1"/>
  <c r="M424" i="1" s="1"/>
  <c r="M425" i="1"/>
  <c r="M429" i="1" s="1"/>
  <c r="N378" i="1" l="1"/>
  <c r="N407" i="1" s="1"/>
  <c r="L156" i="1"/>
  <c r="L162" i="1" s="1"/>
  <c r="L165" i="1"/>
  <c r="K140" i="1"/>
  <c r="N409" i="1"/>
  <c r="N411" i="1" s="1"/>
  <c r="L210" i="1"/>
  <c r="L267" i="1"/>
  <c r="M437" i="1"/>
  <c r="M438" i="1" s="1"/>
  <c r="L167" i="1" l="1"/>
  <c r="L169" i="1" s="1"/>
  <c r="N417" i="1"/>
  <c r="L174" i="1"/>
  <c r="K142" i="1"/>
  <c r="K143" i="1" s="1"/>
  <c r="M442" i="1"/>
  <c r="N421" i="1"/>
  <c r="L221" i="1"/>
  <c r="L298" i="1"/>
  <c r="M444" i="1"/>
  <c r="M445" i="1" s="1"/>
  <c r="L186" i="1" l="1"/>
  <c r="K144" i="1"/>
  <c r="K148" i="1" s="1"/>
  <c r="M482" i="1"/>
  <c r="M596" i="1" s="1"/>
  <c r="N427" i="1"/>
  <c r="N431" i="1" s="1"/>
  <c r="N423" i="1"/>
  <c r="N433" i="1" l="1"/>
  <c r="N440" i="1"/>
  <c r="K149" i="1"/>
  <c r="L193" i="1"/>
  <c r="L224" i="1"/>
  <c r="N441" i="1"/>
  <c r="N446" i="1" s="1"/>
  <c r="M598" i="1"/>
  <c r="N447" i="1" l="1"/>
  <c r="K166" i="1"/>
  <c r="K172" i="1"/>
  <c r="L229" i="1"/>
  <c r="L231" i="1" s="1"/>
  <c r="L233" i="1" s="1"/>
  <c r="K168" i="1"/>
  <c r="L274" i="1"/>
  <c r="L290" i="1" s="1"/>
  <c r="N448" i="1"/>
  <c r="M602" i="1"/>
  <c r="M603" i="1" s="1"/>
  <c r="M599" i="1"/>
  <c r="L291" i="1"/>
  <c r="K171" i="1" l="1"/>
  <c r="K173" i="1"/>
  <c r="N484" i="1"/>
  <c r="L295" i="1"/>
  <c r="L299" i="1" s="1"/>
  <c r="L302" i="1" s="1"/>
  <c r="L305" i="1"/>
  <c r="M610" i="1"/>
  <c r="M612" i="1" s="1"/>
  <c r="L396" i="1"/>
  <c r="L461" i="1"/>
  <c r="L306" i="1" l="1"/>
  <c r="L322" i="1"/>
  <c r="L324" i="1" s="1"/>
  <c r="L341" i="1" s="1"/>
  <c r="K176" i="1"/>
  <c r="N597" i="1"/>
  <c r="N604" i="1" s="1"/>
  <c r="K309" i="1"/>
  <c r="M618" i="1"/>
  <c r="M620" i="1" s="1"/>
  <c r="K178" i="1" l="1"/>
  <c r="K187" i="1" s="1"/>
  <c r="L340" i="1"/>
  <c r="L345" i="1"/>
  <c r="K226" i="1"/>
  <c r="N609" i="1"/>
  <c r="M628" i="1"/>
  <c r="L347" i="1"/>
  <c r="K459" i="1"/>
  <c r="K194" i="1" l="1"/>
  <c r="K235" i="1"/>
  <c r="K275" i="1" s="1"/>
  <c r="N616" i="1"/>
  <c r="N614" i="1"/>
  <c r="M721" i="1"/>
  <c r="M722" i="1" s="1"/>
  <c r="M726" i="1"/>
  <c r="L348" i="1"/>
  <c r="L352" i="1" s="1"/>
  <c r="L359" i="1" s="1"/>
  <c r="K462" i="1"/>
  <c r="N615" i="1" l="1"/>
  <c r="N728" i="1" s="1"/>
  <c r="N619" i="1"/>
  <c r="M877" i="1"/>
  <c r="M1031" i="1" s="1"/>
  <c r="M1033" i="1" s="1"/>
  <c r="M1160" i="1" s="1"/>
  <c r="M1204" i="1" s="1"/>
  <c r="K230" i="1"/>
  <c r="K294" i="1"/>
  <c r="K297" i="1"/>
  <c r="K321" i="1" s="1"/>
  <c r="N621" i="1"/>
  <c r="N629" i="1" s="1"/>
  <c r="K407" i="1"/>
  <c r="K409" i="1" s="1"/>
  <c r="K417" i="1" s="1"/>
  <c r="L385" i="1"/>
  <c r="L361" i="1"/>
  <c r="K468" i="1"/>
  <c r="N729" i="1" l="1"/>
  <c r="M1205" i="1"/>
  <c r="K234" i="1"/>
  <c r="K308" i="1"/>
  <c r="K315" i="1"/>
  <c r="N732" i="1"/>
  <c r="K334" i="1"/>
  <c r="K335" i="1" s="1"/>
  <c r="K344" i="1" s="1"/>
  <c r="M1208" i="1"/>
  <c r="K434" i="1"/>
  <c r="M1271" i="1"/>
  <c r="M1279" i="1" s="1"/>
  <c r="M1281" i="1" s="1"/>
  <c r="M1384" i="1" s="1"/>
  <c r="M1390" i="1" s="1"/>
  <c r="M1421" i="1" s="1"/>
  <c r="L362" i="1"/>
  <c r="K470" i="1"/>
  <c r="L526" i="1"/>
  <c r="K293" i="1" l="1"/>
  <c r="K307" i="1"/>
  <c r="K331" i="1"/>
  <c r="N878" i="1"/>
  <c r="K343" i="1"/>
  <c r="K346" i="1" s="1"/>
  <c r="M1422" i="1"/>
  <c r="L366" i="1"/>
  <c r="K474" i="1"/>
  <c r="L535" i="1"/>
  <c r="N1032" i="1" l="1"/>
  <c r="N1034" i="1" s="1"/>
  <c r="K350" i="1"/>
  <c r="N1161" i="1"/>
  <c r="N1210" i="1" s="1"/>
  <c r="K384" i="1"/>
  <c r="K394" i="1"/>
  <c r="M1424" i="1"/>
  <c r="M1423" i="1"/>
  <c r="N1425" i="1"/>
  <c r="L369" i="1"/>
  <c r="L374" i="1" s="1"/>
  <c r="K518" i="1"/>
  <c r="K528" i="1" s="1"/>
  <c r="K536" i="1" s="1"/>
  <c r="K539" i="1" s="1"/>
  <c r="K543" i="1" s="1"/>
  <c r="L538" i="1"/>
  <c r="K358" i="1" l="1"/>
  <c r="N1212" i="1"/>
  <c r="N1272" i="1" s="1"/>
  <c r="N1280" i="1" s="1"/>
  <c r="K365" i="1"/>
  <c r="K368" i="1" s="1"/>
  <c r="K381" i="1" s="1"/>
  <c r="K392" i="1"/>
  <c r="K450" i="1"/>
  <c r="N1282" i="1"/>
  <c r="N1385" i="1" s="1"/>
  <c r="K451" i="1"/>
  <c r="K452" i="1" s="1"/>
  <c r="M1429" i="1"/>
  <c r="M1432" i="1" s="1"/>
  <c r="L376" i="1"/>
  <c r="L386" i="1" s="1"/>
  <c r="L397" i="1" s="1"/>
  <c r="L398" i="1" s="1"/>
  <c r="K454" i="1"/>
  <c r="K556" i="1"/>
  <c r="K558" i="1" s="1"/>
  <c r="L542" i="1"/>
  <c r="M1434" i="1" l="1"/>
  <c r="K373" i="1"/>
  <c r="K378" i="1" s="1"/>
  <c r="K379" i="1" s="1"/>
  <c r="K377" i="1"/>
  <c r="N1392" i="1"/>
  <c r="M1441" i="1"/>
  <c r="L400" i="1"/>
  <c r="K456" i="1"/>
  <c r="K634" i="1"/>
  <c r="L547" i="1"/>
  <c r="N1426" i="1" l="1"/>
  <c r="K421" i="1"/>
  <c r="K427" i="1" s="1"/>
  <c r="K431" i="1" s="1"/>
  <c r="K440" i="1" s="1"/>
  <c r="K423" i="1"/>
  <c r="K433" i="1"/>
  <c r="N1452" i="1"/>
  <c r="N1438" i="1"/>
  <c r="N1451" i="1" s="1"/>
  <c r="L435" i="1"/>
  <c r="L481" i="1" s="1"/>
  <c r="N1506" i="1"/>
  <c r="M1447" i="1"/>
  <c r="M1505" i="1" s="1"/>
  <c r="L402" i="1"/>
  <c r="L499" i="1"/>
  <c r="K467" i="1"/>
  <c r="L557" i="1"/>
  <c r="N1433" i="1" l="1"/>
  <c r="N1435" i="1" s="1"/>
  <c r="N1430" i="1"/>
  <c r="N1449" i="1"/>
  <c r="N1520" i="1" s="1"/>
  <c r="N1522" i="1" s="1"/>
  <c r="N1527" i="1" s="1"/>
  <c r="N1529" i="1" s="1"/>
  <c r="N1531" i="1" s="1"/>
  <c r="K447" i="1"/>
  <c r="N1544" i="1"/>
  <c r="K441" i="1"/>
  <c r="K448" i="1" s="1"/>
  <c r="N1636" i="1"/>
  <c r="N1728" i="1" s="1"/>
  <c r="N2041" i="1" s="1"/>
  <c r="M1514" i="1"/>
  <c r="M1516" i="1" s="1"/>
  <c r="M1517" i="1" s="1"/>
  <c r="M1518" i="1" s="1"/>
  <c r="M1521" i="1" s="1"/>
  <c r="M1523" i="1" s="1"/>
  <c r="M1528" i="1" s="1"/>
  <c r="M1530" i="1" s="1"/>
  <c r="L404" i="1"/>
  <c r="K473" i="1"/>
  <c r="K684" i="1"/>
  <c r="L561" i="1"/>
  <c r="N1532" i="1" l="1"/>
  <c r="N1542" i="1" s="1"/>
  <c r="K484" i="1"/>
  <c r="N2045" i="1"/>
  <c r="N2046" i="1"/>
  <c r="N2081" i="1" s="1"/>
  <c r="L406" i="1"/>
  <c r="M1537" i="1"/>
  <c r="K486" i="1"/>
  <c r="K503" i="1" s="1"/>
  <c r="K506" i="1" s="1"/>
  <c r="M1538" i="1" l="1"/>
  <c r="N2074" i="1"/>
  <c r="N2079" i="1" s="1"/>
  <c r="K493" i="1"/>
  <c r="M1635" i="1"/>
  <c r="M1725" i="1" s="1"/>
  <c r="M2040" i="1" s="1"/>
  <c r="M2043" i="1" s="1"/>
  <c r="M2072" i="1" s="1"/>
  <c r="L408" i="1"/>
  <c r="L593" i="1"/>
  <c r="M2073" i="1" l="1"/>
  <c r="M2078" i="1"/>
  <c r="M2075" i="1"/>
  <c r="N2080" i="1"/>
  <c r="N2084" i="1" s="1"/>
  <c r="K508" i="1"/>
  <c r="K500" i="1"/>
  <c r="K552" i="1"/>
  <c r="K553" i="1" s="1"/>
  <c r="L414" i="1"/>
  <c r="L635" i="1"/>
  <c r="K793" i="1"/>
  <c r="K774" i="1"/>
  <c r="K776" i="1" s="1"/>
  <c r="N2214" i="1" l="1"/>
  <c r="M2082" i="1"/>
  <c r="N2216" i="1"/>
  <c r="N2223" i="1" s="1"/>
  <c r="N2226" i="1" s="1"/>
  <c r="L424" i="1"/>
  <c r="L453" i="1"/>
  <c r="L455" i="1" s="1"/>
  <c r="L466" i="1" s="1"/>
  <c r="L469" i="1" s="1"/>
  <c r="L472" i="1" s="1"/>
  <c r="L475" i="1" s="1"/>
  <c r="L477" i="1" s="1"/>
  <c r="N2232" i="1"/>
  <c r="K577" i="1"/>
  <c r="L478" i="1"/>
  <c r="N2264" i="1"/>
  <c r="K798" i="1"/>
  <c r="M2212" i="1" l="1"/>
  <c r="M2222" i="1"/>
  <c r="M2224" i="1" s="1"/>
  <c r="M2213" i="1"/>
  <c r="N2227" i="1"/>
  <c r="L425" i="1"/>
  <c r="M2218" i="1"/>
  <c r="M2235" i="1" s="1"/>
  <c r="M2240" i="1" s="1"/>
  <c r="L437" i="1"/>
  <c r="N2231" i="1"/>
  <c r="K580" i="1"/>
  <c r="M2250" i="1"/>
  <c r="L479" i="1"/>
  <c r="M2269" i="1"/>
  <c r="M2262" i="1"/>
  <c r="M2263" i="1" s="1"/>
  <c r="N2267" i="1"/>
  <c r="M2368" i="1"/>
  <c r="K627" i="1"/>
  <c r="K622" i="1"/>
  <c r="L626" i="1"/>
  <c r="L687" i="1"/>
  <c r="K813" i="1"/>
  <c r="L655" i="1"/>
  <c r="L675" i="1"/>
  <c r="M2241" i="1" l="1"/>
  <c r="M2258" i="1" s="1"/>
  <c r="L429" i="1"/>
  <c r="L438" i="1" s="1"/>
  <c r="L442" i="1"/>
  <c r="M2252" i="1"/>
  <c r="M2257" i="1" s="1"/>
  <c r="M2371" i="1" s="1"/>
  <c r="N2238" i="1"/>
  <c r="N2244" i="1" s="1"/>
  <c r="K587" i="1"/>
  <c r="L492" i="1"/>
  <c r="L494" i="1" s="1"/>
  <c r="L495" i="1" s="1"/>
  <c r="L505" i="1"/>
  <c r="L507" i="1" s="1"/>
  <c r="N2273" i="1"/>
  <c r="N2374" i="1" s="1"/>
  <c r="N2417" i="1" s="1"/>
  <c r="L551" i="1"/>
  <c r="K630" i="1"/>
  <c r="K632" i="1" s="1"/>
  <c r="M2416" i="1"/>
  <c r="L636" i="1"/>
  <c r="K633" i="1"/>
  <c r="K643" i="1" s="1"/>
  <c r="K644" i="1" s="1"/>
  <c r="L701" i="1"/>
  <c r="N2270" i="1" l="1"/>
  <c r="L444" i="1"/>
  <c r="K604" i="1"/>
  <c r="L482" i="1"/>
  <c r="N2246" i="1"/>
  <c r="N2256" i="1" s="1"/>
  <c r="K624" i="1"/>
  <c r="K597" i="1"/>
  <c r="K621" i="1"/>
  <c r="K629" i="1"/>
  <c r="K641" i="1"/>
  <c r="L574" i="1"/>
  <c r="L575" i="1" s="1"/>
  <c r="L578" i="1" s="1"/>
  <c r="L581" i="1" s="1"/>
  <c r="L592" i="1" s="1"/>
  <c r="L625" i="1" s="1"/>
  <c r="L572" i="1"/>
  <c r="M2423" i="1"/>
  <c r="L646" i="1"/>
  <c r="L647" i="1" s="1"/>
  <c r="K650" i="1"/>
  <c r="K836" i="1"/>
  <c r="K838" i="1" s="1"/>
  <c r="K609" i="1" l="1"/>
  <c r="N2272" i="1"/>
  <c r="L654" i="1"/>
  <c r="L596" i="1"/>
  <c r="L598" i="1" s="1"/>
  <c r="L599" i="1" s="1"/>
  <c r="L610" i="1" s="1"/>
  <c r="L620" i="1"/>
  <c r="L638" i="1"/>
  <c r="K279" i="2"/>
  <c r="M2430" i="1"/>
  <c r="K79" i="2"/>
  <c r="K91" i="2"/>
  <c r="K352" i="2"/>
  <c r="K202" i="2"/>
  <c r="K113" i="2"/>
  <c r="K264" i="2"/>
  <c r="K383" i="2"/>
  <c r="K58" i="2"/>
  <c r="K121" i="2"/>
  <c r="K80" i="2"/>
  <c r="K93" i="2"/>
  <c r="K137" i="2"/>
  <c r="K297" i="2"/>
  <c r="K85" i="2"/>
  <c r="K240" i="2"/>
  <c r="K367" i="2"/>
  <c r="K184" i="2"/>
  <c r="K303" i="2"/>
  <c r="K116" i="2"/>
  <c r="K277" i="2"/>
  <c r="K100" i="2"/>
  <c r="K301" i="2"/>
  <c r="K220" i="2"/>
  <c r="K144" i="2"/>
  <c r="K231" i="2"/>
  <c r="K345" i="2"/>
  <c r="K50" i="2"/>
  <c r="K47" i="2"/>
  <c r="K124" i="2"/>
  <c r="K145" i="2"/>
  <c r="K99" i="2"/>
  <c r="K203" i="2"/>
  <c r="K291" i="2"/>
  <c r="K246" i="2"/>
  <c r="K364" i="2"/>
  <c r="K221" i="2"/>
  <c r="K360" i="2"/>
  <c r="K59" i="2"/>
  <c r="K109" i="2"/>
  <c r="K314" i="2"/>
  <c r="K309" i="2"/>
  <c r="K262" i="2"/>
  <c r="K269" i="2"/>
  <c r="K165" i="2"/>
  <c r="M165" i="2" s="1"/>
  <c r="K130" i="2"/>
  <c r="K368" i="2"/>
  <c r="K304" i="2"/>
  <c r="K281" i="2"/>
  <c r="M281" i="2" s="1"/>
  <c r="K310" i="2"/>
  <c r="K312" i="2"/>
  <c r="K82" i="2"/>
  <c r="M82" i="2" s="1"/>
  <c r="K96" i="2"/>
  <c r="M96" i="2" s="1"/>
  <c r="K335" i="2"/>
  <c r="M335" i="2" s="1"/>
  <c r="K226" i="2"/>
  <c r="K200" i="2"/>
  <c r="M200" i="2" s="1"/>
  <c r="K254" i="2"/>
  <c r="K229" i="2"/>
  <c r="M229" i="2" s="1"/>
  <c r="K365" i="2"/>
  <c r="M365" i="2" s="1"/>
  <c r="K115" i="2"/>
  <c r="M115" i="2" s="1"/>
  <c r="K323" i="2"/>
  <c r="K218" i="2"/>
  <c r="M218" i="2" s="1"/>
  <c r="K290" i="2"/>
  <c r="M290" i="2" s="1"/>
  <c r="K259" i="2"/>
  <c r="M259" i="2" s="1"/>
  <c r="K244" i="2"/>
  <c r="K362" i="2"/>
  <c r="M362" i="2" s="1"/>
  <c r="K140" i="2"/>
  <c r="M140" i="2" s="1"/>
  <c r="K256" i="2"/>
  <c r="M256" i="2" s="1"/>
  <c r="K158" i="2"/>
  <c r="M158" i="2" s="1"/>
  <c r="K342" i="2"/>
  <c r="M342" i="2" s="1"/>
  <c r="K55" i="2"/>
  <c r="M55" i="2" s="1"/>
  <c r="K177" i="2"/>
  <c r="M177" i="2" s="1"/>
  <c r="K75" i="2"/>
  <c r="M75" i="2" s="1"/>
  <c r="K161" i="2"/>
  <c r="M161" i="2" s="1"/>
  <c r="K315" i="2"/>
  <c r="M315" i="2" s="1"/>
  <c r="K228" i="2"/>
  <c r="M228" i="2" s="1"/>
  <c r="K316" i="2"/>
  <c r="M316" i="2" s="1"/>
  <c r="K344" i="2"/>
  <c r="M344" i="2" s="1"/>
  <c r="K166" i="2"/>
  <c r="M166" i="2" s="1"/>
  <c r="K238" i="2"/>
  <c r="M238" i="2" s="1"/>
  <c r="K248" i="2"/>
  <c r="M248" i="2" s="1"/>
  <c r="K205" i="2"/>
  <c r="M205" i="2" s="1"/>
  <c r="K214" i="2"/>
  <c r="M214" i="2" s="1"/>
  <c r="K353" i="2"/>
  <c r="M353" i="2" s="1"/>
  <c r="K349" i="2"/>
  <c r="K148" i="2"/>
  <c r="M148" i="2" s="1"/>
  <c r="N2433" i="1"/>
  <c r="K261" i="2"/>
  <c r="M261" i="2" s="1"/>
  <c r="K211" i="2"/>
  <c r="K359" i="2"/>
  <c r="K25" i="2"/>
  <c r="K170" i="2"/>
  <c r="M170" i="2" s="1"/>
  <c r="K22" i="2"/>
  <c r="K23" i="2"/>
  <c r="K26" i="2"/>
  <c r="K24" i="2"/>
  <c r="K260" i="2"/>
  <c r="M260" i="2" s="1"/>
  <c r="K4" i="2"/>
  <c r="K11" i="2"/>
  <c r="K12" i="2"/>
  <c r="K7" i="2"/>
  <c r="K6" i="2"/>
  <c r="K5" i="2"/>
  <c r="K9" i="2"/>
  <c r="K13" i="2"/>
  <c r="K8" i="2"/>
  <c r="K16" i="2"/>
  <c r="K3" i="2"/>
  <c r="K17" i="2"/>
  <c r="K14" i="2"/>
  <c r="K15" i="2"/>
  <c r="K10" i="2"/>
  <c r="K18" i="2"/>
  <c r="K37" i="2"/>
  <c r="K19" i="2"/>
  <c r="K21" i="2"/>
  <c r="K20" i="2"/>
  <c r="K36" i="2"/>
  <c r="K31" i="2"/>
  <c r="K29" i="2"/>
  <c r="K32" i="2"/>
  <c r="K38" i="2"/>
  <c r="K35" i="2"/>
  <c r="K28" i="2"/>
  <c r="K27" i="2"/>
  <c r="K39" i="2"/>
  <c r="K33" i="2"/>
  <c r="K34" i="2"/>
  <c r="K30" i="2"/>
  <c r="L670" i="1"/>
  <c r="K651" i="1"/>
  <c r="K180" i="2"/>
  <c r="M180" i="2" s="1"/>
  <c r="K196" i="2"/>
  <c r="M196" i="2" s="1"/>
  <c r="K333" i="2"/>
  <c r="M333" i="2" s="1"/>
  <c r="K134" i="2"/>
  <c r="K186" i="2"/>
  <c r="M186" i="2" s="1"/>
  <c r="K332" i="2"/>
  <c r="M332" i="2" s="1"/>
  <c r="K114" i="2"/>
  <c r="M114" i="2" s="1"/>
  <c r="K110" i="2"/>
  <c r="M110" i="2" s="1"/>
  <c r="M79" i="2"/>
  <c r="M91" i="2"/>
  <c r="M352" i="2"/>
  <c r="M202" i="2"/>
  <c r="M113" i="2"/>
  <c r="M264" i="2"/>
  <c r="M254" i="2"/>
  <c r="K322" i="2"/>
  <c r="K296" i="2"/>
  <c r="K107" i="2"/>
  <c r="K288" i="2"/>
  <c r="M116" i="2"/>
  <c r="M47" i="2"/>
  <c r="M124" i="2"/>
  <c r="M145" i="2"/>
  <c r="M99" i="2"/>
  <c r="M203" i="2"/>
  <c r="M291" i="2"/>
  <c r="M246" i="2"/>
  <c r="M364" i="2"/>
  <c r="M221" i="2"/>
  <c r="M360" i="2"/>
  <c r="M59" i="2"/>
  <c r="M262" i="2"/>
  <c r="M269" i="2"/>
  <c r="M130" i="2"/>
  <c r="M368" i="2"/>
  <c r="M304" i="2"/>
  <c r="M310" i="2"/>
  <c r="M312" i="2"/>
  <c r="M226" i="2"/>
  <c r="M277" i="2"/>
  <c r="M383" i="2"/>
  <c r="M58" i="2"/>
  <c r="M121" i="2"/>
  <c r="M80" i="2"/>
  <c r="M93" i="2"/>
  <c r="M137" i="2"/>
  <c r="M297" i="2"/>
  <c r="M85" i="2"/>
  <c r="M240" i="2"/>
  <c r="M367" i="2"/>
  <c r="M184" i="2"/>
  <c r="M303" i="2"/>
  <c r="M100" i="2"/>
  <c r="M301" i="2"/>
  <c r="M220" i="2"/>
  <c r="M144" i="2"/>
  <c r="M279" i="2"/>
  <c r="M231" i="2"/>
  <c r="M345" i="2"/>
  <c r="M50" i="2"/>
  <c r="M359" i="2"/>
  <c r="M109" i="2"/>
  <c r="M314" i="2"/>
  <c r="M134" i="2"/>
  <c r="L792" i="1"/>
  <c r="K616" i="1" l="1"/>
  <c r="K615" i="1"/>
  <c r="L602" i="1"/>
  <c r="L612" i="1" s="1"/>
  <c r="L618" i="1" s="1"/>
  <c r="K619" i="1"/>
  <c r="L4" i="2"/>
  <c r="N4" i="2" s="1"/>
  <c r="K191" i="2"/>
  <c r="M191" i="2" s="1"/>
  <c r="K40" i="2"/>
  <c r="K222" i="2"/>
  <c r="M222" i="2" s="1"/>
  <c r="N2373" i="1"/>
  <c r="N2425" i="1" s="1"/>
  <c r="K330" i="2"/>
  <c r="M330" i="2" s="1"/>
  <c r="K41" i="2"/>
  <c r="K42" i="2"/>
  <c r="K43" i="2"/>
  <c r="K377" i="2"/>
  <c r="M377" i="2" s="1"/>
  <c r="K217" i="2"/>
  <c r="M217" i="2" s="1"/>
  <c r="K326" i="2"/>
  <c r="M326" i="2" s="1"/>
  <c r="M309" i="2"/>
  <c r="K391" i="2"/>
  <c r="K239" i="2"/>
  <c r="M239" i="2" s="1"/>
  <c r="M211" i="2"/>
  <c r="K61" i="2"/>
  <c r="M61" i="2" s="1"/>
  <c r="K70" i="2"/>
  <c r="M70" i="2" s="1"/>
  <c r="K241" i="2"/>
  <c r="M241" i="2" s="1"/>
  <c r="K298" i="2"/>
  <c r="K195" i="2"/>
  <c r="K126" i="2"/>
  <c r="M126" i="2" s="1"/>
  <c r="K118" i="2"/>
  <c r="K307" i="2"/>
  <c r="K390" i="2"/>
  <c r="K373" i="2"/>
  <c r="M373" i="2" s="1"/>
  <c r="K143" i="2"/>
  <c r="M143" i="2" s="1"/>
  <c r="K171" i="2"/>
  <c r="K52" i="2"/>
  <c r="M52" i="2" s="1"/>
  <c r="L628" i="1"/>
  <c r="M244" i="2"/>
  <c r="M323" i="2"/>
  <c r="M349" i="2"/>
  <c r="K371" i="2"/>
  <c r="K382" i="2"/>
  <c r="K232" i="2"/>
  <c r="K385" i="2"/>
  <c r="K44" i="2"/>
  <c r="M44" i="2" s="1"/>
  <c r="K132" i="2"/>
  <c r="K199" i="2"/>
  <c r="K136" i="2"/>
  <c r="K163" i="2"/>
  <c r="K151" i="2"/>
  <c r="K380" i="2"/>
  <c r="K339" i="2"/>
  <c r="K150" i="2"/>
  <c r="K311" i="2"/>
  <c r="K286" i="2"/>
  <c r="M286" i="2" s="1"/>
  <c r="K324" i="2"/>
  <c r="K402" i="2"/>
  <c r="K348" i="2"/>
  <c r="K366" i="2"/>
  <c r="K48" i="2"/>
  <c r="K233" i="2"/>
  <c r="K305" i="2"/>
  <c r="K299" i="2"/>
  <c r="K106" i="2"/>
  <c r="L648" i="1"/>
  <c r="K77" i="2"/>
  <c r="K154" i="2"/>
  <c r="K397" i="2"/>
  <c r="K76" i="2"/>
  <c r="K336" i="2"/>
  <c r="K95" i="2"/>
  <c r="K193" i="2"/>
  <c r="K73" i="2"/>
  <c r="K354" i="2"/>
  <c r="K320" i="2"/>
  <c r="K216" i="2"/>
  <c r="K183" i="2"/>
  <c r="K278" i="2"/>
  <c r="K378" i="2"/>
  <c r="K83" i="2"/>
  <c r="K133" i="2"/>
  <c r="K51" i="2"/>
  <c r="K101" i="2"/>
  <c r="K223" i="2"/>
  <c r="K267" i="2"/>
  <c r="K139" i="2"/>
  <c r="K289" i="2"/>
  <c r="K394" i="2"/>
  <c r="K104" i="2"/>
  <c r="K395" i="2"/>
  <c r="K146" i="2"/>
  <c r="K90" i="2"/>
  <c r="K160" i="2"/>
  <c r="K112" i="2"/>
  <c r="K60" i="2"/>
  <c r="K182" i="2"/>
  <c r="K242" i="2"/>
  <c r="K284" i="2"/>
  <c r="K272" i="2"/>
  <c r="K88" i="2"/>
  <c r="K346" i="2"/>
  <c r="K292" i="2"/>
  <c r="K329" i="2"/>
  <c r="K181" i="2"/>
  <c r="K123" i="2"/>
  <c r="K347" i="2"/>
  <c r="K250" i="2"/>
  <c r="K89" i="2"/>
  <c r="K389" i="2"/>
  <c r="K338" i="2"/>
  <c r="K129" i="2"/>
  <c r="K155" i="2"/>
  <c r="K157" i="2"/>
  <c r="K172" i="2"/>
  <c r="K167" i="2"/>
  <c r="K376" i="2"/>
  <c r="K54" i="2"/>
  <c r="K53" i="2"/>
  <c r="K270" i="2"/>
  <c r="K253" i="2"/>
  <c r="K369" i="2"/>
  <c r="K327" i="2"/>
  <c r="K271" i="2"/>
  <c r="K386" i="2"/>
  <c r="K295" i="2"/>
  <c r="K127" i="2"/>
  <c r="K168" i="2"/>
  <c r="K379" i="2"/>
  <c r="K125" i="2"/>
  <c r="K328" i="2"/>
  <c r="K103" i="2"/>
  <c r="K62" i="2"/>
  <c r="K313" i="2"/>
  <c r="K361" i="2"/>
  <c r="K209" i="2"/>
  <c r="K251" i="2"/>
  <c r="K197" i="2"/>
  <c r="K258" i="2"/>
  <c r="K92" i="2"/>
  <c r="K208" i="2"/>
  <c r="K393" i="2"/>
  <c r="K357" i="2"/>
  <c r="K265" i="2"/>
  <c r="K285" i="2"/>
  <c r="K120" i="2"/>
  <c r="K374" i="2"/>
  <c r="K388" i="2"/>
  <c r="K317" i="2"/>
  <c r="K294" i="2"/>
  <c r="K201" i="2"/>
  <c r="K102" i="2"/>
  <c r="K325" i="2"/>
  <c r="K56" i="2"/>
  <c r="K152" i="2"/>
  <c r="K86" i="2"/>
  <c r="K375" i="2"/>
  <c r="K187" i="2"/>
  <c r="K225" i="2"/>
  <c r="K185" i="2"/>
  <c r="K381" i="2"/>
  <c r="K358" i="2"/>
  <c r="K111" i="2"/>
  <c r="K268" i="2"/>
  <c r="K210" i="2"/>
  <c r="K215" i="2"/>
  <c r="K252" i="2"/>
  <c r="K237" i="2"/>
  <c r="K66" i="2"/>
  <c r="K306" i="2"/>
  <c r="M306" i="2" s="1"/>
  <c r="K64" i="2"/>
  <c r="K84" i="2"/>
  <c r="K319" i="2"/>
  <c r="M319" i="2" s="1"/>
  <c r="K49" i="2"/>
  <c r="K243" i="2"/>
  <c r="K176" i="2"/>
  <c r="M176" i="2" s="1"/>
  <c r="K234" i="2"/>
  <c r="K173" i="2"/>
  <c r="K227" i="2"/>
  <c r="M227" i="2" s="1"/>
  <c r="K249" i="2"/>
  <c r="K192" i="2"/>
  <c r="K78" i="2"/>
  <c r="K255" i="2"/>
  <c r="K147" i="2"/>
  <c r="K131" i="2"/>
  <c r="K274" i="2"/>
  <c r="K141" i="2"/>
  <c r="M141" i="2" s="1"/>
  <c r="K175" i="2"/>
  <c r="K341" i="2"/>
  <c r="K387" i="2"/>
  <c r="M387" i="2" s="1"/>
  <c r="K351" i="2"/>
  <c r="M351" i="2" s="1"/>
  <c r="K188" i="2"/>
  <c r="K45" i="2"/>
  <c r="M45" i="2" s="1"/>
  <c r="K122" i="2"/>
  <c r="K67" i="2"/>
  <c r="K156" i="2"/>
  <c r="K149" i="2"/>
  <c r="M149" i="2" s="1"/>
  <c r="K162" i="2"/>
  <c r="K401" i="2"/>
  <c r="M401" i="2" s="1"/>
  <c r="K398" i="2"/>
  <c r="K235" i="2"/>
  <c r="K372" i="2"/>
  <c r="K164" i="2"/>
  <c r="K71" i="2"/>
  <c r="K282" i="2"/>
  <c r="K340" i="2"/>
  <c r="M340" i="2" s="1"/>
  <c r="K399" i="2"/>
  <c r="K65" i="2"/>
  <c r="K128" i="2"/>
  <c r="K266" i="2"/>
  <c r="K396" i="2"/>
  <c r="M396" i="2" s="1"/>
  <c r="K308" i="2"/>
  <c r="M308" i="2" s="1"/>
  <c r="K189" i="2"/>
  <c r="M189" i="2" s="1"/>
  <c r="K190" i="2"/>
  <c r="K159" i="2"/>
  <c r="K219" i="2"/>
  <c r="K207" i="2"/>
  <c r="K212" i="2"/>
  <c r="K68" i="2"/>
  <c r="K247" i="2"/>
  <c r="M247" i="2" s="1"/>
  <c r="K257" i="2"/>
  <c r="K204" i="2"/>
  <c r="M204" i="2" s="1"/>
  <c r="K117" i="2"/>
  <c r="K169" i="2"/>
  <c r="K392" i="2"/>
  <c r="M392" i="2" s="1"/>
  <c r="K318" i="2"/>
  <c r="K356" i="2"/>
  <c r="K224" i="2"/>
  <c r="M224" i="2" s="1"/>
  <c r="K370" i="2"/>
  <c r="K108" i="2"/>
  <c r="M108" i="2" s="1"/>
  <c r="K334" i="2"/>
  <c r="M334" i="2" s="1"/>
  <c r="K98" i="2"/>
  <c r="K337" i="2"/>
  <c r="M337" i="2" s="1"/>
  <c r="K138" i="2"/>
  <c r="M138" i="2" s="1"/>
  <c r="K94" i="2"/>
  <c r="K74" i="2"/>
  <c r="M74" i="2" s="1"/>
  <c r="K275" i="2"/>
  <c r="K276" i="2"/>
  <c r="M276" i="2" s="1"/>
  <c r="K87" i="2"/>
  <c r="K198" i="2"/>
  <c r="M198" i="2" s="1"/>
  <c r="K293" i="2"/>
  <c r="K287" i="2"/>
  <c r="K153" i="2"/>
  <c r="K263" i="2"/>
  <c r="K174" i="2"/>
  <c r="K363" i="2"/>
  <c r="K178" i="2"/>
  <c r="K179" i="2"/>
  <c r="K213" i="2"/>
  <c r="K119" i="2"/>
  <c r="K331" i="2"/>
  <c r="K302" i="2"/>
  <c r="M302" i="2" s="1"/>
  <c r="K273" i="2"/>
  <c r="K343" i="2"/>
  <c r="K135" i="2"/>
  <c r="K236" i="2"/>
  <c r="K63" i="2"/>
  <c r="K350" i="2"/>
  <c r="M350" i="2" s="1"/>
  <c r="K280" i="2"/>
  <c r="M280" i="2" s="1"/>
  <c r="K384" i="2"/>
  <c r="K72" i="2"/>
  <c r="K46" i="2"/>
  <c r="K206" i="2"/>
  <c r="M206" i="2" s="1"/>
  <c r="K105" i="2"/>
  <c r="M105" i="2" s="1"/>
  <c r="K57" i="2"/>
  <c r="K355" i="2"/>
  <c r="K300" i="2"/>
  <c r="K245" i="2"/>
  <c r="K283" i="2"/>
  <c r="K194" i="2"/>
  <c r="K400" i="2"/>
  <c r="K321" i="2"/>
  <c r="K81" i="2"/>
  <c r="K230" i="2"/>
  <c r="K97" i="2"/>
  <c r="K69" i="2"/>
  <c r="K142" i="2"/>
  <c r="L8" i="2"/>
  <c r="N8" i="2" s="1"/>
  <c r="M4" i="2"/>
  <c r="L18" i="2"/>
  <c r="N18" i="2" s="1"/>
  <c r="L16" i="2"/>
  <c r="N16" i="2" s="1"/>
  <c r="L26" i="2"/>
  <c r="N26" i="2" s="1"/>
  <c r="K656" i="1"/>
  <c r="L673" i="1"/>
  <c r="M322" i="2"/>
  <c r="M288" i="2"/>
  <c r="M296" i="2"/>
  <c r="M107" i="2"/>
  <c r="L775" i="1"/>
  <c r="K862" i="1"/>
  <c r="L36" i="2" l="1"/>
  <c r="N36" i="2" s="1"/>
  <c r="N2431" i="1"/>
  <c r="L352" i="2"/>
  <c r="N352" i="2" s="1"/>
  <c r="L259" i="2"/>
  <c r="N259" i="2" s="1"/>
  <c r="L113" i="2"/>
  <c r="N113" i="2" s="1"/>
  <c r="L166" i="2"/>
  <c r="N166" i="2" s="1"/>
  <c r="L75" i="2"/>
  <c r="N75" i="2" s="1"/>
  <c r="L226" i="2"/>
  <c r="N226" i="2" s="1"/>
  <c r="L107" i="2"/>
  <c r="N107" i="2" s="1"/>
  <c r="L296" i="2"/>
  <c r="N296" i="2" s="1"/>
  <c r="L288" i="2"/>
  <c r="N288" i="2" s="1"/>
  <c r="L29" i="2"/>
  <c r="N29" i="2" s="1"/>
  <c r="L32" i="2"/>
  <c r="N32" i="2" s="1"/>
  <c r="L38" i="2"/>
  <c r="N38" i="2" s="1"/>
  <c r="L11" i="2"/>
  <c r="N11" i="2" s="1"/>
  <c r="L15" i="2"/>
  <c r="N15" i="2" s="1"/>
  <c r="L12" i="2"/>
  <c r="N12" i="2" s="1"/>
  <c r="L10" i="2"/>
  <c r="N10" i="2" s="1"/>
  <c r="L20" i="2"/>
  <c r="N20" i="2" s="1"/>
  <c r="L14" i="2"/>
  <c r="N14" i="2" s="1"/>
  <c r="L229" i="2"/>
  <c r="N229" i="2" s="1"/>
  <c r="L286" i="2"/>
  <c r="N286" i="2" s="1"/>
  <c r="L114" i="2"/>
  <c r="N114" i="2" s="1"/>
  <c r="L323" i="2"/>
  <c r="N323" i="2" s="1"/>
  <c r="L246" i="2"/>
  <c r="N246" i="2" s="1"/>
  <c r="L330" i="2"/>
  <c r="N330" i="2" s="1"/>
  <c r="L130" i="2"/>
  <c r="N130" i="2" s="1"/>
  <c r="L25" i="2"/>
  <c r="L24" i="2"/>
  <c r="L6" i="2"/>
  <c r="L27" i="2"/>
  <c r="N27" i="2" s="1"/>
  <c r="L39" i="2"/>
  <c r="N39" i="2" s="1"/>
  <c r="L19" i="2"/>
  <c r="N19" i="2" s="1"/>
  <c r="L9" i="2"/>
  <c r="N9" i="2" s="1"/>
  <c r="L21" i="2"/>
  <c r="N21" i="2" s="1"/>
  <c r="L13" i="2"/>
  <c r="N13" i="2" s="1"/>
  <c r="L115" i="2"/>
  <c r="N115" i="2" s="1"/>
  <c r="L333" i="2"/>
  <c r="N333" i="2" s="1"/>
  <c r="L158" i="2"/>
  <c r="N158" i="2" s="1"/>
  <c r="L217" i="2"/>
  <c r="N217" i="2" s="1"/>
  <c r="L221" i="2"/>
  <c r="N221" i="2" s="1"/>
  <c r="L140" i="2"/>
  <c r="N140" i="2" s="1"/>
  <c r="L186" i="2"/>
  <c r="N186" i="2" s="1"/>
  <c r="L349" i="2"/>
  <c r="N349" i="2" s="1"/>
  <c r="L3" i="2"/>
  <c r="L37" i="2"/>
  <c r="L322" i="2"/>
  <c r="N322" i="2" s="1"/>
  <c r="L31" i="2"/>
  <c r="N31" i="2" s="1"/>
  <c r="L28" i="2"/>
  <c r="L34" i="2"/>
  <c r="N34" i="2" s="1"/>
  <c r="L30" i="2"/>
  <c r="N30" i="2" s="1"/>
  <c r="L22" i="2"/>
  <c r="N22" i="2" s="1"/>
  <c r="L17" i="2"/>
  <c r="N17" i="2" s="1"/>
  <c r="L23" i="2"/>
  <c r="N23" i="2" s="1"/>
  <c r="L79" i="2"/>
  <c r="N79" i="2" s="1"/>
  <c r="L218" i="2"/>
  <c r="N218" i="2" s="1"/>
  <c r="L244" i="2"/>
  <c r="N244" i="2" s="1"/>
  <c r="L222" i="2"/>
  <c r="N222" i="2" s="1"/>
  <c r="L96" i="2"/>
  <c r="N96" i="2" s="1"/>
  <c r="L316" i="2"/>
  <c r="N316" i="2" s="1"/>
  <c r="L93" i="2"/>
  <c r="N93" i="2" s="1"/>
  <c r="L47" i="2"/>
  <c r="N47" i="2" s="1"/>
  <c r="L7" i="2"/>
  <c r="L5" i="2"/>
  <c r="L61" i="2"/>
  <c r="N61" i="2" s="1"/>
  <c r="L52" i="2"/>
  <c r="N52" i="2" s="1"/>
  <c r="L309" i="2"/>
  <c r="N309" i="2" s="1"/>
  <c r="L206" i="2"/>
  <c r="N206" i="2" s="1"/>
  <c r="L144" i="2"/>
  <c r="N144" i="2" s="1"/>
  <c r="L211" i="2"/>
  <c r="N211" i="2" s="1"/>
  <c r="L145" i="2"/>
  <c r="N145" i="2" s="1"/>
  <c r="L43" i="2"/>
  <c r="N43" i="2" s="1"/>
  <c r="M43" i="2"/>
  <c r="L260" i="2"/>
  <c r="N260" i="2" s="1"/>
  <c r="P3" i="2"/>
  <c r="L337" i="2"/>
  <c r="N337" i="2" s="1"/>
  <c r="L297" i="2"/>
  <c r="N297" i="2" s="1"/>
  <c r="L231" i="2"/>
  <c r="N231" i="2" s="1"/>
  <c r="L203" i="2"/>
  <c r="N203" i="2" s="1"/>
  <c r="L264" i="2"/>
  <c r="N264" i="2" s="1"/>
  <c r="L342" i="2"/>
  <c r="N342" i="2" s="1"/>
  <c r="L42" i="2"/>
  <c r="N42" i="2" s="1"/>
  <c r="M42" i="2"/>
  <c r="L377" i="2"/>
  <c r="N377" i="2" s="1"/>
  <c r="L365" i="2"/>
  <c r="N365" i="2" s="1"/>
  <c r="L124" i="2"/>
  <c r="N124" i="2" s="1"/>
  <c r="L360" i="2"/>
  <c r="N360" i="2" s="1"/>
  <c r="L262" i="2"/>
  <c r="N262" i="2" s="1"/>
  <c r="L304" i="2"/>
  <c r="N304" i="2" s="1"/>
  <c r="L312" i="2"/>
  <c r="N312" i="2" s="1"/>
  <c r="L44" i="2"/>
  <c r="N44" i="2" s="1"/>
  <c r="L277" i="2"/>
  <c r="N277" i="2" s="1"/>
  <c r="L256" i="2"/>
  <c r="N256" i="2" s="1"/>
  <c r="L315" i="2"/>
  <c r="N315" i="2" s="1"/>
  <c r="L137" i="2"/>
  <c r="N137" i="2" s="1"/>
  <c r="L279" i="2"/>
  <c r="N279" i="2" s="1"/>
  <c r="L50" i="2"/>
  <c r="N50" i="2" s="1"/>
  <c r="L359" i="2"/>
  <c r="N359" i="2" s="1"/>
  <c r="L109" i="2"/>
  <c r="N109" i="2" s="1"/>
  <c r="L170" i="2"/>
  <c r="N170" i="2" s="1"/>
  <c r="L191" i="2"/>
  <c r="N191" i="2" s="1"/>
  <c r="L91" i="2"/>
  <c r="N91" i="2" s="1"/>
  <c r="L116" i="2"/>
  <c r="N116" i="2" s="1"/>
  <c r="L364" i="2"/>
  <c r="N364" i="2" s="1"/>
  <c r="L281" i="2"/>
  <c r="N281" i="2" s="1"/>
  <c r="L362" i="2"/>
  <c r="N362" i="2" s="1"/>
  <c r="L177" i="2"/>
  <c r="N177" i="2" s="1"/>
  <c r="L214" i="2"/>
  <c r="N214" i="2" s="1"/>
  <c r="L148" i="2"/>
  <c r="N148" i="2" s="1"/>
  <c r="L58" i="2"/>
  <c r="N58" i="2" s="1"/>
  <c r="L80" i="2"/>
  <c r="N80" i="2" s="1"/>
  <c r="L240" i="2"/>
  <c r="N240" i="2" s="1"/>
  <c r="L100" i="2"/>
  <c r="N100" i="2" s="1"/>
  <c r="L220" i="2"/>
  <c r="N220" i="2" s="1"/>
  <c r="L110" i="2"/>
  <c r="N110" i="2" s="1"/>
  <c r="L290" i="2"/>
  <c r="N290" i="2" s="1"/>
  <c r="L291" i="2"/>
  <c r="N291" i="2" s="1"/>
  <c r="L269" i="2"/>
  <c r="N269" i="2" s="1"/>
  <c r="L368" i="2"/>
  <c r="N368" i="2" s="1"/>
  <c r="L82" i="2"/>
  <c r="N82" i="2" s="1"/>
  <c r="L200" i="2"/>
  <c r="N200" i="2" s="1"/>
  <c r="L326" i="2"/>
  <c r="N326" i="2" s="1"/>
  <c r="L228" i="2"/>
  <c r="N228" i="2" s="1"/>
  <c r="L238" i="2"/>
  <c r="N238" i="2" s="1"/>
  <c r="L332" i="2"/>
  <c r="N332" i="2" s="1"/>
  <c r="L301" i="2"/>
  <c r="N301" i="2" s="1"/>
  <c r="L261" i="2"/>
  <c r="N261" i="2" s="1"/>
  <c r="L314" i="2"/>
  <c r="N314" i="2" s="1"/>
  <c r="L134" i="2"/>
  <c r="N134" i="2" s="1"/>
  <c r="L41" i="2"/>
  <c r="N41" i="2" s="1"/>
  <c r="L202" i="2"/>
  <c r="N202" i="2" s="1"/>
  <c r="L99" i="2"/>
  <c r="N99" i="2" s="1"/>
  <c r="L165" i="2"/>
  <c r="N165" i="2" s="1"/>
  <c r="L335" i="2"/>
  <c r="N335" i="2" s="1"/>
  <c r="L55" i="2"/>
  <c r="N55" i="2" s="1"/>
  <c r="L161" i="2"/>
  <c r="N161" i="2" s="1"/>
  <c r="L248" i="2"/>
  <c r="N248" i="2" s="1"/>
  <c r="L85" i="2"/>
  <c r="N85" i="2" s="1"/>
  <c r="L344" i="2"/>
  <c r="N344" i="2" s="1"/>
  <c r="L367" i="2"/>
  <c r="N367" i="2" s="1"/>
  <c r="L353" i="2"/>
  <c r="N353" i="2" s="1"/>
  <c r="L383" i="2"/>
  <c r="N383" i="2" s="1"/>
  <c r="L196" i="2"/>
  <c r="N196" i="2" s="1"/>
  <c r="L121" i="2"/>
  <c r="N121" i="2" s="1"/>
  <c r="L303" i="2"/>
  <c r="N303" i="2" s="1"/>
  <c r="L310" i="2"/>
  <c r="N310" i="2" s="1"/>
  <c r="M30" i="2"/>
  <c r="L239" i="2"/>
  <c r="N239" i="2" s="1"/>
  <c r="L184" i="2"/>
  <c r="N184" i="2" s="1"/>
  <c r="L345" i="2"/>
  <c r="N345" i="2" s="1"/>
  <c r="L254" i="2"/>
  <c r="N254" i="2" s="1"/>
  <c r="L180" i="2"/>
  <c r="N180" i="2" s="1"/>
  <c r="L205" i="2"/>
  <c r="N205" i="2" s="1"/>
  <c r="M41" i="2"/>
  <c r="L40" i="2"/>
  <c r="L74" i="2"/>
  <c r="N74" i="2" s="1"/>
  <c r="M171" i="2"/>
  <c r="L171" i="2"/>
  <c r="N171" i="2" s="1"/>
  <c r="M307" i="2"/>
  <c r="L307" i="2"/>
  <c r="N307" i="2" s="1"/>
  <c r="M298" i="2"/>
  <c r="L298" i="2"/>
  <c r="N298" i="2" s="1"/>
  <c r="L396" i="2"/>
  <c r="N396" i="2" s="1"/>
  <c r="L334" i="2"/>
  <c r="N334" i="2" s="1"/>
  <c r="L308" i="2"/>
  <c r="N308" i="2" s="1"/>
  <c r="L351" i="2"/>
  <c r="N351" i="2" s="1"/>
  <c r="L118" i="2"/>
  <c r="N118" i="2" s="1"/>
  <c r="M118" i="2"/>
  <c r="L241" i="2"/>
  <c r="N241" i="2" s="1"/>
  <c r="L247" i="2"/>
  <c r="N247" i="2" s="1"/>
  <c r="L302" i="2"/>
  <c r="N302" i="2" s="1"/>
  <c r="L227" i="2"/>
  <c r="N227" i="2" s="1"/>
  <c r="L401" i="2"/>
  <c r="N401" i="2" s="1"/>
  <c r="L126" i="2"/>
  <c r="N126" i="2" s="1"/>
  <c r="L280" i="2"/>
  <c r="N280" i="2" s="1"/>
  <c r="L141" i="2"/>
  <c r="N141" i="2" s="1"/>
  <c r="L176" i="2"/>
  <c r="N176" i="2" s="1"/>
  <c r="L373" i="2"/>
  <c r="N373" i="2" s="1"/>
  <c r="M390" i="2"/>
  <c r="L390" i="2"/>
  <c r="N390" i="2" s="1"/>
  <c r="M195" i="2"/>
  <c r="L195" i="2"/>
  <c r="N195" i="2" s="1"/>
  <c r="L70" i="2"/>
  <c r="N70" i="2" s="1"/>
  <c r="M391" i="2"/>
  <c r="L391" i="2"/>
  <c r="N391" i="2" s="1"/>
  <c r="L143" i="2"/>
  <c r="N143" i="2" s="1"/>
  <c r="L142" i="2"/>
  <c r="N142" i="2" s="1"/>
  <c r="M142" i="2"/>
  <c r="L283" i="2"/>
  <c r="N283" i="2" s="1"/>
  <c r="M283" i="2"/>
  <c r="M72" i="2"/>
  <c r="L72" i="2"/>
  <c r="N72" i="2" s="1"/>
  <c r="L273" i="2"/>
  <c r="N273" i="2" s="1"/>
  <c r="M273" i="2"/>
  <c r="L174" i="2"/>
  <c r="N174" i="2" s="1"/>
  <c r="M174" i="2"/>
  <c r="M275" i="2"/>
  <c r="L275" i="2"/>
  <c r="N275" i="2" s="1"/>
  <c r="M370" i="2"/>
  <c r="L370" i="2"/>
  <c r="N370" i="2" s="1"/>
  <c r="L257" i="2"/>
  <c r="N257" i="2" s="1"/>
  <c r="M257" i="2"/>
  <c r="M235" i="2"/>
  <c r="L235" i="2"/>
  <c r="N235" i="2" s="1"/>
  <c r="L230" i="2"/>
  <c r="N230" i="2" s="1"/>
  <c r="M230" i="2"/>
  <c r="L194" i="2"/>
  <c r="N194" i="2" s="1"/>
  <c r="M194" i="2"/>
  <c r="M355" i="2"/>
  <c r="L355" i="2"/>
  <c r="N355" i="2" s="1"/>
  <c r="M46" i="2"/>
  <c r="L46" i="2"/>
  <c r="N46" i="2" s="1"/>
  <c r="M343" i="2"/>
  <c r="L343" i="2"/>
  <c r="N343" i="2" s="1"/>
  <c r="L119" i="2"/>
  <c r="N119" i="2" s="1"/>
  <c r="M119" i="2"/>
  <c r="M363" i="2"/>
  <c r="L363" i="2"/>
  <c r="N363" i="2" s="1"/>
  <c r="L287" i="2"/>
  <c r="N287" i="2" s="1"/>
  <c r="M287" i="2"/>
  <c r="L318" i="2"/>
  <c r="N318" i="2" s="1"/>
  <c r="M318" i="2"/>
  <c r="M212" i="2"/>
  <c r="L212" i="2"/>
  <c r="N212" i="2" s="1"/>
  <c r="M190" i="2"/>
  <c r="L190" i="2"/>
  <c r="N190" i="2" s="1"/>
  <c r="M266" i="2"/>
  <c r="L266" i="2"/>
  <c r="N266" i="2" s="1"/>
  <c r="M372" i="2"/>
  <c r="L372" i="2"/>
  <c r="N372" i="2" s="1"/>
  <c r="M162" i="2"/>
  <c r="L162" i="2"/>
  <c r="N162" i="2" s="1"/>
  <c r="M122" i="2"/>
  <c r="L122" i="2"/>
  <c r="N122" i="2" s="1"/>
  <c r="L274" i="2"/>
  <c r="N274" i="2" s="1"/>
  <c r="M274" i="2"/>
  <c r="M78" i="2"/>
  <c r="L78" i="2"/>
  <c r="N78" i="2" s="1"/>
  <c r="M173" i="2"/>
  <c r="L173" i="2"/>
  <c r="N173" i="2" s="1"/>
  <c r="M49" i="2"/>
  <c r="L49" i="2"/>
  <c r="N49" i="2" s="1"/>
  <c r="L215" i="2"/>
  <c r="N215" i="2" s="1"/>
  <c r="M215" i="2"/>
  <c r="M358" i="2"/>
  <c r="L358" i="2"/>
  <c r="N358" i="2" s="1"/>
  <c r="L187" i="2"/>
  <c r="N187" i="2" s="1"/>
  <c r="M187" i="2"/>
  <c r="M56" i="2"/>
  <c r="L56" i="2"/>
  <c r="N56" i="2" s="1"/>
  <c r="M294" i="2"/>
  <c r="L294" i="2"/>
  <c r="N294" i="2" s="1"/>
  <c r="M120" i="2"/>
  <c r="L120" i="2"/>
  <c r="N120" i="2" s="1"/>
  <c r="L393" i="2"/>
  <c r="N393" i="2" s="1"/>
  <c r="M393" i="2"/>
  <c r="L197" i="2"/>
  <c r="N197" i="2" s="1"/>
  <c r="M197" i="2"/>
  <c r="M313" i="2"/>
  <c r="L313" i="2"/>
  <c r="N313" i="2" s="1"/>
  <c r="L125" i="2"/>
  <c r="N125" i="2" s="1"/>
  <c r="M125" i="2"/>
  <c r="M295" i="2"/>
  <c r="L295" i="2"/>
  <c r="N295" i="2" s="1"/>
  <c r="L369" i="2"/>
  <c r="N369" i="2" s="1"/>
  <c r="M369" i="2"/>
  <c r="M54" i="2"/>
  <c r="L54" i="2"/>
  <c r="N54" i="2" s="1"/>
  <c r="L157" i="2"/>
  <c r="N157" i="2" s="1"/>
  <c r="M157" i="2"/>
  <c r="M389" i="2"/>
  <c r="L389" i="2"/>
  <c r="N389" i="2" s="1"/>
  <c r="M123" i="2"/>
  <c r="L123" i="2"/>
  <c r="N123" i="2" s="1"/>
  <c r="M346" i="2"/>
  <c r="L346" i="2"/>
  <c r="N346" i="2" s="1"/>
  <c r="L242" i="2"/>
  <c r="N242" i="2" s="1"/>
  <c r="M242" i="2"/>
  <c r="M160" i="2"/>
  <c r="L160" i="2"/>
  <c r="N160" i="2" s="1"/>
  <c r="L104" i="2"/>
  <c r="N104" i="2" s="1"/>
  <c r="M104" i="2"/>
  <c r="M267" i="2"/>
  <c r="L267" i="2"/>
  <c r="N267" i="2" s="1"/>
  <c r="L133" i="2"/>
  <c r="N133" i="2" s="1"/>
  <c r="M133" i="2"/>
  <c r="L183" i="2"/>
  <c r="N183" i="2" s="1"/>
  <c r="M183" i="2"/>
  <c r="M73" i="2"/>
  <c r="L73" i="2"/>
  <c r="N73" i="2" s="1"/>
  <c r="L76" i="2"/>
  <c r="N76" i="2" s="1"/>
  <c r="M76" i="2"/>
  <c r="L108" i="2"/>
  <c r="N108" i="2" s="1"/>
  <c r="L276" i="2"/>
  <c r="N276" i="2" s="1"/>
  <c r="L106" i="2"/>
  <c r="N106" i="2" s="1"/>
  <c r="M106" i="2"/>
  <c r="L48" i="2"/>
  <c r="N48" i="2" s="1"/>
  <c r="M48" i="2"/>
  <c r="M324" i="2"/>
  <c r="L324" i="2"/>
  <c r="N324" i="2" s="1"/>
  <c r="L150" i="2"/>
  <c r="N150" i="2" s="1"/>
  <c r="M150" i="2"/>
  <c r="M163" i="2"/>
  <c r="L163" i="2"/>
  <c r="N163" i="2" s="1"/>
  <c r="L340" i="2"/>
  <c r="N340" i="2" s="1"/>
  <c r="L382" i="2"/>
  <c r="N382" i="2" s="1"/>
  <c r="M382" i="2"/>
  <c r="L81" i="2"/>
  <c r="N81" i="2" s="1"/>
  <c r="M81" i="2"/>
  <c r="M57" i="2"/>
  <c r="L57" i="2"/>
  <c r="N57" i="2" s="1"/>
  <c r="M63" i="2"/>
  <c r="L63" i="2"/>
  <c r="N63" i="2" s="1"/>
  <c r="M213" i="2"/>
  <c r="L213" i="2"/>
  <c r="N213" i="2" s="1"/>
  <c r="M293" i="2"/>
  <c r="L293" i="2"/>
  <c r="N293" i="2" s="1"/>
  <c r="M207" i="2"/>
  <c r="L207" i="2"/>
  <c r="N207" i="2" s="1"/>
  <c r="L128" i="2"/>
  <c r="N128" i="2" s="1"/>
  <c r="M128" i="2"/>
  <c r="L282" i="2"/>
  <c r="N282" i="2" s="1"/>
  <c r="M282" i="2"/>
  <c r="M341" i="2"/>
  <c r="L341" i="2"/>
  <c r="N341" i="2" s="1"/>
  <c r="M131" i="2"/>
  <c r="L131" i="2"/>
  <c r="N131" i="2" s="1"/>
  <c r="M192" i="2"/>
  <c r="L192" i="2"/>
  <c r="N192" i="2" s="1"/>
  <c r="M234" i="2"/>
  <c r="L234" i="2"/>
  <c r="N234" i="2" s="1"/>
  <c r="L66" i="2"/>
  <c r="N66" i="2" s="1"/>
  <c r="M66" i="2"/>
  <c r="M210" i="2"/>
  <c r="L210" i="2"/>
  <c r="N210" i="2" s="1"/>
  <c r="L381" i="2"/>
  <c r="N381" i="2" s="1"/>
  <c r="M381" i="2"/>
  <c r="M375" i="2"/>
  <c r="L375" i="2"/>
  <c r="N375" i="2" s="1"/>
  <c r="M325" i="2"/>
  <c r="L325" i="2"/>
  <c r="N325" i="2" s="1"/>
  <c r="L317" i="2"/>
  <c r="N317" i="2" s="1"/>
  <c r="M317" i="2"/>
  <c r="M285" i="2"/>
  <c r="L285" i="2"/>
  <c r="N285" i="2" s="1"/>
  <c r="M208" i="2"/>
  <c r="L208" i="2"/>
  <c r="N208" i="2" s="1"/>
  <c r="M251" i="2"/>
  <c r="L251" i="2"/>
  <c r="N251" i="2" s="1"/>
  <c r="M62" i="2"/>
  <c r="L62" i="2"/>
  <c r="N62" i="2" s="1"/>
  <c r="M379" i="2"/>
  <c r="L379" i="2"/>
  <c r="N379" i="2" s="1"/>
  <c r="L386" i="2"/>
  <c r="N386" i="2" s="1"/>
  <c r="M386" i="2"/>
  <c r="L253" i="2"/>
  <c r="N253" i="2" s="1"/>
  <c r="M253" i="2"/>
  <c r="M376" i="2"/>
  <c r="L376" i="2"/>
  <c r="N376" i="2" s="1"/>
  <c r="M155" i="2"/>
  <c r="L155" i="2"/>
  <c r="N155" i="2" s="1"/>
  <c r="M89" i="2"/>
  <c r="L89" i="2"/>
  <c r="N89" i="2" s="1"/>
  <c r="M181" i="2"/>
  <c r="L181" i="2"/>
  <c r="N181" i="2" s="1"/>
  <c r="M88" i="2"/>
  <c r="L88" i="2"/>
  <c r="N88" i="2" s="1"/>
  <c r="L182" i="2"/>
  <c r="N182" i="2" s="1"/>
  <c r="M182" i="2"/>
  <c r="L90" i="2"/>
  <c r="N90" i="2" s="1"/>
  <c r="M90" i="2"/>
  <c r="L394" i="2"/>
  <c r="N394" i="2" s="1"/>
  <c r="M394" i="2"/>
  <c r="L223" i="2"/>
  <c r="N223" i="2" s="1"/>
  <c r="M223" i="2"/>
  <c r="M83" i="2"/>
  <c r="L83" i="2"/>
  <c r="N83" i="2" s="1"/>
  <c r="M216" i="2"/>
  <c r="L216" i="2"/>
  <c r="N216" i="2" s="1"/>
  <c r="L193" i="2"/>
  <c r="N193" i="2" s="1"/>
  <c r="M193" i="2"/>
  <c r="M397" i="2"/>
  <c r="L397" i="2"/>
  <c r="N397" i="2" s="1"/>
  <c r="L45" i="2"/>
  <c r="N45" i="2" s="1"/>
  <c r="L138" i="2"/>
  <c r="N138" i="2" s="1"/>
  <c r="L299" i="2"/>
  <c r="N299" i="2" s="1"/>
  <c r="M299" i="2"/>
  <c r="M366" i="2"/>
  <c r="L366" i="2"/>
  <c r="N366" i="2" s="1"/>
  <c r="L339" i="2"/>
  <c r="N339" i="2" s="1"/>
  <c r="M339" i="2"/>
  <c r="L136" i="2"/>
  <c r="N136" i="2" s="1"/>
  <c r="M136" i="2"/>
  <c r="L392" i="2"/>
  <c r="N392" i="2" s="1"/>
  <c r="M371" i="2"/>
  <c r="L371" i="2"/>
  <c r="N371" i="2" s="1"/>
  <c r="L69" i="2"/>
  <c r="N69" i="2" s="1"/>
  <c r="M69" i="2"/>
  <c r="M321" i="2"/>
  <c r="L321" i="2"/>
  <c r="N321" i="2" s="1"/>
  <c r="L245" i="2"/>
  <c r="N245" i="2" s="1"/>
  <c r="M245" i="2"/>
  <c r="M384" i="2"/>
  <c r="L384" i="2"/>
  <c r="N384" i="2" s="1"/>
  <c r="L236" i="2"/>
  <c r="N236" i="2" s="1"/>
  <c r="M236" i="2"/>
  <c r="M179" i="2"/>
  <c r="L179" i="2"/>
  <c r="N179" i="2" s="1"/>
  <c r="M263" i="2"/>
  <c r="L263" i="2"/>
  <c r="N263" i="2" s="1"/>
  <c r="M98" i="2"/>
  <c r="L98" i="2"/>
  <c r="N98" i="2" s="1"/>
  <c r="L169" i="2"/>
  <c r="N169" i="2" s="1"/>
  <c r="M169" i="2"/>
  <c r="L219" i="2"/>
  <c r="N219" i="2" s="1"/>
  <c r="M219" i="2"/>
  <c r="M65" i="2"/>
  <c r="L65" i="2"/>
  <c r="N65" i="2" s="1"/>
  <c r="L71" i="2"/>
  <c r="N71" i="2" s="1"/>
  <c r="M71" i="2"/>
  <c r="L398" i="2"/>
  <c r="N398" i="2" s="1"/>
  <c r="M398" i="2"/>
  <c r="M156" i="2"/>
  <c r="L156" i="2"/>
  <c r="N156" i="2" s="1"/>
  <c r="M188" i="2"/>
  <c r="L188" i="2"/>
  <c r="N188" i="2" s="1"/>
  <c r="L175" i="2"/>
  <c r="N175" i="2" s="1"/>
  <c r="M175" i="2"/>
  <c r="M147" i="2"/>
  <c r="L147" i="2"/>
  <c r="N147" i="2" s="1"/>
  <c r="M249" i="2"/>
  <c r="L249" i="2"/>
  <c r="N249" i="2" s="1"/>
  <c r="L84" i="2"/>
  <c r="N84" i="2" s="1"/>
  <c r="M84" i="2"/>
  <c r="L237" i="2"/>
  <c r="N237" i="2" s="1"/>
  <c r="M237" i="2"/>
  <c r="L268" i="2"/>
  <c r="N268" i="2" s="1"/>
  <c r="M268" i="2"/>
  <c r="M185" i="2"/>
  <c r="L185" i="2"/>
  <c r="N185" i="2" s="1"/>
  <c r="L86" i="2"/>
  <c r="N86" i="2" s="1"/>
  <c r="M86" i="2"/>
  <c r="L102" i="2"/>
  <c r="N102" i="2" s="1"/>
  <c r="M102" i="2"/>
  <c r="M388" i="2"/>
  <c r="L388" i="2"/>
  <c r="N388" i="2" s="1"/>
  <c r="L265" i="2"/>
  <c r="N265" i="2" s="1"/>
  <c r="M265" i="2"/>
  <c r="L92" i="2"/>
  <c r="N92" i="2" s="1"/>
  <c r="M92" i="2"/>
  <c r="M209" i="2"/>
  <c r="L209" i="2"/>
  <c r="N209" i="2" s="1"/>
  <c r="L103" i="2"/>
  <c r="N103" i="2" s="1"/>
  <c r="M103" i="2"/>
  <c r="M168" i="2"/>
  <c r="L168" i="2"/>
  <c r="N168" i="2" s="1"/>
  <c r="L271" i="2"/>
  <c r="N271" i="2" s="1"/>
  <c r="M271" i="2"/>
  <c r="M270" i="2"/>
  <c r="L270" i="2"/>
  <c r="N270" i="2" s="1"/>
  <c r="M167" i="2"/>
  <c r="L167" i="2"/>
  <c r="N167" i="2" s="1"/>
  <c r="M129" i="2"/>
  <c r="L129" i="2"/>
  <c r="N129" i="2" s="1"/>
  <c r="M250" i="2"/>
  <c r="L250" i="2"/>
  <c r="N250" i="2" s="1"/>
  <c r="M329" i="2"/>
  <c r="L329" i="2"/>
  <c r="N329" i="2" s="1"/>
  <c r="L272" i="2"/>
  <c r="N272" i="2" s="1"/>
  <c r="M272" i="2"/>
  <c r="L60" i="2"/>
  <c r="N60" i="2" s="1"/>
  <c r="M60" i="2"/>
  <c r="M146" i="2"/>
  <c r="L146" i="2"/>
  <c r="N146" i="2" s="1"/>
  <c r="M289" i="2"/>
  <c r="L289" i="2"/>
  <c r="N289" i="2" s="1"/>
  <c r="M101" i="2"/>
  <c r="L101" i="2"/>
  <c r="N101" i="2" s="1"/>
  <c r="L378" i="2"/>
  <c r="N378" i="2" s="1"/>
  <c r="M378" i="2"/>
  <c r="L320" i="2"/>
  <c r="N320" i="2" s="1"/>
  <c r="M320" i="2"/>
  <c r="M95" i="2"/>
  <c r="L95" i="2"/>
  <c r="N95" i="2" s="1"/>
  <c r="M154" i="2"/>
  <c r="L154" i="2"/>
  <c r="N154" i="2" s="1"/>
  <c r="L198" i="2"/>
  <c r="N198" i="2" s="1"/>
  <c r="L306" i="2"/>
  <c r="N306" i="2" s="1"/>
  <c r="M305" i="2"/>
  <c r="L305" i="2"/>
  <c r="N305" i="2" s="1"/>
  <c r="L348" i="2"/>
  <c r="N348" i="2" s="1"/>
  <c r="M348" i="2"/>
  <c r="M380" i="2"/>
  <c r="L380" i="2"/>
  <c r="N380" i="2" s="1"/>
  <c r="L199" i="2"/>
  <c r="N199" i="2" s="1"/>
  <c r="M199" i="2"/>
  <c r="L224" i="2"/>
  <c r="N224" i="2" s="1"/>
  <c r="L105" i="2"/>
  <c r="N105" i="2" s="1"/>
  <c r="M385" i="2"/>
  <c r="L385" i="2"/>
  <c r="N385" i="2" s="1"/>
  <c r="M97" i="2"/>
  <c r="L97" i="2"/>
  <c r="N97" i="2" s="1"/>
  <c r="M400" i="2"/>
  <c r="L400" i="2"/>
  <c r="N400" i="2" s="1"/>
  <c r="L300" i="2"/>
  <c r="N300" i="2" s="1"/>
  <c r="M300" i="2"/>
  <c r="M135" i="2"/>
  <c r="L135" i="2"/>
  <c r="N135" i="2" s="1"/>
  <c r="M331" i="2"/>
  <c r="L331" i="2"/>
  <c r="N331" i="2" s="1"/>
  <c r="L178" i="2"/>
  <c r="N178" i="2" s="1"/>
  <c r="M178" i="2"/>
  <c r="M153" i="2"/>
  <c r="L153" i="2"/>
  <c r="N153" i="2" s="1"/>
  <c r="M87" i="2"/>
  <c r="L87" i="2"/>
  <c r="N87" i="2" s="1"/>
  <c r="M94" i="2"/>
  <c r="L94" i="2"/>
  <c r="N94" i="2" s="1"/>
  <c r="M356" i="2"/>
  <c r="L356" i="2"/>
  <c r="N356" i="2" s="1"/>
  <c r="L117" i="2"/>
  <c r="N117" i="2" s="1"/>
  <c r="M117" i="2"/>
  <c r="L68" i="2"/>
  <c r="N68" i="2" s="1"/>
  <c r="M68" i="2"/>
  <c r="M159" i="2"/>
  <c r="L159" i="2"/>
  <c r="N159" i="2" s="1"/>
  <c r="M399" i="2"/>
  <c r="L399" i="2"/>
  <c r="N399" i="2" s="1"/>
  <c r="L164" i="2"/>
  <c r="N164" i="2" s="1"/>
  <c r="M164" i="2"/>
  <c r="M67" i="2"/>
  <c r="L67" i="2"/>
  <c r="N67" i="2" s="1"/>
  <c r="L255" i="2"/>
  <c r="N255" i="2" s="1"/>
  <c r="M255" i="2"/>
  <c r="M243" i="2"/>
  <c r="L243" i="2"/>
  <c r="N243" i="2" s="1"/>
  <c r="L64" i="2"/>
  <c r="N64" i="2" s="1"/>
  <c r="M64" i="2"/>
  <c r="L252" i="2"/>
  <c r="N252" i="2" s="1"/>
  <c r="M252" i="2"/>
  <c r="L111" i="2"/>
  <c r="N111" i="2" s="1"/>
  <c r="M111" i="2"/>
  <c r="L225" i="2"/>
  <c r="N225" i="2" s="1"/>
  <c r="M225" i="2"/>
  <c r="L152" i="2"/>
  <c r="N152" i="2" s="1"/>
  <c r="M152" i="2"/>
  <c r="L201" i="2"/>
  <c r="N201" i="2" s="1"/>
  <c r="M201" i="2"/>
  <c r="M374" i="2"/>
  <c r="L374" i="2"/>
  <c r="N374" i="2" s="1"/>
  <c r="L357" i="2"/>
  <c r="N357" i="2" s="1"/>
  <c r="M357" i="2"/>
  <c r="M258" i="2"/>
  <c r="L258" i="2"/>
  <c r="N258" i="2" s="1"/>
  <c r="L361" i="2"/>
  <c r="N361" i="2" s="1"/>
  <c r="M361" i="2"/>
  <c r="M328" i="2"/>
  <c r="L328" i="2"/>
  <c r="N328" i="2" s="1"/>
  <c r="L127" i="2"/>
  <c r="N127" i="2" s="1"/>
  <c r="M127" i="2"/>
  <c r="M327" i="2"/>
  <c r="L327" i="2"/>
  <c r="N327" i="2" s="1"/>
  <c r="L53" i="2"/>
  <c r="N53" i="2" s="1"/>
  <c r="M53" i="2"/>
  <c r="M172" i="2"/>
  <c r="L172" i="2"/>
  <c r="N172" i="2" s="1"/>
  <c r="M338" i="2"/>
  <c r="L338" i="2"/>
  <c r="N338" i="2" s="1"/>
  <c r="L347" i="2"/>
  <c r="N347" i="2" s="1"/>
  <c r="M347" i="2"/>
  <c r="L292" i="2"/>
  <c r="N292" i="2" s="1"/>
  <c r="M292" i="2"/>
  <c r="M284" i="2"/>
  <c r="L284" i="2"/>
  <c r="N284" i="2" s="1"/>
  <c r="L112" i="2"/>
  <c r="N112" i="2" s="1"/>
  <c r="M112" i="2"/>
  <c r="L395" i="2"/>
  <c r="N395" i="2" s="1"/>
  <c r="M395" i="2"/>
  <c r="L139" i="2"/>
  <c r="N139" i="2" s="1"/>
  <c r="M139" i="2"/>
  <c r="L51" i="2"/>
  <c r="N51" i="2" s="1"/>
  <c r="M51" i="2"/>
  <c r="M278" i="2"/>
  <c r="L278" i="2"/>
  <c r="N278" i="2" s="1"/>
  <c r="M354" i="2"/>
  <c r="L354" i="2"/>
  <c r="N354" i="2" s="1"/>
  <c r="M336" i="2"/>
  <c r="L336" i="2"/>
  <c r="N336" i="2" s="1"/>
  <c r="M77" i="2"/>
  <c r="L77" i="2"/>
  <c r="N77" i="2" s="1"/>
  <c r="L350" i="2"/>
  <c r="N350" i="2" s="1"/>
  <c r="L387" i="2"/>
  <c r="N387" i="2" s="1"/>
  <c r="L319" i="2"/>
  <c r="N319" i="2" s="1"/>
  <c r="M233" i="2"/>
  <c r="L233" i="2"/>
  <c r="N233" i="2" s="1"/>
  <c r="M402" i="2"/>
  <c r="L402" i="2"/>
  <c r="N402" i="2" s="1"/>
  <c r="M311" i="2"/>
  <c r="L311" i="2"/>
  <c r="N311" i="2" s="1"/>
  <c r="M151" i="2"/>
  <c r="L151" i="2"/>
  <c r="N151" i="2" s="1"/>
  <c r="M132" i="2"/>
  <c r="L132" i="2"/>
  <c r="N132" i="2" s="1"/>
  <c r="L189" i="2"/>
  <c r="N189" i="2" s="1"/>
  <c r="L149" i="2"/>
  <c r="N149" i="2" s="1"/>
  <c r="L204" i="2"/>
  <c r="N204" i="2" s="1"/>
  <c r="L232" i="2"/>
  <c r="N232" i="2" s="1"/>
  <c r="M232" i="2"/>
  <c r="M32" i="2"/>
  <c r="M34" i="2"/>
  <c r="M38" i="2"/>
  <c r="M10" i="2"/>
  <c r="M27" i="2"/>
  <c r="M36" i="2"/>
  <c r="M39" i="2"/>
  <c r="M22" i="2"/>
  <c r="M13" i="2"/>
  <c r="M18" i="2"/>
  <c r="M35" i="2"/>
  <c r="M20" i="2"/>
  <c r="M31" i="2"/>
  <c r="M29" i="2"/>
  <c r="M33" i="2"/>
  <c r="L678" i="1"/>
  <c r="L693" i="1" s="1"/>
  <c r="L695" i="1" s="1"/>
  <c r="M8" i="2"/>
  <c r="M26" i="2"/>
  <c r="M15" i="2"/>
  <c r="M9" i="2"/>
  <c r="M23" i="2"/>
  <c r="M14" i="2"/>
  <c r="M11" i="2"/>
  <c r="M16" i="2"/>
  <c r="M19" i="2"/>
  <c r="M12" i="2"/>
  <c r="M21" i="2"/>
  <c r="L692" i="1"/>
  <c r="K671" i="1"/>
  <c r="L777" i="1"/>
  <c r="L814" i="1"/>
  <c r="L59" i="2" l="1"/>
  <c r="N59" i="2" s="1"/>
  <c r="Q3" i="2" s="1"/>
  <c r="P5" i="2" s="1"/>
  <c r="P7" i="2" s="1"/>
  <c r="L33" i="2"/>
  <c r="N33" i="2" s="1"/>
  <c r="L35" i="2"/>
  <c r="N35" i="2" s="1"/>
  <c r="N28" i="2"/>
  <c r="M28" i="2"/>
  <c r="N3" i="2"/>
  <c r="M3" i="2"/>
  <c r="N24" i="2"/>
  <c r="M24" i="2"/>
  <c r="N25" i="2"/>
  <c r="M25" i="2"/>
  <c r="M17" i="2"/>
  <c r="N5" i="2"/>
  <c r="P11" i="2" s="1"/>
  <c r="M5" i="2"/>
  <c r="N7" i="2"/>
  <c r="M7" i="2"/>
  <c r="N37" i="2"/>
  <c r="M37" i="2"/>
  <c r="N6" i="2"/>
  <c r="M6" i="2"/>
  <c r="N40" i="2"/>
  <c r="M40" i="2"/>
  <c r="K679" i="1"/>
  <c r="L700" i="1"/>
  <c r="L702" i="1" s="1"/>
  <c r="L709" i="1" s="1"/>
  <c r="K912" i="1"/>
  <c r="Q7" i="2" l="1"/>
  <c r="Q9" i="2"/>
  <c r="Q11" i="2"/>
  <c r="Q5" i="2"/>
  <c r="P9" i="2"/>
  <c r="L703" i="1"/>
  <c r="K694" i="1"/>
  <c r="K717" i="1"/>
  <c r="K720" i="1" s="1"/>
  <c r="L710" i="1"/>
  <c r="L712" i="1"/>
  <c r="L718" i="1" s="1"/>
  <c r="L797" i="1"/>
  <c r="L837" i="1"/>
  <c r="K699" i="1" l="1"/>
  <c r="K707" i="1" s="1"/>
  <c r="K698" i="1"/>
  <c r="K729" i="1" s="1"/>
  <c r="K708" i="1"/>
  <c r="K732" i="1"/>
  <c r="K735" i="1" s="1"/>
  <c r="L721" i="1"/>
  <c r="L851" i="1"/>
  <c r="K728" i="1" l="1"/>
  <c r="K744" i="1"/>
  <c r="K748" i="1" s="1"/>
  <c r="K749" i="1"/>
  <c r="L722" i="1"/>
  <c r="L726" i="1" s="1"/>
  <c r="L855" i="1"/>
  <c r="L733" i="1" l="1"/>
  <c r="L746" i="1" s="1"/>
  <c r="L754" i="1" s="1"/>
  <c r="L791" i="1"/>
  <c r="L810" i="1"/>
  <c r="L812" i="1" s="1"/>
  <c r="L750" i="1"/>
  <c r="L752" i="1" s="1"/>
  <c r="K751" i="1"/>
  <c r="K757" i="1" s="1"/>
  <c r="K879" i="1"/>
  <c r="L794" i="1" l="1"/>
  <c r="L816" i="1"/>
  <c r="L818" i="1" s="1"/>
  <c r="L820" i="1" s="1"/>
  <c r="K758" i="1"/>
  <c r="K795" i="1" s="1"/>
  <c r="K927" i="1"/>
  <c r="L822" i="1" l="1"/>
  <c r="L828" i="1" s="1"/>
  <c r="K796" i="1"/>
  <c r="K800" i="1" l="1"/>
  <c r="L830" i="1"/>
  <c r="K834" i="1"/>
  <c r="L867" i="1"/>
  <c r="K811" i="1" l="1"/>
  <c r="L840" i="1"/>
  <c r="K841" i="1"/>
  <c r="K866" i="1"/>
  <c r="K873" i="1" s="1"/>
  <c r="L863" i="1" l="1"/>
  <c r="L864" i="1"/>
  <c r="K821" i="1"/>
  <c r="K823" i="1" s="1"/>
  <c r="K815" i="1"/>
  <c r="L861" i="1"/>
  <c r="L868" i="1"/>
  <c r="L911" i="1"/>
  <c r="K1019" i="1"/>
  <c r="L869" i="1" l="1"/>
  <c r="L874" i="1" s="1"/>
  <c r="K817" i="1"/>
  <c r="K957" i="1"/>
  <c r="L877" i="1"/>
  <c r="L875" i="1"/>
  <c r="L913" i="1"/>
  <c r="K819" i="1" l="1"/>
  <c r="K825" i="1"/>
  <c r="K839" i="1" s="1"/>
  <c r="K842" i="1" s="1"/>
  <c r="K849" i="1" s="1"/>
  <c r="K852" i="1" s="1"/>
  <c r="L892" i="1"/>
  <c r="L992" i="1"/>
  <c r="K829" i="1" l="1"/>
  <c r="K890" i="1"/>
  <c r="K894" i="1" s="1"/>
  <c r="K900" i="1" s="1"/>
  <c r="K904" i="1" s="1"/>
  <c r="L898" i="1"/>
  <c r="K833" i="1" l="1"/>
  <c r="K937" i="1"/>
  <c r="K1001" i="1"/>
  <c r="K1003" i="1" s="1"/>
  <c r="K1013" i="1" s="1"/>
  <c r="K1016" i="1" s="1"/>
  <c r="L901" i="1"/>
  <c r="K955" i="1" l="1"/>
  <c r="K865" i="1"/>
  <c r="K870" i="1" s="1"/>
  <c r="K958" i="1"/>
  <c r="K1027" i="1"/>
  <c r="K1029" i="1" s="1"/>
  <c r="L908" i="1"/>
  <c r="K1111" i="1"/>
  <c r="L1056" i="1"/>
  <c r="L1020" i="1"/>
  <c r="K886" i="1" l="1"/>
  <c r="K878" i="1"/>
  <c r="K943" i="1"/>
  <c r="K946" i="1" s="1"/>
  <c r="K953" i="1" s="1"/>
  <c r="K931" i="1"/>
  <c r="K934" i="1" s="1"/>
  <c r="K974" i="1"/>
  <c r="L914" i="1"/>
  <c r="L938" i="1" s="1"/>
  <c r="K1018" i="1"/>
  <c r="K1022" i="1" s="1"/>
  <c r="K1035" i="1"/>
  <c r="L922" i="1"/>
  <c r="L951" i="1" s="1"/>
  <c r="K1080" i="1"/>
  <c r="K1122" i="1"/>
  <c r="K1139" i="1"/>
  <c r="K1142" i="1" s="1"/>
  <c r="K1144" i="1" s="1"/>
  <c r="K889" i="1" l="1"/>
  <c r="K1032" i="1"/>
  <c r="L933" i="1"/>
  <c r="L939" i="1"/>
  <c r="L940" i="1" s="1"/>
  <c r="L942" i="1" s="1"/>
  <c r="L973" i="1"/>
  <c r="L991" i="1" s="1"/>
  <c r="K1004" i="1"/>
  <c r="K993" i="1"/>
  <c r="K1039" i="1" s="1"/>
  <c r="K1045" i="1"/>
  <c r="K1048" i="1" s="1"/>
  <c r="L956" i="1"/>
  <c r="L995" i="1" s="1"/>
  <c r="K1034" i="1" l="1"/>
  <c r="L944" i="1"/>
  <c r="L948" i="1"/>
  <c r="K1051" i="1"/>
  <c r="K1061" i="1" s="1"/>
  <c r="K1063" i="1" s="1"/>
  <c r="K1070" i="1" s="1"/>
  <c r="K1071" i="1" s="1"/>
  <c r="L996" i="1"/>
  <c r="L1002" i="1" s="1"/>
  <c r="L1028" i="1"/>
  <c r="K1053" i="1" l="1"/>
  <c r="L1010" i="1"/>
  <c r="K1109" i="1"/>
  <c r="K1146" i="1" s="1"/>
  <c r="L1017" i="1"/>
  <c r="L1021" i="1" s="1"/>
  <c r="L1024" i="1" s="1"/>
  <c r="K1200" i="1"/>
  <c r="K1203" i="1" s="1"/>
  <c r="L1030" i="1"/>
  <c r="K1223" i="1"/>
  <c r="L1011" i="1" l="1"/>
  <c r="K1072" i="1"/>
  <c r="K1060" i="1"/>
  <c r="K1077" i="1"/>
  <c r="K1116" i="1"/>
  <c r="L1046" i="1"/>
  <c r="K1148" i="1"/>
  <c r="K1157" i="1" s="1"/>
  <c r="K1214" i="1"/>
  <c r="K1252" i="1"/>
  <c r="L1050" i="1"/>
  <c r="K1084" i="1" l="1"/>
  <c r="K1090" i="1" s="1"/>
  <c r="K1099" i="1" s="1"/>
  <c r="L1014" i="1"/>
  <c r="L1025" i="1"/>
  <c r="L1031" i="1" s="1"/>
  <c r="L1033" i="1" s="1"/>
  <c r="K1125" i="1"/>
  <c r="K1172" i="1"/>
  <c r="K1265" i="1"/>
  <c r="L1052" i="1"/>
  <c r="L1055" i="1" s="1"/>
  <c r="L1058" i="1"/>
  <c r="L1062" i="1"/>
  <c r="L1065" i="1" s="1"/>
  <c r="L1059" i="1" l="1"/>
  <c r="K1104" i="1"/>
  <c r="K1130" i="1"/>
  <c r="K1134" i="1" s="1"/>
  <c r="K1176" i="1"/>
  <c r="L1074" i="1"/>
  <c r="L1079" i="1" s="1"/>
  <c r="K1273" i="1"/>
  <c r="K1291" i="1"/>
  <c r="K1106" i="1" l="1"/>
  <c r="L1075" i="1"/>
  <c r="K1180" i="1"/>
  <c r="L1121" i="1"/>
  <c r="L1129" i="1" s="1"/>
  <c r="K1161" i="1" l="1"/>
  <c r="K1162" i="1" s="1"/>
  <c r="L1078" i="1"/>
  <c r="K1168" i="1"/>
  <c r="L1131" i="1"/>
  <c r="K1189" i="1"/>
  <c r="L1138" i="1"/>
  <c r="K1187" i="1" l="1"/>
  <c r="K1193" i="1" s="1"/>
  <c r="L1088" i="1"/>
  <c r="K1220" i="1"/>
  <c r="K1290" i="1"/>
  <c r="L1140" i="1"/>
  <c r="K1212" i="1" l="1"/>
  <c r="K1210" i="1"/>
  <c r="K1217" i="1"/>
  <c r="K1219" i="1" s="1"/>
  <c r="L1095" i="1"/>
  <c r="K1248" i="1"/>
  <c r="K1224" i="1"/>
  <c r="L1145" i="1"/>
  <c r="L1147" i="1" s="1"/>
  <c r="L1143" i="1"/>
  <c r="L1102" i="1" l="1"/>
  <c r="L1105" i="1" s="1"/>
  <c r="K1253" i="1"/>
  <c r="L1151" i="1"/>
  <c r="L1156" i="1"/>
  <c r="L1464" i="1"/>
  <c r="K1461" i="1"/>
  <c r="K1266" i="1" l="1"/>
  <c r="K1285" i="1"/>
  <c r="L1155" i="1"/>
  <c r="K1295" i="1"/>
  <c r="K1301" i="1" s="1"/>
  <c r="L1175" i="1"/>
  <c r="L1178" i="1" s="1"/>
  <c r="L1181" i="1" s="1"/>
  <c r="L1158" i="1"/>
  <c r="L1160" i="1" s="1"/>
  <c r="K1389" i="1"/>
  <c r="L1303" i="1"/>
  <c r="K1272" i="1" l="1"/>
  <c r="K1280" i="1" s="1"/>
  <c r="K1282" i="1" s="1"/>
  <c r="K1283" i="1" s="1"/>
  <c r="L1185" i="1"/>
  <c r="L1192" i="1" s="1"/>
  <c r="L1194" i="1" s="1"/>
  <c r="K1313" i="1"/>
  <c r="K1315" i="1" s="1"/>
  <c r="K1355" i="1" s="1"/>
  <c r="K1288" i="1"/>
  <c r="K1306" i="1" s="1"/>
  <c r="K1311" i="1" s="1"/>
  <c r="L1190" i="1"/>
  <c r="L1198" i="1"/>
  <c r="L1202" i="1" s="1"/>
  <c r="K1469" i="1"/>
  <c r="L1477" i="1"/>
  <c r="K1329" i="1" l="1"/>
  <c r="K1332" i="1" s="1"/>
  <c r="K1337" i="1" s="1"/>
  <c r="K1345" i="1" s="1"/>
  <c r="K1349" i="1" s="1"/>
  <c r="K1353" i="1" s="1"/>
  <c r="L1204" i="1"/>
  <c r="K1404" i="1"/>
  <c r="K1564" i="1"/>
  <c r="K1578" i="1" s="1"/>
  <c r="K1583" i="1" s="1"/>
  <c r="K1586" i="1" s="1"/>
  <c r="L1577" i="1"/>
  <c r="L1579" i="1" s="1"/>
  <c r="L1585" i="1" s="1"/>
  <c r="L1589" i="1" s="1"/>
  <c r="K1385" i="1" l="1"/>
  <c r="K1392" i="1" s="1"/>
  <c r="K1361" i="1"/>
  <c r="L1205" i="1"/>
  <c r="L1260" i="1"/>
  <c r="K1425" i="1"/>
  <c r="L1247" i="1"/>
  <c r="K1502" i="1"/>
  <c r="L1251" i="1"/>
  <c r="L1264" i="1"/>
  <c r="K1379" i="1" l="1"/>
  <c r="K1452" i="1"/>
  <c r="L1208" i="1"/>
  <c r="K1396" i="1"/>
  <c r="K1438" i="1" s="1"/>
  <c r="L1270" i="1"/>
  <c r="K1426" i="1" l="1"/>
  <c r="K1433" i="1" s="1"/>
  <c r="K1435" i="1" s="1"/>
  <c r="K1451" i="1"/>
  <c r="L1218" i="1"/>
  <c r="K1455" i="1"/>
  <c r="K1465" i="1"/>
  <c r="K1484" i="1" s="1"/>
  <c r="K1492" i="1" s="1"/>
  <c r="L1302" i="1"/>
  <c r="K1547" i="1"/>
  <c r="K1449" i="1" l="1"/>
  <c r="K1532" i="1" s="1"/>
  <c r="K1542" i="1" s="1"/>
  <c r="K1506" i="1"/>
  <c r="K1507" i="1" s="1"/>
  <c r="K1460" i="1"/>
  <c r="K1482" i="1" s="1"/>
  <c r="K1495" i="1"/>
  <c r="L1222" i="1"/>
  <c r="L1314" i="1"/>
  <c r="L1317" i="1" s="1"/>
  <c r="K1549" i="1"/>
  <c r="K1743" i="1"/>
  <c r="L1660" i="1"/>
  <c r="K1544" i="1" l="1"/>
  <c r="L1249" i="1"/>
  <c r="K1553" i="1"/>
  <c r="K1748" i="1"/>
  <c r="L1271" i="1" l="1"/>
  <c r="L1279" i="1" s="1"/>
  <c r="L1281" i="1" s="1"/>
  <c r="L1300" i="1" s="1"/>
  <c r="L1261" i="1"/>
  <c r="L1263" i="1" s="1"/>
  <c r="L1267" i="1" s="1"/>
  <c r="L1286" i="1"/>
  <c r="K1554" i="1"/>
  <c r="K1753" i="1"/>
  <c r="L1765" i="1"/>
  <c r="K1766" i="1"/>
  <c r="K1781" i="1"/>
  <c r="L1305" i="1" l="1"/>
  <c r="K1555" i="1"/>
  <c r="L1775" i="1"/>
  <c r="L1783" i="1"/>
  <c r="K1794" i="1"/>
  <c r="L1307" i="1" l="1"/>
  <c r="K1596" i="1"/>
  <c r="L1356" i="1"/>
  <c r="K1637" i="1"/>
  <c r="K1559" i="1"/>
  <c r="L1744" i="1"/>
  <c r="K1602" i="1" l="1"/>
  <c r="K1613" i="1" s="1"/>
  <c r="L1312" i="1"/>
  <c r="L1318" i="1"/>
  <c r="L1330" i="1" s="1"/>
  <c r="K1618" i="1"/>
  <c r="K1688" i="1"/>
  <c r="K1691" i="1" s="1"/>
  <c r="K1695" i="1" s="1"/>
  <c r="K1714" i="1" s="1"/>
  <c r="L1754" i="1"/>
  <c r="L1814" i="1"/>
  <c r="K1955" i="1"/>
  <c r="L1334" i="1" l="1"/>
  <c r="K1620" i="1"/>
  <c r="L1403" i="1"/>
  <c r="K1633" i="1" l="1"/>
  <c r="K1636" i="1"/>
  <c r="K1638" i="1"/>
  <c r="K1641" i="1" s="1"/>
  <c r="L1346" i="1"/>
  <c r="L1350" i="1" s="1"/>
  <c r="L1342" i="1"/>
  <c r="K1643" i="1"/>
  <c r="L1384" i="1" l="1"/>
  <c r="L1360" i="1"/>
  <c r="L1399" i="1"/>
  <c r="K1736" i="1"/>
  <c r="K1644" i="1"/>
  <c r="K1738" i="1"/>
  <c r="K1747" i="1" s="1"/>
  <c r="L1424" i="1"/>
  <c r="L1500" i="1"/>
  <c r="L1872" i="1"/>
  <c r="L1363" i="1" l="1"/>
  <c r="L1390" i="1"/>
  <c r="L1421" i="1" s="1"/>
  <c r="K1663" i="1"/>
  <c r="K1780" i="1"/>
  <c r="K1788" i="1" s="1"/>
  <c r="L1381" i="1" l="1"/>
  <c r="K1730" i="1"/>
  <c r="K1667" i="1"/>
  <c r="K1669" i="1" s="1"/>
  <c r="K1671" i="1" s="1"/>
  <c r="K1728" i="1" s="1"/>
  <c r="L1480" i="1"/>
  <c r="K1749" i="1"/>
  <c r="K1767" i="1" s="1"/>
  <c r="K1741" i="1"/>
  <c r="K1792" i="1"/>
  <c r="L1481" i="1"/>
  <c r="L1674" i="1"/>
  <c r="L1818" i="1"/>
  <c r="L1422" i="1" l="1"/>
  <c r="L1491" i="1"/>
  <c r="K1772" i="1"/>
  <c r="K1865" i="1"/>
  <c r="K1869" i="1" s="1"/>
  <c r="K2147" i="1"/>
  <c r="L1441" i="1" l="1"/>
  <c r="L1429" i="1"/>
  <c r="K1795" i="1"/>
  <c r="K1815" i="1"/>
  <c r="K1824" i="1" s="1"/>
  <c r="K1843" i="1" s="1"/>
  <c r="K1862" i="1" s="1"/>
  <c r="L1493" i="1"/>
  <c r="L1494" i="1" s="1"/>
  <c r="L1496" i="1" s="1"/>
  <c r="K1877" i="1"/>
  <c r="K1881" i="1" s="1"/>
  <c r="L1676" i="1"/>
  <c r="L1737" i="1" s="1"/>
  <c r="L1745" i="1" s="1"/>
  <c r="L1777" i="1" s="1"/>
  <c r="L1434" i="1" l="1"/>
  <c r="L1447" i="1"/>
  <c r="L1458" i="1" s="1"/>
  <c r="K1888" i="1"/>
  <c r="K1892" i="1"/>
  <c r="K1897" i="1"/>
  <c r="L1595" i="1"/>
  <c r="L1597" i="1" s="1"/>
  <c r="L1497" i="1"/>
  <c r="L1505" i="1" s="1"/>
  <c r="L1514" i="1" s="1"/>
  <c r="L1516" i="1" s="1"/>
  <c r="L1548" i="1" s="1"/>
  <c r="L1558" i="1"/>
  <c r="L1784" i="1"/>
  <c r="L1789" i="1" s="1"/>
  <c r="L1819" i="1" s="1"/>
  <c r="K1902" i="1"/>
  <c r="K2152" i="1"/>
  <c r="L1971" i="1"/>
  <c r="L1517" i="1" l="1"/>
  <c r="L1537" i="1" s="1"/>
  <c r="L1619" i="1"/>
  <c r="L1624" i="1" s="1"/>
  <c r="L1594" i="1"/>
  <c r="L1867" i="1"/>
  <c r="K1906" i="1"/>
  <c r="K2157" i="1"/>
  <c r="L1982" i="1"/>
  <c r="K2165" i="1"/>
  <c r="L1598" i="1" l="1"/>
  <c r="L1659" i="1"/>
  <c r="L1876" i="1"/>
  <c r="L1879" i="1" s="1"/>
  <c r="L1882" i="1" s="1"/>
  <c r="K1933" i="1"/>
  <c r="K1939" i="1" s="1"/>
  <c r="K1953" i="1"/>
  <c r="L1999" i="1"/>
  <c r="K2177" i="1"/>
  <c r="L1603" i="1" l="1"/>
  <c r="K1957" i="1"/>
  <c r="K1961" i="1" s="1"/>
  <c r="K1968" i="1" s="1"/>
  <c r="K1973" i="1" s="1"/>
  <c r="L1665" i="1"/>
  <c r="K1984" i="1"/>
  <c r="K1990" i="1" s="1"/>
  <c r="K2180" i="1"/>
  <c r="L2016" i="1"/>
  <c r="L2026" i="1" s="1"/>
  <c r="L2036" i="1" s="1"/>
  <c r="L1625" i="1" l="1"/>
  <c r="L1668" i="1"/>
  <c r="L1670" i="1" s="1"/>
  <c r="L1742" i="1"/>
  <c r="K1992" i="1"/>
  <c r="K2198" i="1"/>
  <c r="L1634" i="1" l="1"/>
  <c r="L1763" i="1"/>
  <c r="L1905" i="1"/>
  <c r="L1908" i="1" s="1"/>
  <c r="K1994" i="1"/>
  <c r="K2325" i="1"/>
  <c r="K2327" i="1" s="1"/>
  <c r="K2291" i="1"/>
  <c r="K2296" i="1" s="1"/>
  <c r="L2151" i="1"/>
  <c r="L2154" i="1" s="1"/>
  <c r="K2385" i="1"/>
  <c r="L1635" i="1" l="1"/>
  <c r="L1771" i="1"/>
  <c r="K2002" i="1"/>
  <c r="K1996" i="1"/>
  <c r="L2133" i="1"/>
  <c r="L2160" i="1"/>
  <c r="L1640" i="1" l="1"/>
  <c r="L1773" i="1"/>
  <c r="L1810" i="1" s="1"/>
  <c r="K2003" i="1"/>
  <c r="K2475" i="1"/>
  <c r="L1687" i="1" l="1"/>
  <c r="L1816" i="1"/>
  <c r="L1959" i="1"/>
  <c r="K2007" i="1"/>
  <c r="L1962" i="1"/>
  <c r="L2178" i="1"/>
  <c r="L1689" i="1" l="1"/>
  <c r="L1969" i="1"/>
  <c r="K2017" i="1"/>
  <c r="L2188" i="1"/>
  <c r="K2501" i="1"/>
  <c r="L1692" i="1" l="1"/>
  <c r="K2025" i="1"/>
  <c r="L1974" i="1"/>
  <c r="B3" i="2"/>
  <c r="L1709" i="1" l="1"/>
  <c r="L1983" i="1"/>
  <c r="K2027" i="1"/>
  <c r="L2324" i="1"/>
  <c r="L2326" i="1" s="1"/>
  <c r="L1722" i="1" l="1"/>
  <c r="L1725" i="1" s="1"/>
  <c r="L1985" i="1"/>
  <c r="L2042" i="1"/>
  <c r="K2041" i="1"/>
  <c r="K2045" i="1" s="1"/>
  <c r="K2046" i="1" s="1"/>
  <c r="K2047" i="1"/>
  <c r="K2054" i="1" s="1"/>
  <c r="L2057" i="1"/>
  <c r="L2069" i="1" s="1"/>
  <c r="L1821" i="1" l="1"/>
  <c r="L1991" i="1"/>
  <c r="L1993" i="1" s="1"/>
  <c r="L1998" i="1" s="1"/>
  <c r="L2006" i="1" s="1"/>
  <c r="L2071" i="1"/>
  <c r="L2087" i="1" s="1"/>
  <c r="L2094" i="1" s="1"/>
  <c r="L2098" i="1" s="1"/>
  <c r="L2100" i="1" s="1"/>
  <c r="K2059" i="1"/>
  <c r="L2200" i="1"/>
  <c r="K2063" i="1" l="1"/>
  <c r="L1828" i="1"/>
  <c r="L2013" i="1"/>
  <c r="L2039" i="1" s="1"/>
  <c r="K2070" i="1"/>
  <c r="K2074" i="1" s="1"/>
  <c r="K2079" i="1" s="1"/>
  <c r="K2080" i="1" s="1"/>
  <c r="L2478" i="1"/>
  <c r="L1859" i="1" l="1"/>
  <c r="K2081" i="1"/>
  <c r="K2086" i="1"/>
  <c r="K2088" i="1" s="1"/>
  <c r="L2500" i="1"/>
  <c r="K2084" i="1" l="1"/>
  <c r="L1887" i="1"/>
  <c r="L2109" i="1"/>
  <c r="K2096" i="1"/>
  <c r="L1889" i="1" l="1"/>
  <c r="L2117" i="1"/>
  <c r="L2120" i="1"/>
  <c r="L2132" i="1" s="1"/>
  <c r="K2099" i="1"/>
  <c r="L2292" i="1"/>
  <c r="L1893" i="1" l="1"/>
  <c r="L2118" i="1"/>
  <c r="L2137" i="1" s="1"/>
  <c r="L2135" i="1"/>
  <c r="K2102" i="1"/>
  <c r="L2311" i="1"/>
  <c r="L1918" i="1" l="1"/>
  <c r="K2106" i="1"/>
  <c r="L2159" i="1"/>
  <c r="L2148" i="1"/>
  <c r="K2107" i="1"/>
  <c r="L1935" i="1" l="1"/>
  <c r="L2161" i="1"/>
  <c r="L2168" i="1"/>
  <c r="L2187" i="1" s="1"/>
  <c r="L2170" i="1"/>
  <c r="L2173" i="1" s="1"/>
  <c r="K2113" i="1"/>
  <c r="L2040" i="1" l="1"/>
  <c r="K2119" i="1"/>
  <c r="L2189" i="1"/>
  <c r="L2234" i="1"/>
  <c r="L2055" i="1" l="1"/>
  <c r="L2065" i="1" s="1"/>
  <c r="L2043" i="1"/>
  <c r="K2121" i="1"/>
  <c r="K2124" i="1"/>
  <c r="K2146" i="1"/>
  <c r="L2195" i="1"/>
  <c r="K2149" i="1"/>
  <c r="L2358" i="1"/>
  <c r="L2072" i="1" l="1"/>
  <c r="L2075" i="1"/>
  <c r="K2145" i="1"/>
  <c r="L2202" i="1"/>
  <c r="L2206" i="1" s="1"/>
  <c r="L2209" i="1" s="1"/>
  <c r="K2164" i="1"/>
  <c r="K2158" i="1"/>
  <c r="L2366" i="1"/>
  <c r="L2082" i="1" l="1"/>
  <c r="L2073" i="1"/>
  <c r="L2212" i="1"/>
  <c r="L2250" i="1"/>
  <c r="L2281" i="1"/>
  <c r="L2285" i="1"/>
  <c r="L2354" i="1" s="1"/>
  <c r="K2172" i="1"/>
  <c r="K2175" i="1" s="1"/>
  <c r="K2167" i="1"/>
  <c r="L2078" i="1" l="1"/>
  <c r="L2218" i="1"/>
  <c r="L2313" i="1"/>
  <c r="L2323" i="1"/>
  <c r="L2350" i="1" s="1"/>
  <c r="L2353" i="1" s="1"/>
  <c r="L2388" i="1"/>
  <c r="K2181" i="1"/>
  <c r="L2213" i="1" l="1"/>
  <c r="L2235" i="1"/>
  <c r="L2355" i="1"/>
  <c r="L2405" i="1"/>
  <c r="L2413" i="1" s="1"/>
  <c r="L2414" i="1"/>
  <c r="L2415" i="1" s="1"/>
  <c r="K2191" i="1"/>
  <c r="K2196" i="1" s="1"/>
  <c r="K2205" i="1" s="1"/>
  <c r="K2214" i="1" s="1"/>
  <c r="K2216" i="1"/>
  <c r="L2421" i="1"/>
  <c r="L2222" i="1" l="1"/>
  <c r="L2240" i="1"/>
  <c r="L2252" i="1" s="1"/>
  <c r="L2368" i="1"/>
  <c r="L2416" i="1"/>
  <c r="K2227" i="1"/>
  <c r="K2232" i="1" s="1"/>
  <c r="L2241" i="1" l="1"/>
  <c r="L2258" i="1" s="1"/>
  <c r="L2262" i="1" s="1"/>
  <c r="L2257" i="1"/>
  <c r="L2371" i="1" s="1"/>
  <c r="K2231" i="1"/>
  <c r="K2238" i="1" s="1"/>
  <c r="K2246" i="1" s="1"/>
  <c r="K2244" i="1"/>
  <c r="L2427" i="1"/>
  <c r="K2248" i="1"/>
  <c r="L2423" i="1" l="1"/>
  <c r="L2430" i="1" s="1"/>
  <c r="K2256" i="1"/>
  <c r="K2264" i="1" s="1"/>
  <c r="K2270" i="1"/>
  <c r="L2436" i="1"/>
  <c r="K2277" i="1"/>
  <c r="K2280" i="1" s="1"/>
  <c r="K2283" i="1" s="1"/>
  <c r="L2457" i="1"/>
  <c r="L2461" i="1" s="1"/>
  <c r="K2272" i="1" l="1"/>
  <c r="K2273" i="1" s="1"/>
  <c r="K2284" i="1"/>
  <c r="K2288" i="1"/>
  <c r="K2314" i="1" s="1"/>
  <c r="L2445" i="1"/>
  <c r="K2359" i="1"/>
  <c r="K2287" i="1" l="1"/>
  <c r="K2328" i="1"/>
  <c r="K2352" i="1" s="1"/>
  <c r="K2392" i="1" s="1"/>
  <c r="L2449" i="1"/>
  <c r="L2451" i="1" s="1"/>
  <c r="L2454" i="1" s="1"/>
  <c r="L2456" i="1" s="1"/>
  <c r="K2373" i="1"/>
  <c r="K2374" i="1" s="1"/>
  <c r="K2375" i="1"/>
  <c r="K2384" i="1" l="1"/>
  <c r="K2391" i="1" s="1"/>
  <c r="K2383" i="1"/>
  <c r="K2406" i="1"/>
  <c r="K2417" i="1" s="1"/>
  <c r="L2467" i="1"/>
  <c r="L2469" i="1" s="1"/>
  <c r="K2419" i="1"/>
  <c r="L2499" i="1" l="1"/>
  <c r="L2471" i="1"/>
  <c r="L2505" i="1" s="1"/>
  <c r="K2422" i="1"/>
  <c r="C3" i="2" l="1"/>
  <c r="K2425" i="1"/>
  <c r="K2426" i="1"/>
  <c r="D3" i="2" l="1"/>
  <c r="E3" i="2"/>
  <c r="K2428" i="1"/>
  <c r="K2431" i="1" l="1"/>
  <c r="K2433" i="1"/>
  <c r="K2434" i="1" l="1"/>
  <c r="K2437" i="1" l="1"/>
  <c r="K2438" i="1" s="1"/>
  <c r="K2443" i="1" l="1"/>
  <c r="K2446" i="1" s="1"/>
  <c r="K2452" i="1" s="1"/>
  <c r="K2455" i="1" s="1"/>
  <c r="K2458" i="1" l="1"/>
  <c r="K2462" i="1" l="1"/>
  <c r="K2466" i="1" l="1"/>
  <c r="K2468" i="1" s="1"/>
  <c r="K2470" i="1" s="1"/>
  <c r="K2473" i="1" s="1"/>
  <c r="K2479" i="1" s="1"/>
  <c r="K2503" i="1" s="1"/>
  <c r="K2506" i="1" s="1"/>
  <c r="K2464" i="1"/>
  <c r="B383" i="2"/>
  <c r="D383" i="2" s="1"/>
  <c r="B303" i="2"/>
  <c r="D303" i="2" s="1"/>
  <c r="B239" i="2"/>
  <c r="D239" i="2" s="1"/>
  <c r="B180" i="2"/>
  <c r="B250" i="2"/>
  <c r="C250" i="2" s="1"/>
  <c r="E250" i="2" s="1"/>
  <c r="B19" i="2"/>
  <c r="B9" i="2"/>
  <c r="B23" i="2"/>
  <c r="B18" i="2"/>
  <c r="B15" i="2"/>
  <c r="B10" i="2"/>
  <c r="B16" i="2"/>
  <c r="B14" i="2"/>
  <c r="B12" i="2"/>
  <c r="B11" i="2"/>
  <c r="B21" i="2"/>
  <c r="B22" i="2"/>
  <c r="B20" i="2"/>
  <c r="B24" i="2"/>
  <c r="B13" i="2"/>
  <c r="B17" i="2"/>
  <c r="B26" i="2"/>
  <c r="B25" i="2"/>
  <c r="B27" i="2"/>
  <c r="B28" i="2"/>
  <c r="B30" i="2"/>
  <c r="B36" i="2"/>
  <c r="B35" i="2"/>
  <c r="B33" i="2"/>
  <c r="B29" i="2"/>
  <c r="B31" i="2"/>
  <c r="B37" i="2"/>
  <c r="B32" i="2"/>
  <c r="B34" i="2"/>
  <c r="B39" i="2"/>
  <c r="B38" i="2"/>
  <c r="B40" i="2"/>
  <c r="D180" i="2"/>
  <c r="C180" i="2"/>
  <c r="E180" i="2" s="1"/>
  <c r="D250" i="2"/>
  <c r="B174" i="2"/>
  <c r="B43" i="2"/>
  <c r="B59" i="2"/>
  <c r="B45" i="2"/>
  <c r="C45" i="2" s="1"/>
  <c r="B56" i="2"/>
  <c r="B42" i="2"/>
  <c r="B61" i="2"/>
  <c r="B62" i="2"/>
  <c r="B53" i="2"/>
  <c r="B41" i="2"/>
  <c r="C41" i="2" s="1"/>
  <c r="B48" i="2"/>
  <c r="B60" i="2"/>
  <c r="B51" i="2"/>
  <c r="B55" i="2"/>
  <c r="B52" i="2"/>
  <c r="B47" i="2"/>
  <c r="B54" i="2"/>
  <c r="B57" i="2"/>
  <c r="B58" i="2"/>
  <c r="B49" i="2"/>
  <c r="B50" i="2"/>
  <c r="B63" i="2"/>
  <c r="B46" i="2"/>
  <c r="B65" i="2"/>
  <c r="B64" i="2"/>
  <c r="B149" i="2"/>
  <c r="B104" i="2"/>
  <c r="B68" i="2"/>
  <c r="B166" i="2"/>
  <c r="B273" i="2"/>
  <c r="B122" i="2"/>
  <c r="B145" i="2"/>
  <c r="B287" i="2"/>
  <c r="B275" i="2"/>
  <c r="B120" i="2"/>
  <c r="B259" i="2"/>
  <c r="B44" i="2"/>
  <c r="B355" i="2"/>
  <c r="B126" i="2"/>
  <c r="B351" i="2"/>
  <c r="B200" i="2"/>
  <c r="B186" i="2"/>
  <c r="B103" i="2"/>
  <c r="B359" i="2"/>
  <c r="B202" i="2"/>
  <c r="B296" i="2"/>
  <c r="B161" i="2"/>
  <c r="B153" i="2"/>
  <c r="B148" i="2"/>
  <c r="B329" i="2"/>
  <c r="B173" i="2"/>
  <c r="B270" i="2"/>
  <c r="B392" i="2"/>
  <c r="B198" i="2"/>
  <c r="B262" i="2"/>
  <c r="B170" i="2"/>
  <c r="B248" i="2"/>
  <c r="B95" i="2"/>
  <c r="B286" i="2"/>
  <c r="B301" i="2"/>
  <c r="B378" i="2"/>
  <c r="B274" i="2"/>
  <c r="B220" i="2"/>
  <c r="B66" i="2"/>
  <c r="B224" i="2"/>
  <c r="B276" i="2"/>
  <c r="B310" i="2"/>
  <c r="B318" i="2"/>
  <c r="B379" i="2"/>
  <c r="B7" i="2" l="1"/>
  <c r="B4" i="2"/>
  <c r="B5" i="2"/>
  <c r="B6" i="2"/>
  <c r="B8" i="2"/>
  <c r="C303" i="2"/>
  <c r="E303" i="2" s="1"/>
  <c r="C383" i="2"/>
  <c r="E383" i="2" s="1"/>
  <c r="B69" i="2"/>
  <c r="B73" i="2"/>
  <c r="C73" i="2" s="1"/>
  <c r="E73" i="2" s="1"/>
  <c r="B90" i="2"/>
  <c r="C90" i="2" s="1"/>
  <c r="E90" i="2" s="1"/>
  <c r="B92" i="2"/>
  <c r="C92" i="2" s="1"/>
  <c r="E92" i="2" s="1"/>
  <c r="B78" i="2"/>
  <c r="C78" i="2" s="1"/>
  <c r="E78" i="2" s="1"/>
  <c r="B77" i="2"/>
  <c r="C77" i="2" s="1"/>
  <c r="E77" i="2" s="1"/>
  <c r="B72" i="2"/>
  <c r="C72" i="2" s="1"/>
  <c r="E72" i="2" s="1"/>
  <c r="B91" i="2"/>
  <c r="C91" i="2" s="1"/>
  <c r="E91" i="2" s="1"/>
  <c r="B79" i="2"/>
  <c r="C79" i="2" s="1"/>
  <c r="E79" i="2" s="1"/>
  <c r="B84" i="2"/>
  <c r="C84" i="2" s="1"/>
  <c r="E84" i="2" s="1"/>
  <c r="B83" i="2"/>
  <c r="C83" i="2" s="1"/>
  <c r="E83" i="2" s="1"/>
  <c r="B67" i="2"/>
  <c r="C67" i="2" s="1"/>
  <c r="E67" i="2" s="1"/>
  <c r="B88" i="2"/>
  <c r="C88" i="2" s="1"/>
  <c r="E88" i="2" s="1"/>
  <c r="B76" i="2"/>
  <c r="C76" i="2" s="1"/>
  <c r="E76" i="2" s="1"/>
  <c r="B70" i="2"/>
  <c r="B89" i="2"/>
  <c r="C89" i="2" s="1"/>
  <c r="E89" i="2" s="1"/>
  <c r="B80" i="2"/>
  <c r="C80" i="2" s="1"/>
  <c r="E80" i="2" s="1"/>
  <c r="B75" i="2"/>
  <c r="C75" i="2" s="1"/>
  <c r="E75" i="2" s="1"/>
  <c r="B96" i="2"/>
  <c r="C96" i="2" s="1"/>
  <c r="E96" i="2" s="1"/>
  <c r="B94" i="2"/>
  <c r="C94" i="2" s="1"/>
  <c r="E94" i="2" s="1"/>
  <c r="B93" i="2"/>
  <c r="C93" i="2" s="1"/>
  <c r="E93" i="2" s="1"/>
  <c r="B87" i="2"/>
  <c r="C87" i="2" s="1"/>
  <c r="E87" i="2" s="1"/>
  <c r="B97" i="2"/>
  <c r="C97" i="2" s="1"/>
  <c r="E97" i="2" s="1"/>
  <c r="B82" i="2"/>
  <c r="C82" i="2" s="1"/>
  <c r="E82" i="2" s="1"/>
  <c r="B85" i="2"/>
  <c r="C85" i="2" s="1"/>
  <c r="E85" i="2" s="1"/>
  <c r="B86" i="2"/>
  <c r="B71" i="2"/>
  <c r="B81" i="2"/>
  <c r="C81" i="2" s="1"/>
  <c r="E81" i="2" s="1"/>
  <c r="B74" i="2"/>
  <c r="B143" i="2"/>
  <c r="B390" i="2"/>
  <c r="B333" i="2"/>
  <c r="B352" i="2"/>
  <c r="B117" i="2"/>
  <c r="C117" i="2" s="1"/>
  <c r="E117" i="2" s="1"/>
  <c r="B115" i="2"/>
  <c r="C115" i="2" s="1"/>
  <c r="E115" i="2" s="1"/>
  <c r="B370" i="2"/>
  <c r="B210" i="2"/>
  <c r="B152" i="2"/>
  <c r="B255" i="2"/>
  <c r="B330" i="2"/>
  <c r="B147" i="2"/>
  <c r="B240" i="2"/>
  <c r="B125" i="2"/>
  <c r="B298" i="2"/>
  <c r="B348" i="2"/>
  <c r="B325" i="2"/>
  <c r="B266" i="2"/>
  <c r="B215" i="2"/>
  <c r="B375" i="2"/>
  <c r="B354" i="2"/>
  <c r="B311" i="2"/>
  <c r="B385" i="2"/>
  <c r="B114" i="2"/>
  <c r="C114" i="2" s="1"/>
  <c r="E114" i="2" s="1"/>
  <c r="B113" i="2"/>
  <c r="B308" i="2"/>
  <c r="B373" i="2"/>
  <c r="B302" i="2"/>
  <c r="B195" i="2"/>
  <c r="B399" i="2"/>
  <c r="B277" i="2"/>
  <c r="B327" i="2"/>
  <c r="B279" i="2"/>
  <c r="B284" i="2"/>
  <c r="B356" i="2"/>
  <c r="B209" i="2"/>
  <c r="B272" i="2"/>
  <c r="B320" i="2"/>
  <c r="B167" i="2"/>
  <c r="B229" i="2"/>
  <c r="B283" i="2"/>
  <c r="B292" i="2"/>
  <c r="B238" i="2"/>
  <c r="B374" i="2"/>
  <c r="B136" i="2"/>
  <c r="B169" i="2"/>
  <c r="B159" i="2"/>
  <c r="B305" i="2"/>
  <c r="B128" i="2"/>
  <c r="B387" i="2"/>
  <c r="B230" i="2"/>
  <c r="B394" i="2"/>
  <c r="B194" i="2"/>
  <c r="B328" i="2"/>
  <c r="B157" i="2"/>
  <c r="B232" i="2"/>
  <c r="B162" i="2"/>
  <c r="B345" i="2"/>
  <c r="B264" i="2"/>
  <c r="B304" i="2"/>
  <c r="B208" i="2"/>
  <c r="B111" i="2"/>
  <c r="C111" i="2" s="1"/>
  <c r="E111" i="2" s="1"/>
  <c r="B222" i="2"/>
  <c r="B127" i="2"/>
  <c r="B402" i="2"/>
  <c r="B372" i="2"/>
  <c r="B300" i="2"/>
  <c r="B338" i="2"/>
  <c r="B191" i="2"/>
  <c r="B289" i="2"/>
  <c r="B291" i="2"/>
  <c r="B110" i="2"/>
  <c r="C110" i="2" s="1"/>
  <c r="E110" i="2" s="1"/>
  <c r="B112" i="2"/>
  <c r="C112" i="2" s="1"/>
  <c r="E112" i="2" s="1"/>
  <c r="B150" i="2"/>
  <c r="B247" i="2"/>
  <c r="B101" i="2"/>
  <c r="C101" i="2" s="1"/>
  <c r="E101" i="2" s="1"/>
  <c r="B358" i="2"/>
  <c r="B118" i="2"/>
  <c r="B265" i="2"/>
  <c r="B168" i="2"/>
  <c r="B181" i="2"/>
  <c r="B353" i="2"/>
  <c r="B347" i="2"/>
  <c r="B100" i="2"/>
  <c r="C100" i="2" s="1"/>
  <c r="E100" i="2" s="1"/>
  <c r="B331" i="2"/>
  <c r="B131" i="2"/>
  <c r="B299" i="2"/>
  <c r="B315" i="2"/>
  <c r="B252" i="2"/>
  <c r="B107" i="2"/>
  <c r="C107" i="2" s="1"/>
  <c r="E107" i="2" s="1"/>
  <c r="B98" i="2"/>
  <c r="C98" i="2" s="1"/>
  <c r="E98" i="2" s="1"/>
  <c r="B293" i="2"/>
  <c r="B364" i="2"/>
  <c r="B106" i="2"/>
  <c r="C106" i="2" s="1"/>
  <c r="E106" i="2" s="1"/>
  <c r="B151" i="2"/>
  <c r="B219" i="2"/>
  <c r="B235" i="2"/>
  <c r="B360" i="2"/>
  <c r="B146" i="2"/>
  <c r="B363" i="2"/>
  <c r="B376" i="2"/>
  <c r="B254" i="2"/>
  <c r="B332" i="2"/>
  <c r="B314" i="2"/>
  <c r="B130" i="2"/>
  <c r="B140" i="2"/>
  <c r="B135" i="2"/>
  <c r="B189" i="2"/>
  <c r="B183" i="2"/>
  <c r="B349" i="2"/>
  <c r="B139" i="2"/>
  <c r="B371" i="2"/>
  <c r="B369" i="2"/>
  <c r="B335" i="2"/>
  <c r="B269" i="2"/>
  <c r="B313" i="2"/>
  <c r="B223" i="2"/>
  <c r="B340" i="2"/>
  <c r="B216" i="2"/>
  <c r="B257" i="2"/>
  <c r="B108" i="2"/>
  <c r="B158" i="2"/>
  <c r="B312" i="2"/>
  <c r="B244" i="2"/>
  <c r="B99" i="2"/>
  <c r="B172" i="2"/>
  <c r="B109" i="2"/>
  <c r="C109" i="2" s="1"/>
  <c r="E109" i="2" s="1"/>
  <c r="B326" i="2"/>
  <c r="B382" i="2"/>
  <c r="B391" i="2"/>
  <c r="B281" i="2"/>
  <c r="B396" i="2"/>
  <c r="B386" i="2"/>
  <c r="B316" i="2"/>
  <c r="B204" i="2"/>
  <c r="B142" i="2"/>
  <c r="B213" i="2"/>
  <c r="B337" i="2"/>
  <c r="B290" i="2"/>
  <c r="B295" i="2"/>
  <c r="B105" i="2"/>
  <c r="C105" i="2" s="1"/>
  <c r="E105" i="2" s="1"/>
  <c r="B366" i="2"/>
  <c r="B124" i="2"/>
  <c r="B144" i="2"/>
  <c r="B228" i="2"/>
  <c r="B258" i="2"/>
  <c r="B197" i="2"/>
  <c r="B226" i="2"/>
  <c r="B278" i="2"/>
  <c r="B322" i="2"/>
  <c r="B319" i="2"/>
  <c r="B263" i="2"/>
  <c r="B307" i="2"/>
  <c r="B129" i="2"/>
  <c r="B184" i="2"/>
  <c r="B285" i="2"/>
  <c r="B321" i="2"/>
  <c r="B336" i="2"/>
  <c r="B323" i="2"/>
  <c r="B377" i="2"/>
  <c r="B212" i="2"/>
  <c r="B190" i="2"/>
  <c r="B357" i="2"/>
  <c r="B171" i="2"/>
  <c r="B342" i="2"/>
  <c r="B282" i="2"/>
  <c r="B225" i="2"/>
  <c r="B207" i="2"/>
  <c r="B206" i="2"/>
  <c r="B164" i="2"/>
  <c r="B400" i="2"/>
  <c r="B134" i="2"/>
  <c r="B182" i="2"/>
  <c r="B196" i="2"/>
  <c r="B217" i="2"/>
  <c r="B187" i="2"/>
  <c r="B176" i="2"/>
  <c r="B192" i="2"/>
  <c r="B365" i="2"/>
  <c r="B205" i="2"/>
  <c r="B251" i="2"/>
  <c r="B188" i="2"/>
  <c r="B350" i="2"/>
  <c r="B393" i="2"/>
  <c r="B231" i="2"/>
  <c r="B397" i="2"/>
  <c r="B256" i="2"/>
  <c r="B341" i="2"/>
  <c r="B401" i="2"/>
  <c r="B233" i="2"/>
  <c r="B324" i="2"/>
  <c r="B178" i="2"/>
  <c r="B138" i="2"/>
  <c r="B102" i="2"/>
  <c r="C102" i="2" s="1"/>
  <c r="E102" i="2" s="1"/>
  <c r="B227" i="2"/>
  <c r="B132" i="2"/>
  <c r="B334" i="2"/>
  <c r="B249" i="2"/>
  <c r="B154" i="2"/>
  <c r="B163" i="2"/>
  <c r="B236" i="2"/>
  <c r="B121" i="2"/>
  <c r="B253" i="2"/>
  <c r="B177" i="2"/>
  <c r="B309" i="2"/>
  <c r="B268" i="2"/>
  <c r="B218" i="2"/>
  <c r="B388" i="2"/>
  <c r="B160" i="2"/>
  <c r="B203" i="2"/>
  <c r="B221" i="2"/>
  <c r="B245" i="2"/>
  <c r="B317" i="2"/>
  <c r="B242" i="2"/>
  <c r="B123" i="2"/>
  <c r="B211" i="2"/>
  <c r="B133" i="2"/>
  <c r="B234" i="2"/>
  <c r="B201" i="2"/>
  <c r="B367" i="2"/>
  <c r="B241" i="2"/>
  <c r="B395" i="2"/>
  <c r="B389" i="2"/>
  <c r="B199" i="2"/>
  <c r="B214" i="2"/>
  <c r="B116" i="2"/>
  <c r="B141" i="2"/>
  <c r="B306" i="2"/>
  <c r="B155" i="2"/>
  <c r="B346" i="2"/>
  <c r="B260" i="2"/>
  <c r="B267" i="2"/>
  <c r="B246" i="2"/>
  <c r="B119" i="2"/>
  <c r="B398" i="2"/>
  <c r="B297" i="2"/>
  <c r="B243" i="2"/>
  <c r="B137" i="2"/>
  <c r="B339" i="2"/>
  <c r="B179" i="2"/>
  <c r="B193" i="2"/>
  <c r="B280" i="2"/>
  <c r="B294" i="2"/>
  <c r="B185" i="2"/>
  <c r="B368" i="2"/>
  <c r="B380" i="2"/>
  <c r="B288" i="2"/>
  <c r="B175" i="2"/>
  <c r="B261" i="2"/>
  <c r="B156" i="2"/>
  <c r="B237" i="2"/>
  <c r="B165" i="2"/>
  <c r="B344" i="2"/>
  <c r="B384" i="2"/>
  <c r="B361" i="2"/>
  <c r="B343" i="2"/>
  <c r="B381" i="2"/>
  <c r="B362" i="2"/>
  <c r="B271" i="2"/>
  <c r="D78" i="2"/>
  <c r="C239" i="2"/>
  <c r="E239" i="2" s="1"/>
  <c r="D105" i="2"/>
  <c r="D81" i="2"/>
  <c r="D91" i="2"/>
  <c r="D83" i="2"/>
  <c r="D82" i="2"/>
  <c r="D87" i="2"/>
  <c r="D96" i="2"/>
  <c r="D89" i="2"/>
  <c r="D115" i="2"/>
  <c r="D75" i="2"/>
  <c r="D90" i="2"/>
  <c r="D72" i="2"/>
  <c r="D117" i="2"/>
  <c r="D92" i="2"/>
  <c r="D97" i="2"/>
  <c r="D111" i="2"/>
  <c r="C17" i="2"/>
  <c r="E17" i="2" s="1"/>
  <c r="C22" i="2"/>
  <c r="E22" i="2" s="1"/>
  <c r="C14" i="2"/>
  <c r="E14" i="2" s="1"/>
  <c r="C18" i="2"/>
  <c r="E18" i="2" s="1"/>
  <c r="C27" i="2"/>
  <c r="E27" i="2" s="1"/>
  <c r="C13" i="2"/>
  <c r="E13" i="2" s="1"/>
  <c r="C21" i="2"/>
  <c r="E21" i="2" s="1"/>
  <c r="C16" i="2"/>
  <c r="E16" i="2" s="1"/>
  <c r="C23" i="2"/>
  <c r="E23" i="2" s="1"/>
  <c r="C25" i="2"/>
  <c r="E25" i="2" s="1"/>
  <c r="C24" i="2"/>
  <c r="E24" i="2" s="1"/>
  <c r="C11" i="2"/>
  <c r="E11" i="2" s="1"/>
  <c r="C10" i="2"/>
  <c r="E10" i="2" s="1"/>
  <c r="C9" i="2"/>
  <c r="E9" i="2" s="1"/>
  <c r="C26" i="2"/>
  <c r="E26" i="2" s="1"/>
  <c r="C20" i="2"/>
  <c r="E20" i="2" s="1"/>
  <c r="C12" i="2"/>
  <c r="E12" i="2" s="1"/>
  <c r="C15" i="2"/>
  <c r="E15" i="2" s="1"/>
  <c r="C19" i="2"/>
  <c r="E19" i="2" s="1"/>
  <c r="C38" i="2"/>
  <c r="E38" i="2" s="1"/>
  <c r="C37" i="2"/>
  <c r="E37" i="2" s="1"/>
  <c r="C35" i="2"/>
  <c r="E35" i="2" s="1"/>
  <c r="C39" i="2"/>
  <c r="E39" i="2" s="1"/>
  <c r="C31" i="2"/>
  <c r="E31" i="2" s="1"/>
  <c r="C36" i="2"/>
  <c r="E36" i="2" s="1"/>
  <c r="C34" i="2"/>
  <c r="E34" i="2" s="1"/>
  <c r="C29" i="2"/>
  <c r="E29" i="2" s="1"/>
  <c r="C30" i="2"/>
  <c r="E30" i="2" s="1"/>
  <c r="C40" i="2"/>
  <c r="E40" i="2" s="1"/>
  <c r="C32" i="2"/>
  <c r="E32" i="2" s="1"/>
  <c r="C33" i="2"/>
  <c r="E33" i="2" s="1"/>
  <c r="C28" i="2"/>
  <c r="E28" i="2" s="1"/>
  <c r="C95" i="2"/>
  <c r="E95" i="2" s="1"/>
  <c r="D329" i="2"/>
  <c r="C329" i="2"/>
  <c r="E329" i="2" s="1"/>
  <c r="D355" i="2"/>
  <c r="C355" i="2"/>
  <c r="E355" i="2" s="1"/>
  <c r="D273" i="2"/>
  <c r="C273" i="2"/>
  <c r="E273" i="2" s="1"/>
  <c r="C63" i="2"/>
  <c r="E63" i="2" s="1"/>
  <c r="C55" i="2"/>
  <c r="E55" i="2" s="1"/>
  <c r="D41" i="2"/>
  <c r="E41" i="2"/>
  <c r="D379" i="2"/>
  <c r="C379" i="2"/>
  <c r="E379" i="2" s="1"/>
  <c r="D224" i="2"/>
  <c r="C224" i="2"/>
  <c r="E224" i="2" s="1"/>
  <c r="D378" i="2"/>
  <c r="C378" i="2"/>
  <c r="E378" i="2" s="1"/>
  <c r="D248" i="2"/>
  <c r="C248" i="2"/>
  <c r="E248" i="2" s="1"/>
  <c r="D392" i="2"/>
  <c r="C392" i="2"/>
  <c r="E392" i="2" s="1"/>
  <c r="D148" i="2"/>
  <c r="C148" i="2"/>
  <c r="E148" i="2" s="1"/>
  <c r="D202" i="2"/>
  <c r="C202" i="2"/>
  <c r="E202" i="2" s="1"/>
  <c r="D200" i="2"/>
  <c r="C200" i="2"/>
  <c r="E200" i="2" s="1"/>
  <c r="C44" i="2"/>
  <c r="E44" i="2" s="1"/>
  <c r="D287" i="2"/>
  <c r="C287" i="2"/>
  <c r="E287" i="2" s="1"/>
  <c r="D166" i="2"/>
  <c r="C166" i="2"/>
  <c r="E166" i="2" s="1"/>
  <c r="C64" i="2"/>
  <c r="E64" i="2" s="1"/>
  <c r="C50" i="2"/>
  <c r="E50" i="2" s="1"/>
  <c r="C54" i="2"/>
  <c r="E54" i="2" s="1"/>
  <c r="C51" i="2"/>
  <c r="E51" i="2" s="1"/>
  <c r="C53" i="2"/>
  <c r="E53" i="2" s="1"/>
  <c r="C56" i="2"/>
  <c r="E56" i="2" s="1"/>
  <c r="C174" i="2"/>
  <c r="E174" i="2" s="1"/>
  <c r="D174" i="2"/>
  <c r="D274" i="2"/>
  <c r="C274" i="2"/>
  <c r="E274" i="2" s="1"/>
  <c r="D301" i="2"/>
  <c r="C301" i="2"/>
  <c r="E301" i="2" s="1"/>
  <c r="D270" i="2"/>
  <c r="C270" i="2"/>
  <c r="E270" i="2" s="1"/>
  <c r="D359" i="2"/>
  <c r="C359" i="2"/>
  <c r="E359" i="2" s="1"/>
  <c r="D259" i="2"/>
  <c r="C259" i="2"/>
  <c r="E259" i="2" s="1"/>
  <c r="C68" i="2"/>
  <c r="E68" i="2" s="1"/>
  <c r="C65" i="2"/>
  <c r="E65" i="2" s="1"/>
  <c r="C49" i="2"/>
  <c r="E49" i="2" s="1"/>
  <c r="C47" i="2"/>
  <c r="E47" i="2" s="1"/>
  <c r="C60" i="2"/>
  <c r="E60" i="2" s="1"/>
  <c r="C62" i="2"/>
  <c r="E62" i="2" s="1"/>
  <c r="D45" i="2"/>
  <c r="E45" i="2"/>
  <c r="D318" i="2"/>
  <c r="C318" i="2"/>
  <c r="E318" i="2" s="1"/>
  <c r="C66" i="2"/>
  <c r="E66" i="2" s="1"/>
  <c r="D170" i="2"/>
  <c r="C170" i="2"/>
  <c r="E170" i="2" s="1"/>
  <c r="D153" i="2"/>
  <c r="C153" i="2"/>
  <c r="E153" i="2" s="1"/>
  <c r="D351" i="2"/>
  <c r="C351" i="2"/>
  <c r="E351" i="2" s="1"/>
  <c r="D145" i="2"/>
  <c r="C145" i="2"/>
  <c r="E145" i="2" s="1"/>
  <c r="D310" i="2"/>
  <c r="C310" i="2"/>
  <c r="E310" i="2" s="1"/>
  <c r="D220" i="2"/>
  <c r="C220" i="2"/>
  <c r="E220" i="2" s="1"/>
  <c r="D286" i="2"/>
  <c r="C286" i="2"/>
  <c r="E286" i="2" s="1"/>
  <c r="D262" i="2"/>
  <c r="C262" i="2"/>
  <c r="E262" i="2" s="1"/>
  <c r="D173" i="2"/>
  <c r="C173" i="2"/>
  <c r="E173" i="2" s="1"/>
  <c r="D161" i="2"/>
  <c r="C161" i="2"/>
  <c r="E161" i="2" s="1"/>
  <c r="C103" i="2"/>
  <c r="E103" i="2" s="1"/>
  <c r="D126" i="2"/>
  <c r="C126" i="2"/>
  <c r="E126" i="2" s="1"/>
  <c r="D120" i="2"/>
  <c r="C120" i="2"/>
  <c r="E120" i="2" s="1"/>
  <c r="D122" i="2"/>
  <c r="C122" i="2"/>
  <c r="E122" i="2" s="1"/>
  <c r="C104" i="2"/>
  <c r="E104" i="2" s="1"/>
  <c r="C46" i="2"/>
  <c r="E46" i="2" s="1"/>
  <c r="C58" i="2"/>
  <c r="E58" i="2" s="1"/>
  <c r="C52" i="2"/>
  <c r="E52" i="2" s="1"/>
  <c r="C48" i="2"/>
  <c r="E48" i="2" s="1"/>
  <c r="C61" i="2"/>
  <c r="E61" i="2" s="1"/>
  <c r="C59" i="2"/>
  <c r="E59" i="2" s="1"/>
  <c r="D276" i="2"/>
  <c r="C276" i="2"/>
  <c r="E276" i="2" s="1"/>
  <c r="D198" i="2"/>
  <c r="C198" i="2"/>
  <c r="E198" i="2" s="1"/>
  <c r="D296" i="2"/>
  <c r="C296" i="2"/>
  <c r="E296" i="2" s="1"/>
  <c r="D186" i="2"/>
  <c r="C186" i="2"/>
  <c r="E186" i="2" s="1"/>
  <c r="D275" i="2"/>
  <c r="C275" i="2"/>
  <c r="E275" i="2" s="1"/>
  <c r="D149" i="2"/>
  <c r="C149" i="2"/>
  <c r="E149" i="2" s="1"/>
  <c r="C57" i="2"/>
  <c r="E57" i="2" s="1"/>
  <c r="D57" i="2"/>
  <c r="C42" i="2"/>
  <c r="E42" i="2" s="1"/>
  <c r="C43" i="2"/>
  <c r="E43" i="2" s="1"/>
  <c r="D79" i="2" l="1"/>
  <c r="D67" i="2"/>
  <c r="D98" i="2"/>
  <c r="D94" i="2"/>
  <c r="D88" i="2"/>
  <c r="D93" i="2"/>
  <c r="C6" i="2"/>
  <c r="E6" i="2" s="1"/>
  <c r="D80" i="2"/>
  <c r="C5" i="2"/>
  <c r="E5" i="2" s="1"/>
  <c r="D85" i="2"/>
  <c r="D109" i="2"/>
  <c r="C4" i="2"/>
  <c r="E4" i="2" s="1"/>
  <c r="C8" i="2"/>
  <c r="E8" i="2" s="1"/>
  <c r="C7" i="2"/>
  <c r="E7" i="2" s="1"/>
  <c r="D71" i="2"/>
  <c r="C71" i="2"/>
  <c r="E71" i="2" s="1"/>
  <c r="C70" i="2"/>
  <c r="E70" i="2" s="1"/>
  <c r="D70" i="2"/>
  <c r="C69" i="2"/>
  <c r="E69" i="2" s="1"/>
  <c r="D69" i="2"/>
  <c r="C86" i="2"/>
  <c r="E86" i="2" s="1"/>
  <c r="D86" i="2"/>
  <c r="D77" i="2"/>
  <c r="D112" i="2"/>
  <c r="D76" i="2"/>
  <c r="D107" i="2"/>
  <c r="C74" i="2"/>
  <c r="E74" i="2" s="1"/>
  <c r="D74" i="2"/>
  <c r="D73" i="2"/>
  <c r="D106" i="2"/>
  <c r="D102" i="2"/>
  <c r="D84" i="2"/>
  <c r="D165" i="2"/>
  <c r="C165" i="2"/>
  <c r="E165" i="2" s="1"/>
  <c r="D185" i="2"/>
  <c r="C185" i="2"/>
  <c r="E185" i="2" s="1"/>
  <c r="C297" i="2"/>
  <c r="E297" i="2" s="1"/>
  <c r="D297" i="2"/>
  <c r="C199" i="2"/>
  <c r="E199" i="2" s="1"/>
  <c r="D199" i="2"/>
  <c r="D299" i="2"/>
  <c r="C299" i="2"/>
  <c r="E299" i="2" s="1"/>
  <c r="C347" i="2"/>
  <c r="E347" i="2" s="1"/>
  <c r="D347" i="2"/>
  <c r="D265" i="2"/>
  <c r="C265" i="2"/>
  <c r="E265" i="2" s="1"/>
  <c r="D247" i="2"/>
  <c r="C247" i="2"/>
  <c r="E247" i="2" s="1"/>
  <c r="C291" i="2"/>
  <c r="E291" i="2" s="1"/>
  <c r="D291" i="2"/>
  <c r="D300" i="2"/>
  <c r="C300" i="2"/>
  <c r="E300" i="2" s="1"/>
  <c r="D222" i="2"/>
  <c r="C222" i="2"/>
  <c r="E222" i="2" s="1"/>
  <c r="C264" i="2"/>
  <c r="E264" i="2" s="1"/>
  <c r="D264" i="2"/>
  <c r="C157" i="2"/>
  <c r="E157" i="2" s="1"/>
  <c r="D157" i="2"/>
  <c r="D230" i="2"/>
  <c r="C230" i="2"/>
  <c r="E230" i="2" s="1"/>
  <c r="D159" i="2"/>
  <c r="C159" i="2"/>
  <c r="E159" i="2" s="1"/>
  <c r="D238" i="2"/>
  <c r="C238" i="2"/>
  <c r="E238" i="2" s="1"/>
  <c r="D167" i="2"/>
  <c r="C167" i="2"/>
  <c r="E167" i="2" s="1"/>
  <c r="C356" i="2"/>
  <c r="E356" i="2" s="1"/>
  <c r="D356" i="2"/>
  <c r="D277" i="2"/>
  <c r="C277" i="2"/>
  <c r="E277" i="2" s="1"/>
  <c r="C373" i="2"/>
  <c r="E373" i="2" s="1"/>
  <c r="D373" i="2"/>
  <c r="D385" i="2"/>
  <c r="C385" i="2"/>
  <c r="E385" i="2" s="1"/>
  <c r="D215" i="2"/>
  <c r="C215" i="2"/>
  <c r="E215" i="2" s="1"/>
  <c r="D298" i="2"/>
  <c r="C298" i="2"/>
  <c r="E298" i="2" s="1"/>
  <c r="C330" i="2"/>
  <c r="E330" i="2" s="1"/>
  <c r="D330" i="2"/>
  <c r="D370" i="2"/>
  <c r="C370" i="2"/>
  <c r="E370" i="2" s="1"/>
  <c r="C333" i="2"/>
  <c r="E333" i="2" s="1"/>
  <c r="D333" i="2"/>
  <c r="D345" i="2"/>
  <c r="C345" i="2"/>
  <c r="E345" i="2" s="1"/>
  <c r="C328" i="2"/>
  <c r="E328" i="2" s="1"/>
  <c r="D328" i="2"/>
  <c r="D387" i="2"/>
  <c r="C387" i="2"/>
  <c r="E387" i="2" s="1"/>
  <c r="D169" i="2"/>
  <c r="C169" i="2"/>
  <c r="E169" i="2" s="1"/>
  <c r="C292" i="2"/>
  <c r="E292" i="2" s="1"/>
  <c r="D292" i="2"/>
  <c r="D320" i="2"/>
  <c r="C320" i="2"/>
  <c r="E320" i="2" s="1"/>
  <c r="D284" i="2"/>
  <c r="C284" i="2"/>
  <c r="E284" i="2" s="1"/>
  <c r="C399" i="2"/>
  <c r="E399" i="2" s="1"/>
  <c r="D399" i="2"/>
  <c r="C308" i="2"/>
  <c r="E308" i="2" s="1"/>
  <c r="D308" i="2"/>
  <c r="C311" i="2"/>
  <c r="E311" i="2" s="1"/>
  <c r="D311" i="2"/>
  <c r="D266" i="2"/>
  <c r="C266" i="2"/>
  <c r="E266" i="2" s="1"/>
  <c r="D125" i="2"/>
  <c r="C125" i="2"/>
  <c r="E125" i="2" s="1"/>
  <c r="C255" i="2"/>
  <c r="E255" i="2" s="1"/>
  <c r="D255" i="2"/>
  <c r="D390" i="2"/>
  <c r="C390" i="2"/>
  <c r="E390" i="2" s="1"/>
  <c r="D343" i="2"/>
  <c r="C343" i="2"/>
  <c r="E343" i="2" s="1"/>
  <c r="D175" i="2"/>
  <c r="C175" i="2"/>
  <c r="E175" i="2" s="1"/>
  <c r="C179" i="2"/>
  <c r="E179" i="2" s="1"/>
  <c r="D179" i="2"/>
  <c r="C267" i="2"/>
  <c r="E267" i="2" s="1"/>
  <c r="D267" i="2"/>
  <c r="D306" i="2"/>
  <c r="C306" i="2"/>
  <c r="E306" i="2" s="1"/>
  <c r="D367" i="2"/>
  <c r="C367" i="2"/>
  <c r="E367" i="2" s="1"/>
  <c r="D211" i="2"/>
  <c r="C211" i="2"/>
  <c r="E211" i="2" s="1"/>
  <c r="C245" i="2"/>
  <c r="E245" i="2" s="1"/>
  <c r="D245" i="2"/>
  <c r="D388" i="2"/>
  <c r="C388" i="2"/>
  <c r="E388" i="2" s="1"/>
  <c r="D177" i="2"/>
  <c r="C177" i="2"/>
  <c r="E177" i="2" s="1"/>
  <c r="D163" i="2"/>
  <c r="C163" i="2"/>
  <c r="E163" i="2" s="1"/>
  <c r="D132" i="2"/>
  <c r="C132" i="2"/>
  <c r="E132" i="2" s="1"/>
  <c r="C178" i="2"/>
  <c r="E178" i="2" s="1"/>
  <c r="D178" i="2"/>
  <c r="D341" i="2"/>
  <c r="C341" i="2"/>
  <c r="E341" i="2" s="1"/>
  <c r="D393" i="2"/>
  <c r="C393" i="2"/>
  <c r="E393" i="2" s="1"/>
  <c r="D205" i="2"/>
  <c r="C205" i="2"/>
  <c r="E205" i="2" s="1"/>
  <c r="D187" i="2"/>
  <c r="C187" i="2"/>
  <c r="E187" i="2" s="1"/>
  <c r="D134" i="2"/>
  <c r="C134" i="2"/>
  <c r="E134" i="2" s="1"/>
  <c r="D207" i="2"/>
  <c r="C207" i="2"/>
  <c r="E207" i="2" s="1"/>
  <c r="C171" i="2"/>
  <c r="E171" i="2" s="1"/>
  <c r="D171" i="2"/>
  <c r="D377" i="2"/>
  <c r="C377" i="2"/>
  <c r="E377" i="2" s="1"/>
  <c r="D285" i="2"/>
  <c r="C285" i="2"/>
  <c r="E285" i="2" s="1"/>
  <c r="D263" i="2"/>
  <c r="C263" i="2"/>
  <c r="E263" i="2" s="1"/>
  <c r="C226" i="2"/>
  <c r="E226" i="2" s="1"/>
  <c r="D226" i="2"/>
  <c r="C144" i="2"/>
  <c r="E144" i="2" s="1"/>
  <c r="D144" i="2"/>
  <c r="D295" i="2"/>
  <c r="C295" i="2"/>
  <c r="E295" i="2" s="1"/>
  <c r="D142" i="2"/>
  <c r="C142" i="2"/>
  <c r="E142" i="2" s="1"/>
  <c r="C396" i="2"/>
  <c r="E396" i="2" s="1"/>
  <c r="D396" i="2"/>
  <c r="C326" i="2"/>
  <c r="E326" i="2" s="1"/>
  <c r="D326" i="2"/>
  <c r="D244" i="2"/>
  <c r="C244" i="2"/>
  <c r="E244" i="2" s="1"/>
  <c r="D257" i="2"/>
  <c r="C257" i="2"/>
  <c r="E257" i="2" s="1"/>
  <c r="D313" i="2"/>
  <c r="C313" i="2"/>
  <c r="E313" i="2" s="1"/>
  <c r="C371" i="2"/>
  <c r="E371" i="2" s="1"/>
  <c r="D371" i="2"/>
  <c r="C189" i="2"/>
  <c r="E189" i="2" s="1"/>
  <c r="D189" i="2"/>
  <c r="D314" i="2"/>
  <c r="C314" i="2"/>
  <c r="E314" i="2" s="1"/>
  <c r="C363" i="2"/>
  <c r="E363" i="2" s="1"/>
  <c r="D363" i="2"/>
  <c r="C219" i="2"/>
  <c r="E219" i="2" s="1"/>
  <c r="D219" i="2"/>
  <c r="C293" i="2"/>
  <c r="E293" i="2" s="1"/>
  <c r="D293" i="2"/>
  <c r="D315" i="2"/>
  <c r="C315" i="2"/>
  <c r="E315" i="2" s="1"/>
  <c r="D168" i="2"/>
  <c r="C168" i="2"/>
  <c r="E168" i="2" s="1"/>
  <c r="D338" i="2"/>
  <c r="C338" i="2"/>
  <c r="E338" i="2" s="1"/>
  <c r="D127" i="2"/>
  <c r="C127" i="2"/>
  <c r="E127" i="2" s="1"/>
  <c r="D304" i="2"/>
  <c r="C304" i="2"/>
  <c r="E304" i="2" s="1"/>
  <c r="C232" i="2"/>
  <c r="E232" i="2" s="1"/>
  <c r="D232" i="2"/>
  <c r="D394" i="2"/>
  <c r="C394" i="2"/>
  <c r="E394" i="2" s="1"/>
  <c r="D305" i="2"/>
  <c r="C305" i="2"/>
  <c r="E305" i="2" s="1"/>
  <c r="D374" i="2"/>
  <c r="C374" i="2"/>
  <c r="E374" i="2" s="1"/>
  <c r="D229" i="2"/>
  <c r="C229" i="2"/>
  <c r="E229" i="2" s="1"/>
  <c r="D209" i="2"/>
  <c r="C209" i="2"/>
  <c r="E209" i="2" s="1"/>
  <c r="C327" i="2"/>
  <c r="E327" i="2" s="1"/>
  <c r="D327" i="2"/>
  <c r="D302" i="2"/>
  <c r="C302" i="2"/>
  <c r="E302" i="2" s="1"/>
  <c r="D375" i="2"/>
  <c r="C375" i="2"/>
  <c r="E375" i="2" s="1"/>
  <c r="D348" i="2"/>
  <c r="C348" i="2"/>
  <c r="E348" i="2" s="1"/>
  <c r="C147" i="2"/>
  <c r="E147" i="2" s="1"/>
  <c r="D147" i="2"/>
  <c r="C210" i="2"/>
  <c r="E210" i="2" s="1"/>
  <c r="D210" i="2"/>
  <c r="D352" i="2"/>
  <c r="C352" i="2"/>
  <c r="E352" i="2" s="1"/>
  <c r="D110" i="2"/>
  <c r="C271" i="2"/>
  <c r="E271" i="2" s="1"/>
  <c r="D271" i="2"/>
  <c r="D361" i="2"/>
  <c r="C361" i="2"/>
  <c r="E361" i="2" s="1"/>
  <c r="C237" i="2"/>
  <c r="E237" i="2" s="1"/>
  <c r="D237" i="2"/>
  <c r="D288" i="2"/>
  <c r="C288" i="2"/>
  <c r="E288" i="2" s="1"/>
  <c r="D294" i="2"/>
  <c r="C294" i="2"/>
  <c r="E294" i="2" s="1"/>
  <c r="D339" i="2"/>
  <c r="C339" i="2"/>
  <c r="E339" i="2" s="1"/>
  <c r="D398" i="2"/>
  <c r="C398" i="2"/>
  <c r="E398" i="2" s="1"/>
  <c r="C260" i="2"/>
  <c r="E260" i="2" s="1"/>
  <c r="D260" i="2"/>
  <c r="C141" i="2"/>
  <c r="E141" i="2" s="1"/>
  <c r="D141" i="2"/>
  <c r="D389" i="2"/>
  <c r="C389" i="2"/>
  <c r="E389" i="2" s="1"/>
  <c r="D201" i="2"/>
  <c r="C201" i="2"/>
  <c r="E201" i="2" s="1"/>
  <c r="C123" i="2"/>
  <c r="E123" i="2" s="1"/>
  <c r="D123" i="2"/>
  <c r="D221" i="2"/>
  <c r="C221" i="2"/>
  <c r="E221" i="2" s="1"/>
  <c r="D218" i="2"/>
  <c r="C218" i="2"/>
  <c r="E218" i="2" s="1"/>
  <c r="D253" i="2"/>
  <c r="C253" i="2"/>
  <c r="E253" i="2" s="1"/>
  <c r="D154" i="2"/>
  <c r="C154" i="2"/>
  <c r="E154" i="2" s="1"/>
  <c r="D227" i="2"/>
  <c r="C227" i="2"/>
  <c r="E227" i="2" s="1"/>
  <c r="C324" i="2"/>
  <c r="E324" i="2" s="1"/>
  <c r="D324" i="2"/>
  <c r="D256" i="2"/>
  <c r="C256" i="2"/>
  <c r="E256" i="2" s="1"/>
  <c r="C350" i="2"/>
  <c r="E350" i="2" s="1"/>
  <c r="D350" i="2"/>
  <c r="C365" i="2"/>
  <c r="E365" i="2" s="1"/>
  <c r="D365" i="2"/>
  <c r="D217" i="2"/>
  <c r="C217" i="2"/>
  <c r="E217" i="2" s="1"/>
  <c r="C400" i="2"/>
  <c r="E400" i="2" s="1"/>
  <c r="D400" i="2"/>
  <c r="D225" i="2"/>
  <c r="C225" i="2"/>
  <c r="E225" i="2" s="1"/>
  <c r="D357" i="2"/>
  <c r="C357" i="2"/>
  <c r="E357" i="2" s="1"/>
  <c r="D323" i="2"/>
  <c r="C323" i="2"/>
  <c r="E323" i="2" s="1"/>
  <c r="C184" i="2"/>
  <c r="E184" i="2" s="1"/>
  <c r="D184" i="2"/>
  <c r="C319" i="2"/>
  <c r="E319" i="2" s="1"/>
  <c r="D319" i="2"/>
  <c r="D197" i="2"/>
  <c r="C197" i="2"/>
  <c r="E197" i="2" s="1"/>
  <c r="D124" i="2"/>
  <c r="C124" i="2"/>
  <c r="E124" i="2" s="1"/>
  <c r="D290" i="2"/>
  <c r="C290" i="2"/>
  <c r="E290" i="2" s="1"/>
  <c r="D204" i="2"/>
  <c r="C204" i="2"/>
  <c r="E204" i="2" s="1"/>
  <c r="C281" i="2"/>
  <c r="E281" i="2" s="1"/>
  <c r="D281" i="2"/>
  <c r="D312" i="2"/>
  <c r="C312" i="2"/>
  <c r="E312" i="2" s="1"/>
  <c r="D216" i="2"/>
  <c r="C216" i="2"/>
  <c r="E216" i="2" s="1"/>
  <c r="D269" i="2"/>
  <c r="C269" i="2"/>
  <c r="E269" i="2" s="1"/>
  <c r="D139" i="2"/>
  <c r="C139" i="2"/>
  <c r="E139" i="2" s="1"/>
  <c r="D135" i="2"/>
  <c r="C135" i="2"/>
  <c r="E135" i="2" s="1"/>
  <c r="C332" i="2"/>
  <c r="E332" i="2" s="1"/>
  <c r="D332" i="2"/>
  <c r="C146" i="2"/>
  <c r="E146" i="2" s="1"/>
  <c r="D146" i="2"/>
  <c r="C151" i="2"/>
  <c r="E151" i="2" s="1"/>
  <c r="D151" i="2"/>
  <c r="G3" i="2"/>
  <c r="C362" i="2"/>
  <c r="E362" i="2" s="1"/>
  <c r="D362" i="2"/>
  <c r="D384" i="2"/>
  <c r="C384" i="2"/>
  <c r="E384" i="2" s="1"/>
  <c r="D156" i="2"/>
  <c r="C156" i="2"/>
  <c r="E156" i="2" s="1"/>
  <c r="C380" i="2"/>
  <c r="E380" i="2" s="1"/>
  <c r="D380" i="2"/>
  <c r="D280" i="2"/>
  <c r="C280" i="2"/>
  <c r="E280" i="2" s="1"/>
  <c r="D137" i="2"/>
  <c r="C137" i="2"/>
  <c r="E137" i="2" s="1"/>
  <c r="C119" i="2"/>
  <c r="E119" i="2" s="1"/>
  <c r="D119" i="2"/>
  <c r="D346" i="2"/>
  <c r="C346" i="2"/>
  <c r="E346" i="2" s="1"/>
  <c r="D116" i="2"/>
  <c r="C116" i="2"/>
  <c r="E116" i="2" s="1"/>
  <c r="D395" i="2"/>
  <c r="C395" i="2"/>
  <c r="E395" i="2" s="1"/>
  <c r="C234" i="2"/>
  <c r="E234" i="2" s="1"/>
  <c r="D234" i="2"/>
  <c r="C242" i="2"/>
  <c r="E242" i="2" s="1"/>
  <c r="D242" i="2"/>
  <c r="D203" i="2"/>
  <c r="C203" i="2"/>
  <c r="E203" i="2" s="1"/>
  <c r="D268" i="2"/>
  <c r="C268" i="2"/>
  <c r="E268" i="2" s="1"/>
  <c r="D121" i="2"/>
  <c r="C121" i="2"/>
  <c r="E121" i="2" s="1"/>
  <c r="D249" i="2"/>
  <c r="C249" i="2"/>
  <c r="E249" i="2" s="1"/>
  <c r="C233" i="2"/>
  <c r="E233" i="2" s="1"/>
  <c r="D233" i="2"/>
  <c r="D397" i="2"/>
  <c r="C397" i="2"/>
  <c r="E397" i="2" s="1"/>
  <c r="D188" i="2"/>
  <c r="C188" i="2"/>
  <c r="E188" i="2" s="1"/>
  <c r="D192" i="2"/>
  <c r="C192" i="2"/>
  <c r="E192" i="2" s="1"/>
  <c r="D196" i="2"/>
  <c r="C196" i="2"/>
  <c r="E196" i="2" s="1"/>
  <c r="C164" i="2"/>
  <c r="E164" i="2" s="1"/>
  <c r="D164" i="2"/>
  <c r="C282" i="2"/>
  <c r="E282" i="2" s="1"/>
  <c r="D282" i="2"/>
  <c r="D190" i="2"/>
  <c r="C190" i="2"/>
  <c r="E190" i="2" s="1"/>
  <c r="C336" i="2"/>
  <c r="E336" i="2" s="1"/>
  <c r="D336" i="2"/>
  <c r="C129" i="2"/>
  <c r="E129" i="2" s="1"/>
  <c r="D129" i="2"/>
  <c r="D322" i="2"/>
  <c r="C322" i="2"/>
  <c r="E322" i="2" s="1"/>
  <c r="C258" i="2"/>
  <c r="E258" i="2" s="1"/>
  <c r="D258" i="2"/>
  <c r="C366" i="2"/>
  <c r="E366" i="2" s="1"/>
  <c r="D366" i="2"/>
  <c r="D337" i="2"/>
  <c r="C337" i="2"/>
  <c r="E337" i="2" s="1"/>
  <c r="D316" i="2"/>
  <c r="C316" i="2"/>
  <c r="E316" i="2" s="1"/>
  <c r="D391" i="2"/>
  <c r="C391" i="2"/>
  <c r="E391" i="2" s="1"/>
  <c r="D172" i="2"/>
  <c r="C172" i="2"/>
  <c r="E172" i="2" s="1"/>
  <c r="D158" i="2"/>
  <c r="C158" i="2"/>
  <c r="E158" i="2" s="1"/>
  <c r="D340" i="2"/>
  <c r="C340" i="2"/>
  <c r="E340" i="2" s="1"/>
  <c r="C335" i="2"/>
  <c r="E335" i="2" s="1"/>
  <c r="D335" i="2"/>
  <c r="D349" i="2"/>
  <c r="C349" i="2"/>
  <c r="E349" i="2" s="1"/>
  <c r="D140" i="2"/>
  <c r="C140" i="2"/>
  <c r="E140" i="2" s="1"/>
  <c r="D254" i="2"/>
  <c r="C254" i="2"/>
  <c r="E254" i="2" s="1"/>
  <c r="C360" i="2"/>
  <c r="E360" i="2" s="1"/>
  <c r="D360" i="2"/>
  <c r="C131" i="2"/>
  <c r="E131" i="2" s="1"/>
  <c r="D131" i="2"/>
  <c r="C353" i="2"/>
  <c r="E353" i="2" s="1"/>
  <c r="D353" i="2"/>
  <c r="D118" i="2"/>
  <c r="C118" i="2"/>
  <c r="E118" i="2" s="1"/>
  <c r="D150" i="2"/>
  <c r="C150" i="2"/>
  <c r="E150" i="2" s="1"/>
  <c r="D289" i="2"/>
  <c r="C289" i="2"/>
  <c r="E289" i="2" s="1"/>
  <c r="C372" i="2"/>
  <c r="E372" i="2" s="1"/>
  <c r="D372" i="2"/>
  <c r="D100" i="2"/>
  <c r="D114" i="2"/>
  <c r="D101" i="2"/>
  <c r="C381" i="2"/>
  <c r="E381" i="2" s="1"/>
  <c r="D381" i="2"/>
  <c r="D344" i="2"/>
  <c r="C344" i="2"/>
  <c r="E344" i="2" s="1"/>
  <c r="D261" i="2"/>
  <c r="C261" i="2"/>
  <c r="E261" i="2" s="1"/>
  <c r="C368" i="2"/>
  <c r="E368" i="2" s="1"/>
  <c r="D368" i="2"/>
  <c r="D193" i="2"/>
  <c r="C193" i="2"/>
  <c r="E193" i="2" s="1"/>
  <c r="D243" i="2"/>
  <c r="C243" i="2"/>
  <c r="E243" i="2" s="1"/>
  <c r="D246" i="2"/>
  <c r="C246" i="2"/>
  <c r="E246" i="2" s="1"/>
  <c r="D155" i="2"/>
  <c r="C155" i="2"/>
  <c r="E155" i="2" s="1"/>
  <c r="D214" i="2"/>
  <c r="C214" i="2"/>
  <c r="E214" i="2" s="1"/>
  <c r="D241" i="2"/>
  <c r="C241" i="2"/>
  <c r="E241" i="2" s="1"/>
  <c r="D133" i="2"/>
  <c r="C133" i="2"/>
  <c r="E133" i="2" s="1"/>
  <c r="D317" i="2"/>
  <c r="C317" i="2"/>
  <c r="E317" i="2" s="1"/>
  <c r="D160" i="2"/>
  <c r="C160" i="2"/>
  <c r="E160" i="2" s="1"/>
  <c r="D309" i="2"/>
  <c r="C309" i="2"/>
  <c r="E309" i="2" s="1"/>
  <c r="D236" i="2"/>
  <c r="C236" i="2"/>
  <c r="E236" i="2" s="1"/>
  <c r="D334" i="2"/>
  <c r="C334" i="2"/>
  <c r="E334" i="2" s="1"/>
  <c r="C138" i="2"/>
  <c r="E138" i="2" s="1"/>
  <c r="D138" i="2"/>
  <c r="D401" i="2"/>
  <c r="C401" i="2"/>
  <c r="E401" i="2" s="1"/>
  <c r="D231" i="2"/>
  <c r="C231" i="2"/>
  <c r="E231" i="2" s="1"/>
  <c r="C251" i="2"/>
  <c r="E251" i="2" s="1"/>
  <c r="D251" i="2"/>
  <c r="C176" i="2"/>
  <c r="E176" i="2" s="1"/>
  <c r="D176" i="2"/>
  <c r="C182" i="2"/>
  <c r="E182" i="2" s="1"/>
  <c r="D182" i="2"/>
  <c r="D206" i="2"/>
  <c r="C206" i="2"/>
  <c r="E206" i="2" s="1"/>
  <c r="C342" i="2"/>
  <c r="E342" i="2" s="1"/>
  <c r="D342" i="2"/>
  <c r="C212" i="2"/>
  <c r="E212" i="2" s="1"/>
  <c r="D212" i="2"/>
  <c r="C321" i="2"/>
  <c r="E321" i="2" s="1"/>
  <c r="D321" i="2"/>
  <c r="D307" i="2"/>
  <c r="C307" i="2"/>
  <c r="E307" i="2" s="1"/>
  <c r="C278" i="2"/>
  <c r="E278" i="2" s="1"/>
  <c r="D278" i="2"/>
  <c r="D228" i="2"/>
  <c r="C228" i="2"/>
  <c r="E228" i="2" s="1"/>
  <c r="C213" i="2"/>
  <c r="E213" i="2" s="1"/>
  <c r="D213" i="2"/>
  <c r="C386" i="2"/>
  <c r="E386" i="2" s="1"/>
  <c r="D386" i="2"/>
  <c r="C382" i="2"/>
  <c r="E382" i="2" s="1"/>
  <c r="D382" i="2"/>
  <c r="D99" i="2"/>
  <c r="C99" i="2"/>
  <c r="E99" i="2" s="1"/>
  <c r="D108" i="2"/>
  <c r="C108" i="2"/>
  <c r="E108" i="2" s="1"/>
  <c r="C223" i="2"/>
  <c r="E223" i="2" s="1"/>
  <c r="D223" i="2"/>
  <c r="C369" i="2"/>
  <c r="E369" i="2" s="1"/>
  <c r="D369" i="2"/>
  <c r="D183" i="2"/>
  <c r="C183" i="2"/>
  <c r="E183" i="2" s="1"/>
  <c r="C130" i="2"/>
  <c r="E130" i="2" s="1"/>
  <c r="D130" i="2"/>
  <c r="D376" i="2"/>
  <c r="C376" i="2"/>
  <c r="E376" i="2" s="1"/>
  <c r="C235" i="2"/>
  <c r="E235" i="2" s="1"/>
  <c r="D235" i="2"/>
  <c r="D364" i="2"/>
  <c r="C364" i="2"/>
  <c r="E364" i="2" s="1"/>
  <c r="C252" i="2"/>
  <c r="E252" i="2" s="1"/>
  <c r="D252" i="2"/>
  <c r="C331" i="2"/>
  <c r="E331" i="2" s="1"/>
  <c r="D331" i="2"/>
  <c r="D181" i="2"/>
  <c r="C181" i="2"/>
  <c r="E181" i="2" s="1"/>
  <c r="C358" i="2"/>
  <c r="E358" i="2" s="1"/>
  <c r="D358" i="2"/>
  <c r="D191" i="2"/>
  <c r="C191" i="2"/>
  <c r="E191" i="2" s="1"/>
  <c r="D402" i="2"/>
  <c r="C402" i="2"/>
  <c r="E402" i="2" s="1"/>
  <c r="C208" i="2"/>
  <c r="E208" i="2" s="1"/>
  <c r="D208" i="2"/>
  <c r="C162" i="2"/>
  <c r="E162" i="2" s="1"/>
  <c r="D162" i="2"/>
  <c r="D194" i="2"/>
  <c r="C194" i="2"/>
  <c r="E194" i="2" s="1"/>
  <c r="D128" i="2"/>
  <c r="C128" i="2"/>
  <c r="E128" i="2" s="1"/>
  <c r="D136" i="2"/>
  <c r="C136" i="2"/>
  <c r="E136" i="2" s="1"/>
  <c r="D283" i="2"/>
  <c r="C283" i="2"/>
  <c r="E283" i="2" s="1"/>
  <c r="C272" i="2"/>
  <c r="E272" i="2" s="1"/>
  <c r="D272" i="2"/>
  <c r="C279" i="2"/>
  <c r="E279" i="2" s="1"/>
  <c r="D279" i="2"/>
  <c r="C195" i="2"/>
  <c r="E195" i="2" s="1"/>
  <c r="D195" i="2"/>
  <c r="D113" i="2"/>
  <c r="C113" i="2"/>
  <c r="E113" i="2" s="1"/>
  <c r="D354" i="2"/>
  <c r="C354" i="2"/>
  <c r="E354" i="2" s="1"/>
  <c r="D325" i="2"/>
  <c r="C325" i="2"/>
  <c r="E325" i="2" s="1"/>
  <c r="C240" i="2"/>
  <c r="E240" i="2" s="1"/>
  <c r="D240" i="2"/>
  <c r="C152" i="2"/>
  <c r="E152" i="2" s="1"/>
  <c r="D152" i="2"/>
  <c r="C143" i="2"/>
  <c r="E143" i="2" s="1"/>
  <c r="D143" i="2"/>
  <c r="D40" i="2"/>
  <c r="D104" i="2"/>
  <c r="D103" i="2"/>
  <c r="D65" i="2"/>
  <c r="D64" i="2"/>
  <c r="D27" i="2"/>
  <c r="D66" i="2"/>
  <c r="D44" i="2"/>
  <c r="D55" i="2"/>
  <c r="D43" i="2"/>
  <c r="D59" i="2"/>
  <c r="D48" i="2"/>
  <c r="D58" i="2"/>
  <c r="D62" i="2"/>
  <c r="D47" i="2"/>
  <c r="D56" i="2"/>
  <c r="D51" i="2"/>
  <c r="D50" i="2"/>
  <c r="D63" i="2"/>
  <c r="D95" i="2"/>
  <c r="D33" i="2"/>
  <c r="D29" i="2"/>
  <c r="D36" i="2"/>
  <c r="D39" i="2"/>
  <c r="D37" i="2"/>
  <c r="D19" i="2"/>
  <c r="D12" i="2"/>
  <c r="D26" i="2"/>
  <c r="D10" i="2"/>
  <c r="D24" i="2"/>
  <c r="D23" i="2"/>
  <c r="D21" i="2"/>
  <c r="D14" i="2"/>
  <c r="D17" i="2"/>
  <c r="D61" i="2"/>
  <c r="D52" i="2"/>
  <c r="D46" i="2"/>
  <c r="D60" i="2"/>
  <c r="D49" i="2"/>
  <c r="D68" i="2"/>
  <c r="D53" i="2"/>
  <c r="D54" i="2"/>
  <c r="D28" i="2"/>
  <c r="D32" i="2"/>
  <c r="D30" i="2"/>
  <c r="D34" i="2"/>
  <c r="D31" i="2"/>
  <c r="D35" i="2"/>
  <c r="D38" i="2"/>
  <c r="D15" i="2"/>
  <c r="D20" i="2"/>
  <c r="D9" i="2"/>
  <c r="D11" i="2"/>
  <c r="D25" i="2"/>
  <c r="D16" i="2"/>
  <c r="D13" i="2"/>
  <c r="D18" i="2"/>
  <c r="D22" i="2"/>
  <c r="D42" i="2"/>
  <c r="D6" i="2" l="1"/>
  <c r="D7" i="2"/>
  <c r="D4" i="2"/>
  <c r="D5" i="2"/>
  <c r="H11" i="2" s="1"/>
  <c r="D8" i="2"/>
  <c r="G9" i="2"/>
  <c r="Q55" i="1" s="1"/>
  <c r="H7" i="2"/>
  <c r="G11" i="2"/>
  <c r="H5" i="2"/>
  <c r="H3" i="2"/>
  <c r="G5" i="2" s="1"/>
  <c r="G7" i="2" s="1"/>
  <c r="H9" i="2" l="1"/>
</calcChain>
</file>

<file path=xl/sharedStrings.xml><?xml version="1.0" encoding="utf-8"?>
<sst xmlns="http://schemas.openxmlformats.org/spreadsheetml/2006/main" count="48" uniqueCount="33">
  <si>
    <t>S&amp;P</t>
  </si>
  <si>
    <t>Média Móvel</t>
  </si>
  <si>
    <t>%Média Móvel</t>
  </si>
  <si>
    <t>da MA</t>
  </si>
  <si>
    <t xml:space="preserve">Vender o S&amp;P quando estiver </t>
  </si>
  <si>
    <t xml:space="preserve">Comprar o S&amp;P quando estiver </t>
  </si>
  <si>
    <t>Estratégia</t>
  </si>
  <si>
    <t>Entrada Long</t>
  </si>
  <si>
    <t>Saída Long</t>
  </si>
  <si>
    <t>Entrada Short</t>
  </si>
  <si>
    <t>Saída Short</t>
  </si>
  <si>
    <t>Trades Long</t>
  </si>
  <si>
    <t>Entrada</t>
  </si>
  <si>
    <t>Saída</t>
  </si>
  <si>
    <t>Performance</t>
  </si>
  <si>
    <t>N Dias</t>
  </si>
  <si>
    <t>Acerto</t>
  </si>
  <si>
    <t>N Trades</t>
  </si>
  <si>
    <t>Trades Short</t>
  </si>
  <si>
    <t>MA</t>
  </si>
  <si>
    <t>Sinal</t>
  </si>
  <si>
    <t>Preço</t>
  </si>
  <si>
    <t>Perf Acumulada</t>
  </si>
  <si>
    <t>S&amp;P 500</t>
  </si>
  <si>
    <t>Avg Holding</t>
  </si>
  <si>
    <t>Avg total</t>
  </si>
  <si>
    <t>Avg Win</t>
  </si>
  <si>
    <t>Win</t>
  </si>
  <si>
    <t>Erro</t>
  </si>
  <si>
    <t>Avg Holding Win</t>
  </si>
  <si>
    <t>Avg Holding Loss</t>
  </si>
  <si>
    <t>Avg Loss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</si>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</sst>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-416]d\-mmm\-yy;@"/>
    <numFmt numFmtId="166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164" fontId="0" fillId="0" borderId="0" xfId="1" applyNumberFormat="1" applyFont="1"/>
    <xf numFmtId="0" fontId="2" fillId="0" borderId="0" xfId="0" applyFont="1"/>
    <xf numFmtId="10" fontId="0" fillId="2" borderId="0" xfId="0" applyNumberFormat="1" applyFill="1"/>
    <xf numFmtId="43" fontId="0" fillId="0" borderId="0" xfId="1" applyFont="1"/>
    <xf numFmtId="164" fontId="4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0" fontId="0" fillId="0" borderId="0" xfId="2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43" fontId="2" fillId="0" borderId="0" xfId="1" applyFont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66" fontId="0" fillId="0" borderId="5" xfId="2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FF0000"/>
      </font>
    </dxf>
  </dxfs>
  <tableStyles count="0" defaultTableStyle="TableStyleMedium2" defaultPivotStyle="PivotStyleLight16"/>
  <colors>
    <mruColors>
      <color rgb="FFF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Preço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MA!$A$23:$A$248</c:f>
              <c:numCache>
                <c:formatCode>m/d/yyyy</c:formatCode>
                <c:ptCount val="226"/>
                <c:pt idx="0">
                  <c:v>40297</c:v>
                </c:pt>
                <c:pt idx="1">
                  <c:v>40298</c:v>
                </c:pt>
                <c:pt idx="2">
                  <c:v>40301</c:v>
                </c:pt>
                <c:pt idx="3">
                  <c:v>40302</c:v>
                </c:pt>
                <c:pt idx="4">
                  <c:v>40303</c:v>
                </c:pt>
                <c:pt idx="5">
                  <c:v>40304</c:v>
                </c:pt>
                <c:pt idx="6">
                  <c:v>40305</c:v>
                </c:pt>
                <c:pt idx="7">
                  <c:v>40308</c:v>
                </c:pt>
                <c:pt idx="8">
                  <c:v>40309</c:v>
                </c:pt>
                <c:pt idx="9">
                  <c:v>40310</c:v>
                </c:pt>
                <c:pt idx="10">
                  <c:v>40311</c:v>
                </c:pt>
                <c:pt idx="11">
                  <c:v>40312</c:v>
                </c:pt>
                <c:pt idx="12">
                  <c:v>40315</c:v>
                </c:pt>
                <c:pt idx="13">
                  <c:v>40316</c:v>
                </c:pt>
                <c:pt idx="14">
                  <c:v>40317</c:v>
                </c:pt>
                <c:pt idx="15">
                  <c:v>40318</c:v>
                </c:pt>
                <c:pt idx="16">
                  <c:v>40319</c:v>
                </c:pt>
                <c:pt idx="17">
                  <c:v>40322</c:v>
                </c:pt>
                <c:pt idx="18">
                  <c:v>40323</c:v>
                </c:pt>
                <c:pt idx="19">
                  <c:v>40324</c:v>
                </c:pt>
                <c:pt idx="20">
                  <c:v>40325</c:v>
                </c:pt>
                <c:pt idx="21">
                  <c:v>40326</c:v>
                </c:pt>
                <c:pt idx="22">
                  <c:v>40330</c:v>
                </c:pt>
                <c:pt idx="23">
                  <c:v>40331</c:v>
                </c:pt>
                <c:pt idx="24">
                  <c:v>40332</c:v>
                </c:pt>
                <c:pt idx="25">
                  <c:v>40333</c:v>
                </c:pt>
                <c:pt idx="26">
                  <c:v>40336</c:v>
                </c:pt>
                <c:pt idx="27">
                  <c:v>40337</c:v>
                </c:pt>
                <c:pt idx="28">
                  <c:v>40338</c:v>
                </c:pt>
                <c:pt idx="29">
                  <c:v>40339</c:v>
                </c:pt>
                <c:pt idx="30">
                  <c:v>40340</c:v>
                </c:pt>
                <c:pt idx="31">
                  <c:v>40343</c:v>
                </c:pt>
                <c:pt idx="32">
                  <c:v>40344</c:v>
                </c:pt>
                <c:pt idx="33">
                  <c:v>40345</c:v>
                </c:pt>
                <c:pt idx="34">
                  <c:v>40346</c:v>
                </c:pt>
                <c:pt idx="35">
                  <c:v>40347</c:v>
                </c:pt>
                <c:pt idx="36">
                  <c:v>40350</c:v>
                </c:pt>
                <c:pt idx="37">
                  <c:v>40351</c:v>
                </c:pt>
                <c:pt idx="38">
                  <c:v>40352</c:v>
                </c:pt>
                <c:pt idx="39">
                  <c:v>40353</c:v>
                </c:pt>
                <c:pt idx="40">
                  <c:v>40354</c:v>
                </c:pt>
                <c:pt idx="41">
                  <c:v>40357</c:v>
                </c:pt>
                <c:pt idx="42">
                  <c:v>40358</c:v>
                </c:pt>
                <c:pt idx="43">
                  <c:v>40359</c:v>
                </c:pt>
                <c:pt idx="44">
                  <c:v>40360</c:v>
                </c:pt>
                <c:pt idx="45">
                  <c:v>40361</c:v>
                </c:pt>
                <c:pt idx="46">
                  <c:v>40365</c:v>
                </c:pt>
                <c:pt idx="47">
                  <c:v>40366</c:v>
                </c:pt>
                <c:pt idx="48">
                  <c:v>40367</c:v>
                </c:pt>
                <c:pt idx="49">
                  <c:v>40368</c:v>
                </c:pt>
                <c:pt idx="50">
                  <c:v>40371</c:v>
                </c:pt>
                <c:pt idx="51">
                  <c:v>40372</c:v>
                </c:pt>
                <c:pt idx="52">
                  <c:v>40373</c:v>
                </c:pt>
                <c:pt idx="53">
                  <c:v>40374</c:v>
                </c:pt>
                <c:pt idx="54">
                  <c:v>40375</c:v>
                </c:pt>
                <c:pt idx="55">
                  <c:v>40378</c:v>
                </c:pt>
                <c:pt idx="56">
                  <c:v>40379</c:v>
                </c:pt>
                <c:pt idx="57">
                  <c:v>40380</c:v>
                </c:pt>
                <c:pt idx="58">
                  <c:v>40381</c:v>
                </c:pt>
                <c:pt idx="59">
                  <c:v>40382</c:v>
                </c:pt>
                <c:pt idx="60">
                  <c:v>40385</c:v>
                </c:pt>
                <c:pt idx="61">
                  <c:v>40386</c:v>
                </c:pt>
                <c:pt idx="62">
                  <c:v>40387</c:v>
                </c:pt>
                <c:pt idx="63">
                  <c:v>40388</c:v>
                </c:pt>
                <c:pt idx="64">
                  <c:v>40389</c:v>
                </c:pt>
                <c:pt idx="65">
                  <c:v>40392</c:v>
                </c:pt>
                <c:pt idx="66">
                  <c:v>40393</c:v>
                </c:pt>
                <c:pt idx="67">
                  <c:v>40394</c:v>
                </c:pt>
                <c:pt idx="68">
                  <c:v>40395</c:v>
                </c:pt>
                <c:pt idx="69">
                  <c:v>40396</c:v>
                </c:pt>
                <c:pt idx="70">
                  <c:v>40399</c:v>
                </c:pt>
                <c:pt idx="71">
                  <c:v>40400</c:v>
                </c:pt>
                <c:pt idx="72">
                  <c:v>40401</c:v>
                </c:pt>
                <c:pt idx="73">
                  <c:v>40402</c:v>
                </c:pt>
                <c:pt idx="74">
                  <c:v>40403</c:v>
                </c:pt>
                <c:pt idx="75">
                  <c:v>40406</c:v>
                </c:pt>
                <c:pt idx="76">
                  <c:v>40407</c:v>
                </c:pt>
                <c:pt idx="77">
                  <c:v>40408</c:v>
                </c:pt>
                <c:pt idx="78">
                  <c:v>40409</c:v>
                </c:pt>
                <c:pt idx="79">
                  <c:v>40410</c:v>
                </c:pt>
                <c:pt idx="80">
                  <c:v>40413</c:v>
                </c:pt>
                <c:pt idx="81">
                  <c:v>40414</c:v>
                </c:pt>
                <c:pt idx="82">
                  <c:v>40415</c:v>
                </c:pt>
                <c:pt idx="83">
                  <c:v>40416</c:v>
                </c:pt>
                <c:pt idx="84">
                  <c:v>40417</c:v>
                </c:pt>
                <c:pt idx="85">
                  <c:v>40420</c:v>
                </c:pt>
                <c:pt idx="86">
                  <c:v>40421</c:v>
                </c:pt>
                <c:pt idx="87">
                  <c:v>40422</c:v>
                </c:pt>
                <c:pt idx="88">
                  <c:v>40423</c:v>
                </c:pt>
                <c:pt idx="89">
                  <c:v>40424</c:v>
                </c:pt>
                <c:pt idx="90">
                  <c:v>40428</c:v>
                </c:pt>
                <c:pt idx="91">
                  <c:v>40429</c:v>
                </c:pt>
                <c:pt idx="92">
                  <c:v>40430</c:v>
                </c:pt>
                <c:pt idx="93">
                  <c:v>40431</c:v>
                </c:pt>
                <c:pt idx="94">
                  <c:v>40434</c:v>
                </c:pt>
                <c:pt idx="95">
                  <c:v>40435</c:v>
                </c:pt>
                <c:pt idx="96">
                  <c:v>40436</c:v>
                </c:pt>
                <c:pt idx="97">
                  <c:v>40437</c:v>
                </c:pt>
                <c:pt idx="98">
                  <c:v>40438</c:v>
                </c:pt>
                <c:pt idx="99">
                  <c:v>40441</c:v>
                </c:pt>
                <c:pt idx="100">
                  <c:v>40442</c:v>
                </c:pt>
                <c:pt idx="101">
                  <c:v>40443</c:v>
                </c:pt>
                <c:pt idx="102">
                  <c:v>40444</c:v>
                </c:pt>
                <c:pt idx="103">
                  <c:v>40445</c:v>
                </c:pt>
                <c:pt idx="104">
                  <c:v>40448</c:v>
                </c:pt>
                <c:pt idx="105">
                  <c:v>40449</c:v>
                </c:pt>
                <c:pt idx="106">
                  <c:v>40450</c:v>
                </c:pt>
                <c:pt idx="107">
                  <c:v>40451</c:v>
                </c:pt>
                <c:pt idx="108">
                  <c:v>40452</c:v>
                </c:pt>
                <c:pt idx="109">
                  <c:v>40455</c:v>
                </c:pt>
                <c:pt idx="110">
                  <c:v>40456</c:v>
                </c:pt>
                <c:pt idx="111">
                  <c:v>40457</c:v>
                </c:pt>
                <c:pt idx="112">
                  <c:v>40458</c:v>
                </c:pt>
                <c:pt idx="113">
                  <c:v>40459</c:v>
                </c:pt>
                <c:pt idx="114">
                  <c:v>40462</c:v>
                </c:pt>
                <c:pt idx="115">
                  <c:v>40463</c:v>
                </c:pt>
                <c:pt idx="116">
                  <c:v>40464</c:v>
                </c:pt>
                <c:pt idx="117">
                  <c:v>40465</c:v>
                </c:pt>
                <c:pt idx="118">
                  <c:v>40466</c:v>
                </c:pt>
                <c:pt idx="119">
                  <c:v>40469</c:v>
                </c:pt>
                <c:pt idx="120">
                  <c:v>40470</c:v>
                </c:pt>
                <c:pt idx="121">
                  <c:v>40471</c:v>
                </c:pt>
                <c:pt idx="122">
                  <c:v>40472</c:v>
                </c:pt>
                <c:pt idx="123">
                  <c:v>40473</c:v>
                </c:pt>
                <c:pt idx="124">
                  <c:v>40476</c:v>
                </c:pt>
                <c:pt idx="125">
                  <c:v>40477</c:v>
                </c:pt>
                <c:pt idx="126">
                  <c:v>40478</c:v>
                </c:pt>
                <c:pt idx="127">
                  <c:v>40479</c:v>
                </c:pt>
                <c:pt idx="128">
                  <c:v>40480</c:v>
                </c:pt>
                <c:pt idx="129">
                  <c:v>40483</c:v>
                </c:pt>
                <c:pt idx="130">
                  <c:v>40484</c:v>
                </c:pt>
                <c:pt idx="131">
                  <c:v>40485</c:v>
                </c:pt>
                <c:pt idx="132">
                  <c:v>40486</c:v>
                </c:pt>
                <c:pt idx="133">
                  <c:v>40487</c:v>
                </c:pt>
                <c:pt idx="134">
                  <c:v>40490</c:v>
                </c:pt>
                <c:pt idx="135">
                  <c:v>40491</c:v>
                </c:pt>
                <c:pt idx="136">
                  <c:v>40492</c:v>
                </c:pt>
                <c:pt idx="137">
                  <c:v>40493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</c:numCache>
            </c:numRef>
          </c:cat>
          <c:val>
            <c:numRef>
              <c:f>MA!$B$23:$B$248</c:f>
              <c:numCache>
                <c:formatCode>General</c:formatCode>
                <c:ptCount val="226"/>
                <c:pt idx="0">
                  <c:v>2000.34</c:v>
                </c:pt>
                <c:pt idx="1">
                  <c:v>1967.05</c:v>
                </c:pt>
                <c:pt idx="2">
                  <c:v>1992.87</c:v>
                </c:pt>
                <c:pt idx="3">
                  <c:v>1945.37</c:v>
                </c:pt>
                <c:pt idx="4">
                  <c:v>1933.25</c:v>
                </c:pt>
                <c:pt idx="5">
                  <c:v>1870.95</c:v>
                </c:pt>
                <c:pt idx="6">
                  <c:v>1842.32</c:v>
                </c:pt>
                <c:pt idx="7">
                  <c:v>1923.39</c:v>
                </c:pt>
                <c:pt idx="8">
                  <c:v>1917.25</c:v>
                </c:pt>
                <c:pt idx="9">
                  <c:v>1944.25</c:v>
                </c:pt>
                <c:pt idx="10">
                  <c:v>1920.76</c:v>
                </c:pt>
                <c:pt idx="11">
                  <c:v>1884.67</c:v>
                </c:pt>
                <c:pt idx="12">
                  <c:v>1887.11</c:v>
                </c:pt>
                <c:pt idx="13">
                  <c:v>1860.65</c:v>
                </c:pt>
                <c:pt idx="14">
                  <c:v>1851.28</c:v>
                </c:pt>
                <c:pt idx="15">
                  <c:v>1779.3</c:v>
                </c:pt>
                <c:pt idx="16">
                  <c:v>1806.05</c:v>
                </c:pt>
                <c:pt idx="17">
                  <c:v>1782.77</c:v>
                </c:pt>
                <c:pt idx="18">
                  <c:v>1783.4</c:v>
                </c:pt>
                <c:pt idx="19">
                  <c:v>1773.65</c:v>
                </c:pt>
                <c:pt idx="20">
                  <c:v>1832.61</c:v>
                </c:pt>
                <c:pt idx="21">
                  <c:v>1809.98</c:v>
                </c:pt>
                <c:pt idx="22">
                  <c:v>1778.99</c:v>
                </c:pt>
                <c:pt idx="23">
                  <c:v>1825.25</c:v>
                </c:pt>
                <c:pt idx="24">
                  <c:v>1832.72</c:v>
                </c:pt>
                <c:pt idx="25">
                  <c:v>1769.72</c:v>
                </c:pt>
                <c:pt idx="26">
                  <c:v>1745.87</c:v>
                </c:pt>
                <c:pt idx="27">
                  <c:v>1765.29</c:v>
                </c:pt>
                <c:pt idx="28">
                  <c:v>1754.91</c:v>
                </c:pt>
                <c:pt idx="29">
                  <c:v>1806.69</c:v>
                </c:pt>
                <c:pt idx="30">
                  <c:v>1815.26</c:v>
                </c:pt>
                <c:pt idx="31">
                  <c:v>1812.02</c:v>
                </c:pt>
                <c:pt idx="32">
                  <c:v>1854.61</c:v>
                </c:pt>
                <c:pt idx="33">
                  <c:v>1853.62</c:v>
                </c:pt>
                <c:pt idx="34">
                  <c:v>1856.25</c:v>
                </c:pt>
                <c:pt idx="35">
                  <c:v>1858.7</c:v>
                </c:pt>
                <c:pt idx="36">
                  <c:v>1851.55</c:v>
                </c:pt>
                <c:pt idx="37">
                  <c:v>1822.05</c:v>
                </c:pt>
                <c:pt idx="38">
                  <c:v>1816.65</c:v>
                </c:pt>
                <c:pt idx="39">
                  <c:v>1786.13</c:v>
                </c:pt>
                <c:pt idx="40">
                  <c:v>1791.24</c:v>
                </c:pt>
                <c:pt idx="41">
                  <c:v>1787.94</c:v>
                </c:pt>
                <c:pt idx="42">
                  <c:v>1732.55</c:v>
                </c:pt>
                <c:pt idx="43">
                  <c:v>1715.23</c:v>
                </c:pt>
                <c:pt idx="44">
                  <c:v>1709.77</c:v>
                </c:pt>
                <c:pt idx="45">
                  <c:v>1701.86</c:v>
                </c:pt>
                <c:pt idx="46">
                  <c:v>1710.97</c:v>
                </c:pt>
                <c:pt idx="47">
                  <c:v>1765.42</c:v>
                </c:pt>
                <c:pt idx="48">
                  <c:v>1782.1</c:v>
                </c:pt>
                <c:pt idx="49">
                  <c:v>1794.94</c:v>
                </c:pt>
                <c:pt idx="50">
                  <c:v>1796.3</c:v>
                </c:pt>
                <c:pt idx="51">
                  <c:v>1824.07</c:v>
                </c:pt>
                <c:pt idx="52">
                  <c:v>1823.82</c:v>
                </c:pt>
                <c:pt idx="53">
                  <c:v>1826</c:v>
                </c:pt>
                <c:pt idx="54">
                  <c:v>1773.43</c:v>
                </c:pt>
                <c:pt idx="55">
                  <c:v>1784.06</c:v>
                </c:pt>
                <c:pt idx="56">
                  <c:v>1804.48</c:v>
                </c:pt>
                <c:pt idx="57">
                  <c:v>1781.6</c:v>
                </c:pt>
                <c:pt idx="58">
                  <c:v>1821.76</c:v>
                </c:pt>
                <c:pt idx="59">
                  <c:v>1836.75</c:v>
                </c:pt>
                <c:pt idx="60">
                  <c:v>1857.34</c:v>
                </c:pt>
                <c:pt idx="61">
                  <c:v>1855.39</c:v>
                </c:pt>
                <c:pt idx="62">
                  <c:v>1842.66</c:v>
                </c:pt>
                <c:pt idx="63">
                  <c:v>1835.29</c:v>
                </c:pt>
                <c:pt idx="64">
                  <c:v>1835.4</c:v>
                </c:pt>
                <c:pt idx="65">
                  <c:v>1875.85</c:v>
                </c:pt>
                <c:pt idx="66">
                  <c:v>1866.87</c:v>
                </c:pt>
                <c:pt idx="67">
                  <c:v>1878.81</c:v>
                </c:pt>
                <c:pt idx="68">
                  <c:v>1876.51</c:v>
                </c:pt>
                <c:pt idx="69">
                  <c:v>1869.77</c:v>
                </c:pt>
                <c:pt idx="70">
                  <c:v>1880.06</c:v>
                </c:pt>
                <c:pt idx="71">
                  <c:v>1868.88</c:v>
                </c:pt>
                <c:pt idx="72">
                  <c:v>1817.13</c:v>
                </c:pt>
                <c:pt idx="73">
                  <c:v>1807.61</c:v>
                </c:pt>
                <c:pt idx="74">
                  <c:v>1800.39</c:v>
                </c:pt>
                <c:pt idx="75">
                  <c:v>1800.7</c:v>
                </c:pt>
                <c:pt idx="76">
                  <c:v>1823.18</c:v>
                </c:pt>
                <c:pt idx="77">
                  <c:v>1826.14</c:v>
                </c:pt>
                <c:pt idx="78">
                  <c:v>1795.24</c:v>
                </c:pt>
                <c:pt idx="79">
                  <c:v>1788.67</c:v>
                </c:pt>
                <c:pt idx="80">
                  <c:v>1781.47</c:v>
                </c:pt>
                <c:pt idx="81">
                  <c:v>1755.65</c:v>
                </c:pt>
                <c:pt idx="82">
                  <c:v>1761.62</c:v>
                </c:pt>
                <c:pt idx="83">
                  <c:v>1748.14</c:v>
                </c:pt>
                <c:pt idx="84">
                  <c:v>1777.6</c:v>
                </c:pt>
                <c:pt idx="85">
                  <c:v>1751.79</c:v>
                </c:pt>
                <c:pt idx="86">
                  <c:v>1752.55</c:v>
                </c:pt>
                <c:pt idx="87">
                  <c:v>1804.46</c:v>
                </c:pt>
                <c:pt idx="88">
                  <c:v>1820.98</c:v>
                </c:pt>
                <c:pt idx="89">
                  <c:v>1845.1</c:v>
                </c:pt>
                <c:pt idx="90">
                  <c:v>1824.05</c:v>
                </c:pt>
                <c:pt idx="91">
                  <c:v>1836.21</c:v>
                </c:pt>
                <c:pt idx="92">
                  <c:v>1845.09</c:v>
                </c:pt>
                <c:pt idx="93">
                  <c:v>1854.1</c:v>
                </c:pt>
                <c:pt idx="94">
                  <c:v>1875.41</c:v>
                </c:pt>
                <c:pt idx="95">
                  <c:v>1874.07</c:v>
                </c:pt>
                <c:pt idx="96">
                  <c:v>1880.74</c:v>
                </c:pt>
                <c:pt idx="97">
                  <c:v>1880.37</c:v>
                </c:pt>
                <c:pt idx="98">
                  <c:v>1881.93</c:v>
                </c:pt>
                <c:pt idx="99">
                  <c:v>1910.6</c:v>
                </c:pt>
                <c:pt idx="100">
                  <c:v>1905.74</c:v>
                </c:pt>
                <c:pt idx="101">
                  <c:v>1896.77</c:v>
                </c:pt>
                <c:pt idx="102">
                  <c:v>1880.97</c:v>
                </c:pt>
                <c:pt idx="103">
                  <c:v>1920.84</c:v>
                </c:pt>
                <c:pt idx="104">
                  <c:v>1909.98</c:v>
                </c:pt>
                <c:pt idx="105">
                  <c:v>1919.59</c:v>
                </c:pt>
                <c:pt idx="106">
                  <c:v>1914.84</c:v>
                </c:pt>
                <c:pt idx="107">
                  <c:v>1908.95</c:v>
                </c:pt>
                <c:pt idx="108">
                  <c:v>1917.42</c:v>
                </c:pt>
                <c:pt idx="109">
                  <c:v>1902.15</c:v>
                </c:pt>
                <c:pt idx="110">
                  <c:v>1941.82</c:v>
                </c:pt>
                <c:pt idx="111">
                  <c:v>1941.5</c:v>
                </c:pt>
                <c:pt idx="112">
                  <c:v>1938.31</c:v>
                </c:pt>
                <c:pt idx="113">
                  <c:v>1950.18</c:v>
                </c:pt>
                <c:pt idx="114">
                  <c:v>1950.47</c:v>
                </c:pt>
                <c:pt idx="115">
                  <c:v>1957.92</c:v>
                </c:pt>
                <c:pt idx="116">
                  <c:v>1972.08</c:v>
                </c:pt>
                <c:pt idx="117">
                  <c:v>1964.9</c:v>
                </c:pt>
                <c:pt idx="118">
                  <c:v>1968.87</c:v>
                </c:pt>
                <c:pt idx="119">
                  <c:v>1983.17</c:v>
                </c:pt>
                <c:pt idx="120">
                  <c:v>1951.67</c:v>
                </c:pt>
                <c:pt idx="121">
                  <c:v>1972.51</c:v>
                </c:pt>
                <c:pt idx="122">
                  <c:v>1976.12</c:v>
                </c:pt>
                <c:pt idx="123">
                  <c:v>1980.83</c:v>
                </c:pt>
                <c:pt idx="124">
                  <c:v>1985.11</c:v>
                </c:pt>
                <c:pt idx="125">
                  <c:v>1985.13</c:v>
                </c:pt>
                <c:pt idx="126">
                  <c:v>1980.05</c:v>
                </c:pt>
                <c:pt idx="127">
                  <c:v>1982.45</c:v>
                </c:pt>
                <c:pt idx="128">
                  <c:v>1981.59</c:v>
                </c:pt>
                <c:pt idx="129">
                  <c:v>1983.47</c:v>
                </c:pt>
                <c:pt idx="130">
                  <c:v>1998.86</c:v>
                </c:pt>
                <c:pt idx="131">
                  <c:v>2006.58</c:v>
                </c:pt>
                <c:pt idx="132">
                  <c:v>2045.62</c:v>
                </c:pt>
                <c:pt idx="133">
                  <c:v>2053.77</c:v>
                </c:pt>
                <c:pt idx="134">
                  <c:v>2049.69</c:v>
                </c:pt>
                <c:pt idx="135">
                  <c:v>2033.85</c:v>
                </c:pt>
                <c:pt idx="136">
                  <c:v>2043.16</c:v>
                </c:pt>
                <c:pt idx="137">
                  <c:v>2034.48</c:v>
                </c:pt>
                <c:pt idx="138">
                  <c:v>2010.57</c:v>
                </c:pt>
                <c:pt idx="139">
                  <c:v>2008.25</c:v>
                </c:pt>
                <c:pt idx="140">
                  <c:v>1976.26</c:v>
                </c:pt>
                <c:pt idx="141">
                  <c:v>1977</c:v>
                </c:pt>
                <c:pt idx="142">
                  <c:v>2007.38</c:v>
                </c:pt>
                <c:pt idx="143">
                  <c:v>2012.59</c:v>
                </c:pt>
                <c:pt idx="144">
                  <c:v>2009.52</c:v>
                </c:pt>
                <c:pt idx="145">
                  <c:v>1980.89</c:v>
                </c:pt>
                <c:pt idx="146">
                  <c:v>2010.56</c:v>
                </c:pt>
                <c:pt idx="147">
                  <c:v>1996.03</c:v>
                </c:pt>
                <c:pt idx="148">
                  <c:v>1993.83</c:v>
                </c:pt>
                <c:pt idx="149">
                  <c:v>1981.84</c:v>
                </c:pt>
                <c:pt idx="150">
                  <c:v>2024.97</c:v>
                </c:pt>
                <c:pt idx="151">
                  <c:v>2050.96</c:v>
                </c:pt>
                <c:pt idx="152">
                  <c:v>2056.4</c:v>
                </c:pt>
                <c:pt idx="153">
                  <c:v>2053.8000000000002</c:v>
                </c:pt>
                <c:pt idx="154">
                  <c:v>2054.89</c:v>
                </c:pt>
                <c:pt idx="155">
                  <c:v>2063.0300000000002</c:v>
                </c:pt>
                <c:pt idx="156">
                  <c:v>2071.12</c:v>
                </c:pt>
                <c:pt idx="157">
                  <c:v>2083.5700000000002</c:v>
                </c:pt>
                <c:pt idx="158">
                  <c:v>2084</c:v>
                </c:pt>
                <c:pt idx="159">
                  <c:v>2085.9299999999998</c:v>
                </c:pt>
                <c:pt idx="160">
                  <c:v>2075.29</c:v>
                </c:pt>
                <c:pt idx="161">
                  <c:v>2088.19</c:v>
                </c:pt>
                <c:pt idx="162">
                  <c:v>2089.9499999999998</c:v>
                </c:pt>
                <c:pt idx="163">
                  <c:v>2095.3200000000002</c:v>
                </c:pt>
                <c:pt idx="164">
                  <c:v>2108.2600000000002</c:v>
                </c:pt>
                <c:pt idx="165">
                  <c:v>2115.69</c:v>
                </c:pt>
                <c:pt idx="166">
                  <c:v>2112.37</c:v>
                </c:pt>
                <c:pt idx="167">
                  <c:v>2113.67</c:v>
                </c:pt>
                <c:pt idx="168">
                  <c:v>2115.3200000000002</c:v>
                </c:pt>
                <c:pt idx="169">
                  <c:v>2117.83</c:v>
                </c:pt>
                <c:pt idx="170">
                  <c:v>2114.6999999999998</c:v>
                </c:pt>
                <c:pt idx="171">
                  <c:v>2114.29</c:v>
                </c:pt>
                <c:pt idx="172">
                  <c:v>2138.3000000000002</c:v>
                </c:pt>
                <c:pt idx="173">
                  <c:v>2135.5300000000002</c:v>
                </c:pt>
                <c:pt idx="174">
                  <c:v>2146.5</c:v>
                </c:pt>
                <c:pt idx="175">
                  <c:v>2142.7600000000002</c:v>
                </c:pt>
                <c:pt idx="176">
                  <c:v>2138.81</c:v>
                </c:pt>
                <c:pt idx="177">
                  <c:v>2135.86</c:v>
                </c:pt>
                <c:pt idx="178">
                  <c:v>2143.8200000000002</c:v>
                </c:pt>
                <c:pt idx="179">
                  <c:v>2163.36</c:v>
                </c:pt>
                <c:pt idx="180">
                  <c:v>2159.66</c:v>
                </c:pt>
                <c:pt idx="181">
                  <c:v>2175.6799999999998</c:v>
                </c:pt>
                <c:pt idx="182">
                  <c:v>2178.7199999999998</c:v>
                </c:pt>
                <c:pt idx="183">
                  <c:v>2156.9699999999998</c:v>
                </c:pt>
                <c:pt idx="184">
                  <c:v>2154.1799999999998</c:v>
                </c:pt>
                <c:pt idx="185">
                  <c:v>2159.4299999999998</c:v>
                </c:pt>
                <c:pt idx="186">
                  <c:v>2172.0300000000002</c:v>
                </c:pt>
                <c:pt idx="187">
                  <c:v>2172.67</c:v>
                </c:pt>
                <c:pt idx="188">
                  <c:v>2181.92</c:v>
                </c:pt>
                <c:pt idx="189">
                  <c:v>2186.9299999999998</c:v>
                </c:pt>
                <c:pt idx="190">
                  <c:v>2147.9499999999998</c:v>
                </c:pt>
                <c:pt idx="191">
                  <c:v>2164.4</c:v>
                </c:pt>
                <c:pt idx="192">
                  <c:v>2200.54</c:v>
                </c:pt>
                <c:pt idx="193">
                  <c:v>2194.94</c:v>
                </c:pt>
                <c:pt idx="194">
                  <c:v>2200.42</c:v>
                </c:pt>
                <c:pt idx="195">
                  <c:v>2206.8000000000002</c:v>
                </c:pt>
                <c:pt idx="196">
                  <c:v>2220.6</c:v>
                </c:pt>
                <c:pt idx="197">
                  <c:v>2230.59</c:v>
                </c:pt>
                <c:pt idx="198">
                  <c:v>2224.64</c:v>
                </c:pt>
                <c:pt idx="199">
                  <c:v>2226.5100000000002</c:v>
                </c:pt>
                <c:pt idx="200">
                  <c:v>2239.08</c:v>
                </c:pt>
                <c:pt idx="201">
                  <c:v>2244.89</c:v>
                </c:pt>
                <c:pt idx="202">
                  <c:v>2237.9</c:v>
                </c:pt>
                <c:pt idx="203">
                  <c:v>2252.3000000000002</c:v>
                </c:pt>
                <c:pt idx="204">
                  <c:v>2259.42</c:v>
                </c:pt>
                <c:pt idx="205">
                  <c:v>2263.79</c:v>
                </c:pt>
                <c:pt idx="206">
                  <c:v>2217.35</c:v>
                </c:pt>
                <c:pt idx="207">
                  <c:v>2203.89</c:v>
                </c:pt>
                <c:pt idx="208">
                  <c:v>2202.23</c:v>
                </c:pt>
                <c:pt idx="209">
                  <c:v>2226.0500000000002</c:v>
                </c:pt>
                <c:pt idx="210">
                  <c:v>2238.5500000000002</c:v>
                </c:pt>
                <c:pt idx="211">
                  <c:v>2203.3200000000002</c:v>
                </c:pt>
                <c:pt idx="212">
                  <c:v>2207.2399999999998</c:v>
                </c:pt>
                <c:pt idx="213">
                  <c:v>2245.33</c:v>
                </c:pt>
                <c:pt idx="214">
                  <c:v>2228.7800000000002</c:v>
                </c:pt>
                <c:pt idx="215">
                  <c:v>2210.2600000000002</c:v>
                </c:pt>
                <c:pt idx="216">
                  <c:v>2230.4</c:v>
                </c:pt>
                <c:pt idx="217">
                  <c:v>2227.6999999999998</c:v>
                </c:pt>
                <c:pt idx="218">
                  <c:v>2185.65</c:v>
                </c:pt>
                <c:pt idx="219">
                  <c:v>2201.81</c:v>
                </c:pt>
                <c:pt idx="220">
                  <c:v>2188.56</c:v>
                </c:pt>
                <c:pt idx="221">
                  <c:v>2164.06</c:v>
                </c:pt>
                <c:pt idx="222">
                  <c:v>2121.94</c:v>
                </c:pt>
                <c:pt idx="223">
                  <c:v>2150.4299999999998</c:v>
                </c:pt>
                <c:pt idx="224">
                  <c:v>2159.69</c:v>
                </c:pt>
                <c:pt idx="225">
                  <c:v>2192.09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E-4968-86CA-CA0A57E8C536}"/>
            </c:ext>
          </c:extLst>
        </c:ser>
        <c:ser>
          <c:idx val="1"/>
          <c:order val="1"/>
          <c:tx>
            <c:v>Media Movel 20D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MA!$A$23:$A$248</c:f>
              <c:numCache>
                <c:formatCode>m/d/yyyy</c:formatCode>
                <c:ptCount val="226"/>
                <c:pt idx="0">
                  <c:v>40297</c:v>
                </c:pt>
                <c:pt idx="1">
                  <c:v>40298</c:v>
                </c:pt>
                <c:pt idx="2">
                  <c:v>40301</c:v>
                </c:pt>
                <c:pt idx="3">
                  <c:v>40302</c:v>
                </c:pt>
                <c:pt idx="4">
                  <c:v>40303</c:v>
                </c:pt>
                <c:pt idx="5">
                  <c:v>40304</c:v>
                </c:pt>
                <c:pt idx="6">
                  <c:v>40305</c:v>
                </c:pt>
                <c:pt idx="7">
                  <c:v>40308</c:v>
                </c:pt>
                <c:pt idx="8">
                  <c:v>40309</c:v>
                </c:pt>
                <c:pt idx="9">
                  <c:v>40310</c:v>
                </c:pt>
                <c:pt idx="10">
                  <c:v>40311</c:v>
                </c:pt>
                <c:pt idx="11">
                  <c:v>40312</c:v>
                </c:pt>
                <c:pt idx="12">
                  <c:v>40315</c:v>
                </c:pt>
                <c:pt idx="13">
                  <c:v>40316</c:v>
                </c:pt>
                <c:pt idx="14">
                  <c:v>40317</c:v>
                </c:pt>
                <c:pt idx="15">
                  <c:v>40318</c:v>
                </c:pt>
                <c:pt idx="16">
                  <c:v>40319</c:v>
                </c:pt>
                <c:pt idx="17">
                  <c:v>40322</c:v>
                </c:pt>
                <c:pt idx="18">
                  <c:v>40323</c:v>
                </c:pt>
                <c:pt idx="19">
                  <c:v>40324</c:v>
                </c:pt>
                <c:pt idx="20">
                  <c:v>40325</c:v>
                </c:pt>
                <c:pt idx="21">
                  <c:v>40326</c:v>
                </c:pt>
                <c:pt idx="22">
                  <c:v>40330</c:v>
                </c:pt>
                <c:pt idx="23">
                  <c:v>40331</c:v>
                </c:pt>
                <c:pt idx="24">
                  <c:v>40332</c:v>
                </c:pt>
                <c:pt idx="25">
                  <c:v>40333</c:v>
                </c:pt>
                <c:pt idx="26">
                  <c:v>40336</c:v>
                </c:pt>
                <c:pt idx="27">
                  <c:v>40337</c:v>
                </c:pt>
                <c:pt idx="28">
                  <c:v>40338</c:v>
                </c:pt>
                <c:pt idx="29">
                  <c:v>40339</c:v>
                </c:pt>
                <c:pt idx="30">
                  <c:v>40340</c:v>
                </c:pt>
                <c:pt idx="31">
                  <c:v>40343</c:v>
                </c:pt>
                <c:pt idx="32">
                  <c:v>40344</c:v>
                </c:pt>
                <c:pt idx="33">
                  <c:v>40345</c:v>
                </c:pt>
                <c:pt idx="34">
                  <c:v>40346</c:v>
                </c:pt>
                <c:pt idx="35">
                  <c:v>40347</c:v>
                </c:pt>
                <c:pt idx="36">
                  <c:v>40350</c:v>
                </c:pt>
                <c:pt idx="37">
                  <c:v>40351</c:v>
                </c:pt>
                <c:pt idx="38">
                  <c:v>40352</c:v>
                </c:pt>
                <c:pt idx="39">
                  <c:v>40353</c:v>
                </c:pt>
                <c:pt idx="40">
                  <c:v>40354</c:v>
                </c:pt>
                <c:pt idx="41">
                  <c:v>40357</c:v>
                </c:pt>
                <c:pt idx="42">
                  <c:v>40358</c:v>
                </c:pt>
                <c:pt idx="43">
                  <c:v>40359</c:v>
                </c:pt>
                <c:pt idx="44">
                  <c:v>40360</c:v>
                </c:pt>
                <c:pt idx="45">
                  <c:v>40361</c:v>
                </c:pt>
                <c:pt idx="46">
                  <c:v>40365</c:v>
                </c:pt>
                <c:pt idx="47">
                  <c:v>40366</c:v>
                </c:pt>
                <c:pt idx="48">
                  <c:v>40367</c:v>
                </c:pt>
                <c:pt idx="49">
                  <c:v>40368</c:v>
                </c:pt>
                <c:pt idx="50">
                  <c:v>40371</c:v>
                </c:pt>
                <c:pt idx="51">
                  <c:v>40372</c:v>
                </c:pt>
                <c:pt idx="52">
                  <c:v>40373</c:v>
                </c:pt>
                <c:pt idx="53">
                  <c:v>40374</c:v>
                </c:pt>
                <c:pt idx="54">
                  <c:v>40375</c:v>
                </c:pt>
                <c:pt idx="55">
                  <c:v>40378</c:v>
                </c:pt>
                <c:pt idx="56">
                  <c:v>40379</c:v>
                </c:pt>
                <c:pt idx="57">
                  <c:v>40380</c:v>
                </c:pt>
                <c:pt idx="58">
                  <c:v>40381</c:v>
                </c:pt>
                <c:pt idx="59">
                  <c:v>40382</c:v>
                </c:pt>
                <c:pt idx="60">
                  <c:v>40385</c:v>
                </c:pt>
                <c:pt idx="61">
                  <c:v>40386</c:v>
                </c:pt>
                <c:pt idx="62">
                  <c:v>40387</c:v>
                </c:pt>
                <c:pt idx="63">
                  <c:v>40388</c:v>
                </c:pt>
                <c:pt idx="64">
                  <c:v>40389</c:v>
                </c:pt>
                <c:pt idx="65">
                  <c:v>40392</c:v>
                </c:pt>
                <c:pt idx="66">
                  <c:v>40393</c:v>
                </c:pt>
                <c:pt idx="67">
                  <c:v>40394</c:v>
                </c:pt>
                <c:pt idx="68">
                  <c:v>40395</c:v>
                </c:pt>
                <c:pt idx="69">
                  <c:v>40396</c:v>
                </c:pt>
                <c:pt idx="70">
                  <c:v>40399</c:v>
                </c:pt>
                <c:pt idx="71">
                  <c:v>40400</c:v>
                </c:pt>
                <c:pt idx="72">
                  <c:v>40401</c:v>
                </c:pt>
                <c:pt idx="73">
                  <c:v>40402</c:v>
                </c:pt>
                <c:pt idx="74">
                  <c:v>40403</c:v>
                </c:pt>
                <c:pt idx="75">
                  <c:v>40406</c:v>
                </c:pt>
                <c:pt idx="76">
                  <c:v>40407</c:v>
                </c:pt>
                <c:pt idx="77">
                  <c:v>40408</c:v>
                </c:pt>
                <c:pt idx="78">
                  <c:v>40409</c:v>
                </c:pt>
                <c:pt idx="79">
                  <c:v>40410</c:v>
                </c:pt>
                <c:pt idx="80">
                  <c:v>40413</c:v>
                </c:pt>
                <c:pt idx="81">
                  <c:v>40414</c:v>
                </c:pt>
                <c:pt idx="82">
                  <c:v>40415</c:v>
                </c:pt>
                <c:pt idx="83">
                  <c:v>40416</c:v>
                </c:pt>
                <c:pt idx="84">
                  <c:v>40417</c:v>
                </c:pt>
                <c:pt idx="85">
                  <c:v>40420</c:v>
                </c:pt>
                <c:pt idx="86">
                  <c:v>40421</c:v>
                </c:pt>
                <c:pt idx="87">
                  <c:v>40422</c:v>
                </c:pt>
                <c:pt idx="88">
                  <c:v>40423</c:v>
                </c:pt>
                <c:pt idx="89">
                  <c:v>40424</c:v>
                </c:pt>
                <c:pt idx="90">
                  <c:v>40428</c:v>
                </c:pt>
                <c:pt idx="91">
                  <c:v>40429</c:v>
                </c:pt>
                <c:pt idx="92">
                  <c:v>40430</c:v>
                </c:pt>
                <c:pt idx="93">
                  <c:v>40431</c:v>
                </c:pt>
                <c:pt idx="94">
                  <c:v>40434</c:v>
                </c:pt>
                <c:pt idx="95">
                  <c:v>40435</c:v>
                </c:pt>
                <c:pt idx="96">
                  <c:v>40436</c:v>
                </c:pt>
                <c:pt idx="97">
                  <c:v>40437</c:v>
                </c:pt>
                <c:pt idx="98">
                  <c:v>40438</c:v>
                </c:pt>
                <c:pt idx="99">
                  <c:v>40441</c:v>
                </c:pt>
                <c:pt idx="100">
                  <c:v>40442</c:v>
                </c:pt>
                <c:pt idx="101">
                  <c:v>40443</c:v>
                </c:pt>
                <c:pt idx="102">
                  <c:v>40444</c:v>
                </c:pt>
                <c:pt idx="103">
                  <c:v>40445</c:v>
                </c:pt>
                <c:pt idx="104">
                  <c:v>40448</c:v>
                </c:pt>
                <c:pt idx="105">
                  <c:v>40449</c:v>
                </c:pt>
                <c:pt idx="106">
                  <c:v>40450</c:v>
                </c:pt>
                <c:pt idx="107">
                  <c:v>40451</c:v>
                </c:pt>
                <c:pt idx="108">
                  <c:v>40452</c:v>
                </c:pt>
                <c:pt idx="109">
                  <c:v>40455</c:v>
                </c:pt>
                <c:pt idx="110">
                  <c:v>40456</c:v>
                </c:pt>
                <c:pt idx="111">
                  <c:v>40457</c:v>
                </c:pt>
                <c:pt idx="112">
                  <c:v>40458</c:v>
                </c:pt>
                <c:pt idx="113">
                  <c:v>40459</c:v>
                </c:pt>
                <c:pt idx="114">
                  <c:v>40462</c:v>
                </c:pt>
                <c:pt idx="115">
                  <c:v>40463</c:v>
                </c:pt>
                <c:pt idx="116">
                  <c:v>40464</c:v>
                </c:pt>
                <c:pt idx="117">
                  <c:v>40465</c:v>
                </c:pt>
                <c:pt idx="118">
                  <c:v>40466</c:v>
                </c:pt>
                <c:pt idx="119">
                  <c:v>40469</c:v>
                </c:pt>
                <c:pt idx="120">
                  <c:v>40470</c:v>
                </c:pt>
                <c:pt idx="121">
                  <c:v>40471</c:v>
                </c:pt>
                <c:pt idx="122">
                  <c:v>40472</c:v>
                </c:pt>
                <c:pt idx="123">
                  <c:v>40473</c:v>
                </c:pt>
                <c:pt idx="124">
                  <c:v>40476</c:v>
                </c:pt>
                <c:pt idx="125">
                  <c:v>40477</c:v>
                </c:pt>
                <c:pt idx="126">
                  <c:v>40478</c:v>
                </c:pt>
                <c:pt idx="127">
                  <c:v>40479</c:v>
                </c:pt>
                <c:pt idx="128">
                  <c:v>40480</c:v>
                </c:pt>
                <c:pt idx="129">
                  <c:v>40483</c:v>
                </c:pt>
                <c:pt idx="130">
                  <c:v>40484</c:v>
                </c:pt>
                <c:pt idx="131">
                  <c:v>40485</c:v>
                </c:pt>
                <c:pt idx="132">
                  <c:v>40486</c:v>
                </c:pt>
                <c:pt idx="133">
                  <c:v>40487</c:v>
                </c:pt>
                <c:pt idx="134">
                  <c:v>40490</c:v>
                </c:pt>
                <c:pt idx="135">
                  <c:v>40491</c:v>
                </c:pt>
                <c:pt idx="136">
                  <c:v>40492</c:v>
                </c:pt>
                <c:pt idx="137">
                  <c:v>40493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</c:numCache>
            </c:numRef>
          </c:cat>
          <c:val>
            <c:numRef>
              <c:f>MA!$C$23:$C$248</c:f>
              <c:numCache>
                <c:formatCode>General</c:formatCode>
                <c:ptCount val="226"/>
                <c:pt idx="0">
                  <c:v>1984.72</c:v>
                </c:pt>
                <c:pt idx="1">
                  <c:v>1981.7240909090908</c:v>
                </c:pt>
                <c:pt idx="2">
                  <c:v>1984.2872727272731</c:v>
                </c:pt>
                <c:pt idx="3">
                  <c:v>1984.0354545454547</c:v>
                </c:pt>
                <c:pt idx="4">
                  <c:v>1982.5268181818183</c:v>
                </c:pt>
                <c:pt idx="5">
                  <c:v>1978.0354545454545</c:v>
                </c:pt>
                <c:pt idx="6">
                  <c:v>1972.7299999999998</c:v>
                </c:pt>
                <c:pt idx="7">
                  <c:v>1970.8059090909089</c:v>
                </c:pt>
                <c:pt idx="8">
                  <c:v>1968.0054545454543</c:v>
                </c:pt>
                <c:pt idx="9">
                  <c:v>1966.2713636363633</c:v>
                </c:pt>
                <c:pt idx="10">
                  <c:v>1963.4009090909092</c:v>
                </c:pt>
                <c:pt idx="11">
                  <c:v>1957.8831818181818</c:v>
                </c:pt>
                <c:pt idx="12">
                  <c:v>1952.4</c:v>
                </c:pt>
                <c:pt idx="13">
                  <c:v>1947.185909090909</c:v>
                </c:pt>
                <c:pt idx="14">
                  <c:v>1941.1386363636366</c:v>
                </c:pt>
                <c:pt idx="15">
                  <c:v>1931.0918181818181</c:v>
                </c:pt>
                <c:pt idx="16">
                  <c:v>1922.3527272727274</c:v>
                </c:pt>
                <c:pt idx="17">
                  <c:v>1912.3454545454545</c:v>
                </c:pt>
                <c:pt idx="18">
                  <c:v>1901.7186363636365</c:v>
                </c:pt>
                <c:pt idx="19">
                  <c:v>1891.0413636363637</c:v>
                </c:pt>
                <c:pt idx="20">
                  <c:v>1885.1781818181817</c:v>
                </c:pt>
                <c:pt idx="21">
                  <c:v>1877.6940909090911</c:v>
                </c:pt>
                <c:pt idx="22">
                  <c:v>1867.6327272727272</c:v>
                </c:pt>
                <c:pt idx="23">
                  <c:v>1861.1872727272728</c:v>
                </c:pt>
                <c:pt idx="24">
                  <c:v>1853.9077272727272</c:v>
                </c:pt>
                <c:pt idx="25">
                  <c:v>1845.9236363636367</c:v>
                </c:pt>
                <c:pt idx="26">
                  <c:v>1837.4063636363642</c:v>
                </c:pt>
                <c:pt idx="27">
                  <c:v>1832.603636363637</c:v>
                </c:pt>
                <c:pt idx="28">
                  <c:v>1828.630454545455</c:v>
                </c:pt>
                <c:pt idx="29">
                  <c:v>1823.3259090909096</c:v>
                </c:pt>
                <c:pt idx="30">
                  <c:v>1818.6900000000007</c:v>
                </c:pt>
                <c:pt idx="31">
                  <c:v>1812.6795454545461</c:v>
                </c:pt>
                <c:pt idx="32">
                  <c:v>1809.6727272727273</c:v>
                </c:pt>
                <c:pt idx="33">
                  <c:v>1808.2613636363637</c:v>
                </c:pt>
                <c:pt idx="34">
                  <c:v>1806.8586363636364</c:v>
                </c:pt>
                <c:pt idx="35">
                  <c:v>1806.7699999999998</c:v>
                </c:pt>
                <c:pt idx="36">
                  <c:v>1806.7822727272726</c:v>
                </c:pt>
                <c:pt idx="37">
                  <c:v>1808.7254545454546</c:v>
                </c:pt>
                <c:pt idx="38">
                  <c:v>1809.207272727273</c:v>
                </c:pt>
                <c:pt idx="39">
                  <c:v>1809.36</c:v>
                </c:pt>
                <c:pt idx="40">
                  <c:v>1809.7163636363634</c:v>
                </c:pt>
                <c:pt idx="41">
                  <c:v>1810.3659090909089</c:v>
                </c:pt>
                <c:pt idx="42">
                  <c:v>1805.8177272727276</c:v>
                </c:pt>
                <c:pt idx="43">
                  <c:v>1801.5109090909098</c:v>
                </c:pt>
                <c:pt idx="44">
                  <c:v>1798.3645454545456</c:v>
                </c:pt>
                <c:pt idx="45">
                  <c:v>1792.7559090909092</c:v>
                </c:pt>
                <c:pt idx="46">
                  <c:v>1787.2218181818184</c:v>
                </c:pt>
                <c:pt idx="47">
                  <c:v>1787.0263636363636</c:v>
                </c:pt>
                <c:pt idx="48">
                  <c:v>1788.6731818181818</c:v>
                </c:pt>
                <c:pt idx="49">
                  <c:v>1790.0209090909091</c:v>
                </c:pt>
                <c:pt idx="50">
                  <c:v>1791.9022727272729</c:v>
                </c:pt>
                <c:pt idx="51">
                  <c:v>1792.6922727272729</c:v>
                </c:pt>
                <c:pt idx="52">
                  <c:v>1793.0813636363637</c:v>
                </c:pt>
                <c:pt idx="53">
                  <c:v>1793.7168181818181</c:v>
                </c:pt>
                <c:pt idx="54">
                  <c:v>1790.026818181818</c:v>
                </c:pt>
                <c:pt idx="55">
                  <c:v>1786.865</c:v>
                </c:pt>
                <c:pt idx="56">
                  <c:v>1784.5118181818182</c:v>
                </c:pt>
                <c:pt idx="57">
                  <c:v>1781.0072727272725</c:v>
                </c:pt>
                <c:pt idx="58">
                  <c:v>1779.6531818181816</c:v>
                </c:pt>
                <c:pt idx="59">
                  <c:v>1780.3213636363637</c:v>
                </c:pt>
                <c:pt idx="60">
                  <c:v>1782.1709090909089</c:v>
                </c:pt>
                <c:pt idx="61">
                  <c:v>1785.3190909090908</c:v>
                </c:pt>
                <c:pt idx="62">
                  <c:v>1787.6563636363637</c:v>
                </c:pt>
                <c:pt idx="63">
                  <c:v>1789.8086363636364</c:v>
                </c:pt>
                <c:pt idx="64">
                  <c:v>1794.4836363636366</c:v>
                </c:pt>
                <c:pt idx="65">
                  <c:v>1801.7845454545457</c:v>
                </c:pt>
                <c:pt idx="66">
                  <c:v>1808.9254545454546</c:v>
                </c:pt>
                <c:pt idx="67">
                  <c:v>1816.9686363636363</c:v>
                </c:pt>
                <c:pt idx="68">
                  <c:v>1824.4931818181817</c:v>
                </c:pt>
                <c:pt idx="69">
                  <c:v>1829.2363636363634</c:v>
                </c:pt>
                <c:pt idx="70">
                  <c:v>1833.6890909090907</c:v>
                </c:pt>
                <c:pt idx="71">
                  <c:v>1837.0499999999995</c:v>
                </c:pt>
                <c:pt idx="72">
                  <c:v>1837.9968181818176</c:v>
                </c:pt>
                <c:pt idx="73">
                  <c:v>1837.248636363636</c:v>
                </c:pt>
                <c:pt idx="74">
                  <c:v>1836.183636363636</c:v>
                </c:pt>
                <c:pt idx="75">
                  <c:v>1835.0336363636359</c:v>
                </c:pt>
                <c:pt idx="76">
                  <c:v>1837.2949999999998</c:v>
                </c:pt>
                <c:pt idx="77">
                  <c:v>1839.2077272727272</c:v>
                </c:pt>
                <c:pt idx="78">
                  <c:v>1838.7877272727274</c:v>
                </c:pt>
                <c:pt idx="79">
                  <c:v>1839.109090909091</c:v>
                </c:pt>
                <c:pt idx="80">
                  <c:v>1837.2777272727274</c:v>
                </c:pt>
                <c:pt idx="81">
                  <c:v>1833.5913636363637</c:v>
                </c:pt>
                <c:pt idx="82">
                  <c:v>1829.2404545454549</c:v>
                </c:pt>
                <c:pt idx="83">
                  <c:v>1824.3654545454549</c:v>
                </c:pt>
                <c:pt idx="84">
                  <c:v>1821.4081818181819</c:v>
                </c:pt>
                <c:pt idx="85">
                  <c:v>1817.6127272727279</c:v>
                </c:pt>
                <c:pt idx="86">
                  <c:v>1813.8468181818187</c:v>
                </c:pt>
                <c:pt idx="87">
                  <c:v>1810.6018181818183</c:v>
                </c:pt>
                <c:pt idx="88">
                  <c:v>1808.5159090909094</c:v>
                </c:pt>
                <c:pt idx="89">
                  <c:v>1806.9836363636364</c:v>
                </c:pt>
                <c:pt idx="90">
                  <c:v>1804.5990909090913</c:v>
                </c:pt>
                <c:pt idx="91">
                  <c:v>1803.0736363636365</c:v>
                </c:pt>
                <c:pt idx="92">
                  <c:v>1801.4840909090906</c:v>
                </c:pt>
                <c:pt idx="93">
                  <c:v>1800.8122727272721</c:v>
                </c:pt>
                <c:pt idx="94">
                  <c:v>1803.4613636363633</c:v>
                </c:pt>
                <c:pt idx="95">
                  <c:v>1806.4822727272724</c:v>
                </c:pt>
                <c:pt idx="96">
                  <c:v>1810.1345454545451</c:v>
                </c:pt>
                <c:pt idx="97">
                  <c:v>1813.755909090909</c:v>
                </c:pt>
                <c:pt idx="98">
                  <c:v>1816.4263636363635</c:v>
                </c:pt>
                <c:pt idx="99">
                  <c:v>1820.2654545454543</c:v>
                </c:pt>
                <c:pt idx="100">
                  <c:v>1825.2881818181816</c:v>
                </c:pt>
                <c:pt idx="101">
                  <c:v>1830.2018181818175</c:v>
                </c:pt>
                <c:pt idx="102">
                  <c:v>1834.7245454545448</c:v>
                </c:pt>
                <c:pt idx="103">
                  <c:v>1842.2331818181813</c:v>
                </c:pt>
                <c:pt idx="104">
                  <c:v>1848.9768181818181</c:v>
                </c:pt>
                <c:pt idx="105">
                  <c:v>1856.7699999999998</c:v>
                </c:pt>
                <c:pt idx="106">
                  <c:v>1863.0081818181816</c:v>
                </c:pt>
                <c:pt idx="107">
                  <c:v>1870.151818181818</c:v>
                </c:pt>
                <c:pt idx="108">
                  <c:v>1877.6459090909086</c:v>
                </c:pt>
                <c:pt idx="109">
                  <c:v>1882.0863636363633</c:v>
                </c:pt>
                <c:pt idx="110">
                  <c:v>1887.5790909090908</c:v>
                </c:pt>
                <c:pt idx="111">
                  <c:v>1891.9609090909091</c:v>
                </c:pt>
                <c:pt idx="112">
                  <c:v>1897.1545454545455</c:v>
                </c:pt>
                <c:pt idx="113">
                  <c:v>1902.335</c:v>
                </c:pt>
                <c:pt idx="114">
                  <c:v>1907.125</c:v>
                </c:pt>
                <c:pt idx="115">
                  <c:v>1911.8440909090909</c:v>
                </c:pt>
                <c:pt idx="116">
                  <c:v>1916.2381818181818</c:v>
                </c:pt>
                <c:pt idx="117">
                  <c:v>1920.3668181818182</c:v>
                </c:pt>
                <c:pt idx="118">
                  <c:v>1924.3727272727274</c:v>
                </c:pt>
                <c:pt idx="119">
                  <c:v>1929.045454545455</c:v>
                </c:pt>
                <c:pt idx="120">
                  <c:v>1932.2154545454548</c:v>
                </c:pt>
                <c:pt idx="121">
                  <c:v>1935.0295454545458</c:v>
                </c:pt>
                <c:pt idx="122">
                  <c:v>1938.228636363637</c:v>
                </c:pt>
                <c:pt idx="123">
                  <c:v>1942.049545454546</c:v>
                </c:pt>
                <c:pt idx="124">
                  <c:v>1946.7831818181824</c:v>
                </c:pt>
                <c:pt idx="125">
                  <c:v>1949.7054545454548</c:v>
                </c:pt>
                <c:pt idx="126">
                  <c:v>1952.890454545455</c:v>
                </c:pt>
                <c:pt idx="127">
                  <c:v>1955.7477272727272</c:v>
                </c:pt>
                <c:pt idx="128">
                  <c:v>1958.7818181818182</c:v>
                </c:pt>
                <c:pt idx="129">
                  <c:v>1962.1690909090905</c:v>
                </c:pt>
                <c:pt idx="130">
                  <c:v>1965.870909090909</c:v>
                </c:pt>
                <c:pt idx="131">
                  <c:v>1970.6177272727271</c:v>
                </c:pt>
                <c:pt idx="132">
                  <c:v>1975.3359090909091</c:v>
                </c:pt>
                <c:pt idx="133">
                  <c:v>1980.439090909091</c:v>
                </c:pt>
                <c:pt idx="134">
                  <c:v>1985.5018181818182</c:v>
                </c:pt>
                <c:pt idx="135">
                  <c:v>1989.3050000000003</c:v>
                </c:pt>
                <c:pt idx="136">
                  <c:v>1993.5181818181823</c:v>
                </c:pt>
                <c:pt idx="137">
                  <c:v>1996.998181818182</c:v>
                </c:pt>
                <c:pt idx="138">
                  <c:v>1998.7477272727278</c:v>
                </c:pt>
                <c:pt idx="139">
                  <c:v>2000.7181818181823</c:v>
                </c:pt>
                <c:pt idx="140">
                  <c:v>2001.0540909090914</c:v>
                </c:pt>
                <c:pt idx="141">
                  <c:v>2000.7736363636366</c:v>
                </c:pt>
                <c:pt idx="142">
                  <c:v>2003.3059090909092</c:v>
                </c:pt>
                <c:pt idx="143">
                  <c:v>2005.1277272727273</c:v>
                </c:pt>
                <c:pt idx="144">
                  <c:v>2006.6459090909084</c:v>
                </c:pt>
                <c:pt idx="145">
                  <c:v>2006.6486363636359</c:v>
                </c:pt>
                <c:pt idx="146">
                  <c:v>2007.805454545454</c:v>
                </c:pt>
                <c:pt idx="147">
                  <c:v>2008.3009090909081</c:v>
                </c:pt>
                <c:pt idx="148">
                  <c:v>2008.9272727272726</c:v>
                </c:pt>
                <c:pt idx="149">
                  <c:v>2008.8995454545452</c:v>
                </c:pt>
                <c:pt idx="150">
                  <c:v>2010.8713636363636</c:v>
                </c:pt>
                <c:pt idx="151">
                  <c:v>2013.9390909090907</c:v>
                </c:pt>
                <c:pt idx="152">
                  <c:v>2016.5545454545456</c:v>
                </c:pt>
                <c:pt idx="153">
                  <c:v>2018.7009090909089</c:v>
                </c:pt>
                <c:pt idx="154">
                  <c:v>2019.1222727272727</c:v>
                </c:pt>
                <c:pt idx="155">
                  <c:v>2019.5431818181817</c:v>
                </c:pt>
                <c:pt idx="156">
                  <c:v>2020.5172727272732</c:v>
                </c:pt>
                <c:pt idx="157">
                  <c:v>2022.7772727272727</c:v>
                </c:pt>
                <c:pt idx="158">
                  <c:v>2024.6336363636365</c:v>
                </c:pt>
                <c:pt idx="159">
                  <c:v>2026.9722727272726</c:v>
                </c:pt>
                <c:pt idx="160">
                  <c:v>2029.9140909090909</c:v>
                </c:pt>
                <c:pt idx="161">
                  <c:v>2033.5477272727273</c:v>
                </c:pt>
                <c:pt idx="162">
                  <c:v>2038.7154545454543</c:v>
                </c:pt>
                <c:pt idx="163">
                  <c:v>2044.0936363636363</c:v>
                </c:pt>
                <c:pt idx="164">
                  <c:v>2048.6790909090905</c:v>
                </c:pt>
                <c:pt idx="165">
                  <c:v>2053.3654545454547</c:v>
                </c:pt>
                <c:pt idx="166">
                  <c:v>2058.0404545454544</c:v>
                </c:pt>
                <c:pt idx="167">
                  <c:v>2064.0759090909091</c:v>
                </c:pt>
                <c:pt idx="168">
                  <c:v>2068.8377272727271</c:v>
                </c:pt>
                <c:pt idx="169">
                  <c:v>2074.3740909090916</c:v>
                </c:pt>
                <c:pt idx="170">
                  <c:v>2079.8681818181822</c:v>
                </c:pt>
                <c:pt idx="171">
                  <c:v>2085.8886363636366</c:v>
                </c:pt>
                <c:pt idx="172">
                  <c:v>2091.04</c:v>
                </c:pt>
                <c:pt idx="173">
                  <c:v>2094.8840909090909</c:v>
                </c:pt>
                <c:pt idx="174">
                  <c:v>2098.9795454545451</c:v>
                </c:pt>
                <c:pt idx="175">
                  <c:v>2103.0231818181819</c:v>
                </c:pt>
                <c:pt idx="176">
                  <c:v>2106.8377272727271</c:v>
                </c:pt>
                <c:pt idx="177">
                  <c:v>2110.1481818181815</c:v>
                </c:pt>
                <c:pt idx="178">
                  <c:v>2113.4527272727273</c:v>
                </c:pt>
                <c:pt idx="179">
                  <c:v>2117.0795454545455</c:v>
                </c:pt>
                <c:pt idx="180">
                  <c:v>2120.5186363636367</c:v>
                </c:pt>
                <c:pt idx="181">
                  <c:v>2124.5981818181817</c:v>
                </c:pt>
                <c:pt idx="182">
                  <c:v>2129.2995454545458</c:v>
                </c:pt>
                <c:pt idx="183">
                  <c:v>2132.425909090909</c:v>
                </c:pt>
                <c:pt idx="184">
                  <c:v>2135.3454545454547</c:v>
                </c:pt>
                <c:pt idx="185">
                  <c:v>2138.2595454545453</c:v>
                </c:pt>
                <c:pt idx="186">
                  <c:v>2141.1581818181821</c:v>
                </c:pt>
                <c:pt idx="187">
                  <c:v>2143.7481818181818</c:v>
                </c:pt>
                <c:pt idx="188">
                  <c:v>2146.9095454545454</c:v>
                </c:pt>
                <c:pt idx="189">
                  <c:v>2150.2395454545454</c:v>
                </c:pt>
                <c:pt idx="190">
                  <c:v>2151.7227272727268</c:v>
                </c:pt>
                <c:pt idx="191">
                  <c:v>2153.8395454545453</c:v>
                </c:pt>
                <c:pt idx="192">
                  <c:v>2157.741363636364</c:v>
                </c:pt>
                <c:pt idx="193">
                  <c:v>2161.4072727272728</c:v>
                </c:pt>
                <c:pt idx="194">
                  <c:v>2164.2309090909093</c:v>
                </c:pt>
                <c:pt idx="195">
                  <c:v>2167.4704545454547</c:v>
                </c:pt>
                <c:pt idx="196">
                  <c:v>2170.8386363636364</c:v>
                </c:pt>
                <c:pt idx="197">
                  <c:v>2174.8309090909092</c:v>
                </c:pt>
                <c:pt idx="198">
                  <c:v>2178.7322727272726</c:v>
                </c:pt>
                <c:pt idx="199">
                  <c:v>2182.8527272727274</c:v>
                </c:pt>
                <c:pt idx="200">
                  <c:v>2187.1827272727273</c:v>
                </c:pt>
                <c:pt idx="201">
                  <c:v>2190.888636363637</c:v>
                </c:pt>
                <c:pt idx="202">
                  <c:v>2194.4450000000002</c:v>
                </c:pt>
                <c:pt idx="203">
                  <c:v>2197.9277272727272</c:v>
                </c:pt>
                <c:pt idx="204">
                  <c:v>2201.5959090909096</c:v>
                </c:pt>
                <c:pt idx="205">
                  <c:v>2206.451363636364</c:v>
                </c:pt>
                <c:pt idx="206">
                  <c:v>2209.3227272727272</c:v>
                </c:pt>
                <c:pt idx="207">
                  <c:v>2211.3436363636361</c:v>
                </c:pt>
                <c:pt idx="208">
                  <c:v>2212.7163636363639</c:v>
                </c:pt>
                <c:pt idx="209">
                  <c:v>2215.1427272727274</c:v>
                </c:pt>
                <c:pt idx="210">
                  <c:v>2217.7168181818188</c:v>
                </c:pt>
                <c:pt idx="211">
                  <c:v>2218.4618181818187</c:v>
                </c:pt>
                <c:pt idx="212">
                  <c:v>2221.1568181818188</c:v>
                </c:pt>
                <c:pt idx="213">
                  <c:v>2224.8354545454549</c:v>
                </c:pt>
                <c:pt idx="214">
                  <c:v>2226.1190909090915</c:v>
                </c:pt>
                <c:pt idx="215">
                  <c:v>2226.8154545454549</c:v>
                </c:pt>
                <c:pt idx="216">
                  <c:v>2228.1781818181817</c:v>
                </c:pt>
                <c:pt idx="217">
                  <c:v>2229.1281818181819</c:v>
                </c:pt>
                <c:pt idx="218">
                  <c:v>2227.5395454545455</c:v>
                </c:pt>
                <c:pt idx="219">
                  <c:v>2226.2313636363633</c:v>
                </c:pt>
                <c:pt idx="220">
                  <c:v>2224.5913636363634</c:v>
                </c:pt>
                <c:pt idx="221">
                  <c:v>2221.752727272727</c:v>
                </c:pt>
                <c:pt idx="222">
                  <c:v>2216.4281818181817</c:v>
                </c:pt>
                <c:pt idx="223">
                  <c:v>2212.1345454545453</c:v>
                </c:pt>
                <c:pt idx="224">
                  <c:v>2208.5795454545455</c:v>
                </c:pt>
                <c:pt idx="225">
                  <c:v>2205.8427272727272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EE-4968-86CA-CA0A57E8C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121192"/>
        <c:axId val="857121848"/>
      </c:lineChart>
      <c:dateAx>
        <c:axId val="857121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7121848"/>
        <c:crosses val="autoZero"/>
        <c:auto val="1"/>
        <c:lblOffset val="100"/>
        <c:baseTimeUnit val="days"/>
      </c:dateAx>
      <c:valAx>
        <c:axId val="857121848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712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Médias Moveis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Backtest!$D$50</c:f>
              <c:strCache>
                <c:ptCount val="1"/>
                <c:pt idx="0">
                  <c:v>S&amp;P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Backtest!$C$51:$C$2519</c:f>
              <c:numCache>
                <c:formatCode>m/d/yyyy</c:formatCode>
                <c:ptCount val="2469"/>
                <c:pt idx="0">
                  <c:v>40249</c:v>
                </c:pt>
                <c:pt idx="1">
                  <c:v>40252</c:v>
                </c:pt>
                <c:pt idx="2">
                  <c:v>40253</c:v>
                </c:pt>
                <c:pt idx="3">
                  <c:v>40254</c:v>
                </c:pt>
                <c:pt idx="4">
                  <c:v>40255</c:v>
                </c:pt>
                <c:pt idx="5">
                  <c:v>40256</c:v>
                </c:pt>
                <c:pt idx="6">
                  <c:v>40259</c:v>
                </c:pt>
                <c:pt idx="7">
                  <c:v>40260</c:v>
                </c:pt>
                <c:pt idx="8">
                  <c:v>40261</c:v>
                </c:pt>
                <c:pt idx="9">
                  <c:v>40262</c:v>
                </c:pt>
                <c:pt idx="10">
                  <c:v>40263</c:v>
                </c:pt>
                <c:pt idx="11">
                  <c:v>40266</c:v>
                </c:pt>
                <c:pt idx="12">
                  <c:v>40267</c:v>
                </c:pt>
                <c:pt idx="13">
                  <c:v>40268</c:v>
                </c:pt>
                <c:pt idx="14">
                  <c:v>40269</c:v>
                </c:pt>
                <c:pt idx="15">
                  <c:v>40273</c:v>
                </c:pt>
                <c:pt idx="16">
                  <c:v>40274</c:v>
                </c:pt>
                <c:pt idx="17">
                  <c:v>40275</c:v>
                </c:pt>
                <c:pt idx="18">
                  <c:v>40276</c:v>
                </c:pt>
                <c:pt idx="19">
                  <c:v>40277</c:v>
                </c:pt>
                <c:pt idx="20">
                  <c:v>40280</c:v>
                </c:pt>
                <c:pt idx="21">
                  <c:v>40281</c:v>
                </c:pt>
                <c:pt idx="22">
                  <c:v>40282</c:v>
                </c:pt>
                <c:pt idx="23">
                  <c:v>40283</c:v>
                </c:pt>
                <c:pt idx="24">
                  <c:v>40284</c:v>
                </c:pt>
                <c:pt idx="25">
                  <c:v>40287</c:v>
                </c:pt>
                <c:pt idx="26">
                  <c:v>40288</c:v>
                </c:pt>
                <c:pt idx="27">
                  <c:v>40289</c:v>
                </c:pt>
                <c:pt idx="28">
                  <c:v>40290</c:v>
                </c:pt>
                <c:pt idx="29">
                  <c:v>40291</c:v>
                </c:pt>
                <c:pt idx="30">
                  <c:v>40294</c:v>
                </c:pt>
                <c:pt idx="31">
                  <c:v>40295</c:v>
                </c:pt>
                <c:pt idx="32">
                  <c:v>40296</c:v>
                </c:pt>
                <c:pt idx="33">
                  <c:v>40297</c:v>
                </c:pt>
                <c:pt idx="34">
                  <c:v>40298</c:v>
                </c:pt>
                <c:pt idx="35">
                  <c:v>40301</c:v>
                </c:pt>
                <c:pt idx="36">
                  <c:v>40302</c:v>
                </c:pt>
                <c:pt idx="37">
                  <c:v>40303</c:v>
                </c:pt>
                <c:pt idx="38">
                  <c:v>40304</c:v>
                </c:pt>
                <c:pt idx="39">
                  <c:v>40305</c:v>
                </c:pt>
                <c:pt idx="40">
                  <c:v>40308</c:v>
                </c:pt>
                <c:pt idx="41">
                  <c:v>40309</c:v>
                </c:pt>
                <c:pt idx="42">
                  <c:v>40310</c:v>
                </c:pt>
                <c:pt idx="43">
                  <c:v>40311</c:v>
                </c:pt>
                <c:pt idx="44">
                  <c:v>40312</c:v>
                </c:pt>
                <c:pt idx="45">
                  <c:v>40315</c:v>
                </c:pt>
                <c:pt idx="46">
                  <c:v>40316</c:v>
                </c:pt>
                <c:pt idx="47">
                  <c:v>40317</c:v>
                </c:pt>
                <c:pt idx="48">
                  <c:v>40318</c:v>
                </c:pt>
                <c:pt idx="49">
                  <c:v>40319</c:v>
                </c:pt>
                <c:pt idx="50">
                  <c:v>40322</c:v>
                </c:pt>
                <c:pt idx="51">
                  <c:v>40323</c:v>
                </c:pt>
                <c:pt idx="52">
                  <c:v>40324</c:v>
                </c:pt>
                <c:pt idx="53">
                  <c:v>40325</c:v>
                </c:pt>
                <c:pt idx="54">
                  <c:v>40326</c:v>
                </c:pt>
                <c:pt idx="55">
                  <c:v>40330</c:v>
                </c:pt>
                <c:pt idx="56">
                  <c:v>40331</c:v>
                </c:pt>
                <c:pt idx="57">
                  <c:v>40332</c:v>
                </c:pt>
                <c:pt idx="58">
                  <c:v>40333</c:v>
                </c:pt>
                <c:pt idx="59">
                  <c:v>40336</c:v>
                </c:pt>
                <c:pt idx="60">
                  <c:v>40337</c:v>
                </c:pt>
                <c:pt idx="61">
                  <c:v>40338</c:v>
                </c:pt>
                <c:pt idx="62">
                  <c:v>40339</c:v>
                </c:pt>
                <c:pt idx="63">
                  <c:v>40340</c:v>
                </c:pt>
                <c:pt idx="64">
                  <c:v>40343</c:v>
                </c:pt>
                <c:pt idx="65">
                  <c:v>40344</c:v>
                </c:pt>
                <c:pt idx="66">
                  <c:v>40345</c:v>
                </c:pt>
                <c:pt idx="67">
                  <c:v>40346</c:v>
                </c:pt>
                <c:pt idx="68">
                  <c:v>40347</c:v>
                </c:pt>
                <c:pt idx="69">
                  <c:v>40350</c:v>
                </c:pt>
                <c:pt idx="70">
                  <c:v>40351</c:v>
                </c:pt>
                <c:pt idx="71">
                  <c:v>40352</c:v>
                </c:pt>
                <c:pt idx="72">
                  <c:v>40353</c:v>
                </c:pt>
                <c:pt idx="73">
                  <c:v>40354</c:v>
                </c:pt>
                <c:pt idx="74">
                  <c:v>40357</c:v>
                </c:pt>
                <c:pt idx="75">
                  <c:v>40358</c:v>
                </c:pt>
                <c:pt idx="76">
                  <c:v>40359</c:v>
                </c:pt>
                <c:pt idx="77">
                  <c:v>40360</c:v>
                </c:pt>
                <c:pt idx="78">
                  <c:v>40361</c:v>
                </c:pt>
                <c:pt idx="79">
                  <c:v>40365</c:v>
                </c:pt>
                <c:pt idx="80">
                  <c:v>40366</c:v>
                </c:pt>
                <c:pt idx="81">
                  <c:v>40367</c:v>
                </c:pt>
                <c:pt idx="82">
                  <c:v>40368</c:v>
                </c:pt>
                <c:pt idx="83">
                  <c:v>40371</c:v>
                </c:pt>
                <c:pt idx="84">
                  <c:v>40372</c:v>
                </c:pt>
                <c:pt idx="85">
                  <c:v>40373</c:v>
                </c:pt>
                <c:pt idx="86">
                  <c:v>40374</c:v>
                </c:pt>
                <c:pt idx="87">
                  <c:v>40375</c:v>
                </c:pt>
                <c:pt idx="88">
                  <c:v>40378</c:v>
                </c:pt>
                <c:pt idx="89">
                  <c:v>40379</c:v>
                </c:pt>
                <c:pt idx="90">
                  <c:v>40380</c:v>
                </c:pt>
                <c:pt idx="91">
                  <c:v>40381</c:v>
                </c:pt>
                <c:pt idx="92">
                  <c:v>40382</c:v>
                </c:pt>
                <c:pt idx="93">
                  <c:v>40385</c:v>
                </c:pt>
                <c:pt idx="94">
                  <c:v>40386</c:v>
                </c:pt>
                <c:pt idx="95">
                  <c:v>40387</c:v>
                </c:pt>
                <c:pt idx="96">
                  <c:v>40388</c:v>
                </c:pt>
                <c:pt idx="97">
                  <c:v>40389</c:v>
                </c:pt>
                <c:pt idx="98">
                  <c:v>40392</c:v>
                </c:pt>
                <c:pt idx="99">
                  <c:v>40393</c:v>
                </c:pt>
                <c:pt idx="100">
                  <c:v>40394</c:v>
                </c:pt>
                <c:pt idx="101">
                  <c:v>40395</c:v>
                </c:pt>
                <c:pt idx="102">
                  <c:v>40396</c:v>
                </c:pt>
                <c:pt idx="103">
                  <c:v>40399</c:v>
                </c:pt>
                <c:pt idx="104">
                  <c:v>40400</c:v>
                </c:pt>
                <c:pt idx="105">
                  <c:v>40401</c:v>
                </c:pt>
                <c:pt idx="106">
                  <c:v>40402</c:v>
                </c:pt>
                <c:pt idx="107">
                  <c:v>40403</c:v>
                </c:pt>
                <c:pt idx="108">
                  <c:v>40406</c:v>
                </c:pt>
                <c:pt idx="109">
                  <c:v>40407</c:v>
                </c:pt>
                <c:pt idx="110">
                  <c:v>40408</c:v>
                </c:pt>
                <c:pt idx="111">
                  <c:v>40409</c:v>
                </c:pt>
                <c:pt idx="112">
                  <c:v>40410</c:v>
                </c:pt>
                <c:pt idx="113">
                  <c:v>40413</c:v>
                </c:pt>
                <c:pt idx="114">
                  <c:v>40414</c:v>
                </c:pt>
                <c:pt idx="115">
                  <c:v>40415</c:v>
                </c:pt>
                <c:pt idx="116">
                  <c:v>40416</c:v>
                </c:pt>
                <c:pt idx="117">
                  <c:v>40417</c:v>
                </c:pt>
                <c:pt idx="118">
                  <c:v>40420</c:v>
                </c:pt>
                <c:pt idx="119">
                  <c:v>40421</c:v>
                </c:pt>
                <c:pt idx="120">
                  <c:v>40422</c:v>
                </c:pt>
                <c:pt idx="121">
                  <c:v>40423</c:v>
                </c:pt>
                <c:pt idx="122">
                  <c:v>40424</c:v>
                </c:pt>
                <c:pt idx="123">
                  <c:v>40428</c:v>
                </c:pt>
                <c:pt idx="124">
                  <c:v>40429</c:v>
                </c:pt>
                <c:pt idx="125">
                  <c:v>40430</c:v>
                </c:pt>
                <c:pt idx="126">
                  <c:v>40431</c:v>
                </c:pt>
                <c:pt idx="127">
                  <c:v>40434</c:v>
                </c:pt>
                <c:pt idx="128">
                  <c:v>40435</c:v>
                </c:pt>
                <c:pt idx="129">
                  <c:v>40436</c:v>
                </c:pt>
                <c:pt idx="130">
                  <c:v>40437</c:v>
                </c:pt>
                <c:pt idx="131">
                  <c:v>40438</c:v>
                </c:pt>
                <c:pt idx="132">
                  <c:v>40441</c:v>
                </c:pt>
                <c:pt idx="133">
                  <c:v>40442</c:v>
                </c:pt>
                <c:pt idx="134">
                  <c:v>40443</c:v>
                </c:pt>
                <c:pt idx="135">
                  <c:v>40444</c:v>
                </c:pt>
                <c:pt idx="136">
                  <c:v>40445</c:v>
                </c:pt>
                <c:pt idx="137">
                  <c:v>40448</c:v>
                </c:pt>
                <c:pt idx="138">
                  <c:v>40449</c:v>
                </c:pt>
                <c:pt idx="139">
                  <c:v>40450</c:v>
                </c:pt>
                <c:pt idx="140">
                  <c:v>40451</c:v>
                </c:pt>
                <c:pt idx="141">
                  <c:v>40452</c:v>
                </c:pt>
                <c:pt idx="142">
                  <c:v>40455</c:v>
                </c:pt>
                <c:pt idx="143">
                  <c:v>40456</c:v>
                </c:pt>
                <c:pt idx="144">
                  <c:v>40457</c:v>
                </c:pt>
                <c:pt idx="145">
                  <c:v>40458</c:v>
                </c:pt>
                <c:pt idx="146">
                  <c:v>40459</c:v>
                </c:pt>
                <c:pt idx="147">
                  <c:v>40462</c:v>
                </c:pt>
                <c:pt idx="148">
                  <c:v>40463</c:v>
                </c:pt>
                <c:pt idx="149">
                  <c:v>40464</c:v>
                </c:pt>
                <c:pt idx="150">
                  <c:v>40465</c:v>
                </c:pt>
                <c:pt idx="151">
                  <c:v>40466</c:v>
                </c:pt>
                <c:pt idx="152">
                  <c:v>40469</c:v>
                </c:pt>
                <c:pt idx="153">
                  <c:v>40470</c:v>
                </c:pt>
                <c:pt idx="154">
                  <c:v>40471</c:v>
                </c:pt>
                <c:pt idx="155">
                  <c:v>40472</c:v>
                </c:pt>
                <c:pt idx="156">
                  <c:v>40473</c:v>
                </c:pt>
                <c:pt idx="157">
                  <c:v>40476</c:v>
                </c:pt>
                <c:pt idx="158">
                  <c:v>40477</c:v>
                </c:pt>
                <c:pt idx="159">
                  <c:v>40478</c:v>
                </c:pt>
                <c:pt idx="160">
                  <c:v>40479</c:v>
                </c:pt>
                <c:pt idx="161">
                  <c:v>40480</c:v>
                </c:pt>
                <c:pt idx="162">
                  <c:v>40483</c:v>
                </c:pt>
                <c:pt idx="163">
                  <c:v>40484</c:v>
                </c:pt>
                <c:pt idx="164">
                  <c:v>40485</c:v>
                </c:pt>
                <c:pt idx="165">
                  <c:v>40486</c:v>
                </c:pt>
                <c:pt idx="166">
                  <c:v>40487</c:v>
                </c:pt>
                <c:pt idx="167">
                  <c:v>40490</c:v>
                </c:pt>
                <c:pt idx="168">
                  <c:v>40491</c:v>
                </c:pt>
                <c:pt idx="169">
                  <c:v>40492</c:v>
                </c:pt>
                <c:pt idx="170">
                  <c:v>40493</c:v>
                </c:pt>
                <c:pt idx="171">
                  <c:v>40494</c:v>
                </c:pt>
                <c:pt idx="172">
                  <c:v>40497</c:v>
                </c:pt>
                <c:pt idx="173">
                  <c:v>40498</c:v>
                </c:pt>
                <c:pt idx="174">
                  <c:v>40499</c:v>
                </c:pt>
                <c:pt idx="175">
                  <c:v>40500</c:v>
                </c:pt>
                <c:pt idx="176">
                  <c:v>40501</c:v>
                </c:pt>
                <c:pt idx="177">
                  <c:v>40504</c:v>
                </c:pt>
                <c:pt idx="178">
                  <c:v>40505</c:v>
                </c:pt>
                <c:pt idx="179">
                  <c:v>40506</c:v>
                </c:pt>
                <c:pt idx="180">
                  <c:v>40508</c:v>
                </c:pt>
                <c:pt idx="181">
                  <c:v>40511</c:v>
                </c:pt>
                <c:pt idx="182">
                  <c:v>40512</c:v>
                </c:pt>
                <c:pt idx="183">
                  <c:v>40513</c:v>
                </c:pt>
                <c:pt idx="184">
                  <c:v>40514</c:v>
                </c:pt>
                <c:pt idx="185">
                  <c:v>40515</c:v>
                </c:pt>
                <c:pt idx="186">
                  <c:v>40518</c:v>
                </c:pt>
                <c:pt idx="187">
                  <c:v>40519</c:v>
                </c:pt>
                <c:pt idx="188">
                  <c:v>40520</c:v>
                </c:pt>
                <c:pt idx="189">
                  <c:v>40521</c:v>
                </c:pt>
                <c:pt idx="190">
                  <c:v>40522</c:v>
                </c:pt>
                <c:pt idx="191">
                  <c:v>40525</c:v>
                </c:pt>
                <c:pt idx="192">
                  <c:v>40526</c:v>
                </c:pt>
                <c:pt idx="193">
                  <c:v>40527</c:v>
                </c:pt>
                <c:pt idx="194">
                  <c:v>40528</c:v>
                </c:pt>
                <c:pt idx="195">
                  <c:v>40529</c:v>
                </c:pt>
                <c:pt idx="196">
                  <c:v>40532</c:v>
                </c:pt>
                <c:pt idx="197">
                  <c:v>40533</c:v>
                </c:pt>
                <c:pt idx="198">
                  <c:v>40534</c:v>
                </c:pt>
                <c:pt idx="199">
                  <c:v>40535</c:v>
                </c:pt>
                <c:pt idx="200">
                  <c:v>40539</c:v>
                </c:pt>
                <c:pt idx="201">
                  <c:v>40540</c:v>
                </c:pt>
                <c:pt idx="202">
                  <c:v>40541</c:v>
                </c:pt>
                <c:pt idx="203">
                  <c:v>40542</c:v>
                </c:pt>
                <c:pt idx="204">
                  <c:v>40543</c:v>
                </c:pt>
                <c:pt idx="205">
                  <c:v>40546</c:v>
                </c:pt>
                <c:pt idx="206">
                  <c:v>40547</c:v>
                </c:pt>
                <c:pt idx="207">
                  <c:v>40548</c:v>
                </c:pt>
                <c:pt idx="208">
                  <c:v>40549</c:v>
                </c:pt>
                <c:pt idx="209">
                  <c:v>40550</c:v>
                </c:pt>
                <c:pt idx="210">
                  <c:v>40553</c:v>
                </c:pt>
                <c:pt idx="211">
                  <c:v>40554</c:v>
                </c:pt>
                <c:pt idx="212">
                  <c:v>40555</c:v>
                </c:pt>
                <c:pt idx="213">
                  <c:v>40556</c:v>
                </c:pt>
                <c:pt idx="214">
                  <c:v>40557</c:v>
                </c:pt>
                <c:pt idx="215">
                  <c:v>40561</c:v>
                </c:pt>
                <c:pt idx="216">
                  <c:v>40562</c:v>
                </c:pt>
                <c:pt idx="217">
                  <c:v>40563</c:v>
                </c:pt>
                <c:pt idx="218">
                  <c:v>40564</c:v>
                </c:pt>
                <c:pt idx="219">
                  <c:v>40567</c:v>
                </c:pt>
                <c:pt idx="220">
                  <c:v>40568</c:v>
                </c:pt>
                <c:pt idx="221">
                  <c:v>40569</c:v>
                </c:pt>
                <c:pt idx="222">
                  <c:v>40570</c:v>
                </c:pt>
                <c:pt idx="223">
                  <c:v>40571</c:v>
                </c:pt>
                <c:pt idx="224">
                  <c:v>40574</c:v>
                </c:pt>
                <c:pt idx="225">
                  <c:v>40575</c:v>
                </c:pt>
                <c:pt idx="226">
                  <c:v>40576</c:v>
                </c:pt>
                <c:pt idx="227">
                  <c:v>40577</c:v>
                </c:pt>
                <c:pt idx="228">
                  <c:v>40578</c:v>
                </c:pt>
                <c:pt idx="229">
                  <c:v>40581</c:v>
                </c:pt>
                <c:pt idx="230">
                  <c:v>40582</c:v>
                </c:pt>
                <c:pt idx="231">
                  <c:v>40583</c:v>
                </c:pt>
                <c:pt idx="232">
                  <c:v>40584</c:v>
                </c:pt>
                <c:pt idx="233">
                  <c:v>40585</c:v>
                </c:pt>
                <c:pt idx="234">
                  <c:v>40588</c:v>
                </c:pt>
                <c:pt idx="235">
                  <c:v>40589</c:v>
                </c:pt>
                <c:pt idx="236">
                  <c:v>40590</c:v>
                </c:pt>
                <c:pt idx="237">
                  <c:v>40591</c:v>
                </c:pt>
                <c:pt idx="238">
                  <c:v>40592</c:v>
                </c:pt>
                <c:pt idx="239">
                  <c:v>40596</c:v>
                </c:pt>
                <c:pt idx="240">
                  <c:v>40597</c:v>
                </c:pt>
                <c:pt idx="241">
                  <c:v>40598</c:v>
                </c:pt>
                <c:pt idx="242">
                  <c:v>40599</c:v>
                </c:pt>
                <c:pt idx="243">
                  <c:v>40602</c:v>
                </c:pt>
                <c:pt idx="244">
                  <c:v>40603</c:v>
                </c:pt>
                <c:pt idx="245">
                  <c:v>40604</c:v>
                </c:pt>
                <c:pt idx="246">
                  <c:v>40605</c:v>
                </c:pt>
                <c:pt idx="247">
                  <c:v>40606</c:v>
                </c:pt>
                <c:pt idx="248">
                  <c:v>40609</c:v>
                </c:pt>
                <c:pt idx="249">
                  <c:v>40610</c:v>
                </c:pt>
                <c:pt idx="250">
                  <c:v>40611</c:v>
                </c:pt>
                <c:pt idx="251">
                  <c:v>40612</c:v>
                </c:pt>
                <c:pt idx="252">
                  <c:v>40613</c:v>
                </c:pt>
                <c:pt idx="253">
                  <c:v>40616</c:v>
                </c:pt>
                <c:pt idx="254">
                  <c:v>40617</c:v>
                </c:pt>
                <c:pt idx="255">
                  <c:v>40618</c:v>
                </c:pt>
                <c:pt idx="256">
                  <c:v>40619</c:v>
                </c:pt>
                <c:pt idx="257">
                  <c:v>40620</c:v>
                </c:pt>
                <c:pt idx="258">
                  <c:v>40623</c:v>
                </c:pt>
                <c:pt idx="259">
                  <c:v>40624</c:v>
                </c:pt>
                <c:pt idx="260">
                  <c:v>40625</c:v>
                </c:pt>
                <c:pt idx="261">
                  <c:v>40626</c:v>
                </c:pt>
                <c:pt idx="262">
                  <c:v>40627</c:v>
                </c:pt>
                <c:pt idx="263">
                  <c:v>40630</c:v>
                </c:pt>
                <c:pt idx="264">
                  <c:v>40631</c:v>
                </c:pt>
                <c:pt idx="265">
                  <c:v>40632</c:v>
                </c:pt>
                <c:pt idx="266">
                  <c:v>40633</c:v>
                </c:pt>
                <c:pt idx="267">
                  <c:v>40634</c:v>
                </c:pt>
                <c:pt idx="268">
                  <c:v>40637</c:v>
                </c:pt>
                <c:pt idx="269">
                  <c:v>40638</c:v>
                </c:pt>
                <c:pt idx="270">
                  <c:v>40639</c:v>
                </c:pt>
                <c:pt idx="271">
                  <c:v>40640</c:v>
                </c:pt>
                <c:pt idx="272">
                  <c:v>40641</c:v>
                </c:pt>
                <c:pt idx="273">
                  <c:v>40644</c:v>
                </c:pt>
                <c:pt idx="274">
                  <c:v>40645</c:v>
                </c:pt>
                <c:pt idx="275">
                  <c:v>40646</c:v>
                </c:pt>
                <c:pt idx="276">
                  <c:v>40647</c:v>
                </c:pt>
                <c:pt idx="277">
                  <c:v>40648</c:v>
                </c:pt>
                <c:pt idx="278">
                  <c:v>40651</c:v>
                </c:pt>
                <c:pt idx="279">
                  <c:v>40652</c:v>
                </c:pt>
                <c:pt idx="280">
                  <c:v>40653</c:v>
                </c:pt>
                <c:pt idx="281">
                  <c:v>40654</c:v>
                </c:pt>
                <c:pt idx="282">
                  <c:v>40658</c:v>
                </c:pt>
                <c:pt idx="283">
                  <c:v>40659</c:v>
                </c:pt>
                <c:pt idx="284">
                  <c:v>40660</c:v>
                </c:pt>
                <c:pt idx="285">
                  <c:v>40661</c:v>
                </c:pt>
                <c:pt idx="286">
                  <c:v>40662</c:v>
                </c:pt>
                <c:pt idx="287">
                  <c:v>40665</c:v>
                </c:pt>
                <c:pt idx="288">
                  <c:v>40666</c:v>
                </c:pt>
                <c:pt idx="289">
                  <c:v>40667</c:v>
                </c:pt>
                <c:pt idx="290">
                  <c:v>40668</c:v>
                </c:pt>
                <c:pt idx="291">
                  <c:v>40669</c:v>
                </c:pt>
                <c:pt idx="292">
                  <c:v>40672</c:v>
                </c:pt>
                <c:pt idx="293">
                  <c:v>40673</c:v>
                </c:pt>
                <c:pt idx="294">
                  <c:v>40674</c:v>
                </c:pt>
                <c:pt idx="295">
                  <c:v>40675</c:v>
                </c:pt>
                <c:pt idx="296">
                  <c:v>40676</c:v>
                </c:pt>
                <c:pt idx="297">
                  <c:v>40679</c:v>
                </c:pt>
                <c:pt idx="298">
                  <c:v>40680</c:v>
                </c:pt>
                <c:pt idx="299">
                  <c:v>40681</c:v>
                </c:pt>
                <c:pt idx="300">
                  <c:v>40682</c:v>
                </c:pt>
                <c:pt idx="301">
                  <c:v>40683</c:v>
                </c:pt>
                <c:pt idx="302">
                  <c:v>40686</c:v>
                </c:pt>
                <c:pt idx="303">
                  <c:v>40687</c:v>
                </c:pt>
                <c:pt idx="304">
                  <c:v>40688</c:v>
                </c:pt>
                <c:pt idx="305">
                  <c:v>40689</c:v>
                </c:pt>
                <c:pt idx="306">
                  <c:v>40690</c:v>
                </c:pt>
                <c:pt idx="307">
                  <c:v>40694</c:v>
                </c:pt>
                <c:pt idx="308">
                  <c:v>40695</c:v>
                </c:pt>
                <c:pt idx="309">
                  <c:v>40696</c:v>
                </c:pt>
                <c:pt idx="310">
                  <c:v>40697</c:v>
                </c:pt>
                <c:pt idx="311">
                  <c:v>40700</c:v>
                </c:pt>
                <c:pt idx="312">
                  <c:v>40701</c:v>
                </c:pt>
                <c:pt idx="313">
                  <c:v>40702</c:v>
                </c:pt>
                <c:pt idx="314">
                  <c:v>40703</c:v>
                </c:pt>
                <c:pt idx="315">
                  <c:v>40704</c:v>
                </c:pt>
                <c:pt idx="316">
                  <c:v>40707</c:v>
                </c:pt>
                <c:pt idx="317">
                  <c:v>40708</c:v>
                </c:pt>
                <c:pt idx="318">
                  <c:v>40709</c:v>
                </c:pt>
                <c:pt idx="319">
                  <c:v>40710</c:v>
                </c:pt>
                <c:pt idx="320">
                  <c:v>40711</c:v>
                </c:pt>
                <c:pt idx="321">
                  <c:v>40714</c:v>
                </c:pt>
                <c:pt idx="322">
                  <c:v>40715</c:v>
                </c:pt>
                <c:pt idx="323">
                  <c:v>40716</c:v>
                </c:pt>
                <c:pt idx="324">
                  <c:v>40717</c:v>
                </c:pt>
                <c:pt idx="325">
                  <c:v>40718</c:v>
                </c:pt>
                <c:pt idx="326">
                  <c:v>40721</c:v>
                </c:pt>
                <c:pt idx="327">
                  <c:v>40722</c:v>
                </c:pt>
                <c:pt idx="328">
                  <c:v>40723</c:v>
                </c:pt>
                <c:pt idx="329">
                  <c:v>40724</c:v>
                </c:pt>
                <c:pt idx="330">
                  <c:v>40725</c:v>
                </c:pt>
                <c:pt idx="331">
                  <c:v>40729</c:v>
                </c:pt>
                <c:pt idx="332">
                  <c:v>40730</c:v>
                </c:pt>
                <c:pt idx="333">
                  <c:v>40731</c:v>
                </c:pt>
                <c:pt idx="334">
                  <c:v>40732</c:v>
                </c:pt>
                <c:pt idx="335">
                  <c:v>40735</c:v>
                </c:pt>
                <c:pt idx="336">
                  <c:v>40736</c:v>
                </c:pt>
                <c:pt idx="337">
                  <c:v>40737</c:v>
                </c:pt>
                <c:pt idx="338">
                  <c:v>40738</c:v>
                </c:pt>
                <c:pt idx="339">
                  <c:v>40739</c:v>
                </c:pt>
                <c:pt idx="340">
                  <c:v>40742</c:v>
                </c:pt>
                <c:pt idx="341">
                  <c:v>40743</c:v>
                </c:pt>
                <c:pt idx="342">
                  <c:v>40744</c:v>
                </c:pt>
                <c:pt idx="343">
                  <c:v>40745</c:v>
                </c:pt>
                <c:pt idx="344">
                  <c:v>40746</c:v>
                </c:pt>
                <c:pt idx="345">
                  <c:v>40749</c:v>
                </c:pt>
                <c:pt idx="346">
                  <c:v>40750</c:v>
                </c:pt>
                <c:pt idx="347">
                  <c:v>40751</c:v>
                </c:pt>
                <c:pt idx="348">
                  <c:v>40752</c:v>
                </c:pt>
                <c:pt idx="349">
                  <c:v>40753</c:v>
                </c:pt>
                <c:pt idx="350">
                  <c:v>40756</c:v>
                </c:pt>
                <c:pt idx="351">
                  <c:v>40757</c:v>
                </c:pt>
                <c:pt idx="352">
                  <c:v>40758</c:v>
                </c:pt>
                <c:pt idx="353">
                  <c:v>40759</c:v>
                </c:pt>
                <c:pt idx="354">
                  <c:v>40760</c:v>
                </c:pt>
                <c:pt idx="355">
                  <c:v>40763</c:v>
                </c:pt>
                <c:pt idx="356">
                  <c:v>40764</c:v>
                </c:pt>
                <c:pt idx="357">
                  <c:v>40765</c:v>
                </c:pt>
                <c:pt idx="358">
                  <c:v>40766</c:v>
                </c:pt>
                <c:pt idx="359">
                  <c:v>40767</c:v>
                </c:pt>
                <c:pt idx="360">
                  <c:v>40770</c:v>
                </c:pt>
                <c:pt idx="361">
                  <c:v>40771</c:v>
                </c:pt>
                <c:pt idx="362">
                  <c:v>40772</c:v>
                </c:pt>
                <c:pt idx="363">
                  <c:v>40773</c:v>
                </c:pt>
                <c:pt idx="364">
                  <c:v>40774</c:v>
                </c:pt>
                <c:pt idx="365">
                  <c:v>40777</c:v>
                </c:pt>
                <c:pt idx="366">
                  <c:v>40778</c:v>
                </c:pt>
                <c:pt idx="367">
                  <c:v>40779</c:v>
                </c:pt>
                <c:pt idx="368">
                  <c:v>40780</c:v>
                </c:pt>
                <c:pt idx="369">
                  <c:v>40781</c:v>
                </c:pt>
                <c:pt idx="370">
                  <c:v>40784</c:v>
                </c:pt>
                <c:pt idx="371">
                  <c:v>40785</c:v>
                </c:pt>
                <c:pt idx="372">
                  <c:v>40786</c:v>
                </c:pt>
                <c:pt idx="373">
                  <c:v>40787</c:v>
                </c:pt>
                <c:pt idx="374">
                  <c:v>40788</c:v>
                </c:pt>
                <c:pt idx="375">
                  <c:v>40792</c:v>
                </c:pt>
                <c:pt idx="376">
                  <c:v>40793</c:v>
                </c:pt>
                <c:pt idx="377">
                  <c:v>40794</c:v>
                </c:pt>
                <c:pt idx="378">
                  <c:v>40795</c:v>
                </c:pt>
                <c:pt idx="379">
                  <c:v>40798</c:v>
                </c:pt>
                <c:pt idx="380">
                  <c:v>40799</c:v>
                </c:pt>
                <c:pt idx="381">
                  <c:v>40800</c:v>
                </c:pt>
                <c:pt idx="382">
                  <c:v>40801</c:v>
                </c:pt>
                <c:pt idx="383">
                  <c:v>40802</c:v>
                </c:pt>
                <c:pt idx="384">
                  <c:v>40805</c:v>
                </c:pt>
                <c:pt idx="385">
                  <c:v>40806</c:v>
                </c:pt>
                <c:pt idx="386">
                  <c:v>40807</c:v>
                </c:pt>
                <c:pt idx="387">
                  <c:v>40808</c:v>
                </c:pt>
                <c:pt idx="388">
                  <c:v>40809</c:v>
                </c:pt>
                <c:pt idx="389">
                  <c:v>40812</c:v>
                </c:pt>
                <c:pt idx="390">
                  <c:v>40813</c:v>
                </c:pt>
                <c:pt idx="391">
                  <c:v>40814</c:v>
                </c:pt>
                <c:pt idx="392">
                  <c:v>40815</c:v>
                </c:pt>
                <c:pt idx="393">
                  <c:v>40816</c:v>
                </c:pt>
                <c:pt idx="394">
                  <c:v>40819</c:v>
                </c:pt>
                <c:pt idx="395">
                  <c:v>40820</c:v>
                </c:pt>
                <c:pt idx="396">
                  <c:v>40821</c:v>
                </c:pt>
                <c:pt idx="397">
                  <c:v>40822</c:v>
                </c:pt>
                <c:pt idx="398">
                  <c:v>40823</c:v>
                </c:pt>
                <c:pt idx="399">
                  <c:v>40826</c:v>
                </c:pt>
                <c:pt idx="400">
                  <c:v>40827</c:v>
                </c:pt>
                <c:pt idx="401">
                  <c:v>40828</c:v>
                </c:pt>
                <c:pt idx="402">
                  <c:v>40829</c:v>
                </c:pt>
                <c:pt idx="403">
                  <c:v>40830</c:v>
                </c:pt>
                <c:pt idx="404">
                  <c:v>40833</c:v>
                </c:pt>
                <c:pt idx="405">
                  <c:v>40834</c:v>
                </c:pt>
                <c:pt idx="406">
                  <c:v>40835</c:v>
                </c:pt>
                <c:pt idx="407">
                  <c:v>40836</c:v>
                </c:pt>
                <c:pt idx="408">
                  <c:v>40837</c:v>
                </c:pt>
                <c:pt idx="409">
                  <c:v>40840</c:v>
                </c:pt>
                <c:pt idx="410">
                  <c:v>40841</c:v>
                </c:pt>
                <c:pt idx="411">
                  <c:v>40842</c:v>
                </c:pt>
                <c:pt idx="412">
                  <c:v>40843</c:v>
                </c:pt>
                <c:pt idx="413">
                  <c:v>40844</c:v>
                </c:pt>
                <c:pt idx="414">
                  <c:v>40847</c:v>
                </c:pt>
                <c:pt idx="415">
                  <c:v>40848</c:v>
                </c:pt>
                <c:pt idx="416">
                  <c:v>40849</c:v>
                </c:pt>
                <c:pt idx="417">
                  <c:v>40850</c:v>
                </c:pt>
                <c:pt idx="418">
                  <c:v>40851</c:v>
                </c:pt>
                <c:pt idx="419">
                  <c:v>40854</c:v>
                </c:pt>
                <c:pt idx="420">
                  <c:v>40855</c:v>
                </c:pt>
                <c:pt idx="421">
                  <c:v>40856</c:v>
                </c:pt>
                <c:pt idx="422">
                  <c:v>40857</c:v>
                </c:pt>
                <c:pt idx="423">
                  <c:v>40858</c:v>
                </c:pt>
                <c:pt idx="424">
                  <c:v>40861</c:v>
                </c:pt>
                <c:pt idx="425">
                  <c:v>40862</c:v>
                </c:pt>
                <c:pt idx="426">
                  <c:v>40863</c:v>
                </c:pt>
                <c:pt idx="427">
                  <c:v>40864</c:v>
                </c:pt>
                <c:pt idx="428">
                  <c:v>40865</c:v>
                </c:pt>
                <c:pt idx="429">
                  <c:v>40868</c:v>
                </c:pt>
                <c:pt idx="430">
                  <c:v>40869</c:v>
                </c:pt>
                <c:pt idx="431">
                  <c:v>40870</c:v>
                </c:pt>
                <c:pt idx="432">
                  <c:v>40872</c:v>
                </c:pt>
                <c:pt idx="433">
                  <c:v>40875</c:v>
                </c:pt>
                <c:pt idx="434">
                  <c:v>40876</c:v>
                </c:pt>
                <c:pt idx="435">
                  <c:v>40877</c:v>
                </c:pt>
                <c:pt idx="436">
                  <c:v>40878</c:v>
                </c:pt>
                <c:pt idx="437">
                  <c:v>40879</c:v>
                </c:pt>
                <c:pt idx="438">
                  <c:v>40882</c:v>
                </c:pt>
                <c:pt idx="439">
                  <c:v>40883</c:v>
                </c:pt>
                <c:pt idx="440">
                  <c:v>40884</c:v>
                </c:pt>
                <c:pt idx="441">
                  <c:v>40885</c:v>
                </c:pt>
                <c:pt idx="442">
                  <c:v>40886</c:v>
                </c:pt>
                <c:pt idx="443">
                  <c:v>40889</c:v>
                </c:pt>
                <c:pt idx="444">
                  <c:v>40890</c:v>
                </c:pt>
                <c:pt idx="445">
                  <c:v>40891</c:v>
                </c:pt>
                <c:pt idx="446">
                  <c:v>40892</c:v>
                </c:pt>
                <c:pt idx="447">
                  <c:v>40893</c:v>
                </c:pt>
                <c:pt idx="448">
                  <c:v>40896</c:v>
                </c:pt>
                <c:pt idx="449">
                  <c:v>40897</c:v>
                </c:pt>
                <c:pt idx="450">
                  <c:v>40898</c:v>
                </c:pt>
                <c:pt idx="451">
                  <c:v>40899</c:v>
                </c:pt>
                <c:pt idx="452">
                  <c:v>40900</c:v>
                </c:pt>
                <c:pt idx="453">
                  <c:v>40904</c:v>
                </c:pt>
                <c:pt idx="454">
                  <c:v>40905</c:v>
                </c:pt>
                <c:pt idx="455">
                  <c:v>40906</c:v>
                </c:pt>
                <c:pt idx="456">
                  <c:v>40907</c:v>
                </c:pt>
                <c:pt idx="457">
                  <c:v>40911</c:v>
                </c:pt>
                <c:pt idx="458">
                  <c:v>40912</c:v>
                </c:pt>
                <c:pt idx="459">
                  <c:v>40913</c:v>
                </c:pt>
                <c:pt idx="460">
                  <c:v>40914</c:v>
                </c:pt>
                <c:pt idx="461">
                  <c:v>40917</c:v>
                </c:pt>
                <c:pt idx="462">
                  <c:v>40918</c:v>
                </c:pt>
                <c:pt idx="463">
                  <c:v>40919</c:v>
                </c:pt>
                <c:pt idx="464">
                  <c:v>40920</c:v>
                </c:pt>
                <c:pt idx="465">
                  <c:v>40921</c:v>
                </c:pt>
                <c:pt idx="466">
                  <c:v>40925</c:v>
                </c:pt>
                <c:pt idx="467">
                  <c:v>40926</c:v>
                </c:pt>
                <c:pt idx="468">
                  <c:v>40927</c:v>
                </c:pt>
                <c:pt idx="469">
                  <c:v>40928</c:v>
                </c:pt>
                <c:pt idx="470">
                  <c:v>40931</c:v>
                </c:pt>
                <c:pt idx="471">
                  <c:v>40932</c:v>
                </c:pt>
                <c:pt idx="472">
                  <c:v>40933</c:v>
                </c:pt>
                <c:pt idx="473">
                  <c:v>40934</c:v>
                </c:pt>
                <c:pt idx="474">
                  <c:v>40935</c:v>
                </c:pt>
                <c:pt idx="475">
                  <c:v>40938</c:v>
                </c:pt>
                <c:pt idx="476">
                  <c:v>40939</c:v>
                </c:pt>
                <c:pt idx="477">
                  <c:v>40940</c:v>
                </c:pt>
                <c:pt idx="478">
                  <c:v>40941</c:v>
                </c:pt>
                <c:pt idx="479">
                  <c:v>40942</c:v>
                </c:pt>
                <c:pt idx="480">
                  <c:v>40945</c:v>
                </c:pt>
                <c:pt idx="481">
                  <c:v>40946</c:v>
                </c:pt>
                <c:pt idx="482">
                  <c:v>40947</c:v>
                </c:pt>
                <c:pt idx="483">
                  <c:v>40948</c:v>
                </c:pt>
                <c:pt idx="484">
                  <c:v>40949</c:v>
                </c:pt>
                <c:pt idx="485">
                  <c:v>40952</c:v>
                </c:pt>
                <c:pt idx="486">
                  <c:v>40953</c:v>
                </c:pt>
                <c:pt idx="487">
                  <c:v>40954</c:v>
                </c:pt>
                <c:pt idx="488">
                  <c:v>40955</c:v>
                </c:pt>
                <c:pt idx="489">
                  <c:v>40956</c:v>
                </c:pt>
                <c:pt idx="490">
                  <c:v>40960</c:v>
                </c:pt>
                <c:pt idx="491">
                  <c:v>40961</c:v>
                </c:pt>
                <c:pt idx="492">
                  <c:v>40962</c:v>
                </c:pt>
                <c:pt idx="493">
                  <c:v>40963</c:v>
                </c:pt>
                <c:pt idx="494">
                  <c:v>40966</c:v>
                </c:pt>
                <c:pt idx="495">
                  <c:v>40967</c:v>
                </c:pt>
                <c:pt idx="496">
                  <c:v>40968</c:v>
                </c:pt>
                <c:pt idx="497">
                  <c:v>40969</c:v>
                </c:pt>
                <c:pt idx="498">
                  <c:v>40970</c:v>
                </c:pt>
                <c:pt idx="499">
                  <c:v>40973</c:v>
                </c:pt>
                <c:pt idx="500">
                  <c:v>40974</c:v>
                </c:pt>
                <c:pt idx="501">
                  <c:v>40975</c:v>
                </c:pt>
                <c:pt idx="502">
                  <c:v>40976</c:v>
                </c:pt>
                <c:pt idx="503">
                  <c:v>40977</c:v>
                </c:pt>
                <c:pt idx="504">
                  <c:v>40980</c:v>
                </c:pt>
                <c:pt idx="505">
                  <c:v>40981</c:v>
                </c:pt>
                <c:pt idx="506">
                  <c:v>40982</c:v>
                </c:pt>
                <c:pt idx="507">
                  <c:v>40983</c:v>
                </c:pt>
                <c:pt idx="508">
                  <c:v>40984</c:v>
                </c:pt>
                <c:pt idx="509">
                  <c:v>40987</c:v>
                </c:pt>
                <c:pt idx="510">
                  <c:v>40988</c:v>
                </c:pt>
                <c:pt idx="511">
                  <c:v>40989</c:v>
                </c:pt>
                <c:pt idx="512">
                  <c:v>40990</c:v>
                </c:pt>
                <c:pt idx="513">
                  <c:v>40991</c:v>
                </c:pt>
                <c:pt idx="514">
                  <c:v>40994</c:v>
                </c:pt>
                <c:pt idx="515">
                  <c:v>40995</c:v>
                </c:pt>
                <c:pt idx="516">
                  <c:v>40996</c:v>
                </c:pt>
                <c:pt idx="517">
                  <c:v>40997</c:v>
                </c:pt>
                <c:pt idx="518">
                  <c:v>40998</c:v>
                </c:pt>
                <c:pt idx="519">
                  <c:v>41001</c:v>
                </c:pt>
                <c:pt idx="520">
                  <c:v>41002</c:v>
                </c:pt>
                <c:pt idx="521">
                  <c:v>41003</c:v>
                </c:pt>
                <c:pt idx="522">
                  <c:v>41004</c:v>
                </c:pt>
                <c:pt idx="523">
                  <c:v>41008</c:v>
                </c:pt>
                <c:pt idx="524">
                  <c:v>41009</c:v>
                </c:pt>
                <c:pt idx="525">
                  <c:v>41010</c:v>
                </c:pt>
                <c:pt idx="526">
                  <c:v>41011</c:v>
                </c:pt>
                <c:pt idx="527">
                  <c:v>41012</c:v>
                </c:pt>
                <c:pt idx="528">
                  <c:v>41015</c:v>
                </c:pt>
                <c:pt idx="529">
                  <c:v>41016</c:v>
                </c:pt>
                <c:pt idx="530">
                  <c:v>41017</c:v>
                </c:pt>
                <c:pt idx="531">
                  <c:v>41018</c:v>
                </c:pt>
                <c:pt idx="532">
                  <c:v>41019</c:v>
                </c:pt>
                <c:pt idx="533">
                  <c:v>41022</c:v>
                </c:pt>
                <c:pt idx="534">
                  <c:v>41023</c:v>
                </c:pt>
                <c:pt idx="535">
                  <c:v>41024</c:v>
                </c:pt>
                <c:pt idx="536">
                  <c:v>41025</c:v>
                </c:pt>
                <c:pt idx="537">
                  <c:v>41026</c:v>
                </c:pt>
                <c:pt idx="538">
                  <c:v>41029</c:v>
                </c:pt>
                <c:pt idx="539">
                  <c:v>41030</c:v>
                </c:pt>
                <c:pt idx="540">
                  <c:v>41031</c:v>
                </c:pt>
                <c:pt idx="541">
                  <c:v>41032</c:v>
                </c:pt>
                <c:pt idx="542">
                  <c:v>41033</c:v>
                </c:pt>
                <c:pt idx="543">
                  <c:v>41036</c:v>
                </c:pt>
                <c:pt idx="544">
                  <c:v>41037</c:v>
                </c:pt>
                <c:pt idx="545">
                  <c:v>41038</c:v>
                </c:pt>
                <c:pt idx="546">
                  <c:v>41039</c:v>
                </c:pt>
                <c:pt idx="547">
                  <c:v>41040</c:v>
                </c:pt>
                <c:pt idx="548">
                  <c:v>41043</c:v>
                </c:pt>
                <c:pt idx="549">
                  <c:v>41044</c:v>
                </c:pt>
                <c:pt idx="550">
                  <c:v>41045</c:v>
                </c:pt>
                <c:pt idx="551">
                  <c:v>41046</c:v>
                </c:pt>
                <c:pt idx="552">
                  <c:v>41047</c:v>
                </c:pt>
                <c:pt idx="553">
                  <c:v>41050</c:v>
                </c:pt>
                <c:pt idx="554">
                  <c:v>41051</c:v>
                </c:pt>
                <c:pt idx="555">
                  <c:v>41052</c:v>
                </c:pt>
                <c:pt idx="556">
                  <c:v>41053</c:v>
                </c:pt>
                <c:pt idx="557">
                  <c:v>41054</c:v>
                </c:pt>
                <c:pt idx="558">
                  <c:v>41058</c:v>
                </c:pt>
                <c:pt idx="559">
                  <c:v>41059</c:v>
                </c:pt>
                <c:pt idx="560">
                  <c:v>41060</c:v>
                </c:pt>
                <c:pt idx="561">
                  <c:v>41061</c:v>
                </c:pt>
                <c:pt idx="562">
                  <c:v>41064</c:v>
                </c:pt>
                <c:pt idx="563">
                  <c:v>41065</c:v>
                </c:pt>
                <c:pt idx="564">
                  <c:v>41066</c:v>
                </c:pt>
                <c:pt idx="565">
                  <c:v>41067</c:v>
                </c:pt>
                <c:pt idx="566">
                  <c:v>41068</c:v>
                </c:pt>
                <c:pt idx="567">
                  <c:v>41071</c:v>
                </c:pt>
                <c:pt idx="568">
                  <c:v>41072</c:v>
                </c:pt>
                <c:pt idx="569">
                  <c:v>41073</c:v>
                </c:pt>
                <c:pt idx="570">
                  <c:v>41074</c:v>
                </c:pt>
                <c:pt idx="571">
                  <c:v>41075</c:v>
                </c:pt>
                <c:pt idx="572">
                  <c:v>41078</c:v>
                </c:pt>
                <c:pt idx="573">
                  <c:v>41079</c:v>
                </c:pt>
                <c:pt idx="574">
                  <c:v>41080</c:v>
                </c:pt>
                <c:pt idx="575">
                  <c:v>41081</c:v>
                </c:pt>
                <c:pt idx="576">
                  <c:v>41082</c:v>
                </c:pt>
                <c:pt idx="577">
                  <c:v>41085</c:v>
                </c:pt>
                <c:pt idx="578">
                  <c:v>41086</c:v>
                </c:pt>
                <c:pt idx="579">
                  <c:v>41087</c:v>
                </c:pt>
                <c:pt idx="580">
                  <c:v>41088</c:v>
                </c:pt>
                <c:pt idx="581">
                  <c:v>41089</c:v>
                </c:pt>
                <c:pt idx="582">
                  <c:v>41092</c:v>
                </c:pt>
                <c:pt idx="583">
                  <c:v>41093</c:v>
                </c:pt>
                <c:pt idx="584">
                  <c:v>41095</c:v>
                </c:pt>
                <c:pt idx="585">
                  <c:v>41096</c:v>
                </c:pt>
                <c:pt idx="586">
                  <c:v>41099</c:v>
                </c:pt>
                <c:pt idx="587">
                  <c:v>41100</c:v>
                </c:pt>
                <c:pt idx="588">
                  <c:v>41101</c:v>
                </c:pt>
                <c:pt idx="589">
                  <c:v>41102</c:v>
                </c:pt>
                <c:pt idx="590">
                  <c:v>41103</c:v>
                </c:pt>
                <c:pt idx="591">
                  <c:v>41106</c:v>
                </c:pt>
                <c:pt idx="592">
                  <c:v>41107</c:v>
                </c:pt>
                <c:pt idx="593">
                  <c:v>41108</c:v>
                </c:pt>
                <c:pt idx="594">
                  <c:v>41109</c:v>
                </c:pt>
                <c:pt idx="595">
                  <c:v>41110</c:v>
                </c:pt>
                <c:pt idx="596">
                  <c:v>41113</c:v>
                </c:pt>
                <c:pt idx="597">
                  <c:v>41114</c:v>
                </c:pt>
                <c:pt idx="598">
                  <c:v>41115</c:v>
                </c:pt>
                <c:pt idx="599">
                  <c:v>41116</c:v>
                </c:pt>
                <c:pt idx="600">
                  <c:v>41117</c:v>
                </c:pt>
                <c:pt idx="601">
                  <c:v>41120</c:v>
                </c:pt>
                <c:pt idx="602">
                  <c:v>41121</c:v>
                </c:pt>
                <c:pt idx="603">
                  <c:v>41122</c:v>
                </c:pt>
                <c:pt idx="604">
                  <c:v>41123</c:v>
                </c:pt>
                <c:pt idx="605">
                  <c:v>41124</c:v>
                </c:pt>
                <c:pt idx="606">
                  <c:v>41127</c:v>
                </c:pt>
                <c:pt idx="607">
                  <c:v>41128</c:v>
                </c:pt>
                <c:pt idx="608">
                  <c:v>41129</c:v>
                </c:pt>
                <c:pt idx="609">
                  <c:v>41130</c:v>
                </c:pt>
                <c:pt idx="610">
                  <c:v>41131</c:v>
                </c:pt>
                <c:pt idx="611">
                  <c:v>41134</c:v>
                </c:pt>
                <c:pt idx="612">
                  <c:v>41135</c:v>
                </c:pt>
                <c:pt idx="613">
                  <c:v>41136</c:v>
                </c:pt>
                <c:pt idx="614">
                  <c:v>41137</c:v>
                </c:pt>
                <c:pt idx="615">
                  <c:v>41138</c:v>
                </c:pt>
                <c:pt idx="616">
                  <c:v>41141</c:v>
                </c:pt>
                <c:pt idx="617">
                  <c:v>41142</c:v>
                </c:pt>
                <c:pt idx="618">
                  <c:v>41143</c:v>
                </c:pt>
                <c:pt idx="619">
                  <c:v>41144</c:v>
                </c:pt>
                <c:pt idx="620">
                  <c:v>41145</c:v>
                </c:pt>
                <c:pt idx="621">
                  <c:v>41148</c:v>
                </c:pt>
                <c:pt idx="622">
                  <c:v>41149</c:v>
                </c:pt>
                <c:pt idx="623">
                  <c:v>41150</c:v>
                </c:pt>
                <c:pt idx="624">
                  <c:v>41151</c:v>
                </c:pt>
                <c:pt idx="625">
                  <c:v>41152</c:v>
                </c:pt>
                <c:pt idx="626">
                  <c:v>41156</c:v>
                </c:pt>
                <c:pt idx="627">
                  <c:v>41157</c:v>
                </c:pt>
                <c:pt idx="628">
                  <c:v>41158</c:v>
                </c:pt>
                <c:pt idx="629">
                  <c:v>41159</c:v>
                </c:pt>
                <c:pt idx="630">
                  <c:v>41162</c:v>
                </c:pt>
                <c:pt idx="631">
                  <c:v>41163</c:v>
                </c:pt>
                <c:pt idx="632">
                  <c:v>41164</c:v>
                </c:pt>
                <c:pt idx="633">
                  <c:v>41165</c:v>
                </c:pt>
                <c:pt idx="634">
                  <c:v>41166</c:v>
                </c:pt>
                <c:pt idx="635">
                  <c:v>41169</c:v>
                </c:pt>
                <c:pt idx="636">
                  <c:v>41170</c:v>
                </c:pt>
                <c:pt idx="637">
                  <c:v>41171</c:v>
                </c:pt>
                <c:pt idx="638">
                  <c:v>41172</c:v>
                </c:pt>
                <c:pt idx="639">
                  <c:v>41173</c:v>
                </c:pt>
                <c:pt idx="640">
                  <c:v>41176</c:v>
                </c:pt>
                <c:pt idx="641">
                  <c:v>41177</c:v>
                </c:pt>
                <c:pt idx="642">
                  <c:v>41178</c:v>
                </c:pt>
                <c:pt idx="643">
                  <c:v>41179</c:v>
                </c:pt>
                <c:pt idx="644">
                  <c:v>41180</c:v>
                </c:pt>
                <c:pt idx="645">
                  <c:v>41183</c:v>
                </c:pt>
                <c:pt idx="646">
                  <c:v>41184</c:v>
                </c:pt>
                <c:pt idx="647">
                  <c:v>41185</c:v>
                </c:pt>
                <c:pt idx="648">
                  <c:v>41186</c:v>
                </c:pt>
                <c:pt idx="649">
                  <c:v>41187</c:v>
                </c:pt>
                <c:pt idx="650">
                  <c:v>41190</c:v>
                </c:pt>
                <c:pt idx="651">
                  <c:v>41191</c:v>
                </c:pt>
                <c:pt idx="652">
                  <c:v>41192</c:v>
                </c:pt>
                <c:pt idx="653">
                  <c:v>41193</c:v>
                </c:pt>
                <c:pt idx="654">
                  <c:v>41194</c:v>
                </c:pt>
                <c:pt idx="655">
                  <c:v>41197</c:v>
                </c:pt>
                <c:pt idx="656">
                  <c:v>41198</c:v>
                </c:pt>
                <c:pt idx="657">
                  <c:v>41199</c:v>
                </c:pt>
                <c:pt idx="658">
                  <c:v>41200</c:v>
                </c:pt>
                <c:pt idx="659">
                  <c:v>41201</c:v>
                </c:pt>
                <c:pt idx="660">
                  <c:v>41204</c:v>
                </c:pt>
                <c:pt idx="661">
                  <c:v>41205</c:v>
                </c:pt>
                <c:pt idx="662">
                  <c:v>41206</c:v>
                </c:pt>
                <c:pt idx="663">
                  <c:v>41207</c:v>
                </c:pt>
                <c:pt idx="664">
                  <c:v>41208</c:v>
                </c:pt>
                <c:pt idx="665">
                  <c:v>41213</c:v>
                </c:pt>
                <c:pt idx="666">
                  <c:v>41214</c:v>
                </c:pt>
                <c:pt idx="667">
                  <c:v>41215</c:v>
                </c:pt>
                <c:pt idx="668">
                  <c:v>41218</c:v>
                </c:pt>
                <c:pt idx="669">
                  <c:v>41219</c:v>
                </c:pt>
                <c:pt idx="670">
                  <c:v>41220</c:v>
                </c:pt>
                <c:pt idx="671">
                  <c:v>41221</c:v>
                </c:pt>
                <c:pt idx="672">
                  <c:v>41222</c:v>
                </c:pt>
                <c:pt idx="673">
                  <c:v>41225</c:v>
                </c:pt>
                <c:pt idx="674">
                  <c:v>41226</c:v>
                </c:pt>
                <c:pt idx="675">
                  <c:v>41227</c:v>
                </c:pt>
                <c:pt idx="676">
                  <c:v>41228</c:v>
                </c:pt>
                <c:pt idx="677">
                  <c:v>41229</c:v>
                </c:pt>
                <c:pt idx="678">
                  <c:v>41232</c:v>
                </c:pt>
                <c:pt idx="679">
                  <c:v>41233</c:v>
                </c:pt>
                <c:pt idx="680">
                  <c:v>41234</c:v>
                </c:pt>
                <c:pt idx="681">
                  <c:v>41236</c:v>
                </c:pt>
                <c:pt idx="682">
                  <c:v>41239</c:v>
                </c:pt>
                <c:pt idx="683">
                  <c:v>41240</c:v>
                </c:pt>
                <c:pt idx="684">
                  <c:v>41241</c:v>
                </c:pt>
                <c:pt idx="685">
                  <c:v>41242</c:v>
                </c:pt>
                <c:pt idx="686">
                  <c:v>41243</c:v>
                </c:pt>
                <c:pt idx="687">
                  <c:v>41246</c:v>
                </c:pt>
                <c:pt idx="688">
                  <c:v>41247</c:v>
                </c:pt>
                <c:pt idx="689">
                  <c:v>41248</c:v>
                </c:pt>
                <c:pt idx="690">
                  <c:v>41249</c:v>
                </c:pt>
                <c:pt idx="691">
                  <c:v>41250</c:v>
                </c:pt>
                <c:pt idx="692">
                  <c:v>41253</c:v>
                </c:pt>
                <c:pt idx="693">
                  <c:v>41254</c:v>
                </c:pt>
                <c:pt idx="694">
                  <c:v>41255</c:v>
                </c:pt>
                <c:pt idx="695">
                  <c:v>41256</c:v>
                </c:pt>
                <c:pt idx="696">
                  <c:v>41257</c:v>
                </c:pt>
                <c:pt idx="697">
                  <c:v>41260</c:v>
                </c:pt>
                <c:pt idx="698">
                  <c:v>41261</c:v>
                </c:pt>
                <c:pt idx="699">
                  <c:v>41262</c:v>
                </c:pt>
                <c:pt idx="700">
                  <c:v>41263</c:v>
                </c:pt>
                <c:pt idx="701">
                  <c:v>41264</c:v>
                </c:pt>
                <c:pt idx="702">
                  <c:v>41267</c:v>
                </c:pt>
                <c:pt idx="703">
                  <c:v>41269</c:v>
                </c:pt>
                <c:pt idx="704">
                  <c:v>41270</c:v>
                </c:pt>
                <c:pt idx="705">
                  <c:v>41271</c:v>
                </c:pt>
                <c:pt idx="706">
                  <c:v>41274</c:v>
                </c:pt>
                <c:pt idx="707">
                  <c:v>41276</c:v>
                </c:pt>
                <c:pt idx="708">
                  <c:v>41277</c:v>
                </c:pt>
                <c:pt idx="709">
                  <c:v>41278</c:v>
                </c:pt>
                <c:pt idx="710">
                  <c:v>41281</c:v>
                </c:pt>
                <c:pt idx="711">
                  <c:v>41282</c:v>
                </c:pt>
                <c:pt idx="712">
                  <c:v>41283</c:v>
                </c:pt>
                <c:pt idx="713">
                  <c:v>41284</c:v>
                </c:pt>
                <c:pt idx="714">
                  <c:v>41285</c:v>
                </c:pt>
                <c:pt idx="715">
                  <c:v>41288</c:v>
                </c:pt>
                <c:pt idx="716">
                  <c:v>41289</c:v>
                </c:pt>
                <c:pt idx="717">
                  <c:v>41290</c:v>
                </c:pt>
                <c:pt idx="718">
                  <c:v>41291</c:v>
                </c:pt>
                <c:pt idx="719">
                  <c:v>41292</c:v>
                </c:pt>
                <c:pt idx="720">
                  <c:v>41296</c:v>
                </c:pt>
                <c:pt idx="721">
                  <c:v>41297</c:v>
                </c:pt>
                <c:pt idx="722">
                  <c:v>41298</c:v>
                </c:pt>
                <c:pt idx="723">
                  <c:v>41299</c:v>
                </c:pt>
                <c:pt idx="724">
                  <c:v>41302</c:v>
                </c:pt>
                <c:pt idx="725">
                  <c:v>41303</c:v>
                </c:pt>
                <c:pt idx="726">
                  <c:v>41304</c:v>
                </c:pt>
                <c:pt idx="727">
                  <c:v>41305</c:v>
                </c:pt>
                <c:pt idx="728">
                  <c:v>41306</c:v>
                </c:pt>
                <c:pt idx="729">
                  <c:v>41309</c:v>
                </c:pt>
                <c:pt idx="730">
                  <c:v>41310</c:v>
                </c:pt>
                <c:pt idx="731">
                  <c:v>41311</c:v>
                </c:pt>
                <c:pt idx="732">
                  <c:v>41312</c:v>
                </c:pt>
                <c:pt idx="733">
                  <c:v>41313</c:v>
                </c:pt>
                <c:pt idx="734">
                  <c:v>41316</c:v>
                </c:pt>
                <c:pt idx="735">
                  <c:v>41317</c:v>
                </c:pt>
                <c:pt idx="736">
                  <c:v>41318</c:v>
                </c:pt>
                <c:pt idx="737">
                  <c:v>41319</c:v>
                </c:pt>
                <c:pt idx="738">
                  <c:v>41320</c:v>
                </c:pt>
                <c:pt idx="739">
                  <c:v>41324</c:v>
                </c:pt>
                <c:pt idx="740">
                  <c:v>41325</c:v>
                </c:pt>
                <c:pt idx="741">
                  <c:v>41326</c:v>
                </c:pt>
                <c:pt idx="742">
                  <c:v>41327</c:v>
                </c:pt>
                <c:pt idx="743">
                  <c:v>41330</c:v>
                </c:pt>
                <c:pt idx="744">
                  <c:v>41331</c:v>
                </c:pt>
                <c:pt idx="745">
                  <c:v>41332</c:v>
                </c:pt>
                <c:pt idx="746">
                  <c:v>41333</c:v>
                </c:pt>
                <c:pt idx="747">
                  <c:v>41334</c:v>
                </c:pt>
                <c:pt idx="748">
                  <c:v>41337</c:v>
                </c:pt>
                <c:pt idx="749">
                  <c:v>41338</c:v>
                </c:pt>
                <c:pt idx="750">
                  <c:v>41339</c:v>
                </c:pt>
                <c:pt idx="751">
                  <c:v>41340</c:v>
                </c:pt>
                <c:pt idx="752">
                  <c:v>41341</c:v>
                </c:pt>
                <c:pt idx="753">
                  <c:v>41344</c:v>
                </c:pt>
                <c:pt idx="754">
                  <c:v>41345</c:v>
                </c:pt>
                <c:pt idx="755">
                  <c:v>41346</c:v>
                </c:pt>
                <c:pt idx="756">
                  <c:v>41347</c:v>
                </c:pt>
                <c:pt idx="757">
                  <c:v>41348</c:v>
                </c:pt>
                <c:pt idx="758">
                  <c:v>41351</c:v>
                </c:pt>
                <c:pt idx="759">
                  <c:v>41352</c:v>
                </c:pt>
                <c:pt idx="760">
                  <c:v>41353</c:v>
                </c:pt>
                <c:pt idx="761">
                  <c:v>41354</c:v>
                </c:pt>
                <c:pt idx="762">
                  <c:v>41355</c:v>
                </c:pt>
                <c:pt idx="763">
                  <c:v>41358</c:v>
                </c:pt>
                <c:pt idx="764">
                  <c:v>41359</c:v>
                </c:pt>
                <c:pt idx="765">
                  <c:v>41360</c:v>
                </c:pt>
                <c:pt idx="766">
                  <c:v>41361</c:v>
                </c:pt>
                <c:pt idx="767">
                  <c:v>41365</c:v>
                </c:pt>
                <c:pt idx="768">
                  <c:v>41366</c:v>
                </c:pt>
                <c:pt idx="769">
                  <c:v>41367</c:v>
                </c:pt>
                <c:pt idx="770">
                  <c:v>41368</c:v>
                </c:pt>
                <c:pt idx="771">
                  <c:v>41369</c:v>
                </c:pt>
                <c:pt idx="772">
                  <c:v>41372</c:v>
                </c:pt>
                <c:pt idx="773">
                  <c:v>41373</c:v>
                </c:pt>
                <c:pt idx="774">
                  <c:v>41374</c:v>
                </c:pt>
                <c:pt idx="775">
                  <c:v>41375</c:v>
                </c:pt>
                <c:pt idx="776">
                  <c:v>41376</c:v>
                </c:pt>
                <c:pt idx="777">
                  <c:v>41379</c:v>
                </c:pt>
                <c:pt idx="778">
                  <c:v>41380</c:v>
                </c:pt>
                <c:pt idx="779">
                  <c:v>41381</c:v>
                </c:pt>
                <c:pt idx="780">
                  <c:v>41382</c:v>
                </c:pt>
                <c:pt idx="781">
                  <c:v>41383</c:v>
                </c:pt>
                <c:pt idx="782">
                  <c:v>41386</c:v>
                </c:pt>
                <c:pt idx="783">
                  <c:v>41387</c:v>
                </c:pt>
                <c:pt idx="784">
                  <c:v>41388</c:v>
                </c:pt>
                <c:pt idx="785">
                  <c:v>41389</c:v>
                </c:pt>
                <c:pt idx="786">
                  <c:v>41390</c:v>
                </c:pt>
                <c:pt idx="787">
                  <c:v>41393</c:v>
                </c:pt>
                <c:pt idx="788">
                  <c:v>41394</c:v>
                </c:pt>
                <c:pt idx="789">
                  <c:v>41395</c:v>
                </c:pt>
                <c:pt idx="790">
                  <c:v>41396</c:v>
                </c:pt>
                <c:pt idx="791">
                  <c:v>41397</c:v>
                </c:pt>
                <c:pt idx="792">
                  <c:v>41400</c:v>
                </c:pt>
                <c:pt idx="793">
                  <c:v>41401</c:v>
                </c:pt>
                <c:pt idx="794">
                  <c:v>41402</c:v>
                </c:pt>
                <c:pt idx="795">
                  <c:v>41403</c:v>
                </c:pt>
                <c:pt idx="796">
                  <c:v>41404</c:v>
                </c:pt>
                <c:pt idx="797">
                  <c:v>41407</c:v>
                </c:pt>
                <c:pt idx="798">
                  <c:v>41408</c:v>
                </c:pt>
                <c:pt idx="799">
                  <c:v>41409</c:v>
                </c:pt>
                <c:pt idx="800">
                  <c:v>41410</c:v>
                </c:pt>
                <c:pt idx="801">
                  <c:v>41411</c:v>
                </c:pt>
                <c:pt idx="802">
                  <c:v>41414</c:v>
                </c:pt>
                <c:pt idx="803">
                  <c:v>41415</c:v>
                </c:pt>
                <c:pt idx="804">
                  <c:v>41416</c:v>
                </c:pt>
                <c:pt idx="805">
                  <c:v>41417</c:v>
                </c:pt>
                <c:pt idx="806">
                  <c:v>41418</c:v>
                </c:pt>
                <c:pt idx="807">
                  <c:v>41422</c:v>
                </c:pt>
                <c:pt idx="808">
                  <c:v>41423</c:v>
                </c:pt>
                <c:pt idx="809">
                  <c:v>41424</c:v>
                </c:pt>
                <c:pt idx="810">
                  <c:v>41425</c:v>
                </c:pt>
                <c:pt idx="811">
                  <c:v>41428</c:v>
                </c:pt>
                <c:pt idx="812">
                  <c:v>41429</c:v>
                </c:pt>
                <c:pt idx="813">
                  <c:v>41430</c:v>
                </c:pt>
                <c:pt idx="814">
                  <c:v>41431</c:v>
                </c:pt>
                <c:pt idx="815">
                  <c:v>41432</c:v>
                </c:pt>
                <c:pt idx="816">
                  <c:v>41435</c:v>
                </c:pt>
                <c:pt idx="817">
                  <c:v>41436</c:v>
                </c:pt>
                <c:pt idx="818">
                  <c:v>41437</c:v>
                </c:pt>
                <c:pt idx="819">
                  <c:v>41438</c:v>
                </c:pt>
                <c:pt idx="820">
                  <c:v>41439</c:v>
                </c:pt>
                <c:pt idx="821">
                  <c:v>41442</c:v>
                </c:pt>
                <c:pt idx="822">
                  <c:v>41443</c:v>
                </c:pt>
                <c:pt idx="823">
                  <c:v>41444</c:v>
                </c:pt>
                <c:pt idx="824">
                  <c:v>41445</c:v>
                </c:pt>
                <c:pt idx="825">
                  <c:v>41446</c:v>
                </c:pt>
                <c:pt idx="826">
                  <c:v>41449</c:v>
                </c:pt>
                <c:pt idx="827">
                  <c:v>41450</c:v>
                </c:pt>
                <c:pt idx="828">
                  <c:v>41451</c:v>
                </c:pt>
                <c:pt idx="829">
                  <c:v>41452</c:v>
                </c:pt>
                <c:pt idx="830">
                  <c:v>41453</c:v>
                </c:pt>
                <c:pt idx="831">
                  <c:v>41456</c:v>
                </c:pt>
                <c:pt idx="832">
                  <c:v>41457</c:v>
                </c:pt>
                <c:pt idx="833">
                  <c:v>41458</c:v>
                </c:pt>
                <c:pt idx="834">
                  <c:v>41460</c:v>
                </c:pt>
                <c:pt idx="835">
                  <c:v>41463</c:v>
                </c:pt>
                <c:pt idx="836">
                  <c:v>41464</c:v>
                </c:pt>
                <c:pt idx="837">
                  <c:v>41465</c:v>
                </c:pt>
                <c:pt idx="838">
                  <c:v>41466</c:v>
                </c:pt>
                <c:pt idx="839">
                  <c:v>41467</c:v>
                </c:pt>
                <c:pt idx="840">
                  <c:v>41470</c:v>
                </c:pt>
                <c:pt idx="841">
                  <c:v>41471</c:v>
                </c:pt>
                <c:pt idx="842">
                  <c:v>41472</c:v>
                </c:pt>
                <c:pt idx="843">
                  <c:v>41473</c:v>
                </c:pt>
                <c:pt idx="844">
                  <c:v>41474</c:v>
                </c:pt>
                <c:pt idx="845">
                  <c:v>41477</c:v>
                </c:pt>
                <c:pt idx="846">
                  <c:v>41478</c:v>
                </c:pt>
                <c:pt idx="847">
                  <c:v>41479</c:v>
                </c:pt>
                <c:pt idx="848">
                  <c:v>41480</c:v>
                </c:pt>
                <c:pt idx="849">
                  <c:v>41481</c:v>
                </c:pt>
                <c:pt idx="850">
                  <c:v>41484</c:v>
                </c:pt>
                <c:pt idx="851">
                  <c:v>41485</c:v>
                </c:pt>
                <c:pt idx="852">
                  <c:v>41486</c:v>
                </c:pt>
                <c:pt idx="853">
                  <c:v>41487</c:v>
                </c:pt>
                <c:pt idx="854">
                  <c:v>41488</c:v>
                </c:pt>
                <c:pt idx="855">
                  <c:v>41491</c:v>
                </c:pt>
                <c:pt idx="856">
                  <c:v>41492</c:v>
                </c:pt>
                <c:pt idx="857">
                  <c:v>41493</c:v>
                </c:pt>
                <c:pt idx="858">
                  <c:v>41494</c:v>
                </c:pt>
                <c:pt idx="859">
                  <c:v>41495</c:v>
                </c:pt>
                <c:pt idx="860">
                  <c:v>41498</c:v>
                </c:pt>
                <c:pt idx="861">
                  <c:v>41499</c:v>
                </c:pt>
                <c:pt idx="862">
                  <c:v>41500</c:v>
                </c:pt>
                <c:pt idx="863">
                  <c:v>41501</c:v>
                </c:pt>
                <c:pt idx="864">
                  <c:v>41502</c:v>
                </c:pt>
                <c:pt idx="865">
                  <c:v>41505</c:v>
                </c:pt>
                <c:pt idx="866">
                  <c:v>41506</c:v>
                </c:pt>
                <c:pt idx="867">
                  <c:v>41507</c:v>
                </c:pt>
                <c:pt idx="868">
                  <c:v>41508</c:v>
                </c:pt>
                <c:pt idx="869">
                  <c:v>41509</c:v>
                </c:pt>
                <c:pt idx="870">
                  <c:v>41512</c:v>
                </c:pt>
                <c:pt idx="871">
                  <c:v>41513</c:v>
                </c:pt>
                <c:pt idx="872">
                  <c:v>41514</c:v>
                </c:pt>
                <c:pt idx="873">
                  <c:v>41515</c:v>
                </c:pt>
                <c:pt idx="874">
                  <c:v>41516</c:v>
                </c:pt>
                <c:pt idx="875">
                  <c:v>41520</c:v>
                </c:pt>
                <c:pt idx="876">
                  <c:v>41521</c:v>
                </c:pt>
                <c:pt idx="877">
                  <c:v>41522</c:v>
                </c:pt>
                <c:pt idx="878">
                  <c:v>41523</c:v>
                </c:pt>
                <c:pt idx="879">
                  <c:v>41526</c:v>
                </c:pt>
                <c:pt idx="880">
                  <c:v>41527</c:v>
                </c:pt>
                <c:pt idx="881">
                  <c:v>41528</c:v>
                </c:pt>
                <c:pt idx="882">
                  <c:v>41529</c:v>
                </c:pt>
                <c:pt idx="883">
                  <c:v>41530</c:v>
                </c:pt>
                <c:pt idx="884">
                  <c:v>41533</c:v>
                </c:pt>
                <c:pt idx="885">
                  <c:v>41534</c:v>
                </c:pt>
                <c:pt idx="886">
                  <c:v>41535</c:v>
                </c:pt>
                <c:pt idx="887">
                  <c:v>41536</c:v>
                </c:pt>
                <c:pt idx="888">
                  <c:v>41537</c:v>
                </c:pt>
                <c:pt idx="889">
                  <c:v>41540</c:v>
                </c:pt>
                <c:pt idx="890">
                  <c:v>41541</c:v>
                </c:pt>
                <c:pt idx="891">
                  <c:v>41542</c:v>
                </c:pt>
                <c:pt idx="892">
                  <c:v>41543</c:v>
                </c:pt>
                <c:pt idx="893">
                  <c:v>41544</c:v>
                </c:pt>
                <c:pt idx="894">
                  <c:v>41547</c:v>
                </c:pt>
                <c:pt idx="895">
                  <c:v>41548</c:v>
                </c:pt>
                <c:pt idx="896">
                  <c:v>41549</c:v>
                </c:pt>
                <c:pt idx="897">
                  <c:v>41550</c:v>
                </c:pt>
                <c:pt idx="898">
                  <c:v>41551</c:v>
                </c:pt>
                <c:pt idx="899">
                  <c:v>41554</c:v>
                </c:pt>
                <c:pt idx="900">
                  <c:v>41555</c:v>
                </c:pt>
                <c:pt idx="901">
                  <c:v>41556</c:v>
                </c:pt>
                <c:pt idx="902">
                  <c:v>41557</c:v>
                </c:pt>
                <c:pt idx="903">
                  <c:v>41558</c:v>
                </c:pt>
                <c:pt idx="904">
                  <c:v>41561</c:v>
                </c:pt>
                <c:pt idx="905">
                  <c:v>41562</c:v>
                </c:pt>
                <c:pt idx="906">
                  <c:v>41563</c:v>
                </c:pt>
                <c:pt idx="907">
                  <c:v>41564</c:v>
                </c:pt>
                <c:pt idx="908">
                  <c:v>41565</c:v>
                </c:pt>
                <c:pt idx="909">
                  <c:v>41568</c:v>
                </c:pt>
                <c:pt idx="910">
                  <c:v>41569</c:v>
                </c:pt>
                <c:pt idx="911">
                  <c:v>41570</c:v>
                </c:pt>
                <c:pt idx="912">
                  <c:v>41571</c:v>
                </c:pt>
                <c:pt idx="913">
                  <c:v>41572</c:v>
                </c:pt>
                <c:pt idx="914">
                  <c:v>41575</c:v>
                </c:pt>
                <c:pt idx="915">
                  <c:v>41576</c:v>
                </c:pt>
                <c:pt idx="916">
                  <c:v>41577</c:v>
                </c:pt>
                <c:pt idx="917">
                  <c:v>41578</c:v>
                </c:pt>
                <c:pt idx="918">
                  <c:v>41579</c:v>
                </c:pt>
                <c:pt idx="919">
                  <c:v>41582</c:v>
                </c:pt>
                <c:pt idx="920">
                  <c:v>41583</c:v>
                </c:pt>
                <c:pt idx="921">
                  <c:v>41584</c:v>
                </c:pt>
                <c:pt idx="922">
                  <c:v>41585</c:v>
                </c:pt>
                <c:pt idx="923">
                  <c:v>41586</c:v>
                </c:pt>
                <c:pt idx="924">
                  <c:v>41589</c:v>
                </c:pt>
                <c:pt idx="925">
                  <c:v>41590</c:v>
                </c:pt>
                <c:pt idx="926">
                  <c:v>41591</c:v>
                </c:pt>
                <c:pt idx="927">
                  <c:v>41592</c:v>
                </c:pt>
                <c:pt idx="928">
                  <c:v>41593</c:v>
                </c:pt>
                <c:pt idx="929">
                  <c:v>41596</c:v>
                </c:pt>
                <c:pt idx="930">
                  <c:v>41597</c:v>
                </c:pt>
                <c:pt idx="931">
                  <c:v>41598</c:v>
                </c:pt>
                <c:pt idx="932">
                  <c:v>41599</c:v>
                </c:pt>
                <c:pt idx="933">
                  <c:v>41600</c:v>
                </c:pt>
                <c:pt idx="934">
                  <c:v>41603</c:v>
                </c:pt>
                <c:pt idx="935">
                  <c:v>41604</c:v>
                </c:pt>
                <c:pt idx="936">
                  <c:v>41605</c:v>
                </c:pt>
                <c:pt idx="937">
                  <c:v>41607</c:v>
                </c:pt>
                <c:pt idx="938">
                  <c:v>41610</c:v>
                </c:pt>
                <c:pt idx="939">
                  <c:v>41611</c:v>
                </c:pt>
                <c:pt idx="940">
                  <c:v>41612</c:v>
                </c:pt>
                <c:pt idx="941">
                  <c:v>41613</c:v>
                </c:pt>
                <c:pt idx="942">
                  <c:v>41614</c:v>
                </c:pt>
                <c:pt idx="943">
                  <c:v>41617</c:v>
                </c:pt>
                <c:pt idx="944">
                  <c:v>41618</c:v>
                </c:pt>
                <c:pt idx="945">
                  <c:v>41619</c:v>
                </c:pt>
                <c:pt idx="946">
                  <c:v>41620</c:v>
                </c:pt>
                <c:pt idx="947">
                  <c:v>41621</c:v>
                </c:pt>
                <c:pt idx="948">
                  <c:v>41624</c:v>
                </c:pt>
                <c:pt idx="949">
                  <c:v>41625</c:v>
                </c:pt>
                <c:pt idx="950">
                  <c:v>41626</c:v>
                </c:pt>
                <c:pt idx="951">
                  <c:v>41627</c:v>
                </c:pt>
                <c:pt idx="952">
                  <c:v>41628</c:v>
                </c:pt>
                <c:pt idx="953">
                  <c:v>41631</c:v>
                </c:pt>
                <c:pt idx="954">
                  <c:v>41632</c:v>
                </c:pt>
                <c:pt idx="955">
                  <c:v>41634</c:v>
                </c:pt>
                <c:pt idx="956">
                  <c:v>41635</c:v>
                </c:pt>
                <c:pt idx="957">
                  <c:v>41638</c:v>
                </c:pt>
                <c:pt idx="958">
                  <c:v>41639</c:v>
                </c:pt>
                <c:pt idx="959">
                  <c:v>41641</c:v>
                </c:pt>
                <c:pt idx="960">
                  <c:v>41642</c:v>
                </c:pt>
                <c:pt idx="961">
                  <c:v>41645</c:v>
                </c:pt>
                <c:pt idx="962">
                  <c:v>41646</c:v>
                </c:pt>
                <c:pt idx="963">
                  <c:v>41647</c:v>
                </c:pt>
                <c:pt idx="964">
                  <c:v>41648</c:v>
                </c:pt>
                <c:pt idx="965">
                  <c:v>41649</c:v>
                </c:pt>
                <c:pt idx="966">
                  <c:v>41652</c:v>
                </c:pt>
                <c:pt idx="967">
                  <c:v>41653</c:v>
                </c:pt>
                <c:pt idx="968">
                  <c:v>41654</c:v>
                </c:pt>
                <c:pt idx="969">
                  <c:v>41655</c:v>
                </c:pt>
                <c:pt idx="970">
                  <c:v>41656</c:v>
                </c:pt>
                <c:pt idx="971">
                  <c:v>41660</c:v>
                </c:pt>
                <c:pt idx="972">
                  <c:v>41661</c:v>
                </c:pt>
                <c:pt idx="973">
                  <c:v>41662</c:v>
                </c:pt>
                <c:pt idx="974">
                  <c:v>41663</c:v>
                </c:pt>
                <c:pt idx="975">
                  <c:v>41666</c:v>
                </c:pt>
                <c:pt idx="976">
                  <c:v>41667</c:v>
                </c:pt>
                <c:pt idx="977">
                  <c:v>41668</c:v>
                </c:pt>
                <c:pt idx="978">
                  <c:v>41669</c:v>
                </c:pt>
                <c:pt idx="979">
                  <c:v>41670</c:v>
                </c:pt>
                <c:pt idx="980">
                  <c:v>41673</c:v>
                </c:pt>
                <c:pt idx="981">
                  <c:v>41674</c:v>
                </c:pt>
                <c:pt idx="982">
                  <c:v>41675</c:v>
                </c:pt>
                <c:pt idx="983">
                  <c:v>41676</c:v>
                </c:pt>
                <c:pt idx="984">
                  <c:v>41677</c:v>
                </c:pt>
                <c:pt idx="985">
                  <c:v>41680</c:v>
                </c:pt>
                <c:pt idx="986">
                  <c:v>41681</c:v>
                </c:pt>
                <c:pt idx="987">
                  <c:v>41682</c:v>
                </c:pt>
                <c:pt idx="988">
                  <c:v>41683</c:v>
                </c:pt>
                <c:pt idx="989">
                  <c:v>41684</c:v>
                </c:pt>
                <c:pt idx="990">
                  <c:v>41688</c:v>
                </c:pt>
                <c:pt idx="991">
                  <c:v>41689</c:v>
                </c:pt>
                <c:pt idx="992">
                  <c:v>41690</c:v>
                </c:pt>
                <c:pt idx="993">
                  <c:v>41691</c:v>
                </c:pt>
                <c:pt idx="994">
                  <c:v>41694</c:v>
                </c:pt>
                <c:pt idx="995">
                  <c:v>41695</c:v>
                </c:pt>
                <c:pt idx="996">
                  <c:v>41696</c:v>
                </c:pt>
                <c:pt idx="997">
                  <c:v>41697</c:v>
                </c:pt>
                <c:pt idx="998">
                  <c:v>41698</c:v>
                </c:pt>
                <c:pt idx="999">
                  <c:v>41701</c:v>
                </c:pt>
                <c:pt idx="1000">
                  <c:v>41702</c:v>
                </c:pt>
                <c:pt idx="1001">
                  <c:v>41703</c:v>
                </c:pt>
                <c:pt idx="1002">
                  <c:v>41704</c:v>
                </c:pt>
                <c:pt idx="1003">
                  <c:v>41705</c:v>
                </c:pt>
                <c:pt idx="1004">
                  <c:v>41708</c:v>
                </c:pt>
                <c:pt idx="1005">
                  <c:v>41709</c:v>
                </c:pt>
                <c:pt idx="1006">
                  <c:v>41710</c:v>
                </c:pt>
                <c:pt idx="1007">
                  <c:v>41711</c:v>
                </c:pt>
                <c:pt idx="1008">
                  <c:v>41712</c:v>
                </c:pt>
                <c:pt idx="1009">
                  <c:v>41715</c:v>
                </c:pt>
                <c:pt idx="1010">
                  <c:v>41716</c:v>
                </c:pt>
                <c:pt idx="1011">
                  <c:v>41717</c:v>
                </c:pt>
                <c:pt idx="1012">
                  <c:v>41718</c:v>
                </c:pt>
                <c:pt idx="1013">
                  <c:v>41719</c:v>
                </c:pt>
                <c:pt idx="1014">
                  <c:v>41722</c:v>
                </c:pt>
                <c:pt idx="1015">
                  <c:v>41723</c:v>
                </c:pt>
                <c:pt idx="1016">
                  <c:v>41724</c:v>
                </c:pt>
                <c:pt idx="1017">
                  <c:v>41725</c:v>
                </c:pt>
                <c:pt idx="1018">
                  <c:v>41726</c:v>
                </c:pt>
                <c:pt idx="1019">
                  <c:v>41729</c:v>
                </c:pt>
                <c:pt idx="1020">
                  <c:v>41730</c:v>
                </c:pt>
                <c:pt idx="1021">
                  <c:v>41731</c:v>
                </c:pt>
                <c:pt idx="1022">
                  <c:v>41732</c:v>
                </c:pt>
                <c:pt idx="1023">
                  <c:v>41733</c:v>
                </c:pt>
                <c:pt idx="1024">
                  <c:v>41736</c:v>
                </c:pt>
                <c:pt idx="1025">
                  <c:v>41737</c:v>
                </c:pt>
                <c:pt idx="1026">
                  <c:v>41738</c:v>
                </c:pt>
                <c:pt idx="1027">
                  <c:v>41739</c:v>
                </c:pt>
                <c:pt idx="1028">
                  <c:v>41740</c:v>
                </c:pt>
                <c:pt idx="1029">
                  <c:v>41743</c:v>
                </c:pt>
                <c:pt idx="1030">
                  <c:v>41744</c:v>
                </c:pt>
                <c:pt idx="1031">
                  <c:v>41745</c:v>
                </c:pt>
                <c:pt idx="1032">
                  <c:v>41746</c:v>
                </c:pt>
                <c:pt idx="1033">
                  <c:v>41750</c:v>
                </c:pt>
                <c:pt idx="1034">
                  <c:v>41751</c:v>
                </c:pt>
                <c:pt idx="1035">
                  <c:v>41752</c:v>
                </c:pt>
                <c:pt idx="1036">
                  <c:v>41753</c:v>
                </c:pt>
                <c:pt idx="1037">
                  <c:v>41754</c:v>
                </c:pt>
                <c:pt idx="1038">
                  <c:v>41757</c:v>
                </c:pt>
                <c:pt idx="1039">
                  <c:v>41758</c:v>
                </c:pt>
                <c:pt idx="1040">
                  <c:v>41759</c:v>
                </c:pt>
                <c:pt idx="1041">
                  <c:v>41760</c:v>
                </c:pt>
                <c:pt idx="1042">
                  <c:v>41761</c:v>
                </c:pt>
                <c:pt idx="1043">
                  <c:v>41764</c:v>
                </c:pt>
                <c:pt idx="1044">
                  <c:v>41765</c:v>
                </c:pt>
                <c:pt idx="1045">
                  <c:v>41766</c:v>
                </c:pt>
                <c:pt idx="1046">
                  <c:v>41767</c:v>
                </c:pt>
                <c:pt idx="1047">
                  <c:v>41768</c:v>
                </c:pt>
                <c:pt idx="1048">
                  <c:v>41771</c:v>
                </c:pt>
                <c:pt idx="1049">
                  <c:v>41772</c:v>
                </c:pt>
                <c:pt idx="1050">
                  <c:v>41773</c:v>
                </c:pt>
                <c:pt idx="1051">
                  <c:v>41774</c:v>
                </c:pt>
                <c:pt idx="1052">
                  <c:v>41775</c:v>
                </c:pt>
                <c:pt idx="1053">
                  <c:v>41778</c:v>
                </c:pt>
                <c:pt idx="1054">
                  <c:v>41779</c:v>
                </c:pt>
                <c:pt idx="1055">
                  <c:v>41780</c:v>
                </c:pt>
                <c:pt idx="1056">
                  <c:v>41781</c:v>
                </c:pt>
                <c:pt idx="1057">
                  <c:v>41782</c:v>
                </c:pt>
                <c:pt idx="1058">
                  <c:v>41786</c:v>
                </c:pt>
                <c:pt idx="1059">
                  <c:v>41787</c:v>
                </c:pt>
                <c:pt idx="1060">
                  <c:v>41788</c:v>
                </c:pt>
                <c:pt idx="1061">
                  <c:v>41789</c:v>
                </c:pt>
                <c:pt idx="1062">
                  <c:v>41792</c:v>
                </c:pt>
                <c:pt idx="1063">
                  <c:v>41793</c:v>
                </c:pt>
                <c:pt idx="1064">
                  <c:v>41794</c:v>
                </c:pt>
                <c:pt idx="1065">
                  <c:v>41795</c:v>
                </c:pt>
                <c:pt idx="1066">
                  <c:v>41796</c:v>
                </c:pt>
                <c:pt idx="1067">
                  <c:v>41799</c:v>
                </c:pt>
                <c:pt idx="1068">
                  <c:v>41800</c:v>
                </c:pt>
                <c:pt idx="1069">
                  <c:v>41801</c:v>
                </c:pt>
                <c:pt idx="1070">
                  <c:v>41802</c:v>
                </c:pt>
                <c:pt idx="1071">
                  <c:v>41803</c:v>
                </c:pt>
                <c:pt idx="1072">
                  <c:v>41806</c:v>
                </c:pt>
                <c:pt idx="1073">
                  <c:v>41807</c:v>
                </c:pt>
                <c:pt idx="1074">
                  <c:v>41808</c:v>
                </c:pt>
                <c:pt idx="1075">
                  <c:v>41809</c:v>
                </c:pt>
                <c:pt idx="1076">
                  <c:v>41810</c:v>
                </c:pt>
                <c:pt idx="1077">
                  <c:v>41813</c:v>
                </c:pt>
                <c:pt idx="1078">
                  <c:v>41814</c:v>
                </c:pt>
                <c:pt idx="1079">
                  <c:v>41815</c:v>
                </c:pt>
                <c:pt idx="1080">
                  <c:v>41816</c:v>
                </c:pt>
                <c:pt idx="1081">
                  <c:v>41817</c:v>
                </c:pt>
                <c:pt idx="1082">
                  <c:v>41820</c:v>
                </c:pt>
                <c:pt idx="1083">
                  <c:v>41821</c:v>
                </c:pt>
                <c:pt idx="1084">
                  <c:v>41822</c:v>
                </c:pt>
                <c:pt idx="1085">
                  <c:v>41823</c:v>
                </c:pt>
                <c:pt idx="1086">
                  <c:v>41827</c:v>
                </c:pt>
                <c:pt idx="1087">
                  <c:v>41828</c:v>
                </c:pt>
                <c:pt idx="1088">
                  <c:v>41829</c:v>
                </c:pt>
                <c:pt idx="1089">
                  <c:v>41830</c:v>
                </c:pt>
                <c:pt idx="1090">
                  <c:v>41831</c:v>
                </c:pt>
                <c:pt idx="1091">
                  <c:v>41834</c:v>
                </c:pt>
                <c:pt idx="1092">
                  <c:v>41835</c:v>
                </c:pt>
                <c:pt idx="1093">
                  <c:v>41836</c:v>
                </c:pt>
                <c:pt idx="1094">
                  <c:v>41837</c:v>
                </c:pt>
                <c:pt idx="1095">
                  <c:v>41838</c:v>
                </c:pt>
                <c:pt idx="1096">
                  <c:v>41841</c:v>
                </c:pt>
                <c:pt idx="1097">
                  <c:v>41842</c:v>
                </c:pt>
                <c:pt idx="1098">
                  <c:v>41843</c:v>
                </c:pt>
                <c:pt idx="1099">
                  <c:v>41844</c:v>
                </c:pt>
                <c:pt idx="1100">
                  <c:v>41845</c:v>
                </c:pt>
                <c:pt idx="1101">
                  <c:v>41848</c:v>
                </c:pt>
                <c:pt idx="1102">
                  <c:v>41849</c:v>
                </c:pt>
                <c:pt idx="1103">
                  <c:v>41850</c:v>
                </c:pt>
                <c:pt idx="1104">
                  <c:v>41851</c:v>
                </c:pt>
                <c:pt idx="1105">
                  <c:v>41852</c:v>
                </c:pt>
                <c:pt idx="1106">
                  <c:v>41855</c:v>
                </c:pt>
                <c:pt idx="1107">
                  <c:v>41856</c:v>
                </c:pt>
                <c:pt idx="1108">
                  <c:v>41857</c:v>
                </c:pt>
                <c:pt idx="1109">
                  <c:v>41858</c:v>
                </c:pt>
                <c:pt idx="1110">
                  <c:v>41859</c:v>
                </c:pt>
                <c:pt idx="1111">
                  <c:v>41862</c:v>
                </c:pt>
                <c:pt idx="1112">
                  <c:v>41863</c:v>
                </c:pt>
                <c:pt idx="1113">
                  <c:v>41864</c:v>
                </c:pt>
                <c:pt idx="1114">
                  <c:v>41865</c:v>
                </c:pt>
                <c:pt idx="1115">
                  <c:v>41866</c:v>
                </c:pt>
                <c:pt idx="1116">
                  <c:v>41869</c:v>
                </c:pt>
                <c:pt idx="1117">
                  <c:v>41870</c:v>
                </c:pt>
                <c:pt idx="1118">
                  <c:v>41871</c:v>
                </c:pt>
                <c:pt idx="1119">
                  <c:v>41872</c:v>
                </c:pt>
                <c:pt idx="1120">
                  <c:v>41873</c:v>
                </c:pt>
                <c:pt idx="1121">
                  <c:v>41876</c:v>
                </c:pt>
                <c:pt idx="1122">
                  <c:v>41877</c:v>
                </c:pt>
                <c:pt idx="1123">
                  <c:v>41878</c:v>
                </c:pt>
                <c:pt idx="1124">
                  <c:v>41879</c:v>
                </c:pt>
                <c:pt idx="1125">
                  <c:v>41880</c:v>
                </c:pt>
                <c:pt idx="1126">
                  <c:v>41884</c:v>
                </c:pt>
                <c:pt idx="1127">
                  <c:v>41885</c:v>
                </c:pt>
                <c:pt idx="1128">
                  <c:v>41886</c:v>
                </c:pt>
                <c:pt idx="1129">
                  <c:v>41887</c:v>
                </c:pt>
                <c:pt idx="1130">
                  <c:v>41890</c:v>
                </c:pt>
                <c:pt idx="1131">
                  <c:v>41891</c:v>
                </c:pt>
                <c:pt idx="1132">
                  <c:v>41892</c:v>
                </c:pt>
                <c:pt idx="1133">
                  <c:v>41893</c:v>
                </c:pt>
                <c:pt idx="1134">
                  <c:v>41894</c:v>
                </c:pt>
                <c:pt idx="1135">
                  <c:v>41897</c:v>
                </c:pt>
                <c:pt idx="1136">
                  <c:v>41898</c:v>
                </c:pt>
                <c:pt idx="1137">
                  <c:v>41899</c:v>
                </c:pt>
                <c:pt idx="1138">
                  <c:v>41900</c:v>
                </c:pt>
                <c:pt idx="1139">
                  <c:v>41901</c:v>
                </c:pt>
                <c:pt idx="1140">
                  <c:v>41904</c:v>
                </c:pt>
                <c:pt idx="1141">
                  <c:v>41905</c:v>
                </c:pt>
                <c:pt idx="1142">
                  <c:v>41906</c:v>
                </c:pt>
                <c:pt idx="1143">
                  <c:v>41907</c:v>
                </c:pt>
                <c:pt idx="1144">
                  <c:v>41908</c:v>
                </c:pt>
                <c:pt idx="1145">
                  <c:v>41911</c:v>
                </c:pt>
                <c:pt idx="1146">
                  <c:v>41912</c:v>
                </c:pt>
                <c:pt idx="1147">
                  <c:v>41913</c:v>
                </c:pt>
                <c:pt idx="1148">
                  <c:v>41914</c:v>
                </c:pt>
                <c:pt idx="1149">
                  <c:v>41915</c:v>
                </c:pt>
                <c:pt idx="1150">
                  <c:v>41918</c:v>
                </c:pt>
                <c:pt idx="1151">
                  <c:v>41919</c:v>
                </c:pt>
                <c:pt idx="1152">
                  <c:v>41920</c:v>
                </c:pt>
                <c:pt idx="1153">
                  <c:v>41921</c:v>
                </c:pt>
                <c:pt idx="1154">
                  <c:v>41922</c:v>
                </c:pt>
                <c:pt idx="1155">
                  <c:v>41925</c:v>
                </c:pt>
                <c:pt idx="1156">
                  <c:v>41926</c:v>
                </c:pt>
                <c:pt idx="1157">
                  <c:v>41927</c:v>
                </c:pt>
                <c:pt idx="1158">
                  <c:v>41928</c:v>
                </c:pt>
                <c:pt idx="1159">
                  <c:v>41929</c:v>
                </c:pt>
                <c:pt idx="1160">
                  <c:v>41932</c:v>
                </c:pt>
                <c:pt idx="1161">
                  <c:v>41933</c:v>
                </c:pt>
                <c:pt idx="1162">
                  <c:v>41934</c:v>
                </c:pt>
                <c:pt idx="1163">
                  <c:v>41935</c:v>
                </c:pt>
                <c:pt idx="1164">
                  <c:v>41936</c:v>
                </c:pt>
                <c:pt idx="1165">
                  <c:v>41939</c:v>
                </c:pt>
                <c:pt idx="1166">
                  <c:v>41940</c:v>
                </c:pt>
                <c:pt idx="1167">
                  <c:v>41941</c:v>
                </c:pt>
                <c:pt idx="1168">
                  <c:v>41942</c:v>
                </c:pt>
                <c:pt idx="1169">
                  <c:v>41943</c:v>
                </c:pt>
                <c:pt idx="1170">
                  <c:v>41946</c:v>
                </c:pt>
                <c:pt idx="1171">
                  <c:v>41947</c:v>
                </c:pt>
                <c:pt idx="1172">
                  <c:v>41948</c:v>
                </c:pt>
                <c:pt idx="1173">
                  <c:v>41949</c:v>
                </c:pt>
                <c:pt idx="1174">
                  <c:v>41950</c:v>
                </c:pt>
                <c:pt idx="1175">
                  <c:v>41953</c:v>
                </c:pt>
                <c:pt idx="1176">
                  <c:v>41954</c:v>
                </c:pt>
                <c:pt idx="1177">
                  <c:v>41955</c:v>
                </c:pt>
                <c:pt idx="1178">
                  <c:v>41956</c:v>
                </c:pt>
                <c:pt idx="1179">
                  <c:v>41957</c:v>
                </c:pt>
                <c:pt idx="1180">
                  <c:v>41960</c:v>
                </c:pt>
                <c:pt idx="1181">
                  <c:v>41961</c:v>
                </c:pt>
                <c:pt idx="1182">
                  <c:v>41962</c:v>
                </c:pt>
                <c:pt idx="1183">
                  <c:v>41963</c:v>
                </c:pt>
                <c:pt idx="1184">
                  <c:v>41964</c:v>
                </c:pt>
                <c:pt idx="1185">
                  <c:v>41967</c:v>
                </c:pt>
                <c:pt idx="1186">
                  <c:v>41968</c:v>
                </c:pt>
                <c:pt idx="1187">
                  <c:v>41969</c:v>
                </c:pt>
                <c:pt idx="1188">
                  <c:v>41971</c:v>
                </c:pt>
                <c:pt idx="1189">
                  <c:v>41974</c:v>
                </c:pt>
                <c:pt idx="1190">
                  <c:v>41975</c:v>
                </c:pt>
                <c:pt idx="1191">
                  <c:v>41976</c:v>
                </c:pt>
                <c:pt idx="1192">
                  <c:v>41977</c:v>
                </c:pt>
                <c:pt idx="1193">
                  <c:v>41978</c:v>
                </c:pt>
                <c:pt idx="1194">
                  <c:v>41981</c:v>
                </c:pt>
                <c:pt idx="1195">
                  <c:v>41982</c:v>
                </c:pt>
                <c:pt idx="1196">
                  <c:v>41983</c:v>
                </c:pt>
                <c:pt idx="1197">
                  <c:v>41984</c:v>
                </c:pt>
                <c:pt idx="1198">
                  <c:v>41985</c:v>
                </c:pt>
                <c:pt idx="1199">
                  <c:v>41988</c:v>
                </c:pt>
                <c:pt idx="1200">
                  <c:v>41989</c:v>
                </c:pt>
                <c:pt idx="1201">
                  <c:v>41990</c:v>
                </c:pt>
                <c:pt idx="1202">
                  <c:v>41991</c:v>
                </c:pt>
                <c:pt idx="1203">
                  <c:v>41992</c:v>
                </c:pt>
                <c:pt idx="1204">
                  <c:v>41995</c:v>
                </c:pt>
                <c:pt idx="1205">
                  <c:v>41996</c:v>
                </c:pt>
                <c:pt idx="1206">
                  <c:v>41997</c:v>
                </c:pt>
                <c:pt idx="1207">
                  <c:v>41999</c:v>
                </c:pt>
                <c:pt idx="1208">
                  <c:v>42002</c:v>
                </c:pt>
                <c:pt idx="1209">
                  <c:v>42003</c:v>
                </c:pt>
                <c:pt idx="1210">
                  <c:v>42004</c:v>
                </c:pt>
                <c:pt idx="1211">
                  <c:v>42006</c:v>
                </c:pt>
                <c:pt idx="1212">
                  <c:v>42009</c:v>
                </c:pt>
                <c:pt idx="1213">
                  <c:v>42010</c:v>
                </c:pt>
                <c:pt idx="1214">
                  <c:v>42011</c:v>
                </c:pt>
                <c:pt idx="1215">
                  <c:v>42012</c:v>
                </c:pt>
                <c:pt idx="1216">
                  <c:v>42013</c:v>
                </c:pt>
                <c:pt idx="1217">
                  <c:v>42016</c:v>
                </c:pt>
                <c:pt idx="1218">
                  <c:v>42017</c:v>
                </c:pt>
                <c:pt idx="1219">
                  <c:v>42018</c:v>
                </c:pt>
                <c:pt idx="1220">
                  <c:v>42019</c:v>
                </c:pt>
                <c:pt idx="1221">
                  <c:v>42020</c:v>
                </c:pt>
                <c:pt idx="1222">
                  <c:v>42024</c:v>
                </c:pt>
                <c:pt idx="1223">
                  <c:v>42025</c:v>
                </c:pt>
                <c:pt idx="1224">
                  <c:v>42026</c:v>
                </c:pt>
                <c:pt idx="1225">
                  <c:v>42027</c:v>
                </c:pt>
                <c:pt idx="1226">
                  <c:v>42030</c:v>
                </c:pt>
                <c:pt idx="1227">
                  <c:v>42031</c:v>
                </c:pt>
                <c:pt idx="1228">
                  <c:v>42032</c:v>
                </c:pt>
                <c:pt idx="1229">
                  <c:v>42033</c:v>
                </c:pt>
                <c:pt idx="1230">
                  <c:v>42034</c:v>
                </c:pt>
                <c:pt idx="1231">
                  <c:v>42037</c:v>
                </c:pt>
                <c:pt idx="1232">
                  <c:v>42038</c:v>
                </c:pt>
                <c:pt idx="1233">
                  <c:v>42039</c:v>
                </c:pt>
                <c:pt idx="1234">
                  <c:v>42040</c:v>
                </c:pt>
                <c:pt idx="1235">
                  <c:v>42041</c:v>
                </c:pt>
                <c:pt idx="1236">
                  <c:v>42044</c:v>
                </c:pt>
                <c:pt idx="1237">
                  <c:v>42045</c:v>
                </c:pt>
                <c:pt idx="1238">
                  <c:v>42046</c:v>
                </c:pt>
                <c:pt idx="1239">
                  <c:v>42047</c:v>
                </c:pt>
                <c:pt idx="1240">
                  <c:v>42048</c:v>
                </c:pt>
                <c:pt idx="1241">
                  <c:v>42052</c:v>
                </c:pt>
                <c:pt idx="1242">
                  <c:v>42053</c:v>
                </c:pt>
                <c:pt idx="1243">
                  <c:v>42054</c:v>
                </c:pt>
                <c:pt idx="1244">
                  <c:v>42055</c:v>
                </c:pt>
                <c:pt idx="1245">
                  <c:v>42058</c:v>
                </c:pt>
                <c:pt idx="1246">
                  <c:v>42059</c:v>
                </c:pt>
                <c:pt idx="1247">
                  <c:v>42060</c:v>
                </c:pt>
                <c:pt idx="1248">
                  <c:v>42061</c:v>
                </c:pt>
                <c:pt idx="1249">
                  <c:v>42062</c:v>
                </c:pt>
                <c:pt idx="1250">
                  <c:v>42065</c:v>
                </c:pt>
                <c:pt idx="1251">
                  <c:v>42066</c:v>
                </c:pt>
                <c:pt idx="1252">
                  <c:v>42067</c:v>
                </c:pt>
                <c:pt idx="1253">
                  <c:v>42068</c:v>
                </c:pt>
                <c:pt idx="1254">
                  <c:v>42069</c:v>
                </c:pt>
                <c:pt idx="1255">
                  <c:v>42072</c:v>
                </c:pt>
                <c:pt idx="1256">
                  <c:v>42073</c:v>
                </c:pt>
                <c:pt idx="1257">
                  <c:v>42074</c:v>
                </c:pt>
                <c:pt idx="1258">
                  <c:v>42075</c:v>
                </c:pt>
                <c:pt idx="1259">
                  <c:v>42076</c:v>
                </c:pt>
                <c:pt idx="1260">
                  <c:v>42079</c:v>
                </c:pt>
                <c:pt idx="1261">
                  <c:v>42080</c:v>
                </c:pt>
                <c:pt idx="1262">
                  <c:v>42081</c:v>
                </c:pt>
                <c:pt idx="1263">
                  <c:v>42082</c:v>
                </c:pt>
                <c:pt idx="1264">
                  <c:v>42083</c:v>
                </c:pt>
                <c:pt idx="1265">
                  <c:v>42086</c:v>
                </c:pt>
                <c:pt idx="1266">
                  <c:v>42087</c:v>
                </c:pt>
                <c:pt idx="1267">
                  <c:v>42088</c:v>
                </c:pt>
                <c:pt idx="1268">
                  <c:v>42089</c:v>
                </c:pt>
                <c:pt idx="1269">
                  <c:v>42090</c:v>
                </c:pt>
                <c:pt idx="1270">
                  <c:v>42093</c:v>
                </c:pt>
                <c:pt idx="1271">
                  <c:v>42094</c:v>
                </c:pt>
                <c:pt idx="1272">
                  <c:v>42095</c:v>
                </c:pt>
                <c:pt idx="1273">
                  <c:v>42096</c:v>
                </c:pt>
                <c:pt idx="1274">
                  <c:v>42100</c:v>
                </c:pt>
                <c:pt idx="1275">
                  <c:v>42101</c:v>
                </c:pt>
                <c:pt idx="1276">
                  <c:v>42102</c:v>
                </c:pt>
                <c:pt idx="1277">
                  <c:v>42103</c:v>
                </c:pt>
                <c:pt idx="1278">
                  <c:v>42104</c:v>
                </c:pt>
                <c:pt idx="1279">
                  <c:v>42107</c:v>
                </c:pt>
                <c:pt idx="1280">
                  <c:v>42108</c:v>
                </c:pt>
                <c:pt idx="1281">
                  <c:v>42109</c:v>
                </c:pt>
                <c:pt idx="1282">
                  <c:v>42110</c:v>
                </c:pt>
                <c:pt idx="1283">
                  <c:v>42111</c:v>
                </c:pt>
                <c:pt idx="1284">
                  <c:v>42114</c:v>
                </c:pt>
                <c:pt idx="1285">
                  <c:v>42115</c:v>
                </c:pt>
                <c:pt idx="1286">
                  <c:v>42116</c:v>
                </c:pt>
                <c:pt idx="1287">
                  <c:v>42117</c:v>
                </c:pt>
                <c:pt idx="1288">
                  <c:v>42118</c:v>
                </c:pt>
                <c:pt idx="1289">
                  <c:v>42121</c:v>
                </c:pt>
                <c:pt idx="1290">
                  <c:v>42122</c:v>
                </c:pt>
                <c:pt idx="1291">
                  <c:v>42123</c:v>
                </c:pt>
                <c:pt idx="1292">
                  <c:v>42124</c:v>
                </c:pt>
                <c:pt idx="1293">
                  <c:v>42125</c:v>
                </c:pt>
                <c:pt idx="1294">
                  <c:v>42128</c:v>
                </c:pt>
                <c:pt idx="1295">
                  <c:v>42129</c:v>
                </c:pt>
                <c:pt idx="1296">
                  <c:v>42130</c:v>
                </c:pt>
                <c:pt idx="1297">
                  <c:v>42131</c:v>
                </c:pt>
                <c:pt idx="1298">
                  <c:v>42132</c:v>
                </c:pt>
                <c:pt idx="1299">
                  <c:v>42135</c:v>
                </c:pt>
                <c:pt idx="1300">
                  <c:v>42136</c:v>
                </c:pt>
                <c:pt idx="1301">
                  <c:v>42137</c:v>
                </c:pt>
                <c:pt idx="1302">
                  <c:v>42138</c:v>
                </c:pt>
                <c:pt idx="1303">
                  <c:v>42139</c:v>
                </c:pt>
                <c:pt idx="1304">
                  <c:v>42142</c:v>
                </c:pt>
                <c:pt idx="1305">
                  <c:v>42143</c:v>
                </c:pt>
                <c:pt idx="1306">
                  <c:v>42144</c:v>
                </c:pt>
                <c:pt idx="1307">
                  <c:v>42145</c:v>
                </c:pt>
                <c:pt idx="1308">
                  <c:v>42146</c:v>
                </c:pt>
                <c:pt idx="1309">
                  <c:v>42150</c:v>
                </c:pt>
                <c:pt idx="1310">
                  <c:v>42151</c:v>
                </c:pt>
                <c:pt idx="1311">
                  <c:v>42152</c:v>
                </c:pt>
                <c:pt idx="1312">
                  <c:v>42153</c:v>
                </c:pt>
                <c:pt idx="1313">
                  <c:v>42156</c:v>
                </c:pt>
                <c:pt idx="1314">
                  <c:v>42157</c:v>
                </c:pt>
                <c:pt idx="1315">
                  <c:v>42158</c:v>
                </c:pt>
                <c:pt idx="1316">
                  <c:v>42159</c:v>
                </c:pt>
                <c:pt idx="1317">
                  <c:v>42160</c:v>
                </c:pt>
                <c:pt idx="1318">
                  <c:v>42163</c:v>
                </c:pt>
                <c:pt idx="1319">
                  <c:v>42164</c:v>
                </c:pt>
                <c:pt idx="1320">
                  <c:v>42165</c:v>
                </c:pt>
                <c:pt idx="1321">
                  <c:v>42166</c:v>
                </c:pt>
                <c:pt idx="1322">
                  <c:v>42167</c:v>
                </c:pt>
                <c:pt idx="1323">
                  <c:v>42170</c:v>
                </c:pt>
                <c:pt idx="1324">
                  <c:v>42171</c:v>
                </c:pt>
                <c:pt idx="1325">
                  <c:v>42172</c:v>
                </c:pt>
                <c:pt idx="1326">
                  <c:v>42173</c:v>
                </c:pt>
                <c:pt idx="1327">
                  <c:v>42174</c:v>
                </c:pt>
                <c:pt idx="1328">
                  <c:v>42177</c:v>
                </c:pt>
                <c:pt idx="1329">
                  <c:v>42178</c:v>
                </c:pt>
                <c:pt idx="1330">
                  <c:v>42179</c:v>
                </c:pt>
                <c:pt idx="1331">
                  <c:v>42180</c:v>
                </c:pt>
                <c:pt idx="1332">
                  <c:v>42181</c:v>
                </c:pt>
                <c:pt idx="1333">
                  <c:v>42184</c:v>
                </c:pt>
                <c:pt idx="1334">
                  <c:v>42185</c:v>
                </c:pt>
                <c:pt idx="1335">
                  <c:v>42186</c:v>
                </c:pt>
                <c:pt idx="1336">
                  <c:v>42187</c:v>
                </c:pt>
                <c:pt idx="1337">
                  <c:v>42191</c:v>
                </c:pt>
                <c:pt idx="1338">
                  <c:v>42192</c:v>
                </c:pt>
                <c:pt idx="1339">
                  <c:v>42193</c:v>
                </c:pt>
                <c:pt idx="1340">
                  <c:v>42194</c:v>
                </c:pt>
                <c:pt idx="1341">
                  <c:v>42195</c:v>
                </c:pt>
                <c:pt idx="1342">
                  <c:v>42198</c:v>
                </c:pt>
                <c:pt idx="1343">
                  <c:v>42199</c:v>
                </c:pt>
                <c:pt idx="1344">
                  <c:v>42200</c:v>
                </c:pt>
                <c:pt idx="1345">
                  <c:v>42201</c:v>
                </c:pt>
                <c:pt idx="1346">
                  <c:v>42202</c:v>
                </c:pt>
                <c:pt idx="1347">
                  <c:v>42205</c:v>
                </c:pt>
                <c:pt idx="1348">
                  <c:v>42206</c:v>
                </c:pt>
                <c:pt idx="1349">
                  <c:v>42207</c:v>
                </c:pt>
                <c:pt idx="1350">
                  <c:v>42208</c:v>
                </c:pt>
                <c:pt idx="1351">
                  <c:v>42209</c:v>
                </c:pt>
                <c:pt idx="1352">
                  <c:v>42212</c:v>
                </c:pt>
                <c:pt idx="1353">
                  <c:v>42213</c:v>
                </c:pt>
                <c:pt idx="1354">
                  <c:v>42214</c:v>
                </c:pt>
                <c:pt idx="1355">
                  <c:v>42215</c:v>
                </c:pt>
                <c:pt idx="1356">
                  <c:v>42216</c:v>
                </c:pt>
                <c:pt idx="1357">
                  <c:v>42219</c:v>
                </c:pt>
                <c:pt idx="1358">
                  <c:v>42220</c:v>
                </c:pt>
                <c:pt idx="1359">
                  <c:v>42221</c:v>
                </c:pt>
                <c:pt idx="1360">
                  <c:v>42222</c:v>
                </c:pt>
                <c:pt idx="1361">
                  <c:v>42223</c:v>
                </c:pt>
                <c:pt idx="1362">
                  <c:v>42226</c:v>
                </c:pt>
                <c:pt idx="1363">
                  <c:v>42227</c:v>
                </c:pt>
                <c:pt idx="1364">
                  <c:v>42228</c:v>
                </c:pt>
                <c:pt idx="1365">
                  <c:v>42229</c:v>
                </c:pt>
                <c:pt idx="1366">
                  <c:v>42230</c:v>
                </c:pt>
                <c:pt idx="1367">
                  <c:v>42233</c:v>
                </c:pt>
                <c:pt idx="1368">
                  <c:v>42234</c:v>
                </c:pt>
                <c:pt idx="1369">
                  <c:v>42235</c:v>
                </c:pt>
                <c:pt idx="1370">
                  <c:v>42236</c:v>
                </c:pt>
                <c:pt idx="1371">
                  <c:v>42237</c:v>
                </c:pt>
                <c:pt idx="1372">
                  <c:v>42240</c:v>
                </c:pt>
                <c:pt idx="1373">
                  <c:v>42241</c:v>
                </c:pt>
                <c:pt idx="1374">
                  <c:v>42242</c:v>
                </c:pt>
                <c:pt idx="1375">
                  <c:v>42243</c:v>
                </c:pt>
                <c:pt idx="1376">
                  <c:v>42244</c:v>
                </c:pt>
                <c:pt idx="1377">
                  <c:v>42247</c:v>
                </c:pt>
                <c:pt idx="1378">
                  <c:v>42248</c:v>
                </c:pt>
                <c:pt idx="1379">
                  <c:v>42249</c:v>
                </c:pt>
                <c:pt idx="1380">
                  <c:v>42250</c:v>
                </c:pt>
                <c:pt idx="1381">
                  <c:v>42251</c:v>
                </c:pt>
                <c:pt idx="1382">
                  <c:v>42255</c:v>
                </c:pt>
                <c:pt idx="1383">
                  <c:v>42256</c:v>
                </c:pt>
                <c:pt idx="1384">
                  <c:v>42257</c:v>
                </c:pt>
                <c:pt idx="1385">
                  <c:v>42258</c:v>
                </c:pt>
                <c:pt idx="1386">
                  <c:v>42261</c:v>
                </c:pt>
                <c:pt idx="1387">
                  <c:v>42262</c:v>
                </c:pt>
                <c:pt idx="1388">
                  <c:v>42263</c:v>
                </c:pt>
                <c:pt idx="1389">
                  <c:v>42264</c:v>
                </c:pt>
                <c:pt idx="1390">
                  <c:v>42265</c:v>
                </c:pt>
                <c:pt idx="1391">
                  <c:v>42268</c:v>
                </c:pt>
                <c:pt idx="1392">
                  <c:v>42269</c:v>
                </c:pt>
                <c:pt idx="1393">
                  <c:v>42270</c:v>
                </c:pt>
                <c:pt idx="1394">
                  <c:v>42271</c:v>
                </c:pt>
                <c:pt idx="1395">
                  <c:v>42272</c:v>
                </c:pt>
                <c:pt idx="1396">
                  <c:v>42275</c:v>
                </c:pt>
                <c:pt idx="1397">
                  <c:v>42276</c:v>
                </c:pt>
                <c:pt idx="1398">
                  <c:v>42277</c:v>
                </c:pt>
                <c:pt idx="1399">
                  <c:v>42278</c:v>
                </c:pt>
                <c:pt idx="1400">
                  <c:v>42279</c:v>
                </c:pt>
                <c:pt idx="1401">
                  <c:v>42282</c:v>
                </c:pt>
                <c:pt idx="1402">
                  <c:v>42283</c:v>
                </c:pt>
                <c:pt idx="1403">
                  <c:v>42284</c:v>
                </c:pt>
                <c:pt idx="1404">
                  <c:v>42285</c:v>
                </c:pt>
                <c:pt idx="1405">
                  <c:v>42286</c:v>
                </c:pt>
                <c:pt idx="1406">
                  <c:v>42289</c:v>
                </c:pt>
                <c:pt idx="1407">
                  <c:v>42290</c:v>
                </c:pt>
                <c:pt idx="1408">
                  <c:v>42291</c:v>
                </c:pt>
                <c:pt idx="1409">
                  <c:v>42292</c:v>
                </c:pt>
                <c:pt idx="1410">
                  <c:v>42293</c:v>
                </c:pt>
                <c:pt idx="1411">
                  <c:v>42296</c:v>
                </c:pt>
                <c:pt idx="1412">
                  <c:v>42297</c:v>
                </c:pt>
                <c:pt idx="1413">
                  <c:v>42298</c:v>
                </c:pt>
                <c:pt idx="1414">
                  <c:v>42299</c:v>
                </c:pt>
                <c:pt idx="1415">
                  <c:v>42300</c:v>
                </c:pt>
                <c:pt idx="1416">
                  <c:v>42303</c:v>
                </c:pt>
                <c:pt idx="1417">
                  <c:v>42304</c:v>
                </c:pt>
                <c:pt idx="1418">
                  <c:v>42305</c:v>
                </c:pt>
                <c:pt idx="1419">
                  <c:v>42306</c:v>
                </c:pt>
                <c:pt idx="1420">
                  <c:v>42307</c:v>
                </c:pt>
                <c:pt idx="1421">
                  <c:v>42310</c:v>
                </c:pt>
                <c:pt idx="1422">
                  <c:v>42311</c:v>
                </c:pt>
                <c:pt idx="1423">
                  <c:v>42312</c:v>
                </c:pt>
                <c:pt idx="1424">
                  <c:v>42313</c:v>
                </c:pt>
                <c:pt idx="1425">
                  <c:v>42314</c:v>
                </c:pt>
                <c:pt idx="1426">
                  <c:v>42317</c:v>
                </c:pt>
                <c:pt idx="1427">
                  <c:v>42318</c:v>
                </c:pt>
                <c:pt idx="1428">
                  <c:v>42319</c:v>
                </c:pt>
                <c:pt idx="1429">
                  <c:v>42320</c:v>
                </c:pt>
                <c:pt idx="1430">
                  <c:v>42321</c:v>
                </c:pt>
                <c:pt idx="1431">
                  <c:v>42324</c:v>
                </c:pt>
                <c:pt idx="1432">
                  <c:v>42325</c:v>
                </c:pt>
                <c:pt idx="1433">
                  <c:v>42326</c:v>
                </c:pt>
                <c:pt idx="1434">
                  <c:v>42327</c:v>
                </c:pt>
                <c:pt idx="1435">
                  <c:v>42328</c:v>
                </c:pt>
                <c:pt idx="1436">
                  <c:v>42331</c:v>
                </c:pt>
                <c:pt idx="1437">
                  <c:v>42332</c:v>
                </c:pt>
                <c:pt idx="1438">
                  <c:v>42333</c:v>
                </c:pt>
                <c:pt idx="1439">
                  <c:v>42335</c:v>
                </c:pt>
                <c:pt idx="1440">
                  <c:v>42338</c:v>
                </c:pt>
                <c:pt idx="1441">
                  <c:v>42339</c:v>
                </c:pt>
                <c:pt idx="1442">
                  <c:v>42340</c:v>
                </c:pt>
                <c:pt idx="1443">
                  <c:v>42341</c:v>
                </c:pt>
                <c:pt idx="1444">
                  <c:v>42342</c:v>
                </c:pt>
                <c:pt idx="1445">
                  <c:v>42345</c:v>
                </c:pt>
                <c:pt idx="1446">
                  <c:v>42346</c:v>
                </c:pt>
                <c:pt idx="1447">
                  <c:v>42347</c:v>
                </c:pt>
                <c:pt idx="1448">
                  <c:v>42348</c:v>
                </c:pt>
                <c:pt idx="1449">
                  <c:v>42349</c:v>
                </c:pt>
                <c:pt idx="1450">
                  <c:v>42352</c:v>
                </c:pt>
                <c:pt idx="1451">
                  <c:v>42353</c:v>
                </c:pt>
                <c:pt idx="1452">
                  <c:v>42354</c:v>
                </c:pt>
                <c:pt idx="1453">
                  <c:v>42355</c:v>
                </c:pt>
                <c:pt idx="1454">
                  <c:v>42356</c:v>
                </c:pt>
                <c:pt idx="1455">
                  <c:v>42359</c:v>
                </c:pt>
                <c:pt idx="1456">
                  <c:v>42360</c:v>
                </c:pt>
                <c:pt idx="1457">
                  <c:v>42361</c:v>
                </c:pt>
                <c:pt idx="1458">
                  <c:v>42362</c:v>
                </c:pt>
                <c:pt idx="1459">
                  <c:v>42366</c:v>
                </c:pt>
                <c:pt idx="1460">
                  <c:v>42367</c:v>
                </c:pt>
                <c:pt idx="1461">
                  <c:v>42368</c:v>
                </c:pt>
                <c:pt idx="1462">
                  <c:v>42369</c:v>
                </c:pt>
                <c:pt idx="1463">
                  <c:v>42373</c:v>
                </c:pt>
                <c:pt idx="1464">
                  <c:v>42374</c:v>
                </c:pt>
                <c:pt idx="1465">
                  <c:v>42375</c:v>
                </c:pt>
                <c:pt idx="1466">
                  <c:v>42376</c:v>
                </c:pt>
                <c:pt idx="1467">
                  <c:v>42377</c:v>
                </c:pt>
                <c:pt idx="1468">
                  <c:v>42380</c:v>
                </c:pt>
                <c:pt idx="1469">
                  <c:v>42381</c:v>
                </c:pt>
                <c:pt idx="1470">
                  <c:v>42382</c:v>
                </c:pt>
                <c:pt idx="1471">
                  <c:v>42383</c:v>
                </c:pt>
                <c:pt idx="1472">
                  <c:v>42384</c:v>
                </c:pt>
                <c:pt idx="1473">
                  <c:v>42388</c:v>
                </c:pt>
                <c:pt idx="1474">
                  <c:v>42389</c:v>
                </c:pt>
                <c:pt idx="1475">
                  <c:v>42390</c:v>
                </c:pt>
                <c:pt idx="1476">
                  <c:v>42391</c:v>
                </c:pt>
                <c:pt idx="1477">
                  <c:v>42394</c:v>
                </c:pt>
                <c:pt idx="1478">
                  <c:v>42395</c:v>
                </c:pt>
                <c:pt idx="1479">
                  <c:v>42396</c:v>
                </c:pt>
                <c:pt idx="1480">
                  <c:v>42397</c:v>
                </c:pt>
                <c:pt idx="1481">
                  <c:v>42398</c:v>
                </c:pt>
                <c:pt idx="1482">
                  <c:v>42401</c:v>
                </c:pt>
                <c:pt idx="1483">
                  <c:v>42402</c:v>
                </c:pt>
                <c:pt idx="1484">
                  <c:v>42403</c:v>
                </c:pt>
                <c:pt idx="1485">
                  <c:v>42404</c:v>
                </c:pt>
                <c:pt idx="1486">
                  <c:v>42405</c:v>
                </c:pt>
                <c:pt idx="1487">
                  <c:v>42408</c:v>
                </c:pt>
                <c:pt idx="1488">
                  <c:v>42409</c:v>
                </c:pt>
                <c:pt idx="1489">
                  <c:v>42410</c:v>
                </c:pt>
                <c:pt idx="1490">
                  <c:v>42411</c:v>
                </c:pt>
                <c:pt idx="1491">
                  <c:v>42412</c:v>
                </c:pt>
                <c:pt idx="1492">
                  <c:v>42416</c:v>
                </c:pt>
                <c:pt idx="1493">
                  <c:v>42417</c:v>
                </c:pt>
                <c:pt idx="1494">
                  <c:v>42418</c:v>
                </c:pt>
                <c:pt idx="1495">
                  <c:v>42419</c:v>
                </c:pt>
                <c:pt idx="1496">
                  <c:v>42422</c:v>
                </c:pt>
                <c:pt idx="1497">
                  <c:v>42423</c:v>
                </c:pt>
                <c:pt idx="1498">
                  <c:v>42424</c:v>
                </c:pt>
                <c:pt idx="1499">
                  <c:v>42425</c:v>
                </c:pt>
                <c:pt idx="1500">
                  <c:v>42426</c:v>
                </c:pt>
                <c:pt idx="1501">
                  <c:v>42429</c:v>
                </c:pt>
                <c:pt idx="1502">
                  <c:v>42430</c:v>
                </c:pt>
                <c:pt idx="1503">
                  <c:v>42431</c:v>
                </c:pt>
                <c:pt idx="1504">
                  <c:v>42432</c:v>
                </c:pt>
                <c:pt idx="1505">
                  <c:v>42433</c:v>
                </c:pt>
                <c:pt idx="1506">
                  <c:v>42436</c:v>
                </c:pt>
                <c:pt idx="1507">
                  <c:v>42437</c:v>
                </c:pt>
                <c:pt idx="1508">
                  <c:v>42438</c:v>
                </c:pt>
                <c:pt idx="1509">
                  <c:v>42439</c:v>
                </c:pt>
                <c:pt idx="1510">
                  <c:v>42440</c:v>
                </c:pt>
                <c:pt idx="1511">
                  <c:v>42443</c:v>
                </c:pt>
                <c:pt idx="1512">
                  <c:v>42444</c:v>
                </c:pt>
                <c:pt idx="1513">
                  <c:v>42445</c:v>
                </c:pt>
                <c:pt idx="1514">
                  <c:v>42446</c:v>
                </c:pt>
                <c:pt idx="1515">
                  <c:v>42447</c:v>
                </c:pt>
                <c:pt idx="1516">
                  <c:v>42450</c:v>
                </c:pt>
                <c:pt idx="1517">
                  <c:v>42451</c:v>
                </c:pt>
                <c:pt idx="1518">
                  <c:v>42452</c:v>
                </c:pt>
                <c:pt idx="1519">
                  <c:v>42453</c:v>
                </c:pt>
                <c:pt idx="1520">
                  <c:v>42457</c:v>
                </c:pt>
                <c:pt idx="1521">
                  <c:v>42458</c:v>
                </c:pt>
                <c:pt idx="1522">
                  <c:v>42459</c:v>
                </c:pt>
                <c:pt idx="1523">
                  <c:v>42460</c:v>
                </c:pt>
                <c:pt idx="1524">
                  <c:v>42461</c:v>
                </c:pt>
                <c:pt idx="1525">
                  <c:v>42464</c:v>
                </c:pt>
                <c:pt idx="1526">
                  <c:v>42465</c:v>
                </c:pt>
                <c:pt idx="1527">
                  <c:v>42466</c:v>
                </c:pt>
                <c:pt idx="1528">
                  <c:v>42467</c:v>
                </c:pt>
                <c:pt idx="1529">
                  <c:v>42468</c:v>
                </c:pt>
                <c:pt idx="1530">
                  <c:v>42471</c:v>
                </c:pt>
                <c:pt idx="1531">
                  <c:v>42472</c:v>
                </c:pt>
                <c:pt idx="1532">
                  <c:v>42473</c:v>
                </c:pt>
                <c:pt idx="1533">
                  <c:v>42474</c:v>
                </c:pt>
                <c:pt idx="1534">
                  <c:v>42475</c:v>
                </c:pt>
                <c:pt idx="1535">
                  <c:v>42478</c:v>
                </c:pt>
                <c:pt idx="1536">
                  <c:v>42479</c:v>
                </c:pt>
                <c:pt idx="1537">
                  <c:v>42480</c:v>
                </c:pt>
                <c:pt idx="1538">
                  <c:v>42481</c:v>
                </c:pt>
                <c:pt idx="1539">
                  <c:v>42482</c:v>
                </c:pt>
                <c:pt idx="1540">
                  <c:v>42485</c:v>
                </c:pt>
                <c:pt idx="1541">
                  <c:v>42486</c:v>
                </c:pt>
                <c:pt idx="1542">
                  <c:v>42487</c:v>
                </c:pt>
                <c:pt idx="1543">
                  <c:v>42488</c:v>
                </c:pt>
                <c:pt idx="1544">
                  <c:v>42489</c:v>
                </c:pt>
                <c:pt idx="1545">
                  <c:v>42492</c:v>
                </c:pt>
                <c:pt idx="1546">
                  <c:v>42493</c:v>
                </c:pt>
                <c:pt idx="1547">
                  <c:v>42494</c:v>
                </c:pt>
                <c:pt idx="1548">
                  <c:v>42495</c:v>
                </c:pt>
                <c:pt idx="1549">
                  <c:v>42496</c:v>
                </c:pt>
                <c:pt idx="1550">
                  <c:v>42499</c:v>
                </c:pt>
                <c:pt idx="1551">
                  <c:v>42500</c:v>
                </c:pt>
                <c:pt idx="1552">
                  <c:v>42501</c:v>
                </c:pt>
                <c:pt idx="1553">
                  <c:v>42502</c:v>
                </c:pt>
                <c:pt idx="1554">
                  <c:v>42503</c:v>
                </c:pt>
                <c:pt idx="1555">
                  <c:v>42506</c:v>
                </c:pt>
                <c:pt idx="1556">
                  <c:v>42507</c:v>
                </c:pt>
                <c:pt idx="1557">
                  <c:v>42508</c:v>
                </c:pt>
                <c:pt idx="1558">
                  <c:v>42509</c:v>
                </c:pt>
                <c:pt idx="1559">
                  <c:v>42510</c:v>
                </c:pt>
                <c:pt idx="1560">
                  <c:v>42513</c:v>
                </c:pt>
                <c:pt idx="1561">
                  <c:v>42514</c:v>
                </c:pt>
                <c:pt idx="1562">
                  <c:v>42515</c:v>
                </c:pt>
                <c:pt idx="1563">
                  <c:v>42516</c:v>
                </c:pt>
                <c:pt idx="1564">
                  <c:v>42517</c:v>
                </c:pt>
                <c:pt idx="1565">
                  <c:v>42521</c:v>
                </c:pt>
                <c:pt idx="1566">
                  <c:v>42522</c:v>
                </c:pt>
                <c:pt idx="1567">
                  <c:v>42523</c:v>
                </c:pt>
                <c:pt idx="1568">
                  <c:v>42524</c:v>
                </c:pt>
                <c:pt idx="1569">
                  <c:v>42527</c:v>
                </c:pt>
                <c:pt idx="1570">
                  <c:v>42528</c:v>
                </c:pt>
                <c:pt idx="1571">
                  <c:v>42529</c:v>
                </c:pt>
                <c:pt idx="1572">
                  <c:v>42530</c:v>
                </c:pt>
                <c:pt idx="1573">
                  <c:v>42531</c:v>
                </c:pt>
                <c:pt idx="1574">
                  <c:v>42534</c:v>
                </c:pt>
                <c:pt idx="1575">
                  <c:v>42535</c:v>
                </c:pt>
                <c:pt idx="1576">
                  <c:v>42536</c:v>
                </c:pt>
                <c:pt idx="1577">
                  <c:v>42537</c:v>
                </c:pt>
                <c:pt idx="1578">
                  <c:v>42538</c:v>
                </c:pt>
                <c:pt idx="1579">
                  <c:v>42541</c:v>
                </c:pt>
                <c:pt idx="1580">
                  <c:v>42542</c:v>
                </c:pt>
                <c:pt idx="1581">
                  <c:v>42543</c:v>
                </c:pt>
                <c:pt idx="1582">
                  <c:v>42544</c:v>
                </c:pt>
                <c:pt idx="1583">
                  <c:v>42545</c:v>
                </c:pt>
                <c:pt idx="1584">
                  <c:v>42548</c:v>
                </c:pt>
                <c:pt idx="1585">
                  <c:v>42549</c:v>
                </c:pt>
                <c:pt idx="1586">
                  <c:v>42550</c:v>
                </c:pt>
                <c:pt idx="1587">
                  <c:v>42551</c:v>
                </c:pt>
                <c:pt idx="1588">
                  <c:v>42552</c:v>
                </c:pt>
                <c:pt idx="1589">
                  <c:v>42556</c:v>
                </c:pt>
                <c:pt idx="1590">
                  <c:v>42557</c:v>
                </c:pt>
                <c:pt idx="1591">
                  <c:v>42558</c:v>
                </c:pt>
                <c:pt idx="1592">
                  <c:v>42559</c:v>
                </c:pt>
                <c:pt idx="1593">
                  <c:v>42562</c:v>
                </c:pt>
                <c:pt idx="1594">
                  <c:v>42563</c:v>
                </c:pt>
                <c:pt idx="1595">
                  <c:v>42564</c:v>
                </c:pt>
                <c:pt idx="1596">
                  <c:v>42565</c:v>
                </c:pt>
                <c:pt idx="1597">
                  <c:v>42566</c:v>
                </c:pt>
                <c:pt idx="1598">
                  <c:v>42569</c:v>
                </c:pt>
                <c:pt idx="1599">
                  <c:v>42570</c:v>
                </c:pt>
                <c:pt idx="1600">
                  <c:v>42571</c:v>
                </c:pt>
                <c:pt idx="1601">
                  <c:v>42572</c:v>
                </c:pt>
                <c:pt idx="1602">
                  <c:v>42573</c:v>
                </c:pt>
                <c:pt idx="1603">
                  <c:v>42576</c:v>
                </c:pt>
                <c:pt idx="1604">
                  <c:v>42577</c:v>
                </c:pt>
                <c:pt idx="1605">
                  <c:v>42578</c:v>
                </c:pt>
                <c:pt idx="1606">
                  <c:v>42579</c:v>
                </c:pt>
                <c:pt idx="1607">
                  <c:v>42580</c:v>
                </c:pt>
                <c:pt idx="1608">
                  <c:v>42583</c:v>
                </c:pt>
                <c:pt idx="1609">
                  <c:v>42584</c:v>
                </c:pt>
                <c:pt idx="1610">
                  <c:v>42585</c:v>
                </c:pt>
                <c:pt idx="1611">
                  <c:v>42586</c:v>
                </c:pt>
                <c:pt idx="1612">
                  <c:v>42587</c:v>
                </c:pt>
                <c:pt idx="1613">
                  <c:v>42590</c:v>
                </c:pt>
                <c:pt idx="1614">
                  <c:v>42591</c:v>
                </c:pt>
                <c:pt idx="1615">
                  <c:v>42592</c:v>
                </c:pt>
                <c:pt idx="1616">
                  <c:v>42593</c:v>
                </c:pt>
                <c:pt idx="1617">
                  <c:v>42594</c:v>
                </c:pt>
                <c:pt idx="1618">
                  <c:v>42597</c:v>
                </c:pt>
                <c:pt idx="1619">
                  <c:v>42598</c:v>
                </c:pt>
                <c:pt idx="1620">
                  <c:v>42599</c:v>
                </c:pt>
                <c:pt idx="1621">
                  <c:v>42600</c:v>
                </c:pt>
                <c:pt idx="1622">
                  <c:v>42601</c:v>
                </c:pt>
                <c:pt idx="1623">
                  <c:v>42604</c:v>
                </c:pt>
                <c:pt idx="1624">
                  <c:v>42605</c:v>
                </c:pt>
                <c:pt idx="1625">
                  <c:v>42606</c:v>
                </c:pt>
                <c:pt idx="1626">
                  <c:v>42607</c:v>
                </c:pt>
                <c:pt idx="1627">
                  <c:v>42608</c:v>
                </c:pt>
                <c:pt idx="1628">
                  <c:v>42611</c:v>
                </c:pt>
                <c:pt idx="1629">
                  <c:v>42612</c:v>
                </c:pt>
                <c:pt idx="1630">
                  <c:v>42613</c:v>
                </c:pt>
                <c:pt idx="1631">
                  <c:v>42614</c:v>
                </c:pt>
                <c:pt idx="1632">
                  <c:v>42615</c:v>
                </c:pt>
                <c:pt idx="1633">
                  <c:v>42619</c:v>
                </c:pt>
                <c:pt idx="1634">
                  <c:v>42620</c:v>
                </c:pt>
                <c:pt idx="1635">
                  <c:v>42621</c:v>
                </c:pt>
                <c:pt idx="1636">
                  <c:v>42622</c:v>
                </c:pt>
                <c:pt idx="1637">
                  <c:v>42625</c:v>
                </c:pt>
                <c:pt idx="1638">
                  <c:v>42626</c:v>
                </c:pt>
                <c:pt idx="1639">
                  <c:v>42627</c:v>
                </c:pt>
                <c:pt idx="1640">
                  <c:v>42628</c:v>
                </c:pt>
                <c:pt idx="1641">
                  <c:v>42629</c:v>
                </c:pt>
                <c:pt idx="1642">
                  <c:v>42632</c:v>
                </c:pt>
                <c:pt idx="1643">
                  <c:v>42633</c:v>
                </c:pt>
                <c:pt idx="1644">
                  <c:v>42634</c:v>
                </c:pt>
                <c:pt idx="1645">
                  <c:v>42635</c:v>
                </c:pt>
                <c:pt idx="1646">
                  <c:v>42636</c:v>
                </c:pt>
                <c:pt idx="1647">
                  <c:v>42639</c:v>
                </c:pt>
                <c:pt idx="1648">
                  <c:v>42640</c:v>
                </c:pt>
                <c:pt idx="1649">
                  <c:v>42641</c:v>
                </c:pt>
                <c:pt idx="1650">
                  <c:v>42642</c:v>
                </c:pt>
                <c:pt idx="1651">
                  <c:v>42643</c:v>
                </c:pt>
                <c:pt idx="1652">
                  <c:v>42646</c:v>
                </c:pt>
                <c:pt idx="1653">
                  <c:v>42647</c:v>
                </c:pt>
                <c:pt idx="1654">
                  <c:v>42648</c:v>
                </c:pt>
                <c:pt idx="1655">
                  <c:v>42649</c:v>
                </c:pt>
                <c:pt idx="1656">
                  <c:v>42650</c:v>
                </c:pt>
                <c:pt idx="1657">
                  <c:v>42653</c:v>
                </c:pt>
                <c:pt idx="1658">
                  <c:v>42654</c:v>
                </c:pt>
                <c:pt idx="1659">
                  <c:v>42655</c:v>
                </c:pt>
                <c:pt idx="1660">
                  <c:v>42656</c:v>
                </c:pt>
                <c:pt idx="1661">
                  <c:v>42657</c:v>
                </c:pt>
                <c:pt idx="1662">
                  <c:v>42660</c:v>
                </c:pt>
                <c:pt idx="1663">
                  <c:v>42661</c:v>
                </c:pt>
                <c:pt idx="1664">
                  <c:v>42662</c:v>
                </c:pt>
                <c:pt idx="1665">
                  <c:v>42663</c:v>
                </c:pt>
                <c:pt idx="1666">
                  <c:v>42664</c:v>
                </c:pt>
                <c:pt idx="1667">
                  <c:v>42667</c:v>
                </c:pt>
                <c:pt idx="1668">
                  <c:v>42668</c:v>
                </c:pt>
                <c:pt idx="1669">
                  <c:v>42669</c:v>
                </c:pt>
                <c:pt idx="1670">
                  <c:v>42670</c:v>
                </c:pt>
                <c:pt idx="1671">
                  <c:v>42671</c:v>
                </c:pt>
                <c:pt idx="1672">
                  <c:v>42674</c:v>
                </c:pt>
                <c:pt idx="1673">
                  <c:v>42675</c:v>
                </c:pt>
                <c:pt idx="1674">
                  <c:v>42676</c:v>
                </c:pt>
                <c:pt idx="1675">
                  <c:v>42677</c:v>
                </c:pt>
                <c:pt idx="1676">
                  <c:v>42678</c:v>
                </c:pt>
                <c:pt idx="1677">
                  <c:v>42681</c:v>
                </c:pt>
                <c:pt idx="1678">
                  <c:v>42682</c:v>
                </c:pt>
                <c:pt idx="1679">
                  <c:v>42683</c:v>
                </c:pt>
                <c:pt idx="1680">
                  <c:v>42684</c:v>
                </c:pt>
                <c:pt idx="1681">
                  <c:v>42685</c:v>
                </c:pt>
                <c:pt idx="1682">
                  <c:v>42688</c:v>
                </c:pt>
                <c:pt idx="1683">
                  <c:v>42689</c:v>
                </c:pt>
                <c:pt idx="1684">
                  <c:v>42690</c:v>
                </c:pt>
                <c:pt idx="1685">
                  <c:v>42691</c:v>
                </c:pt>
                <c:pt idx="1686">
                  <c:v>42692</c:v>
                </c:pt>
                <c:pt idx="1687">
                  <c:v>42695</c:v>
                </c:pt>
                <c:pt idx="1688">
                  <c:v>42696</c:v>
                </c:pt>
                <c:pt idx="1689">
                  <c:v>42697</c:v>
                </c:pt>
                <c:pt idx="1690">
                  <c:v>42699</c:v>
                </c:pt>
                <c:pt idx="1691">
                  <c:v>42702</c:v>
                </c:pt>
                <c:pt idx="1692">
                  <c:v>42703</c:v>
                </c:pt>
                <c:pt idx="1693">
                  <c:v>42704</c:v>
                </c:pt>
                <c:pt idx="1694">
                  <c:v>42705</c:v>
                </c:pt>
                <c:pt idx="1695">
                  <c:v>42706</c:v>
                </c:pt>
                <c:pt idx="1696">
                  <c:v>42709</c:v>
                </c:pt>
                <c:pt idx="1697">
                  <c:v>42710</c:v>
                </c:pt>
                <c:pt idx="1698">
                  <c:v>42711</c:v>
                </c:pt>
                <c:pt idx="1699">
                  <c:v>42712</c:v>
                </c:pt>
                <c:pt idx="1700">
                  <c:v>42713</c:v>
                </c:pt>
                <c:pt idx="1701">
                  <c:v>42716</c:v>
                </c:pt>
                <c:pt idx="1702">
                  <c:v>42717</c:v>
                </c:pt>
                <c:pt idx="1703">
                  <c:v>42718</c:v>
                </c:pt>
                <c:pt idx="1704">
                  <c:v>42719</c:v>
                </c:pt>
                <c:pt idx="1705">
                  <c:v>42720</c:v>
                </c:pt>
                <c:pt idx="1706">
                  <c:v>42723</c:v>
                </c:pt>
                <c:pt idx="1707">
                  <c:v>42724</c:v>
                </c:pt>
                <c:pt idx="1708">
                  <c:v>42725</c:v>
                </c:pt>
                <c:pt idx="1709">
                  <c:v>42726</c:v>
                </c:pt>
                <c:pt idx="1710">
                  <c:v>42727</c:v>
                </c:pt>
                <c:pt idx="1711">
                  <c:v>42731</c:v>
                </c:pt>
                <c:pt idx="1712">
                  <c:v>42732</c:v>
                </c:pt>
                <c:pt idx="1713">
                  <c:v>42733</c:v>
                </c:pt>
                <c:pt idx="1714">
                  <c:v>42734</c:v>
                </c:pt>
                <c:pt idx="1715">
                  <c:v>42738</c:v>
                </c:pt>
                <c:pt idx="1716">
                  <c:v>42739</c:v>
                </c:pt>
                <c:pt idx="1717">
                  <c:v>42740</c:v>
                </c:pt>
                <c:pt idx="1718">
                  <c:v>42741</c:v>
                </c:pt>
                <c:pt idx="1719">
                  <c:v>42744</c:v>
                </c:pt>
                <c:pt idx="1720">
                  <c:v>42745</c:v>
                </c:pt>
                <c:pt idx="1721">
                  <c:v>42746</c:v>
                </c:pt>
                <c:pt idx="1722">
                  <c:v>42747</c:v>
                </c:pt>
                <c:pt idx="1723">
                  <c:v>42748</c:v>
                </c:pt>
                <c:pt idx="1724">
                  <c:v>42752</c:v>
                </c:pt>
                <c:pt idx="1725">
                  <c:v>42753</c:v>
                </c:pt>
                <c:pt idx="1726">
                  <c:v>42754</c:v>
                </c:pt>
                <c:pt idx="1727">
                  <c:v>42755</c:v>
                </c:pt>
                <c:pt idx="1728">
                  <c:v>42758</c:v>
                </c:pt>
                <c:pt idx="1729">
                  <c:v>42759</c:v>
                </c:pt>
                <c:pt idx="1730">
                  <c:v>42760</c:v>
                </c:pt>
                <c:pt idx="1731">
                  <c:v>42761</c:v>
                </c:pt>
                <c:pt idx="1732">
                  <c:v>42762</c:v>
                </c:pt>
                <c:pt idx="1733">
                  <c:v>42765</c:v>
                </c:pt>
                <c:pt idx="1734">
                  <c:v>42766</c:v>
                </c:pt>
                <c:pt idx="1735">
                  <c:v>42767</c:v>
                </c:pt>
                <c:pt idx="1736">
                  <c:v>42768</c:v>
                </c:pt>
                <c:pt idx="1737">
                  <c:v>42769</c:v>
                </c:pt>
                <c:pt idx="1738">
                  <c:v>42772</c:v>
                </c:pt>
                <c:pt idx="1739">
                  <c:v>42773</c:v>
                </c:pt>
                <c:pt idx="1740">
                  <c:v>42774</c:v>
                </c:pt>
                <c:pt idx="1741">
                  <c:v>42775</c:v>
                </c:pt>
                <c:pt idx="1742">
                  <c:v>42776</c:v>
                </c:pt>
                <c:pt idx="1743">
                  <c:v>42779</c:v>
                </c:pt>
                <c:pt idx="1744">
                  <c:v>42780</c:v>
                </c:pt>
                <c:pt idx="1745">
                  <c:v>42781</c:v>
                </c:pt>
                <c:pt idx="1746">
                  <c:v>42782</c:v>
                </c:pt>
                <c:pt idx="1747">
                  <c:v>42783</c:v>
                </c:pt>
                <c:pt idx="1748">
                  <c:v>42787</c:v>
                </c:pt>
                <c:pt idx="1749">
                  <c:v>42788</c:v>
                </c:pt>
                <c:pt idx="1750">
                  <c:v>42789</c:v>
                </c:pt>
                <c:pt idx="1751">
                  <c:v>42790</c:v>
                </c:pt>
                <c:pt idx="1752">
                  <c:v>42793</c:v>
                </c:pt>
                <c:pt idx="1753">
                  <c:v>42794</c:v>
                </c:pt>
                <c:pt idx="1754">
                  <c:v>42795</c:v>
                </c:pt>
                <c:pt idx="1755">
                  <c:v>42796</c:v>
                </c:pt>
                <c:pt idx="1756">
                  <c:v>42797</c:v>
                </c:pt>
                <c:pt idx="1757">
                  <c:v>42800</c:v>
                </c:pt>
                <c:pt idx="1758">
                  <c:v>42801</c:v>
                </c:pt>
                <c:pt idx="1759">
                  <c:v>42802</c:v>
                </c:pt>
                <c:pt idx="1760">
                  <c:v>42803</c:v>
                </c:pt>
                <c:pt idx="1761">
                  <c:v>42804</c:v>
                </c:pt>
                <c:pt idx="1762">
                  <c:v>42807</c:v>
                </c:pt>
                <c:pt idx="1763">
                  <c:v>42808</c:v>
                </c:pt>
                <c:pt idx="1764">
                  <c:v>42809</c:v>
                </c:pt>
                <c:pt idx="1765">
                  <c:v>42810</c:v>
                </c:pt>
                <c:pt idx="1766">
                  <c:v>42811</c:v>
                </c:pt>
                <c:pt idx="1767">
                  <c:v>42814</c:v>
                </c:pt>
                <c:pt idx="1768">
                  <c:v>42815</c:v>
                </c:pt>
                <c:pt idx="1769">
                  <c:v>42816</c:v>
                </c:pt>
                <c:pt idx="1770">
                  <c:v>42817</c:v>
                </c:pt>
                <c:pt idx="1771">
                  <c:v>42818</c:v>
                </c:pt>
                <c:pt idx="1772">
                  <c:v>42821</c:v>
                </c:pt>
                <c:pt idx="1773">
                  <c:v>42822</c:v>
                </c:pt>
                <c:pt idx="1774">
                  <c:v>42823</c:v>
                </c:pt>
                <c:pt idx="1775">
                  <c:v>42824</c:v>
                </c:pt>
                <c:pt idx="1776">
                  <c:v>42825</c:v>
                </c:pt>
                <c:pt idx="1777">
                  <c:v>42828</c:v>
                </c:pt>
                <c:pt idx="1778">
                  <c:v>42829</c:v>
                </c:pt>
                <c:pt idx="1779">
                  <c:v>42830</c:v>
                </c:pt>
                <c:pt idx="1780">
                  <c:v>42831</c:v>
                </c:pt>
                <c:pt idx="1781">
                  <c:v>42832</c:v>
                </c:pt>
                <c:pt idx="1782">
                  <c:v>42835</c:v>
                </c:pt>
                <c:pt idx="1783">
                  <c:v>42836</c:v>
                </c:pt>
                <c:pt idx="1784">
                  <c:v>42837</c:v>
                </c:pt>
                <c:pt idx="1785">
                  <c:v>42838</c:v>
                </c:pt>
                <c:pt idx="1786">
                  <c:v>42842</c:v>
                </c:pt>
                <c:pt idx="1787">
                  <c:v>42843</c:v>
                </c:pt>
                <c:pt idx="1788">
                  <c:v>42844</c:v>
                </c:pt>
                <c:pt idx="1789">
                  <c:v>42845</c:v>
                </c:pt>
                <c:pt idx="1790">
                  <c:v>42846</c:v>
                </c:pt>
                <c:pt idx="1791">
                  <c:v>42849</c:v>
                </c:pt>
                <c:pt idx="1792">
                  <c:v>42850</c:v>
                </c:pt>
                <c:pt idx="1793">
                  <c:v>42851</c:v>
                </c:pt>
                <c:pt idx="1794">
                  <c:v>42852</c:v>
                </c:pt>
                <c:pt idx="1795">
                  <c:v>42853</c:v>
                </c:pt>
                <c:pt idx="1796">
                  <c:v>42856</c:v>
                </c:pt>
                <c:pt idx="1797">
                  <c:v>42857</c:v>
                </c:pt>
                <c:pt idx="1798">
                  <c:v>42858</c:v>
                </c:pt>
                <c:pt idx="1799">
                  <c:v>42859</c:v>
                </c:pt>
                <c:pt idx="1800">
                  <c:v>42860</c:v>
                </c:pt>
                <c:pt idx="1801">
                  <c:v>42863</c:v>
                </c:pt>
                <c:pt idx="1802">
                  <c:v>42864</c:v>
                </c:pt>
                <c:pt idx="1803">
                  <c:v>42865</c:v>
                </c:pt>
                <c:pt idx="1804">
                  <c:v>42866</c:v>
                </c:pt>
                <c:pt idx="1805">
                  <c:v>42867</c:v>
                </c:pt>
                <c:pt idx="1806">
                  <c:v>42870</c:v>
                </c:pt>
                <c:pt idx="1807">
                  <c:v>42871</c:v>
                </c:pt>
                <c:pt idx="1808">
                  <c:v>42872</c:v>
                </c:pt>
                <c:pt idx="1809">
                  <c:v>42873</c:v>
                </c:pt>
                <c:pt idx="1810">
                  <c:v>42874</c:v>
                </c:pt>
                <c:pt idx="1811">
                  <c:v>42877</c:v>
                </c:pt>
                <c:pt idx="1812">
                  <c:v>42878</c:v>
                </c:pt>
                <c:pt idx="1813">
                  <c:v>42879</c:v>
                </c:pt>
                <c:pt idx="1814">
                  <c:v>42880</c:v>
                </c:pt>
                <c:pt idx="1815">
                  <c:v>42881</c:v>
                </c:pt>
                <c:pt idx="1816">
                  <c:v>42885</c:v>
                </c:pt>
                <c:pt idx="1817">
                  <c:v>42886</c:v>
                </c:pt>
                <c:pt idx="1818">
                  <c:v>42887</c:v>
                </c:pt>
                <c:pt idx="1819">
                  <c:v>42888</c:v>
                </c:pt>
                <c:pt idx="1820">
                  <c:v>42891</c:v>
                </c:pt>
                <c:pt idx="1821">
                  <c:v>42892</c:v>
                </c:pt>
                <c:pt idx="1822">
                  <c:v>42893</c:v>
                </c:pt>
                <c:pt idx="1823">
                  <c:v>42894</c:v>
                </c:pt>
                <c:pt idx="1824">
                  <c:v>42895</c:v>
                </c:pt>
                <c:pt idx="1825">
                  <c:v>42898</c:v>
                </c:pt>
                <c:pt idx="1826">
                  <c:v>42899</c:v>
                </c:pt>
                <c:pt idx="1827">
                  <c:v>42900</c:v>
                </c:pt>
                <c:pt idx="1828">
                  <c:v>42901</c:v>
                </c:pt>
                <c:pt idx="1829">
                  <c:v>42902</c:v>
                </c:pt>
                <c:pt idx="1830">
                  <c:v>42905</c:v>
                </c:pt>
                <c:pt idx="1831">
                  <c:v>42906</c:v>
                </c:pt>
                <c:pt idx="1832">
                  <c:v>42907</c:v>
                </c:pt>
                <c:pt idx="1833">
                  <c:v>42908</c:v>
                </c:pt>
                <c:pt idx="1834">
                  <c:v>42909</c:v>
                </c:pt>
                <c:pt idx="1835">
                  <c:v>42912</c:v>
                </c:pt>
                <c:pt idx="1836">
                  <c:v>42913</c:v>
                </c:pt>
                <c:pt idx="1837">
                  <c:v>42914</c:v>
                </c:pt>
                <c:pt idx="1838">
                  <c:v>42915</c:v>
                </c:pt>
                <c:pt idx="1839">
                  <c:v>42916</c:v>
                </c:pt>
                <c:pt idx="1840">
                  <c:v>42919</c:v>
                </c:pt>
                <c:pt idx="1841">
                  <c:v>42921</c:v>
                </c:pt>
                <c:pt idx="1842">
                  <c:v>42922</c:v>
                </c:pt>
                <c:pt idx="1843">
                  <c:v>42923</c:v>
                </c:pt>
                <c:pt idx="1844">
                  <c:v>42926</c:v>
                </c:pt>
                <c:pt idx="1845">
                  <c:v>42927</c:v>
                </c:pt>
                <c:pt idx="1846">
                  <c:v>42928</c:v>
                </c:pt>
                <c:pt idx="1847">
                  <c:v>42929</c:v>
                </c:pt>
                <c:pt idx="1848">
                  <c:v>42930</c:v>
                </c:pt>
                <c:pt idx="1849">
                  <c:v>42933</c:v>
                </c:pt>
                <c:pt idx="1850">
                  <c:v>42934</c:v>
                </c:pt>
                <c:pt idx="1851">
                  <c:v>42935</c:v>
                </c:pt>
                <c:pt idx="1852">
                  <c:v>42936</c:v>
                </c:pt>
                <c:pt idx="1853">
                  <c:v>42937</c:v>
                </c:pt>
                <c:pt idx="1854">
                  <c:v>42940</c:v>
                </c:pt>
                <c:pt idx="1855">
                  <c:v>42941</c:v>
                </c:pt>
                <c:pt idx="1856">
                  <c:v>42942</c:v>
                </c:pt>
                <c:pt idx="1857">
                  <c:v>42943</c:v>
                </c:pt>
                <c:pt idx="1858">
                  <c:v>42944</c:v>
                </c:pt>
                <c:pt idx="1859">
                  <c:v>42947</c:v>
                </c:pt>
                <c:pt idx="1860">
                  <c:v>42948</c:v>
                </c:pt>
                <c:pt idx="1861">
                  <c:v>42949</c:v>
                </c:pt>
                <c:pt idx="1862">
                  <c:v>42950</c:v>
                </c:pt>
                <c:pt idx="1863">
                  <c:v>42951</c:v>
                </c:pt>
                <c:pt idx="1864">
                  <c:v>42954</c:v>
                </c:pt>
                <c:pt idx="1865">
                  <c:v>42955</c:v>
                </c:pt>
                <c:pt idx="1866">
                  <c:v>42956</c:v>
                </c:pt>
                <c:pt idx="1867">
                  <c:v>42957</c:v>
                </c:pt>
                <c:pt idx="1868">
                  <c:v>42958</c:v>
                </c:pt>
                <c:pt idx="1869">
                  <c:v>42961</c:v>
                </c:pt>
                <c:pt idx="1870">
                  <c:v>42962</c:v>
                </c:pt>
                <c:pt idx="1871">
                  <c:v>42963</c:v>
                </c:pt>
                <c:pt idx="1872">
                  <c:v>42964</c:v>
                </c:pt>
                <c:pt idx="1873">
                  <c:v>42965</c:v>
                </c:pt>
                <c:pt idx="1874">
                  <c:v>42968</c:v>
                </c:pt>
                <c:pt idx="1875">
                  <c:v>42969</c:v>
                </c:pt>
                <c:pt idx="1876">
                  <c:v>42970</c:v>
                </c:pt>
                <c:pt idx="1877">
                  <c:v>42971</c:v>
                </c:pt>
                <c:pt idx="1878">
                  <c:v>42972</c:v>
                </c:pt>
                <c:pt idx="1879">
                  <c:v>42975</c:v>
                </c:pt>
                <c:pt idx="1880">
                  <c:v>42976</c:v>
                </c:pt>
                <c:pt idx="1881">
                  <c:v>42977</c:v>
                </c:pt>
                <c:pt idx="1882">
                  <c:v>42978</c:v>
                </c:pt>
                <c:pt idx="1883">
                  <c:v>42979</c:v>
                </c:pt>
                <c:pt idx="1884">
                  <c:v>42983</c:v>
                </c:pt>
                <c:pt idx="1885">
                  <c:v>42984</c:v>
                </c:pt>
                <c:pt idx="1886">
                  <c:v>42985</c:v>
                </c:pt>
                <c:pt idx="1887">
                  <c:v>42986</c:v>
                </c:pt>
                <c:pt idx="1888">
                  <c:v>42989</c:v>
                </c:pt>
                <c:pt idx="1889">
                  <c:v>42990</c:v>
                </c:pt>
                <c:pt idx="1890">
                  <c:v>42991</c:v>
                </c:pt>
                <c:pt idx="1891">
                  <c:v>42992</c:v>
                </c:pt>
                <c:pt idx="1892">
                  <c:v>42993</c:v>
                </c:pt>
                <c:pt idx="1893">
                  <c:v>42996</c:v>
                </c:pt>
                <c:pt idx="1894">
                  <c:v>42997</c:v>
                </c:pt>
                <c:pt idx="1895">
                  <c:v>42998</c:v>
                </c:pt>
                <c:pt idx="1896">
                  <c:v>42999</c:v>
                </c:pt>
                <c:pt idx="1897">
                  <c:v>43000</c:v>
                </c:pt>
                <c:pt idx="1898">
                  <c:v>43003</c:v>
                </c:pt>
                <c:pt idx="1899">
                  <c:v>43004</c:v>
                </c:pt>
                <c:pt idx="1900">
                  <c:v>43005</c:v>
                </c:pt>
                <c:pt idx="1901">
                  <c:v>43006</c:v>
                </c:pt>
                <c:pt idx="1902">
                  <c:v>43007</c:v>
                </c:pt>
                <c:pt idx="1903">
                  <c:v>43010</c:v>
                </c:pt>
                <c:pt idx="1904">
                  <c:v>43011</c:v>
                </c:pt>
                <c:pt idx="1905">
                  <c:v>43012</c:v>
                </c:pt>
                <c:pt idx="1906">
                  <c:v>43013</c:v>
                </c:pt>
                <c:pt idx="1907">
                  <c:v>43014</c:v>
                </c:pt>
                <c:pt idx="1908">
                  <c:v>43017</c:v>
                </c:pt>
                <c:pt idx="1909">
                  <c:v>43018</c:v>
                </c:pt>
                <c:pt idx="1910">
                  <c:v>43019</c:v>
                </c:pt>
                <c:pt idx="1911">
                  <c:v>43020</c:v>
                </c:pt>
                <c:pt idx="1912">
                  <c:v>43021</c:v>
                </c:pt>
                <c:pt idx="1913">
                  <c:v>43024</c:v>
                </c:pt>
                <c:pt idx="1914">
                  <c:v>43025</c:v>
                </c:pt>
                <c:pt idx="1915">
                  <c:v>43026</c:v>
                </c:pt>
                <c:pt idx="1916">
                  <c:v>43027</c:v>
                </c:pt>
                <c:pt idx="1917">
                  <c:v>43028</c:v>
                </c:pt>
                <c:pt idx="1918">
                  <c:v>43031</c:v>
                </c:pt>
                <c:pt idx="1919">
                  <c:v>43032</c:v>
                </c:pt>
                <c:pt idx="1920">
                  <c:v>43033</c:v>
                </c:pt>
                <c:pt idx="1921">
                  <c:v>43034</c:v>
                </c:pt>
                <c:pt idx="1922">
                  <c:v>43035</c:v>
                </c:pt>
                <c:pt idx="1923">
                  <c:v>43038</c:v>
                </c:pt>
                <c:pt idx="1924">
                  <c:v>43039</c:v>
                </c:pt>
                <c:pt idx="1925">
                  <c:v>43040</c:v>
                </c:pt>
                <c:pt idx="1926">
                  <c:v>43041</c:v>
                </c:pt>
                <c:pt idx="1927">
                  <c:v>43042</c:v>
                </c:pt>
                <c:pt idx="1928">
                  <c:v>43045</c:v>
                </c:pt>
                <c:pt idx="1929">
                  <c:v>43046</c:v>
                </c:pt>
                <c:pt idx="1930">
                  <c:v>43047</c:v>
                </c:pt>
                <c:pt idx="1931">
                  <c:v>43048</c:v>
                </c:pt>
                <c:pt idx="1932">
                  <c:v>43049</c:v>
                </c:pt>
                <c:pt idx="1933">
                  <c:v>43052</c:v>
                </c:pt>
                <c:pt idx="1934">
                  <c:v>43053</c:v>
                </c:pt>
                <c:pt idx="1935">
                  <c:v>43054</c:v>
                </c:pt>
                <c:pt idx="1936">
                  <c:v>43055</c:v>
                </c:pt>
                <c:pt idx="1937">
                  <c:v>43056</c:v>
                </c:pt>
                <c:pt idx="1938">
                  <c:v>43059</c:v>
                </c:pt>
                <c:pt idx="1939">
                  <c:v>43060</c:v>
                </c:pt>
                <c:pt idx="1940">
                  <c:v>43061</c:v>
                </c:pt>
                <c:pt idx="1941">
                  <c:v>43063</c:v>
                </c:pt>
                <c:pt idx="1942">
                  <c:v>43066</c:v>
                </c:pt>
                <c:pt idx="1943">
                  <c:v>43067</c:v>
                </c:pt>
                <c:pt idx="1944">
                  <c:v>43068</c:v>
                </c:pt>
                <c:pt idx="1945">
                  <c:v>43069</c:v>
                </c:pt>
                <c:pt idx="1946">
                  <c:v>43070</c:v>
                </c:pt>
                <c:pt idx="1947">
                  <c:v>43073</c:v>
                </c:pt>
                <c:pt idx="1948">
                  <c:v>43074</c:v>
                </c:pt>
                <c:pt idx="1949">
                  <c:v>43075</c:v>
                </c:pt>
                <c:pt idx="1950">
                  <c:v>43076</c:v>
                </c:pt>
                <c:pt idx="1951">
                  <c:v>43077</c:v>
                </c:pt>
                <c:pt idx="1952">
                  <c:v>43080</c:v>
                </c:pt>
                <c:pt idx="1953">
                  <c:v>43081</c:v>
                </c:pt>
                <c:pt idx="1954">
                  <c:v>43082</c:v>
                </c:pt>
                <c:pt idx="1955">
                  <c:v>43083</c:v>
                </c:pt>
                <c:pt idx="1956">
                  <c:v>43084</c:v>
                </c:pt>
                <c:pt idx="1957">
                  <c:v>43087</c:v>
                </c:pt>
                <c:pt idx="1958">
                  <c:v>43088</c:v>
                </c:pt>
                <c:pt idx="1959">
                  <c:v>43089</c:v>
                </c:pt>
                <c:pt idx="1960">
                  <c:v>43090</c:v>
                </c:pt>
                <c:pt idx="1961">
                  <c:v>43091</c:v>
                </c:pt>
                <c:pt idx="1962">
                  <c:v>43095</c:v>
                </c:pt>
                <c:pt idx="1963">
                  <c:v>43096</c:v>
                </c:pt>
                <c:pt idx="1964">
                  <c:v>43097</c:v>
                </c:pt>
                <c:pt idx="1965">
                  <c:v>43098</c:v>
                </c:pt>
                <c:pt idx="1966">
                  <c:v>43102</c:v>
                </c:pt>
                <c:pt idx="1967">
                  <c:v>43103</c:v>
                </c:pt>
                <c:pt idx="1968">
                  <c:v>43104</c:v>
                </c:pt>
                <c:pt idx="1969">
                  <c:v>43105</c:v>
                </c:pt>
                <c:pt idx="1970">
                  <c:v>43108</c:v>
                </c:pt>
                <c:pt idx="1971">
                  <c:v>43109</c:v>
                </c:pt>
                <c:pt idx="1972">
                  <c:v>43110</c:v>
                </c:pt>
                <c:pt idx="1973">
                  <c:v>43111</c:v>
                </c:pt>
                <c:pt idx="1974">
                  <c:v>43112</c:v>
                </c:pt>
                <c:pt idx="1975">
                  <c:v>43116</c:v>
                </c:pt>
                <c:pt idx="1976">
                  <c:v>43117</c:v>
                </c:pt>
                <c:pt idx="1977">
                  <c:v>43118</c:v>
                </c:pt>
                <c:pt idx="1978">
                  <c:v>43119</c:v>
                </c:pt>
                <c:pt idx="1979">
                  <c:v>43122</c:v>
                </c:pt>
                <c:pt idx="1980">
                  <c:v>43123</c:v>
                </c:pt>
                <c:pt idx="1981">
                  <c:v>43124</c:v>
                </c:pt>
                <c:pt idx="1982">
                  <c:v>43125</c:v>
                </c:pt>
                <c:pt idx="1983">
                  <c:v>43126</c:v>
                </c:pt>
                <c:pt idx="1984">
                  <c:v>43129</c:v>
                </c:pt>
                <c:pt idx="1985">
                  <c:v>43130</c:v>
                </c:pt>
                <c:pt idx="1986">
                  <c:v>43131</c:v>
                </c:pt>
                <c:pt idx="1987">
                  <c:v>43132</c:v>
                </c:pt>
                <c:pt idx="1988">
                  <c:v>43133</c:v>
                </c:pt>
                <c:pt idx="1989">
                  <c:v>43136</c:v>
                </c:pt>
                <c:pt idx="1990">
                  <c:v>43137</c:v>
                </c:pt>
                <c:pt idx="1991">
                  <c:v>43138</c:v>
                </c:pt>
                <c:pt idx="1992">
                  <c:v>43139</c:v>
                </c:pt>
                <c:pt idx="1993">
                  <c:v>43140</c:v>
                </c:pt>
                <c:pt idx="1994">
                  <c:v>43143</c:v>
                </c:pt>
                <c:pt idx="1995">
                  <c:v>43144</c:v>
                </c:pt>
                <c:pt idx="1996">
                  <c:v>43145</c:v>
                </c:pt>
                <c:pt idx="1997">
                  <c:v>43146</c:v>
                </c:pt>
                <c:pt idx="1998">
                  <c:v>43147</c:v>
                </c:pt>
                <c:pt idx="1999">
                  <c:v>43151</c:v>
                </c:pt>
                <c:pt idx="2000">
                  <c:v>43152</c:v>
                </c:pt>
                <c:pt idx="2001">
                  <c:v>43153</c:v>
                </c:pt>
                <c:pt idx="2002">
                  <c:v>43154</c:v>
                </c:pt>
                <c:pt idx="2003">
                  <c:v>43157</c:v>
                </c:pt>
                <c:pt idx="2004">
                  <c:v>43158</c:v>
                </c:pt>
                <c:pt idx="2005">
                  <c:v>43159</c:v>
                </c:pt>
                <c:pt idx="2006">
                  <c:v>43160</c:v>
                </c:pt>
                <c:pt idx="2007">
                  <c:v>43161</c:v>
                </c:pt>
                <c:pt idx="2008">
                  <c:v>43164</c:v>
                </c:pt>
                <c:pt idx="2009">
                  <c:v>43165</c:v>
                </c:pt>
                <c:pt idx="2010">
                  <c:v>43166</c:v>
                </c:pt>
                <c:pt idx="2011">
                  <c:v>43167</c:v>
                </c:pt>
                <c:pt idx="2012">
                  <c:v>43168</c:v>
                </c:pt>
                <c:pt idx="2013">
                  <c:v>43171</c:v>
                </c:pt>
                <c:pt idx="2014">
                  <c:v>43172</c:v>
                </c:pt>
                <c:pt idx="2015">
                  <c:v>43173</c:v>
                </c:pt>
                <c:pt idx="2016">
                  <c:v>43174</c:v>
                </c:pt>
                <c:pt idx="2017">
                  <c:v>43175</c:v>
                </c:pt>
                <c:pt idx="2018">
                  <c:v>43178</c:v>
                </c:pt>
                <c:pt idx="2019">
                  <c:v>43179</c:v>
                </c:pt>
                <c:pt idx="2020">
                  <c:v>43180</c:v>
                </c:pt>
                <c:pt idx="2021">
                  <c:v>43181</c:v>
                </c:pt>
                <c:pt idx="2022">
                  <c:v>43182</c:v>
                </c:pt>
                <c:pt idx="2023">
                  <c:v>43185</c:v>
                </c:pt>
                <c:pt idx="2024">
                  <c:v>43186</c:v>
                </c:pt>
                <c:pt idx="2025">
                  <c:v>43187</c:v>
                </c:pt>
                <c:pt idx="2026">
                  <c:v>43188</c:v>
                </c:pt>
                <c:pt idx="2027">
                  <c:v>43192</c:v>
                </c:pt>
                <c:pt idx="2028">
                  <c:v>43193</c:v>
                </c:pt>
                <c:pt idx="2029">
                  <c:v>43194</c:v>
                </c:pt>
                <c:pt idx="2030">
                  <c:v>43195</c:v>
                </c:pt>
                <c:pt idx="2031">
                  <c:v>43196</c:v>
                </c:pt>
                <c:pt idx="2032">
                  <c:v>43199</c:v>
                </c:pt>
                <c:pt idx="2033">
                  <c:v>43200</c:v>
                </c:pt>
                <c:pt idx="2034">
                  <c:v>43201</c:v>
                </c:pt>
                <c:pt idx="2035">
                  <c:v>43202</c:v>
                </c:pt>
                <c:pt idx="2036">
                  <c:v>43203</c:v>
                </c:pt>
                <c:pt idx="2037">
                  <c:v>43206</c:v>
                </c:pt>
                <c:pt idx="2038">
                  <c:v>43207</c:v>
                </c:pt>
                <c:pt idx="2039">
                  <c:v>43208</c:v>
                </c:pt>
                <c:pt idx="2040">
                  <c:v>43209</c:v>
                </c:pt>
                <c:pt idx="2041">
                  <c:v>43210</c:v>
                </c:pt>
                <c:pt idx="2042">
                  <c:v>43213</c:v>
                </c:pt>
                <c:pt idx="2043">
                  <c:v>43214</c:v>
                </c:pt>
                <c:pt idx="2044">
                  <c:v>43215</c:v>
                </c:pt>
                <c:pt idx="2045">
                  <c:v>43216</c:v>
                </c:pt>
                <c:pt idx="2046">
                  <c:v>43217</c:v>
                </c:pt>
                <c:pt idx="2047">
                  <c:v>43220</c:v>
                </c:pt>
                <c:pt idx="2048">
                  <c:v>43221</c:v>
                </c:pt>
                <c:pt idx="2049">
                  <c:v>43222</c:v>
                </c:pt>
                <c:pt idx="2050">
                  <c:v>43223</c:v>
                </c:pt>
                <c:pt idx="2051">
                  <c:v>43224</c:v>
                </c:pt>
                <c:pt idx="2052">
                  <c:v>43227</c:v>
                </c:pt>
                <c:pt idx="2053">
                  <c:v>43228</c:v>
                </c:pt>
                <c:pt idx="2054">
                  <c:v>43229</c:v>
                </c:pt>
                <c:pt idx="2055">
                  <c:v>43230</c:v>
                </c:pt>
                <c:pt idx="2056">
                  <c:v>43231</c:v>
                </c:pt>
                <c:pt idx="2057">
                  <c:v>43234</c:v>
                </c:pt>
                <c:pt idx="2058">
                  <c:v>43235</c:v>
                </c:pt>
                <c:pt idx="2059">
                  <c:v>43236</c:v>
                </c:pt>
                <c:pt idx="2060">
                  <c:v>43237</c:v>
                </c:pt>
                <c:pt idx="2061">
                  <c:v>43238</c:v>
                </c:pt>
                <c:pt idx="2062">
                  <c:v>43241</c:v>
                </c:pt>
                <c:pt idx="2063">
                  <c:v>43242</c:v>
                </c:pt>
                <c:pt idx="2064">
                  <c:v>43243</c:v>
                </c:pt>
                <c:pt idx="2065">
                  <c:v>43244</c:v>
                </c:pt>
                <c:pt idx="2066">
                  <c:v>43245</c:v>
                </c:pt>
                <c:pt idx="2067">
                  <c:v>43249</c:v>
                </c:pt>
                <c:pt idx="2068">
                  <c:v>43250</c:v>
                </c:pt>
                <c:pt idx="2069">
                  <c:v>43251</c:v>
                </c:pt>
                <c:pt idx="2070">
                  <c:v>43252</c:v>
                </c:pt>
                <c:pt idx="2071">
                  <c:v>43255</c:v>
                </c:pt>
                <c:pt idx="2072">
                  <c:v>43256</c:v>
                </c:pt>
                <c:pt idx="2073">
                  <c:v>43257</c:v>
                </c:pt>
                <c:pt idx="2074">
                  <c:v>43258</c:v>
                </c:pt>
                <c:pt idx="2075">
                  <c:v>43259</c:v>
                </c:pt>
                <c:pt idx="2076">
                  <c:v>43262</c:v>
                </c:pt>
                <c:pt idx="2077">
                  <c:v>43263</c:v>
                </c:pt>
                <c:pt idx="2078">
                  <c:v>43264</c:v>
                </c:pt>
                <c:pt idx="2079">
                  <c:v>43265</c:v>
                </c:pt>
                <c:pt idx="2080">
                  <c:v>43266</c:v>
                </c:pt>
                <c:pt idx="2081">
                  <c:v>43269</c:v>
                </c:pt>
                <c:pt idx="2082">
                  <c:v>43270</c:v>
                </c:pt>
                <c:pt idx="2083">
                  <c:v>43271</c:v>
                </c:pt>
                <c:pt idx="2084">
                  <c:v>43272</c:v>
                </c:pt>
                <c:pt idx="2085">
                  <c:v>43273</c:v>
                </c:pt>
                <c:pt idx="2086">
                  <c:v>43276</c:v>
                </c:pt>
                <c:pt idx="2087">
                  <c:v>43277</c:v>
                </c:pt>
                <c:pt idx="2088">
                  <c:v>43278</c:v>
                </c:pt>
                <c:pt idx="2089">
                  <c:v>43279</c:v>
                </c:pt>
                <c:pt idx="2090">
                  <c:v>43280</c:v>
                </c:pt>
                <c:pt idx="2091">
                  <c:v>43283</c:v>
                </c:pt>
                <c:pt idx="2092">
                  <c:v>43284</c:v>
                </c:pt>
                <c:pt idx="2093">
                  <c:v>43286</c:v>
                </c:pt>
                <c:pt idx="2094">
                  <c:v>43287</c:v>
                </c:pt>
                <c:pt idx="2095">
                  <c:v>43290</c:v>
                </c:pt>
                <c:pt idx="2096">
                  <c:v>43291</c:v>
                </c:pt>
                <c:pt idx="2097">
                  <c:v>43292</c:v>
                </c:pt>
                <c:pt idx="2098">
                  <c:v>43293</c:v>
                </c:pt>
                <c:pt idx="2099">
                  <c:v>43294</c:v>
                </c:pt>
                <c:pt idx="2100">
                  <c:v>43297</c:v>
                </c:pt>
                <c:pt idx="2101">
                  <c:v>43298</c:v>
                </c:pt>
                <c:pt idx="2102">
                  <c:v>43299</c:v>
                </c:pt>
                <c:pt idx="2103">
                  <c:v>43300</c:v>
                </c:pt>
                <c:pt idx="2104">
                  <c:v>43301</c:v>
                </c:pt>
                <c:pt idx="2105">
                  <c:v>43304</c:v>
                </c:pt>
                <c:pt idx="2106">
                  <c:v>43305</c:v>
                </c:pt>
                <c:pt idx="2107">
                  <c:v>43306</c:v>
                </c:pt>
                <c:pt idx="2108">
                  <c:v>43307</c:v>
                </c:pt>
                <c:pt idx="2109">
                  <c:v>43308</c:v>
                </c:pt>
                <c:pt idx="2110">
                  <c:v>43311</c:v>
                </c:pt>
                <c:pt idx="2111">
                  <c:v>43312</c:v>
                </c:pt>
                <c:pt idx="2112">
                  <c:v>43313</c:v>
                </c:pt>
                <c:pt idx="2113">
                  <c:v>43314</c:v>
                </c:pt>
                <c:pt idx="2114">
                  <c:v>43315</c:v>
                </c:pt>
                <c:pt idx="2115">
                  <c:v>43318</c:v>
                </c:pt>
                <c:pt idx="2116">
                  <c:v>43319</c:v>
                </c:pt>
                <c:pt idx="2117">
                  <c:v>43320</c:v>
                </c:pt>
                <c:pt idx="2118">
                  <c:v>43321</c:v>
                </c:pt>
                <c:pt idx="2119">
                  <c:v>43322</c:v>
                </c:pt>
                <c:pt idx="2120">
                  <c:v>43325</c:v>
                </c:pt>
                <c:pt idx="2121">
                  <c:v>43326</c:v>
                </c:pt>
                <c:pt idx="2122">
                  <c:v>43327</c:v>
                </c:pt>
                <c:pt idx="2123">
                  <c:v>43328</c:v>
                </c:pt>
                <c:pt idx="2124">
                  <c:v>43329</c:v>
                </c:pt>
                <c:pt idx="2125">
                  <c:v>43332</c:v>
                </c:pt>
                <c:pt idx="2126">
                  <c:v>43333</c:v>
                </c:pt>
                <c:pt idx="2127">
                  <c:v>43334</c:v>
                </c:pt>
                <c:pt idx="2128">
                  <c:v>43335</c:v>
                </c:pt>
                <c:pt idx="2129">
                  <c:v>43336</c:v>
                </c:pt>
                <c:pt idx="2130">
                  <c:v>43339</c:v>
                </c:pt>
                <c:pt idx="2131">
                  <c:v>43340</c:v>
                </c:pt>
                <c:pt idx="2132">
                  <c:v>43341</c:v>
                </c:pt>
                <c:pt idx="2133">
                  <c:v>43342</c:v>
                </c:pt>
                <c:pt idx="2134">
                  <c:v>43343</c:v>
                </c:pt>
                <c:pt idx="2135">
                  <c:v>43347</c:v>
                </c:pt>
                <c:pt idx="2136">
                  <c:v>43348</c:v>
                </c:pt>
                <c:pt idx="2137">
                  <c:v>43349</c:v>
                </c:pt>
                <c:pt idx="2138">
                  <c:v>43350</c:v>
                </c:pt>
                <c:pt idx="2139">
                  <c:v>43353</c:v>
                </c:pt>
                <c:pt idx="2140">
                  <c:v>43354</c:v>
                </c:pt>
                <c:pt idx="2141">
                  <c:v>43355</c:v>
                </c:pt>
                <c:pt idx="2142">
                  <c:v>43356</c:v>
                </c:pt>
                <c:pt idx="2143">
                  <c:v>43357</c:v>
                </c:pt>
                <c:pt idx="2144">
                  <c:v>43360</c:v>
                </c:pt>
                <c:pt idx="2145">
                  <c:v>43361</c:v>
                </c:pt>
                <c:pt idx="2146">
                  <c:v>43362</c:v>
                </c:pt>
                <c:pt idx="2147">
                  <c:v>43363</c:v>
                </c:pt>
                <c:pt idx="2148">
                  <c:v>43364</c:v>
                </c:pt>
                <c:pt idx="2149">
                  <c:v>43367</c:v>
                </c:pt>
                <c:pt idx="2150">
                  <c:v>43368</c:v>
                </c:pt>
                <c:pt idx="2151">
                  <c:v>43369</c:v>
                </c:pt>
                <c:pt idx="2152">
                  <c:v>43370</c:v>
                </c:pt>
                <c:pt idx="2153">
                  <c:v>43371</c:v>
                </c:pt>
                <c:pt idx="2154">
                  <c:v>43374</c:v>
                </c:pt>
                <c:pt idx="2155">
                  <c:v>43375</c:v>
                </c:pt>
                <c:pt idx="2156">
                  <c:v>43376</c:v>
                </c:pt>
                <c:pt idx="2157">
                  <c:v>43377</c:v>
                </c:pt>
                <c:pt idx="2158">
                  <c:v>43378</c:v>
                </c:pt>
                <c:pt idx="2159">
                  <c:v>43381</c:v>
                </c:pt>
                <c:pt idx="2160">
                  <c:v>43382</c:v>
                </c:pt>
                <c:pt idx="2161">
                  <c:v>43383</c:v>
                </c:pt>
                <c:pt idx="2162">
                  <c:v>43384</c:v>
                </c:pt>
                <c:pt idx="2163">
                  <c:v>43385</c:v>
                </c:pt>
                <c:pt idx="2164">
                  <c:v>43388</c:v>
                </c:pt>
                <c:pt idx="2165">
                  <c:v>43389</c:v>
                </c:pt>
                <c:pt idx="2166">
                  <c:v>43390</c:v>
                </c:pt>
                <c:pt idx="2167">
                  <c:v>43391</c:v>
                </c:pt>
                <c:pt idx="2168">
                  <c:v>43392</c:v>
                </c:pt>
                <c:pt idx="2169">
                  <c:v>43395</c:v>
                </c:pt>
                <c:pt idx="2170">
                  <c:v>43396</c:v>
                </c:pt>
                <c:pt idx="2171">
                  <c:v>43397</c:v>
                </c:pt>
                <c:pt idx="2172">
                  <c:v>43398</c:v>
                </c:pt>
                <c:pt idx="2173">
                  <c:v>43399</c:v>
                </c:pt>
                <c:pt idx="2174">
                  <c:v>43402</c:v>
                </c:pt>
                <c:pt idx="2175">
                  <c:v>43403</c:v>
                </c:pt>
                <c:pt idx="2176">
                  <c:v>43404</c:v>
                </c:pt>
                <c:pt idx="2177">
                  <c:v>43405</c:v>
                </c:pt>
                <c:pt idx="2178">
                  <c:v>43406</c:v>
                </c:pt>
                <c:pt idx="2179">
                  <c:v>43409</c:v>
                </c:pt>
                <c:pt idx="2180">
                  <c:v>43410</c:v>
                </c:pt>
                <c:pt idx="2181">
                  <c:v>43411</c:v>
                </c:pt>
                <c:pt idx="2182">
                  <c:v>43412</c:v>
                </c:pt>
                <c:pt idx="2183">
                  <c:v>43413</c:v>
                </c:pt>
                <c:pt idx="2184">
                  <c:v>43416</c:v>
                </c:pt>
                <c:pt idx="2185">
                  <c:v>43417</c:v>
                </c:pt>
                <c:pt idx="2186">
                  <c:v>43418</c:v>
                </c:pt>
                <c:pt idx="2187">
                  <c:v>43419</c:v>
                </c:pt>
                <c:pt idx="2188">
                  <c:v>43420</c:v>
                </c:pt>
                <c:pt idx="2189">
                  <c:v>43423</c:v>
                </c:pt>
                <c:pt idx="2190">
                  <c:v>43424</c:v>
                </c:pt>
                <c:pt idx="2191">
                  <c:v>43425</c:v>
                </c:pt>
                <c:pt idx="2192">
                  <c:v>43427</c:v>
                </c:pt>
                <c:pt idx="2193">
                  <c:v>43430</c:v>
                </c:pt>
                <c:pt idx="2194">
                  <c:v>43431</c:v>
                </c:pt>
                <c:pt idx="2195">
                  <c:v>43432</c:v>
                </c:pt>
                <c:pt idx="2196">
                  <c:v>43433</c:v>
                </c:pt>
                <c:pt idx="2197">
                  <c:v>43434</c:v>
                </c:pt>
                <c:pt idx="2198">
                  <c:v>43437</c:v>
                </c:pt>
                <c:pt idx="2199">
                  <c:v>43438</c:v>
                </c:pt>
                <c:pt idx="2200">
                  <c:v>43440</c:v>
                </c:pt>
                <c:pt idx="2201">
                  <c:v>43441</c:v>
                </c:pt>
                <c:pt idx="2202">
                  <c:v>43444</c:v>
                </c:pt>
                <c:pt idx="2203">
                  <c:v>43445</c:v>
                </c:pt>
                <c:pt idx="2204">
                  <c:v>43446</c:v>
                </c:pt>
                <c:pt idx="2205">
                  <c:v>43447</c:v>
                </c:pt>
                <c:pt idx="2206">
                  <c:v>43448</c:v>
                </c:pt>
                <c:pt idx="2207">
                  <c:v>43451</c:v>
                </c:pt>
                <c:pt idx="2208">
                  <c:v>43452</c:v>
                </c:pt>
                <c:pt idx="2209">
                  <c:v>43453</c:v>
                </c:pt>
                <c:pt idx="2210">
                  <c:v>43454</c:v>
                </c:pt>
                <c:pt idx="2211">
                  <c:v>43455</c:v>
                </c:pt>
                <c:pt idx="2212">
                  <c:v>43458</c:v>
                </c:pt>
                <c:pt idx="2213">
                  <c:v>43460</c:v>
                </c:pt>
                <c:pt idx="2214">
                  <c:v>43461</c:v>
                </c:pt>
                <c:pt idx="2215">
                  <c:v>43462</c:v>
                </c:pt>
                <c:pt idx="2216">
                  <c:v>43465</c:v>
                </c:pt>
                <c:pt idx="2217">
                  <c:v>43467</c:v>
                </c:pt>
                <c:pt idx="2218">
                  <c:v>43468</c:v>
                </c:pt>
                <c:pt idx="2219">
                  <c:v>43469</c:v>
                </c:pt>
                <c:pt idx="2220">
                  <c:v>43472</c:v>
                </c:pt>
                <c:pt idx="2221">
                  <c:v>43473</c:v>
                </c:pt>
                <c:pt idx="2222">
                  <c:v>43474</c:v>
                </c:pt>
                <c:pt idx="2223">
                  <c:v>43475</c:v>
                </c:pt>
                <c:pt idx="2224">
                  <c:v>43476</c:v>
                </c:pt>
                <c:pt idx="2225">
                  <c:v>43479</c:v>
                </c:pt>
                <c:pt idx="2226">
                  <c:v>43480</c:v>
                </c:pt>
                <c:pt idx="2227">
                  <c:v>43481</c:v>
                </c:pt>
                <c:pt idx="2228">
                  <c:v>43482</c:v>
                </c:pt>
                <c:pt idx="2229">
                  <c:v>43483</c:v>
                </c:pt>
                <c:pt idx="2230">
                  <c:v>43487</c:v>
                </c:pt>
                <c:pt idx="2231">
                  <c:v>43488</c:v>
                </c:pt>
                <c:pt idx="2232">
                  <c:v>43489</c:v>
                </c:pt>
                <c:pt idx="2233">
                  <c:v>43490</c:v>
                </c:pt>
                <c:pt idx="2234">
                  <c:v>43493</c:v>
                </c:pt>
                <c:pt idx="2235">
                  <c:v>43494</c:v>
                </c:pt>
                <c:pt idx="2236">
                  <c:v>43495</c:v>
                </c:pt>
                <c:pt idx="2237">
                  <c:v>43496</c:v>
                </c:pt>
                <c:pt idx="2238">
                  <c:v>43497</c:v>
                </c:pt>
                <c:pt idx="2239">
                  <c:v>43500</c:v>
                </c:pt>
                <c:pt idx="2240">
                  <c:v>43501</c:v>
                </c:pt>
                <c:pt idx="2241">
                  <c:v>43502</c:v>
                </c:pt>
                <c:pt idx="2242">
                  <c:v>43503</c:v>
                </c:pt>
                <c:pt idx="2243">
                  <c:v>43504</c:v>
                </c:pt>
                <c:pt idx="2244">
                  <c:v>43507</c:v>
                </c:pt>
                <c:pt idx="2245">
                  <c:v>43508</c:v>
                </c:pt>
                <c:pt idx="2246">
                  <c:v>43509</c:v>
                </c:pt>
                <c:pt idx="2247">
                  <c:v>43510</c:v>
                </c:pt>
                <c:pt idx="2248">
                  <c:v>43511</c:v>
                </c:pt>
                <c:pt idx="2249">
                  <c:v>43515</c:v>
                </c:pt>
                <c:pt idx="2250">
                  <c:v>43516</c:v>
                </c:pt>
                <c:pt idx="2251">
                  <c:v>43517</c:v>
                </c:pt>
                <c:pt idx="2252">
                  <c:v>43518</c:v>
                </c:pt>
                <c:pt idx="2253">
                  <c:v>43521</c:v>
                </c:pt>
                <c:pt idx="2254">
                  <c:v>43522</c:v>
                </c:pt>
                <c:pt idx="2255">
                  <c:v>43523</c:v>
                </c:pt>
                <c:pt idx="2256">
                  <c:v>43524</c:v>
                </c:pt>
                <c:pt idx="2257">
                  <c:v>43525</c:v>
                </c:pt>
                <c:pt idx="2258">
                  <c:v>43528</c:v>
                </c:pt>
                <c:pt idx="2259">
                  <c:v>43529</c:v>
                </c:pt>
                <c:pt idx="2260">
                  <c:v>43530</c:v>
                </c:pt>
                <c:pt idx="2261">
                  <c:v>43531</c:v>
                </c:pt>
                <c:pt idx="2262">
                  <c:v>43532</c:v>
                </c:pt>
                <c:pt idx="2263">
                  <c:v>43535</c:v>
                </c:pt>
                <c:pt idx="2264">
                  <c:v>43536</c:v>
                </c:pt>
                <c:pt idx="2265">
                  <c:v>43537</c:v>
                </c:pt>
                <c:pt idx="2266">
                  <c:v>43538</c:v>
                </c:pt>
                <c:pt idx="2267">
                  <c:v>43539</c:v>
                </c:pt>
                <c:pt idx="2268">
                  <c:v>43542</c:v>
                </c:pt>
                <c:pt idx="2269">
                  <c:v>43543</c:v>
                </c:pt>
                <c:pt idx="2270">
                  <c:v>43544</c:v>
                </c:pt>
                <c:pt idx="2271">
                  <c:v>43545</c:v>
                </c:pt>
                <c:pt idx="2272">
                  <c:v>43546</c:v>
                </c:pt>
                <c:pt idx="2273">
                  <c:v>43549</c:v>
                </c:pt>
                <c:pt idx="2274">
                  <c:v>43550</c:v>
                </c:pt>
                <c:pt idx="2275">
                  <c:v>43551</c:v>
                </c:pt>
                <c:pt idx="2276">
                  <c:v>43552</c:v>
                </c:pt>
                <c:pt idx="2277">
                  <c:v>43553</c:v>
                </c:pt>
                <c:pt idx="2278">
                  <c:v>43556</c:v>
                </c:pt>
                <c:pt idx="2279">
                  <c:v>43557</c:v>
                </c:pt>
                <c:pt idx="2280">
                  <c:v>43558</c:v>
                </c:pt>
                <c:pt idx="2281">
                  <c:v>43559</c:v>
                </c:pt>
                <c:pt idx="2282">
                  <c:v>43560</c:v>
                </c:pt>
                <c:pt idx="2283">
                  <c:v>43563</c:v>
                </c:pt>
                <c:pt idx="2284">
                  <c:v>43564</c:v>
                </c:pt>
                <c:pt idx="2285">
                  <c:v>43565</c:v>
                </c:pt>
                <c:pt idx="2286">
                  <c:v>43566</c:v>
                </c:pt>
                <c:pt idx="2287">
                  <c:v>43567</c:v>
                </c:pt>
                <c:pt idx="2288">
                  <c:v>43570</c:v>
                </c:pt>
                <c:pt idx="2289">
                  <c:v>43571</c:v>
                </c:pt>
                <c:pt idx="2290">
                  <c:v>43572</c:v>
                </c:pt>
                <c:pt idx="2291">
                  <c:v>43573</c:v>
                </c:pt>
                <c:pt idx="2292">
                  <c:v>43577</c:v>
                </c:pt>
                <c:pt idx="2293">
                  <c:v>43578</c:v>
                </c:pt>
                <c:pt idx="2294">
                  <c:v>43579</c:v>
                </c:pt>
                <c:pt idx="2295">
                  <c:v>43580</c:v>
                </c:pt>
                <c:pt idx="2296">
                  <c:v>43581</c:v>
                </c:pt>
                <c:pt idx="2297">
                  <c:v>43584</c:v>
                </c:pt>
                <c:pt idx="2298">
                  <c:v>43585</c:v>
                </c:pt>
                <c:pt idx="2299">
                  <c:v>43586</c:v>
                </c:pt>
                <c:pt idx="2300">
                  <c:v>43587</c:v>
                </c:pt>
                <c:pt idx="2301">
                  <c:v>43588</c:v>
                </c:pt>
                <c:pt idx="2302">
                  <c:v>43591</c:v>
                </c:pt>
                <c:pt idx="2303">
                  <c:v>43592</c:v>
                </c:pt>
                <c:pt idx="2304">
                  <c:v>43593</c:v>
                </c:pt>
                <c:pt idx="2305">
                  <c:v>43594</c:v>
                </c:pt>
                <c:pt idx="2306">
                  <c:v>43595</c:v>
                </c:pt>
                <c:pt idx="2307">
                  <c:v>43598</c:v>
                </c:pt>
                <c:pt idx="2308">
                  <c:v>43599</c:v>
                </c:pt>
                <c:pt idx="2309">
                  <c:v>43600</c:v>
                </c:pt>
                <c:pt idx="2310">
                  <c:v>43601</c:v>
                </c:pt>
                <c:pt idx="2311">
                  <c:v>43602</c:v>
                </c:pt>
                <c:pt idx="2312">
                  <c:v>43605</c:v>
                </c:pt>
                <c:pt idx="2313">
                  <c:v>43606</c:v>
                </c:pt>
                <c:pt idx="2314">
                  <c:v>43607</c:v>
                </c:pt>
                <c:pt idx="2315">
                  <c:v>43608</c:v>
                </c:pt>
                <c:pt idx="2316">
                  <c:v>43609</c:v>
                </c:pt>
                <c:pt idx="2317">
                  <c:v>43613</c:v>
                </c:pt>
                <c:pt idx="2318">
                  <c:v>43614</c:v>
                </c:pt>
                <c:pt idx="2319">
                  <c:v>43615</c:v>
                </c:pt>
                <c:pt idx="2320">
                  <c:v>43616</c:v>
                </c:pt>
                <c:pt idx="2321">
                  <c:v>43619</c:v>
                </c:pt>
                <c:pt idx="2322">
                  <c:v>43620</c:v>
                </c:pt>
                <c:pt idx="2323">
                  <c:v>43621</c:v>
                </c:pt>
                <c:pt idx="2324">
                  <c:v>43622</c:v>
                </c:pt>
                <c:pt idx="2325">
                  <c:v>43623</c:v>
                </c:pt>
                <c:pt idx="2326">
                  <c:v>43626</c:v>
                </c:pt>
                <c:pt idx="2327">
                  <c:v>43627</c:v>
                </c:pt>
                <c:pt idx="2328">
                  <c:v>43628</c:v>
                </c:pt>
                <c:pt idx="2329">
                  <c:v>43629</c:v>
                </c:pt>
                <c:pt idx="2330">
                  <c:v>43630</c:v>
                </c:pt>
                <c:pt idx="2331">
                  <c:v>43633</c:v>
                </c:pt>
                <c:pt idx="2332">
                  <c:v>43634</c:v>
                </c:pt>
                <c:pt idx="2333">
                  <c:v>43635</c:v>
                </c:pt>
                <c:pt idx="2334">
                  <c:v>43636</c:v>
                </c:pt>
                <c:pt idx="2335">
                  <c:v>43637</c:v>
                </c:pt>
                <c:pt idx="2336">
                  <c:v>43640</c:v>
                </c:pt>
                <c:pt idx="2337">
                  <c:v>43641</c:v>
                </c:pt>
                <c:pt idx="2338">
                  <c:v>43642</c:v>
                </c:pt>
                <c:pt idx="2339">
                  <c:v>43643</c:v>
                </c:pt>
                <c:pt idx="2340">
                  <c:v>43644</c:v>
                </c:pt>
                <c:pt idx="2341">
                  <c:v>43647</c:v>
                </c:pt>
                <c:pt idx="2342">
                  <c:v>43648</c:v>
                </c:pt>
                <c:pt idx="2343">
                  <c:v>43649</c:v>
                </c:pt>
                <c:pt idx="2344">
                  <c:v>43651</c:v>
                </c:pt>
                <c:pt idx="2345">
                  <c:v>43654</c:v>
                </c:pt>
                <c:pt idx="2346">
                  <c:v>43655</c:v>
                </c:pt>
                <c:pt idx="2347">
                  <c:v>43656</c:v>
                </c:pt>
                <c:pt idx="2348">
                  <c:v>43657</c:v>
                </c:pt>
                <c:pt idx="2349">
                  <c:v>43658</c:v>
                </c:pt>
                <c:pt idx="2350">
                  <c:v>43661</c:v>
                </c:pt>
                <c:pt idx="2351">
                  <c:v>43662</c:v>
                </c:pt>
                <c:pt idx="2352">
                  <c:v>43663</c:v>
                </c:pt>
                <c:pt idx="2353">
                  <c:v>43664</c:v>
                </c:pt>
                <c:pt idx="2354">
                  <c:v>43665</c:v>
                </c:pt>
                <c:pt idx="2355">
                  <c:v>43668</c:v>
                </c:pt>
                <c:pt idx="2356">
                  <c:v>43669</c:v>
                </c:pt>
                <c:pt idx="2357">
                  <c:v>43670</c:v>
                </c:pt>
                <c:pt idx="2358">
                  <c:v>43671</c:v>
                </c:pt>
                <c:pt idx="2359">
                  <c:v>43672</c:v>
                </c:pt>
                <c:pt idx="2360">
                  <c:v>43675</c:v>
                </c:pt>
                <c:pt idx="2361">
                  <c:v>43676</c:v>
                </c:pt>
                <c:pt idx="2362">
                  <c:v>43677</c:v>
                </c:pt>
                <c:pt idx="2363">
                  <c:v>43678</c:v>
                </c:pt>
                <c:pt idx="2364">
                  <c:v>43679</c:v>
                </c:pt>
                <c:pt idx="2365">
                  <c:v>43682</c:v>
                </c:pt>
                <c:pt idx="2366">
                  <c:v>43683</c:v>
                </c:pt>
                <c:pt idx="2367">
                  <c:v>43684</c:v>
                </c:pt>
                <c:pt idx="2368">
                  <c:v>43685</c:v>
                </c:pt>
                <c:pt idx="2369">
                  <c:v>43686</c:v>
                </c:pt>
                <c:pt idx="2370">
                  <c:v>43689</c:v>
                </c:pt>
                <c:pt idx="2371">
                  <c:v>43690</c:v>
                </c:pt>
                <c:pt idx="2372">
                  <c:v>43691</c:v>
                </c:pt>
                <c:pt idx="2373">
                  <c:v>43692</c:v>
                </c:pt>
                <c:pt idx="2374">
                  <c:v>43693</c:v>
                </c:pt>
                <c:pt idx="2375">
                  <c:v>43696</c:v>
                </c:pt>
                <c:pt idx="2376">
                  <c:v>43697</c:v>
                </c:pt>
                <c:pt idx="2377">
                  <c:v>43698</c:v>
                </c:pt>
                <c:pt idx="2378">
                  <c:v>43699</c:v>
                </c:pt>
                <c:pt idx="2379">
                  <c:v>43700</c:v>
                </c:pt>
                <c:pt idx="2380">
                  <c:v>43703</c:v>
                </c:pt>
                <c:pt idx="2381">
                  <c:v>43704</c:v>
                </c:pt>
                <c:pt idx="2382">
                  <c:v>43705</c:v>
                </c:pt>
                <c:pt idx="2383">
                  <c:v>43706</c:v>
                </c:pt>
                <c:pt idx="2384">
                  <c:v>43707</c:v>
                </c:pt>
                <c:pt idx="2385">
                  <c:v>43711</c:v>
                </c:pt>
                <c:pt idx="2386">
                  <c:v>43712</c:v>
                </c:pt>
                <c:pt idx="2387">
                  <c:v>43713</c:v>
                </c:pt>
                <c:pt idx="2388">
                  <c:v>43714</c:v>
                </c:pt>
                <c:pt idx="2389">
                  <c:v>43717</c:v>
                </c:pt>
                <c:pt idx="2390">
                  <c:v>43718</c:v>
                </c:pt>
                <c:pt idx="2391">
                  <c:v>43719</c:v>
                </c:pt>
                <c:pt idx="2392">
                  <c:v>43720</c:v>
                </c:pt>
                <c:pt idx="2393">
                  <c:v>43721</c:v>
                </c:pt>
                <c:pt idx="2394">
                  <c:v>43724</c:v>
                </c:pt>
                <c:pt idx="2395">
                  <c:v>43725</c:v>
                </c:pt>
                <c:pt idx="2396">
                  <c:v>43726</c:v>
                </c:pt>
                <c:pt idx="2397">
                  <c:v>43727</c:v>
                </c:pt>
                <c:pt idx="2398">
                  <c:v>43728</c:v>
                </c:pt>
                <c:pt idx="2399">
                  <c:v>43731</c:v>
                </c:pt>
                <c:pt idx="2400">
                  <c:v>43732</c:v>
                </c:pt>
                <c:pt idx="2401">
                  <c:v>43733</c:v>
                </c:pt>
                <c:pt idx="2402">
                  <c:v>43734</c:v>
                </c:pt>
                <c:pt idx="2403">
                  <c:v>43735</c:v>
                </c:pt>
                <c:pt idx="2404">
                  <c:v>43738</c:v>
                </c:pt>
                <c:pt idx="2405">
                  <c:v>43739</c:v>
                </c:pt>
                <c:pt idx="2406">
                  <c:v>43740</c:v>
                </c:pt>
                <c:pt idx="2407">
                  <c:v>43741</c:v>
                </c:pt>
                <c:pt idx="2408">
                  <c:v>43742</c:v>
                </c:pt>
                <c:pt idx="2409">
                  <c:v>43745</c:v>
                </c:pt>
                <c:pt idx="2410">
                  <c:v>43746</c:v>
                </c:pt>
                <c:pt idx="2411">
                  <c:v>43747</c:v>
                </c:pt>
                <c:pt idx="2412">
                  <c:v>43748</c:v>
                </c:pt>
                <c:pt idx="2413">
                  <c:v>43749</c:v>
                </c:pt>
                <c:pt idx="2414">
                  <c:v>43752</c:v>
                </c:pt>
                <c:pt idx="2415">
                  <c:v>43753</c:v>
                </c:pt>
                <c:pt idx="2416">
                  <c:v>43754</c:v>
                </c:pt>
                <c:pt idx="2417">
                  <c:v>43755</c:v>
                </c:pt>
                <c:pt idx="2418">
                  <c:v>43756</c:v>
                </c:pt>
                <c:pt idx="2419">
                  <c:v>43759</c:v>
                </c:pt>
                <c:pt idx="2420">
                  <c:v>43760</c:v>
                </c:pt>
                <c:pt idx="2421">
                  <c:v>43761</c:v>
                </c:pt>
                <c:pt idx="2422">
                  <c:v>43762</c:v>
                </c:pt>
                <c:pt idx="2423">
                  <c:v>43763</c:v>
                </c:pt>
                <c:pt idx="2424">
                  <c:v>43766</c:v>
                </c:pt>
                <c:pt idx="2425">
                  <c:v>43767</c:v>
                </c:pt>
                <c:pt idx="2426">
                  <c:v>43768</c:v>
                </c:pt>
                <c:pt idx="2427">
                  <c:v>43769</c:v>
                </c:pt>
                <c:pt idx="2428">
                  <c:v>43770</c:v>
                </c:pt>
                <c:pt idx="2429">
                  <c:v>43773</c:v>
                </c:pt>
                <c:pt idx="2430">
                  <c:v>43774</c:v>
                </c:pt>
                <c:pt idx="2431">
                  <c:v>43775</c:v>
                </c:pt>
                <c:pt idx="2432">
                  <c:v>43776</c:v>
                </c:pt>
                <c:pt idx="2433">
                  <c:v>43777</c:v>
                </c:pt>
                <c:pt idx="2434">
                  <c:v>43780</c:v>
                </c:pt>
                <c:pt idx="2435">
                  <c:v>43781</c:v>
                </c:pt>
                <c:pt idx="2436">
                  <c:v>43782</c:v>
                </c:pt>
                <c:pt idx="2437">
                  <c:v>43783</c:v>
                </c:pt>
                <c:pt idx="2438">
                  <c:v>43784</c:v>
                </c:pt>
                <c:pt idx="2439">
                  <c:v>43787</c:v>
                </c:pt>
                <c:pt idx="2440">
                  <c:v>43788</c:v>
                </c:pt>
                <c:pt idx="2441">
                  <c:v>43789</c:v>
                </c:pt>
                <c:pt idx="2442">
                  <c:v>43790</c:v>
                </c:pt>
                <c:pt idx="2443">
                  <c:v>43791</c:v>
                </c:pt>
                <c:pt idx="2444">
                  <c:v>43794</c:v>
                </c:pt>
                <c:pt idx="2445">
                  <c:v>43795</c:v>
                </c:pt>
                <c:pt idx="2446">
                  <c:v>43796</c:v>
                </c:pt>
                <c:pt idx="2447">
                  <c:v>43798</c:v>
                </c:pt>
                <c:pt idx="2448">
                  <c:v>43801</c:v>
                </c:pt>
                <c:pt idx="2449">
                  <c:v>43802</c:v>
                </c:pt>
                <c:pt idx="2450">
                  <c:v>43803</c:v>
                </c:pt>
                <c:pt idx="2451">
                  <c:v>43804</c:v>
                </c:pt>
                <c:pt idx="2452">
                  <c:v>43805</c:v>
                </c:pt>
                <c:pt idx="2453">
                  <c:v>43808</c:v>
                </c:pt>
                <c:pt idx="2454">
                  <c:v>43809</c:v>
                </c:pt>
                <c:pt idx="2455">
                  <c:v>43810</c:v>
                </c:pt>
                <c:pt idx="2456">
                  <c:v>43811</c:v>
                </c:pt>
                <c:pt idx="2457">
                  <c:v>43812</c:v>
                </c:pt>
                <c:pt idx="2458">
                  <c:v>43815</c:v>
                </c:pt>
                <c:pt idx="2459">
                  <c:v>43816</c:v>
                </c:pt>
                <c:pt idx="2460">
                  <c:v>43817</c:v>
                </c:pt>
                <c:pt idx="2461">
                  <c:v>43818</c:v>
                </c:pt>
                <c:pt idx="2462">
                  <c:v>43819</c:v>
                </c:pt>
                <c:pt idx="2463">
                  <c:v>43822</c:v>
                </c:pt>
                <c:pt idx="2464">
                  <c:v>43823</c:v>
                </c:pt>
                <c:pt idx="2465">
                  <c:v>43825</c:v>
                </c:pt>
                <c:pt idx="2466">
                  <c:v>43826</c:v>
                </c:pt>
                <c:pt idx="2467">
                  <c:v>43829</c:v>
                </c:pt>
                <c:pt idx="2468">
                  <c:v>43830</c:v>
                </c:pt>
              </c:numCache>
            </c:numRef>
          </c:cat>
          <c:val>
            <c:numRef>
              <c:f>Backtest!$D$51:$D$2519</c:f>
              <c:numCache>
                <c:formatCode>General</c:formatCode>
                <c:ptCount val="2469"/>
                <c:pt idx="0">
                  <c:v>1903.29</c:v>
                </c:pt>
                <c:pt idx="1">
                  <c:v>1904.19</c:v>
                </c:pt>
                <c:pt idx="2">
                  <c:v>1919.02</c:v>
                </c:pt>
                <c:pt idx="3">
                  <c:v>1930.22</c:v>
                </c:pt>
                <c:pt idx="4">
                  <c:v>1929.63</c:v>
                </c:pt>
                <c:pt idx="5">
                  <c:v>1919.8</c:v>
                </c:pt>
                <c:pt idx="6">
                  <c:v>1929.64</c:v>
                </c:pt>
                <c:pt idx="7">
                  <c:v>1943.7</c:v>
                </c:pt>
                <c:pt idx="8">
                  <c:v>1933.04</c:v>
                </c:pt>
                <c:pt idx="9">
                  <c:v>1929.75</c:v>
                </c:pt>
                <c:pt idx="10">
                  <c:v>1931.18</c:v>
                </c:pt>
                <c:pt idx="11">
                  <c:v>1942.51</c:v>
                </c:pt>
                <c:pt idx="12">
                  <c:v>1942.81</c:v>
                </c:pt>
                <c:pt idx="13">
                  <c:v>1936.48</c:v>
                </c:pt>
                <c:pt idx="14">
                  <c:v>1950.91</c:v>
                </c:pt>
                <c:pt idx="15">
                  <c:v>1966.44</c:v>
                </c:pt>
                <c:pt idx="16">
                  <c:v>1969.76</c:v>
                </c:pt>
                <c:pt idx="17">
                  <c:v>1959.04</c:v>
                </c:pt>
                <c:pt idx="18">
                  <c:v>1965.72</c:v>
                </c:pt>
                <c:pt idx="19">
                  <c:v>1978.86</c:v>
                </c:pt>
                <c:pt idx="20">
                  <c:v>1982.4</c:v>
                </c:pt>
                <c:pt idx="21">
                  <c:v>1983.91</c:v>
                </c:pt>
                <c:pt idx="22">
                  <c:v>2006.06</c:v>
                </c:pt>
                <c:pt idx="23">
                  <c:v>2007.74</c:v>
                </c:pt>
                <c:pt idx="24">
                  <c:v>1975.36</c:v>
                </c:pt>
                <c:pt idx="25">
                  <c:v>1984.32</c:v>
                </c:pt>
                <c:pt idx="26">
                  <c:v>2000.33</c:v>
                </c:pt>
                <c:pt idx="27">
                  <c:v>1998.31</c:v>
                </c:pt>
                <c:pt idx="28">
                  <c:v>2002.93</c:v>
                </c:pt>
                <c:pt idx="29">
                  <c:v>2017.19</c:v>
                </c:pt>
                <c:pt idx="30">
                  <c:v>2008.55</c:v>
                </c:pt>
                <c:pt idx="31">
                  <c:v>1961.6</c:v>
                </c:pt>
                <c:pt idx="32">
                  <c:v>1974.63</c:v>
                </c:pt>
                <c:pt idx="33">
                  <c:v>2000.34</c:v>
                </c:pt>
                <c:pt idx="34">
                  <c:v>1967.05</c:v>
                </c:pt>
                <c:pt idx="35">
                  <c:v>1992.87</c:v>
                </c:pt>
                <c:pt idx="36">
                  <c:v>1945.37</c:v>
                </c:pt>
                <c:pt idx="37">
                  <c:v>1933.25</c:v>
                </c:pt>
                <c:pt idx="38">
                  <c:v>1870.95</c:v>
                </c:pt>
                <c:pt idx="39">
                  <c:v>1842.32</c:v>
                </c:pt>
                <c:pt idx="40">
                  <c:v>1923.39</c:v>
                </c:pt>
                <c:pt idx="41">
                  <c:v>1917.25</c:v>
                </c:pt>
                <c:pt idx="42">
                  <c:v>1944.25</c:v>
                </c:pt>
                <c:pt idx="43">
                  <c:v>1920.76</c:v>
                </c:pt>
                <c:pt idx="44">
                  <c:v>1884.67</c:v>
                </c:pt>
                <c:pt idx="45">
                  <c:v>1887.11</c:v>
                </c:pt>
                <c:pt idx="46">
                  <c:v>1860.65</c:v>
                </c:pt>
                <c:pt idx="47">
                  <c:v>1851.28</c:v>
                </c:pt>
                <c:pt idx="48">
                  <c:v>1779.3</c:v>
                </c:pt>
                <c:pt idx="49">
                  <c:v>1806.05</c:v>
                </c:pt>
                <c:pt idx="50">
                  <c:v>1782.77</c:v>
                </c:pt>
                <c:pt idx="51">
                  <c:v>1783.4</c:v>
                </c:pt>
                <c:pt idx="52">
                  <c:v>1773.65</c:v>
                </c:pt>
                <c:pt idx="53">
                  <c:v>1832.61</c:v>
                </c:pt>
                <c:pt idx="54">
                  <c:v>1809.98</c:v>
                </c:pt>
                <c:pt idx="55">
                  <c:v>1778.99</c:v>
                </c:pt>
                <c:pt idx="56">
                  <c:v>1825.25</c:v>
                </c:pt>
                <c:pt idx="57">
                  <c:v>1832.72</c:v>
                </c:pt>
                <c:pt idx="58">
                  <c:v>1769.72</c:v>
                </c:pt>
                <c:pt idx="59">
                  <c:v>1745.87</c:v>
                </c:pt>
                <c:pt idx="60">
                  <c:v>1765.29</c:v>
                </c:pt>
                <c:pt idx="61">
                  <c:v>1754.91</c:v>
                </c:pt>
                <c:pt idx="62">
                  <c:v>1806.69</c:v>
                </c:pt>
                <c:pt idx="63">
                  <c:v>1815.26</c:v>
                </c:pt>
                <c:pt idx="64">
                  <c:v>1812.02</c:v>
                </c:pt>
                <c:pt idx="65">
                  <c:v>1854.61</c:v>
                </c:pt>
                <c:pt idx="66">
                  <c:v>1853.62</c:v>
                </c:pt>
                <c:pt idx="67">
                  <c:v>1856.25</c:v>
                </c:pt>
                <c:pt idx="68">
                  <c:v>1858.7</c:v>
                </c:pt>
                <c:pt idx="69">
                  <c:v>1851.55</c:v>
                </c:pt>
                <c:pt idx="70">
                  <c:v>1822.05</c:v>
                </c:pt>
                <c:pt idx="71">
                  <c:v>1816.65</c:v>
                </c:pt>
                <c:pt idx="72">
                  <c:v>1786.13</c:v>
                </c:pt>
                <c:pt idx="73">
                  <c:v>1791.24</c:v>
                </c:pt>
                <c:pt idx="74">
                  <c:v>1787.94</c:v>
                </c:pt>
                <c:pt idx="75">
                  <c:v>1732.55</c:v>
                </c:pt>
                <c:pt idx="76">
                  <c:v>1715.23</c:v>
                </c:pt>
                <c:pt idx="77">
                  <c:v>1709.77</c:v>
                </c:pt>
                <c:pt idx="78">
                  <c:v>1701.86</c:v>
                </c:pt>
                <c:pt idx="79">
                  <c:v>1710.97</c:v>
                </c:pt>
                <c:pt idx="80">
                  <c:v>1765.42</c:v>
                </c:pt>
                <c:pt idx="81">
                  <c:v>1782.1</c:v>
                </c:pt>
                <c:pt idx="82">
                  <c:v>1794.94</c:v>
                </c:pt>
                <c:pt idx="83">
                  <c:v>1796.3</c:v>
                </c:pt>
                <c:pt idx="84">
                  <c:v>1824.07</c:v>
                </c:pt>
                <c:pt idx="85">
                  <c:v>1823.82</c:v>
                </c:pt>
                <c:pt idx="86">
                  <c:v>1826</c:v>
                </c:pt>
                <c:pt idx="87">
                  <c:v>1773.43</c:v>
                </c:pt>
                <c:pt idx="88">
                  <c:v>1784.06</c:v>
                </c:pt>
                <c:pt idx="89">
                  <c:v>1804.48</c:v>
                </c:pt>
                <c:pt idx="90">
                  <c:v>1781.6</c:v>
                </c:pt>
                <c:pt idx="91">
                  <c:v>1821.76</c:v>
                </c:pt>
                <c:pt idx="92">
                  <c:v>1836.75</c:v>
                </c:pt>
                <c:pt idx="93">
                  <c:v>1857.34</c:v>
                </c:pt>
                <c:pt idx="94">
                  <c:v>1855.39</c:v>
                </c:pt>
                <c:pt idx="95">
                  <c:v>1842.66</c:v>
                </c:pt>
                <c:pt idx="96">
                  <c:v>1835.29</c:v>
                </c:pt>
                <c:pt idx="97">
                  <c:v>1835.4</c:v>
                </c:pt>
                <c:pt idx="98">
                  <c:v>1875.85</c:v>
                </c:pt>
                <c:pt idx="99">
                  <c:v>1866.87</c:v>
                </c:pt>
                <c:pt idx="100">
                  <c:v>1878.81</c:v>
                </c:pt>
                <c:pt idx="101">
                  <c:v>1876.51</c:v>
                </c:pt>
                <c:pt idx="102">
                  <c:v>1869.77</c:v>
                </c:pt>
                <c:pt idx="103">
                  <c:v>1880.06</c:v>
                </c:pt>
                <c:pt idx="104">
                  <c:v>1868.88</c:v>
                </c:pt>
                <c:pt idx="105">
                  <c:v>1817.13</c:v>
                </c:pt>
                <c:pt idx="106">
                  <c:v>1807.61</c:v>
                </c:pt>
                <c:pt idx="107">
                  <c:v>1800.39</c:v>
                </c:pt>
                <c:pt idx="108">
                  <c:v>1800.7</c:v>
                </c:pt>
                <c:pt idx="109">
                  <c:v>1823.18</c:v>
                </c:pt>
                <c:pt idx="110">
                  <c:v>1826.14</c:v>
                </c:pt>
                <c:pt idx="111">
                  <c:v>1795.24</c:v>
                </c:pt>
                <c:pt idx="112">
                  <c:v>1788.67</c:v>
                </c:pt>
                <c:pt idx="113">
                  <c:v>1781.47</c:v>
                </c:pt>
                <c:pt idx="114">
                  <c:v>1755.65</c:v>
                </c:pt>
                <c:pt idx="115">
                  <c:v>1761.62</c:v>
                </c:pt>
                <c:pt idx="116">
                  <c:v>1748.14</c:v>
                </c:pt>
                <c:pt idx="117">
                  <c:v>1777.6</c:v>
                </c:pt>
                <c:pt idx="118">
                  <c:v>1751.79</c:v>
                </c:pt>
                <c:pt idx="119">
                  <c:v>1752.55</c:v>
                </c:pt>
                <c:pt idx="120">
                  <c:v>1804.46</c:v>
                </c:pt>
                <c:pt idx="121">
                  <c:v>1820.98</c:v>
                </c:pt>
                <c:pt idx="122">
                  <c:v>1845.1</c:v>
                </c:pt>
                <c:pt idx="123">
                  <c:v>1824.05</c:v>
                </c:pt>
                <c:pt idx="124">
                  <c:v>1836.21</c:v>
                </c:pt>
                <c:pt idx="125">
                  <c:v>1845.09</c:v>
                </c:pt>
                <c:pt idx="126">
                  <c:v>1854.1</c:v>
                </c:pt>
                <c:pt idx="127">
                  <c:v>1875.41</c:v>
                </c:pt>
                <c:pt idx="128">
                  <c:v>1874.07</c:v>
                </c:pt>
                <c:pt idx="129">
                  <c:v>1880.74</c:v>
                </c:pt>
                <c:pt idx="130">
                  <c:v>1880.37</c:v>
                </c:pt>
                <c:pt idx="131">
                  <c:v>1881.93</c:v>
                </c:pt>
                <c:pt idx="132">
                  <c:v>1910.6</c:v>
                </c:pt>
                <c:pt idx="133">
                  <c:v>1905.74</c:v>
                </c:pt>
                <c:pt idx="134">
                  <c:v>1896.77</c:v>
                </c:pt>
                <c:pt idx="135">
                  <c:v>1880.97</c:v>
                </c:pt>
                <c:pt idx="136">
                  <c:v>1920.84</c:v>
                </c:pt>
                <c:pt idx="137">
                  <c:v>1909.98</c:v>
                </c:pt>
                <c:pt idx="138">
                  <c:v>1919.59</c:v>
                </c:pt>
                <c:pt idx="139">
                  <c:v>1914.84</c:v>
                </c:pt>
                <c:pt idx="140">
                  <c:v>1908.95</c:v>
                </c:pt>
                <c:pt idx="141">
                  <c:v>1917.42</c:v>
                </c:pt>
                <c:pt idx="142">
                  <c:v>1902.15</c:v>
                </c:pt>
                <c:pt idx="143">
                  <c:v>1941.82</c:v>
                </c:pt>
                <c:pt idx="144">
                  <c:v>1941.5</c:v>
                </c:pt>
                <c:pt idx="145">
                  <c:v>1938.31</c:v>
                </c:pt>
                <c:pt idx="146">
                  <c:v>1950.18</c:v>
                </c:pt>
                <c:pt idx="147">
                  <c:v>1950.47</c:v>
                </c:pt>
                <c:pt idx="148">
                  <c:v>1957.92</c:v>
                </c:pt>
                <c:pt idx="149">
                  <c:v>1972.08</c:v>
                </c:pt>
                <c:pt idx="150">
                  <c:v>1964.9</c:v>
                </c:pt>
                <c:pt idx="151">
                  <c:v>1968.87</c:v>
                </c:pt>
                <c:pt idx="152">
                  <c:v>1983.17</c:v>
                </c:pt>
                <c:pt idx="153">
                  <c:v>1951.67</c:v>
                </c:pt>
                <c:pt idx="154">
                  <c:v>1972.51</c:v>
                </c:pt>
                <c:pt idx="155">
                  <c:v>1976.12</c:v>
                </c:pt>
                <c:pt idx="156">
                  <c:v>1980.83</c:v>
                </c:pt>
                <c:pt idx="157">
                  <c:v>1985.11</c:v>
                </c:pt>
                <c:pt idx="158">
                  <c:v>1985.13</c:v>
                </c:pt>
                <c:pt idx="159">
                  <c:v>1980.05</c:v>
                </c:pt>
                <c:pt idx="160">
                  <c:v>1982.45</c:v>
                </c:pt>
                <c:pt idx="161">
                  <c:v>1981.59</c:v>
                </c:pt>
                <c:pt idx="162">
                  <c:v>1983.47</c:v>
                </c:pt>
                <c:pt idx="163">
                  <c:v>1998.86</c:v>
                </c:pt>
                <c:pt idx="164">
                  <c:v>2006.58</c:v>
                </c:pt>
                <c:pt idx="165">
                  <c:v>2045.62</c:v>
                </c:pt>
                <c:pt idx="166">
                  <c:v>2053.77</c:v>
                </c:pt>
                <c:pt idx="167">
                  <c:v>2049.69</c:v>
                </c:pt>
                <c:pt idx="168">
                  <c:v>2033.85</c:v>
                </c:pt>
                <c:pt idx="169">
                  <c:v>2043.16</c:v>
                </c:pt>
                <c:pt idx="170">
                  <c:v>2034.48</c:v>
                </c:pt>
                <c:pt idx="171">
                  <c:v>2010.57</c:v>
                </c:pt>
                <c:pt idx="172">
                  <c:v>2008.25</c:v>
                </c:pt>
                <c:pt idx="173">
                  <c:v>1976.26</c:v>
                </c:pt>
                <c:pt idx="174">
                  <c:v>1977</c:v>
                </c:pt>
                <c:pt idx="175">
                  <c:v>2007.38</c:v>
                </c:pt>
                <c:pt idx="176">
                  <c:v>2012.59</c:v>
                </c:pt>
                <c:pt idx="177">
                  <c:v>2009.52</c:v>
                </c:pt>
                <c:pt idx="178">
                  <c:v>1980.89</c:v>
                </c:pt>
                <c:pt idx="179">
                  <c:v>2010.56</c:v>
                </c:pt>
                <c:pt idx="180">
                  <c:v>1996.03</c:v>
                </c:pt>
                <c:pt idx="181">
                  <c:v>1993.83</c:v>
                </c:pt>
                <c:pt idx="182">
                  <c:v>1981.84</c:v>
                </c:pt>
                <c:pt idx="183">
                  <c:v>2024.97</c:v>
                </c:pt>
                <c:pt idx="184">
                  <c:v>2050.96</c:v>
                </c:pt>
                <c:pt idx="185">
                  <c:v>2056.4</c:v>
                </c:pt>
                <c:pt idx="186">
                  <c:v>2053.8000000000002</c:v>
                </c:pt>
                <c:pt idx="187">
                  <c:v>2054.89</c:v>
                </c:pt>
                <c:pt idx="188">
                  <c:v>2063.0300000000002</c:v>
                </c:pt>
                <c:pt idx="189">
                  <c:v>2071.12</c:v>
                </c:pt>
                <c:pt idx="190">
                  <c:v>2083.5700000000002</c:v>
                </c:pt>
                <c:pt idx="191">
                  <c:v>2084</c:v>
                </c:pt>
                <c:pt idx="192">
                  <c:v>2085.9299999999998</c:v>
                </c:pt>
                <c:pt idx="193">
                  <c:v>2075.29</c:v>
                </c:pt>
                <c:pt idx="194">
                  <c:v>2088.19</c:v>
                </c:pt>
                <c:pt idx="195">
                  <c:v>2089.9499999999998</c:v>
                </c:pt>
                <c:pt idx="196">
                  <c:v>2095.3200000000002</c:v>
                </c:pt>
                <c:pt idx="197">
                  <c:v>2108.2600000000002</c:v>
                </c:pt>
                <c:pt idx="198">
                  <c:v>2115.69</c:v>
                </c:pt>
                <c:pt idx="199">
                  <c:v>2112.37</c:v>
                </c:pt>
                <c:pt idx="200">
                  <c:v>2113.67</c:v>
                </c:pt>
                <c:pt idx="201">
                  <c:v>2115.3200000000002</c:v>
                </c:pt>
                <c:pt idx="202">
                  <c:v>2117.83</c:v>
                </c:pt>
                <c:pt idx="203">
                  <c:v>2114.6999999999998</c:v>
                </c:pt>
                <c:pt idx="204">
                  <c:v>2114.29</c:v>
                </c:pt>
                <c:pt idx="205">
                  <c:v>2138.3000000000002</c:v>
                </c:pt>
                <c:pt idx="206">
                  <c:v>2135.5300000000002</c:v>
                </c:pt>
                <c:pt idx="207">
                  <c:v>2146.5</c:v>
                </c:pt>
                <c:pt idx="208">
                  <c:v>2142.7600000000002</c:v>
                </c:pt>
                <c:pt idx="209">
                  <c:v>2138.81</c:v>
                </c:pt>
                <c:pt idx="210">
                  <c:v>2135.86</c:v>
                </c:pt>
                <c:pt idx="211">
                  <c:v>2143.8200000000002</c:v>
                </c:pt>
                <c:pt idx="212">
                  <c:v>2163.36</c:v>
                </c:pt>
                <c:pt idx="213">
                  <c:v>2159.66</c:v>
                </c:pt>
                <c:pt idx="214">
                  <c:v>2175.6799999999998</c:v>
                </c:pt>
                <c:pt idx="215">
                  <c:v>2178.7199999999998</c:v>
                </c:pt>
                <c:pt idx="216">
                  <c:v>2156.9699999999998</c:v>
                </c:pt>
                <c:pt idx="217">
                  <c:v>2154.1799999999998</c:v>
                </c:pt>
                <c:pt idx="218">
                  <c:v>2159.4299999999998</c:v>
                </c:pt>
                <c:pt idx="219">
                  <c:v>2172.0300000000002</c:v>
                </c:pt>
                <c:pt idx="220">
                  <c:v>2172.67</c:v>
                </c:pt>
                <c:pt idx="221">
                  <c:v>2181.92</c:v>
                </c:pt>
                <c:pt idx="222">
                  <c:v>2186.9299999999998</c:v>
                </c:pt>
                <c:pt idx="223">
                  <c:v>2147.9499999999998</c:v>
                </c:pt>
                <c:pt idx="224">
                  <c:v>2164.4</c:v>
                </c:pt>
                <c:pt idx="225">
                  <c:v>2200.54</c:v>
                </c:pt>
                <c:pt idx="226">
                  <c:v>2194.94</c:v>
                </c:pt>
                <c:pt idx="227">
                  <c:v>2200.42</c:v>
                </c:pt>
                <c:pt idx="228">
                  <c:v>2206.8000000000002</c:v>
                </c:pt>
                <c:pt idx="229">
                  <c:v>2220.6</c:v>
                </c:pt>
                <c:pt idx="230">
                  <c:v>2230.59</c:v>
                </c:pt>
                <c:pt idx="231">
                  <c:v>2224.64</c:v>
                </c:pt>
                <c:pt idx="232">
                  <c:v>2226.5100000000002</c:v>
                </c:pt>
                <c:pt idx="233">
                  <c:v>2239.08</c:v>
                </c:pt>
                <c:pt idx="234">
                  <c:v>2244.89</c:v>
                </c:pt>
                <c:pt idx="235">
                  <c:v>2237.9</c:v>
                </c:pt>
                <c:pt idx="236">
                  <c:v>2252.3000000000002</c:v>
                </c:pt>
                <c:pt idx="237">
                  <c:v>2259.42</c:v>
                </c:pt>
                <c:pt idx="238">
                  <c:v>2263.79</c:v>
                </c:pt>
                <c:pt idx="239">
                  <c:v>2217.35</c:v>
                </c:pt>
                <c:pt idx="240">
                  <c:v>2203.89</c:v>
                </c:pt>
                <c:pt idx="241">
                  <c:v>2202.23</c:v>
                </c:pt>
                <c:pt idx="242">
                  <c:v>2226.0500000000002</c:v>
                </c:pt>
                <c:pt idx="243">
                  <c:v>2238.5500000000002</c:v>
                </c:pt>
                <c:pt idx="244">
                  <c:v>2203.3200000000002</c:v>
                </c:pt>
                <c:pt idx="245">
                  <c:v>2207.2399999999998</c:v>
                </c:pt>
                <c:pt idx="246">
                  <c:v>2245.33</c:v>
                </c:pt>
                <c:pt idx="247">
                  <c:v>2228.7800000000002</c:v>
                </c:pt>
                <c:pt idx="248">
                  <c:v>2210.2600000000002</c:v>
                </c:pt>
                <c:pt idx="249">
                  <c:v>2230.4</c:v>
                </c:pt>
                <c:pt idx="250">
                  <c:v>2227.6999999999998</c:v>
                </c:pt>
                <c:pt idx="251">
                  <c:v>2185.65</c:v>
                </c:pt>
                <c:pt idx="252">
                  <c:v>2201.81</c:v>
                </c:pt>
                <c:pt idx="253">
                  <c:v>2188.56</c:v>
                </c:pt>
                <c:pt idx="254">
                  <c:v>2164.06</c:v>
                </c:pt>
                <c:pt idx="255">
                  <c:v>2121.94</c:v>
                </c:pt>
                <c:pt idx="256">
                  <c:v>2150.4299999999998</c:v>
                </c:pt>
                <c:pt idx="257">
                  <c:v>2159.69</c:v>
                </c:pt>
                <c:pt idx="258">
                  <c:v>2192.09</c:v>
                </c:pt>
                <c:pt idx="259">
                  <c:v>2184.5700000000002</c:v>
                </c:pt>
                <c:pt idx="260">
                  <c:v>2190.96</c:v>
                </c:pt>
                <c:pt idx="261">
                  <c:v>2211.42</c:v>
                </c:pt>
                <c:pt idx="262">
                  <c:v>2218.42</c:v>
                </c:pt>
                <c:pt idx="263">
                  <c:v>2212.3200000000002</c:v>
                </c:pt>
                <c:pt idx="264">
                  <c:v>2228.41</c:v>
                </c:pt>
                <c:pt idx="265">
                  <c:v>2243.5500000000002</c:v>
                </c:pt>
                <c:pt idx="266">
                  <c:v>2239.44</c:v>
                </c:pt>
                <c:pt idx="267">
                  <c:v>2250.58</c:v>
                </c:pt>
                <c:pt idx="268">
                  <c:v>2251.64</c:v>
                </c:pt>
                <c:pt idx="269">
                  <c:v>2251.2600000000002</c:v>
                </c:pt>
                <c:pt idx="270">
                  <c:v>2257.11</c:v>
                </c:pt>
                <c:pt idx="271">
                  <c:v>2253.7600000000002</c:v>
                </c:pt>
                <c:pt idx="272">
                  <c:v>2244.7399999999998</c:v>
                </c:pt>
                <c:pt idx="273">
                  <c:v>2238.5100000000002</c:v>
                </c:pt>
                <c:pt idx="274">
                  <c:v>2221.12</c:v>
                </c:pt>
                <c:pt idx="275">
                  <c:v>2221.77</c:v>
                </c:pt>
                <c:pt idx="276">
                  <c:v>2221.9899999999998</c:v>
                </c:pt>
                <c:pt idx="277">
                  <c:v>2230.71</c:v>
                </c:pt>
                <c:pt idx="278">
                  <c:v>2206.15</c:v>
                </c:pt>
                <c:pt idx="279">
                  <c:v>2218.86</c:v>
                </c:pt>
                <c:pt idx="280">
                  <c:v>2248.9</c:v>
                </c:pt>
                <c:pt idx="281">
                  <c:v>2260.84</c:v>
                </c:pt>
                <c:pt idx="282">
                  <c:v>2257.2399999999998</c:v>
                </c:pt>
                <c:pt idx="283">
                  <c:v>2277.5100000000002</c:v>
                </c:pt>
                <c:pt idx="284">
                  <c:v>2292.13</c:v>
                </c:pt>
                <c:pt idx="285">
                  <c:v>2300.46</c:v>
                </c:pt>
                <c:pt idx="286">
                  <c:v>2305.7600000000002</c:v>
                </c:pt>
                <c:pt idx="287">
                  <c:v>2301.7199999999998</c:v>
                </c:pt>
                <c:pt idx="288">
                  <c:v>2293.9499999999998</c:v>
                </c:pt>
                <c:pt idx="289">
                  <c:v>2278.63</c:v>
                </c:pt>
                <c:pt idx="290">
                  <c:v>2258.08</c:v>
                </c:pt>
                <c:pt idx="291">
                  <c:v>2266.9699999999998</c:v>
                </c:pt>
                <c:pt idx="292">
                  <c:v>2277.3000000000002</c:v>
                </c:pt>
                <c:pt idx="293">
                  <c:v>2295.7199999999998</c:v>
                </c:pt>
                <c:pt idx="294">
                  <c:v>2271.4699999999998</c:v>
                </c:pt>
                <c:pt idx="295">
                  <c:v>2282.84</c:v>
                </c:pt>
                <c:pt idx="296">
                  <c:v>2264.52</c:v>
                </c:pt>
                <c:pt idx="297">
                  <c:v>2250.61</c:v>
                </c:pt>
                <c:pt idx="298">
                  <c:v>2250.35</c:v>
                </c:pt>
                <c:pt idx="299">
                  <c:v>2270.5700000000002</c:v>
                </c:pt>
                <c:pt idx="300">
                  <c:v>2275.71</c:v>
                </c:pt>
                <c:pt idx="301">
                  <c:v>2258.21</c:v>
                </c:pt>
                <c:pt idx="302">
                  <c:v>2231.31</c:v>
                </c:pt>
                <c:pt idx="303">
                  <c:v>2229.4899999999998</c:v>
                </c:pt>
                <c:pt idx="304">
                  <c:v>2236.75</c:v>
                </c:pt>
                <c:pt idx="305">
                  <c:v>2246.13</c:v>
                </c:pt>
                <c:pt idx="306">
                  <c:v>2255.7399999999998</c:v>
                </c:pt>
                <c:pt idx="307">
                  <c:v>2279.66</c:v>
                </c:pt>
                <c:pt idx="308">
                  <c:v>2227.96</c:v>
                </c:pt>
                <c:pt idx="309">
                  <c:v>2225.36</c:v>
                </c:pt>
                <c:pt idx="310">
                  <c:v>2203.81</c:v>
                </c:pt>
                <c:pt idx="311">
                  <c:v>2180.14</c:v>
                </c:pt>
                <c:pt idx="312">
                  <c:v>2178.15</c:v>
                </c:pt>
                <c:pt idx="313">
                  <c:v>2169.5</c:v>
                </c:pt>
                <c:pt idx="314">
                  <c:v>2185.52</c:v>
                </c:pt>
                <c:pt idx="315">
                  <c:v>2155</c:v>
                </c:pt>
                <c:pt idx="316">
                  <c:v>2157.15</c:v>
                </c:pt>
                <c:pt idx="317">
                  <c:v>2184.48</c:v>
                </c:pt>
                <c:pt idx="318">
                  <c:v>2146.4499999999998</c:v>
                </c:pt>
                <c:pt idx="319">
                  <c:v>2150.58</c:v>
                </c:pt>
                <c:pt idx="320">
                  <c:v>2157.14</c:v>
                </c:pt>
                <c:pt idx="321">
                  <c:v>2168.8000000000002</c:v>
                </c:pt>
                <c:pt idx="322">
                  <c:v>2198.15</c:v>
                </c:pt>
                <c:pt idx="323">
                  <c:v>2184.0300000000002</c:v>
                </c:pt>
                <c:pt idx="324">
                  <c:v>2177.85</c:v>
                </c:pt>
                <c:pt idx="325">
                  <c:v>2152.31</c:v>
                </c:pt>
                <c:pt idx="326">
                  <c:v>2172.08</c:v>
                </c:pt>
                <c:pt idx="327">
                  <c:v>2200.6799999999998</c:v>
                </c:pt>
                <c:pt idx="328">
                  <c:v>2219.1999999999998</c:v>
                </c:pt>
                <c:pt idx="329">
                  <c:v>2241.66</c:v>
                </c:pt>
                <c:pt idx="330">
                  <c:v>2274.2600000000002</c:v>
                </c:pt>
                <c:pt idx="331">
                  <c:v>2271.29</c:v>
                </c:pt>
                <c:pt idx="332">
                  <c:v>2274.42</c:v>
                </c:pt>
                <c:pt idx="333">
                  <c:v>2298.31</c:v>
                </c:pt>
                <c:pt idx="334">
                  <c:v>2282.3200000000002</c:v>
                </c:pt>
                <c:pt idx="335">
                  <c:v>2241.0700000000002</c:v>
                </c:pt>
                <c:pt idx="336">
                  <c:v>2231.15</c:v>
                </c:pt>
                <c:pt idx="337">
                  <c:v>2238.29</c:v>
                </c:pt>
                <c:pt idx="338">
                  <c:v>2223.29</c:v>
                </c:pt>
                <c:pt idx="339">
                  <c:v>2235.65</c:v>
                </c:pt>
                <c:pt idx="340">
                  <c:v>2217.5500000000002</c:v>
                </c:pt>
                <c:pt idx="341">
                  <c:v>2253.71</c:v>
                </c:pt>
                <c:pt idx="342">
                  <c:v>2252.52</c:v>
                </c:pt>
                <c:pt idx="343">
                  <c:v>2283.23</c:v>
                </c:pt>
                <c:pt idx="344">
                  <c:v>2285.34</c:v>
                </c:pt>
                <c:pt idx="345">
                  <c:v>2272.4699999999998</c:v>
                </c:pt>
                <c:pt idx="346">
                  <c:v>2263.15</c:v>
                </c:pt>
                <c:pt idx="347">
                  <c:v>2217.29</c:v>
                </c:pt>
                <c:pt idx="348">
                  <c:v>2210.33</c:v>
                </c:pt>
                <c:pt idx="349">
                  <c:v>2196.08</c:v>
                </c:pt>
                <c:pt idx="350">
                  <c:v>2187</c:v>
                </c:pt>
                <c:pt idx="351">
                  <c:v>2131.1</c:v>
                </c:pt>
                <c:pt idx="352">
                  <c:v>2142.56</c:v>
                </c:pt>
                <c:pt idx="353">
                  <c:v>2040.2</c:v>
                </c:pt>
                <c:pt idx="354">
                  <c:v>2039.04</c:v>
                </c:pt>
                <c:pt idx="355">
                  <c:v>1903.47</c:v>
                </c:pt>
                <c:pt idx="356">
                  <c:v>1993.76</c:v>
                </c:pt>
                <c:pt idx="357">
                  <c:v>1906.53</c:v>
                </c:pt>
                <c:pt idx="358">
                  <c:v>1995.14</c:v>
                </c:pt>
                <c:pt idx="359">
                  <c:v>2005.67</c:v>
                </c:pt>
                <c:pt idx="360">
                  <c:v>2049.5100000000002</c:v>
                </c:pt>
                <c:pt idx="361">
                  <c:v>2029.92</c:v>
                </c:pt>
                <c:pt idx="362">
                  <c:v>2032.41</c:v>
                </c:pt>
                <c:pt idx="363">
                  <c:v>1941.92</c:v>
                </c:pt>
                <c:pt idx="364">
                  <c:v>1912.77</c:v>
                </c:pt>
                <c:pt idx="365">
                  <c:v>1913.27</c:v>
                </c:pt>
                <c:pt idx="366">
                  <c:v>1978.89</c:v>
                </c:pt>
                <c:pt idx="367">
                  <c:v>2005.13</c:v>
                </c:pt>
                <c:pt idx="368">
                  <c:v>1973.96</c:v>
                </c:pt>
                <c:pt idx="369">
                  <c:v>2004.11</c:v>
                </c:pt>
                <c:pt idx="370">
                  <c:v>2061.0500000000002</c:v>
                </c:pt>
                <c:pt idx="371">
                  <c:v>2066.37</c:v>
                </c:pt>
                <c:pt idx="372">
                  <c:v>2076.7800000000002</c:v>
                </c:pt>
                <c:pt idx="373">
                  <c:v>2052.3000000000002</c:v>
                </c:pt>
                <c:pt idx="374">
                  <c:v>2000.5</c:v>
                </c:pt>
                <c:pt idx="375">
                  <c:v>1985.67</c:v>
                </c:pt>
                <c:pt idx="376">
                  <c:v>2043.05</c:v>
                </c:pt>
                <c:pt idx="377">
                  <c:v>2021.42</c:v>
                </c:pt>
                <c:pt idx="378">
                  <c:v>1967.47</c:v>
                </c:pt>
                <c:pt idx="379">
                  <c:v>1981.3</c:v>
                </c:pt>
                <c:pt idx="380">
                  <c:v>2000.08</c:v>
                </c:pt>
                <c:pt idx="381">
                  <c:v>2027.04</c:v>
                </c:pt>
                <c:pt idx="382">
                  <c:v>2062.25</c:v>
                </c:pt>
                <c:pt idx="383">
                  <c:v>2074.06</c:v>
                </c:pt>
                <c:pt idx="384">
                  <c:v>2053.7399999999998</c:v>
                </c:pt>
                <c:pt idx="385">
                  <c:v>2050.39</c:v>
                </c:pt>
                <c:pt idx="386">
                  <c:v>1990.2</c:v>
                </c:pt>
                <c:pt idx="387">
                  <c:v>1926.76</c:v>
                </c:pt>
                <c:pt idx="388">
                  <c:v>1938.73</c:v>
                </c:pt>
                <c:pt idx="389">
                  <c:v>1983.97</c:v>
                </c:pt>
                <c:pt idx="390">
                  <c:v>2005.19</c:v>
                </c:pt>
                <c:pt idx="391">
                  <c:v>1964.2</c:v>
                </c:pt>
                <c:pt idx="392">
                  <c:v>1980.23</c:v>
                </c:pt>
                <c:pt idx="393">
                  <c:v>1930.79</c:v>
                </c:pt>
                <c:pt idx="394">
                  <c:v>1875.95</c:v>
                </c:pt>
                <c:pt idx="395">
                  <c:v>1918.39</c:v>
                </c:pt>
                <c:pt idx="396">
                  <c:v>1953.67</c:v>
                </c:pt>
                <c:pt idx="397">
                  <c:v>1989.61</c:v>
                </c:pt>
                <c:pt idx="398">
                  <c:v>1973.42</c:v>
                </c:pt>
                <c:pt idx="399">
                  <c:v>2040.76</c:v>
                </c:pt>
                <c:pt idx="400">
                  <c:v>2041.9</c:v>
                </c:pt>
                <c:pt idx="401">
                  <c:v>2062.2199999999998</c:v>
                </c:pt>
                <c:pt idx="402">
                  <c:v>2056.2600000000002</c:v>
                </c:pt>
                <c:pt idx="403">
                  <c:v>2091.9899999999998</c:v>
                </c:pt>
                <c:pt idx="404">
                  <c:v>2051.54</c:v>
                </c:pt>
                <c:pt idx="405">
                  <c:v>2093.4299999999998</c:v>
                </c:pt>
                <c:pt idx="406">
                  <c:v>2067.2800000000002</c:v>
                </c:pt>
                <c:pt idx="407">
                  <c:v>2076.75</c:v>
                </c:pt>
                <c:pt idx="408">
                  <c:v>2115.86</c:v>
                </c:pt>
                <c:pt idx="409">
                  <c:v>2143.13</c:v>
                </c:pt>
                <c:pt idx="410">
                  <c:v>2100.17</c:v>
                </c:pt>
                <c:pt idx="411">
                  <c:v>2122.3200000000002</c:v>
                </c:pt>
                <c:pt idx="412">
                  <c:v>2195.2199999999998</c:v>
                </c:pt>
                <c:pt idx="413">
                  <c:v>2196.13</c:v>
                </c:pt>
                <c:pt idx="414">
                  <c:v>2141.81</c:v>
                </c:pt>
                <c:pt idx="415">
                  <c:v>2081.9699999999998</c:v>
                </c:pt>
                <c:pt idx="416">
                  <c:v>2115.6999999999998</c:v>
                </c:pt>
                <c:pt idx="417">
                  <c:v>2155.87</c:v>
                </c:pt>
                <c:pt idx="418">
                  <c:v>2142.34</c:v>
                </c:pt>
                <c:pt idx="419">
                  <c:v>2156</c:v>
                </c:pt>
                <c:pt idx="420">
                  <c:v>2182.61</c:v>
                </c:pt>
                <c:pt idx="421">
                  <c:v>2102.7199999999998</c:v>
                </c:pt>
                <c:pt idx="422">
                  <c:v>2121.14</c:v>
                </c:pt>
                <c:pt idx="423">
                  <c:v>2162.48</c:v>
                </c:pt>
                <c:pt idx="424">
                  <c:v>2142.09</c:v>
                </c:pt>
                <c:pt idx="425">
                  <c:v>2152.8000000000002</c:v>
                </c:pt>
                <c:pt idx="426">
                  <c:v>2117.64</c:v>
                </c:pt>
                <c:pt idx="427">
                  <c:v>2082.1</c:v>
                </c:pt>
                <c:pt idx="428">
                  <c:v>2081.42</c:v>
                </c:pt>
                <c:pt idx="429">
                  <c:v>2042.71</c:v>
                </c:pt>
                <c:pt idx="430">
                  <c:v>2034.41</c:v>
                </c:pt>
                <c:pt idx="431">
                  <c:v>1989.54</c:v>
                </c:pt>
                <c:pt idx="432">
                  <c:v>1984.5</c:v>
                </c:pt>
                <c:pt idx="433">
                  <c:v>2042.8</c:v>
                </c:pt>
                <c:pt idx="434">
                  <c:v>2048.06</c:v>
                </c:pt>
                <c:pt idx="435">
                  <c:v>2137.08</c:v>
                </c:pt>
                <c:pt idx="436">
                  <c:v>2133.0700000000002</c:v>
                </c:pt>
                <c:pt idx="437">
                  <c:v>2132.64</c:v>
                </c:pt>
                <c:pt idx="438">
                  <c:v>2154.6799999999998</c:v>
                </c:pt>
                <c:pt idx="439">
                  <c:v>2157.1</c:v>
                </c:pt>
                <c:pt idx="440">
                  <c:v>2162.0700000000002</c:v>
                </c:pt>
                <c:pt idx="441">
                  <c:v>2116.41</c:v>
                </c:pt>
                <c:pt idx="442">
                  <c:v>2152.15</c:v>
                </c:pt>
                <c:pt idx="443">
                  <c:v>2120.15</c:v>
                </c:pt>
                <c:pt idx="444">
                  <c:v>2102.15</c:v>
                </c:pt>
                <c:pt idx="445">
                  <c:v>2078.5100000000002</c:v>
                </c:pt>
                <c:pt idx="446">
                  <c:v>2085.44</c:v>
                </c:pt>
                <c:pt idx="447">
                  <c:v>2092.1799999999998</c:v>
                </c:pt>
                <c:pt idx="448">
                  <c:v>2067.67</c:v>
                </c:pt>
                <c:pt idx="449">
                  <c:v>2129.67</c:v>
                </c:pt>
                <c:pt idx="450">
                  <c:v>2133.86</c:v>
                </c:pt>
                <c:pt idx="451">
                  <c:v>2152.04</c:v>
                </c:pt>
                <c:pt idx="452">
                  <c:v>2171.5</c:v>
                </c:pt>
                <c:pt idx="453">
                  <c:v>2171.71</c:v>
                </c:pt>
                <c:pt idx="454">
                  <c:v>2145.09</c:v>
                </c:pt>
                <c:pt idx="455">
                  <c:v>2168.12</c:v>
                </c:pt>
                <c:pt idx="456">
                  <c:v>2158.94</c:v>
                </c:pt>
                <c:pt idx="457">
                  <c:v>2192.4</c:v>
                </c:pt>
                <c:pt idx="458">
                  <c:v>2193.2800000000002</c:v>
                </c:pt>
                <c:pt idx="459">
                  <c:v>2199.73</c:v>
                </c:pt>
                <c:pt idx="460">
                  <c:v>2194.98</c:v>
                </c:pt>
                <c:pt idx="461">
                  <c:v>2200</c:v>
                </c:pt>
                <c:pt idx="462">
                  <c:v>2219.58</c:v>
                </c:pt>
                <c:pt idx="463">
                  <c:v>2220.48</c:v>
                </c:pt>
                <c:pt idx="464">
                  <c:v>2225.7399999999998</c:v>
                </c:pt>
                <c:pt idx="465">
                  <c:v>2214.73</c:v>
                </c:pt>
                <c:pt idx="466">
                  <c:v>2222.59</c:v>
                </c:pt>
                <c:pt idx="467">
                  <c:v>2247.64</c:v>
                </c:pt>
                <c:pt idx="468">
                  <c:v>2258.8000000000002</c:v>
                </c:pt>
                <c:pt idx="469">
                  <c:v>2260.37</c:v>
                </c:pt>
                <c:pt idx="470">
                  <c:v>2261.4699999999998</c:v>
                </c:pt>
                <c:pt idx="471">
                  <c:v>2259.2199999999998</c:v>
                </c:pt>
                <c:pt idx="472">
                  <c:v>2278.83</c:v>
                </c:pt>
                <c:pt idx="473">
                  <c:v>2265.84</c:v>
                </c:pt>
                <c:pt idx="474">
                  <c:v>2262.35</c:v>
                </c:pt>
                <c:pt idx="475">
                  <c:v>2256.7199999999998</c:v>
                </c:pt>
                <c:pt idx="476">
                  <c:v>2255.69</c:v>
                </c:pt>
                <c:pt idx="477">
                  <c:v>2276.2399999999998</c:v>
                </c:pt>
                <c:pt idx="478">
                  <c:v>2278.92</c:v>
                </c:pt>
                <c:pt idx="479">
                  <c:v>2312.4899999999998</c:v>
                </c:pt>
                <c:pt idx="480">
                  <c:v>2311.5500000000002</c:v>
                </c:pt>
                <c:pt idx="481">
                  <c:v>2316.27</c:v>
                </c:pt>
                <c:pt idx="482">
                  <c:v>2322.11</c:v>
                </c:pt>
                <c:pt idx="483">
                  <c:v>2325.56</c:v>
                </c:pt>
                <c:pt idx="484">
                  <c:v>2309.6</c:v>
                </c:pt>
                <c:pt idx="485">
                  <c:v>2325.81</c:v>
                </c:pt>
                <c:pt idx="486">
                  <c:v>2324</c:v>
                </c:pt>
                <c:pt idx="487">
                  <c:v>2312.2800000000002</c:v>
                </c:pt>
                <c:pt idx="488">
                  <c:v>2338.12</c:v>
                </c:pt>
                <c:pt idx="489">
                  <c:v>2343.67</c:v>
                </c:pt>
                <c:pt idx="490">
                  <c:v>2345.41</c:v>
                </c:pt>
                <c:pt idx="491">
                  <c:v>2337.67</c:v>
                </c:pt>
                <c:pt idx="492">
                  <c:v>2348.11</c:v>
                </c:pt>
                <c:pt idx="493">
                  <c:v>2352.34</c:v>
                </c:pt>
                <c:pt idx="494">
                  <c:v>2355.7399999999998</c:v>
                </c:pt>
                <c:pt idx="495">
                  <c:v>2364.0300000000002</c:v>
                </c:pt>
                <c:pt idx="496">
                  <c:v>2353.23</c:v>
                </c:pt>
                <c:pt idx="497">
                  <c:v>2367.87</c:v>
                </c:pt>
                <c:pt idx="498">
                  <c:v>2360.2800000000002</c:v>
                </c:pt>
                <c:pt idx="499">
                  <c:v>2351.2800000000002</c:v>
                </c:pt>
                <c:pt idx="500">
                  <c:v>2315.21</c:v>
                </c:pt>
                <c:pt idx="501">
                  <c:v>2331.89</c:v>
                </c:pt>
                <c:pt idx="502">
                  <c:v>2355.0100000000002</c:v>
                </c:pt>
                <c:pt idx="503">
                  <c:v>2363.56</c:v>
                </c:pt>
                <c:pt idx="504">
                  <c:v>2364.1</c:v>
                </c:pt>
                <c:pt idx="505">
                  <c:v>2407.79</c:v>
                </c:pt>
                <c:pt idx="506">
                  <c:v>2404.98</c:v>
                </c:pt>
                <c:pt idx="507">
                  <c:v>2419.37</c:v>
                </c:pt>
                <c:pt idx="508">
                  <c:v>2422.09</c:v>
                </c:pt>
                <c:pt idx="509">
                  <c:v>2431.73</c:v>
                </c:pt>
                <c:pt idx="510">
                  <c:v>2424.46</c:v>
                </c:pt>
                <c:pt idx="511">
                  <c:v>2420.02</c:v>
                </c:pt>
                <c:pt idx="512">
                  <c:v>2402.71</c:v>
                </c:pt>
                <c:pt idx="513">
                  <c:v>2410.16</c:v>
                </c:pt>
                <c:pt idx="514">
                  <c:v>2443.64</c:v>
                </c:pt>
                <c:pt idx="515">
                  <c:v>2437.0100000000002</c:v>
                </c:pt>
                <c:pt idx="516">
                  <c:v>2425.5500000000002</c:v>
                </c:pt>
                <c:pt idx="517">
                  <c:v>2421.6999999999998</c:v>
                </c:pt>
                <c:pt idx="518">
                  <c:v>2430.67</c:v>
                </c:pt>
                <c:pt idx="519">
                  <c:v>2449.08</c:v>
                </c:pt>
                <c:pt idx="520">
                  <c:v>2439.89</c:v>
                </c:pt>
                <c:pt idx="521">
                  <c:v>2415.0500000000002</c:v>
                </c:pt>
                <c:pt idx="522">
                  <c:v>2414.4</c:v>
                </c:pt>
                <c:pt idx="523">
                  <c:v>2387.0300000000002</c:v>
                </c:pt>
                <c:pt idx="524">
                  <c:v>2346.27</c:v>
                </c:pt>
                <c:pt idx="525">
                  <c:v>2364.09</c:v>
                </c:pt>
                <c:pt idx="526">
                  <c:v>2396.69</c:v>
                </c:pt>
                <c:pt idx="527">
                  <c:v>2366.84</c:v>
                </c:pt>
                <c:pt idx="528">
                  <c:v>2365.65</c:v>
                </c:pt>
                <c:pt idx="529">
                  <c:v>2402.29</c:v>
                </c:pt>
                <c:pt idx="530">
                  <c:v>2392.5700000000002</c:v>
                </c:pt>
                <c:pt idx="531">
                  <c:v>2378.48</c:v>
                </c:pt>
                <c:pt idx="532">
                  <c:v>2381.3200000000002</c:v>
                </c:pt>
                <c:pt idx="533">
                  <c:v>2361.35</c:v>
                </c:pt>
                <c:pt idx="534">
                  <c:v>2370.04</c:v>
                </c:pt>
                <c:pt idx="535">
                  <c:v>2402.71</c:v>
                </c:pt>
                <c:pt idx="536">
                  <c:v>2418.89</c:v>
                </c:pt>
                <c:pt idx="537">
                  <c:v>2424.7800000000002</c:v>
                </c:pt>
                <c:pt idx="538">
                  <c:v>2415.42</c:v>
                </c:pt>
                <c:pt idx="539">
                  <c:v>2429.1</c:v>
                </c:pt>
                <c:pt idx="540">
                  <c:v>2423.29</c:v>
                </c:pt>
                <c:pt idx="541">
                  <c:v>2405.17</c:v>
                </c:pt>
                <c:pt idx="542">
                  <c:v>2366.39</c:v>
                </c:pt>
                <c:pt idx="543">
                  <c:v>2367.2600000000002</c:v>
                </c:pt>
                <c:pt idx="544">
                  <c:v>2357.4499999999998</c:v>
                </c:pt>
                <c:pt idx="545">
                  <c:v>2342.31</c:v>
                </c:pt>
                <c:pt idx="546">
                  <c:v>2348.9299999999998</c:v>
                </c:pt>
                <c:pt idx="547">
                  <c:v>2341.23</c:v>
                </c:pt>
                <c:pt idx="548">
                  <c:v>2315.4499999999998</c:v>
                </c:pt>
                <c:pt idx="549">
                  <c:v>2302.56</c:v>
                </c:pt>
                <c:pt idx="550">
                  <c:v>2293.21</c:v>
                </c:pt>
                <c:pt idx="551">
                  <c:v>2258.9299999999998</c:v>
                </c:pt>
                <c:pt idx="552">
                  <c:v>2242.25</c:v>
                </c:pt>
                <c:pt idx="553">
                  <c:v>2278.2399999999998</c:v>
                </c:pt>
                <c:pt idx="554">
                  <c:v>2279.4</c:v>
                </c:pt>
                <c:pt idx="555">
                  <c:v>2283.36</c:v>
                </c:pt>
                <c:pt idx="556">
                  <c:v>2286.87</c:v>
                </c:pt>
                <c:pt idx="557">
                  <c:v>2281.92</c:v>
                </c:pt>
                <c:pt idx="558">
                  <c:v>2307.5700000000002</c:v>
                </c:pt>
                <c:pt idx="559">
                  <c:v>2275.19</c:v>
                </c:pt>
                <c:pt idx="560">
                  <c:v>2270.25</c:v>
                </c:pt>
                <c:pt idx="561">
                  <c:v>2214.41</c:v>
                </c:pt>
                <c:pt idx="562">
                  <c:v>2214.6999999999998</c:v>
                </c:pt>
                <c:pt idx="563">
                  <c:v>2227.4499999999998</c:v>
                </c:pt>
                <c:pt idx="564">
                  <c:v>2279.42</c:v>
                </c:pt>
                <c:pt idx="565">
                  <c:v>2279.2800000000002</c:v>
                </c:pt>
                <c:pt idx="566">
                  <c:v>2297.8200000000002</c:v>
                </c:pt>
                <c:pt idx="567">
                  <c:v>2268.94</c:v>
                </c:pt>
                <c:pt idx="568">
                  <c:v>2295.4</c:v>
                </c:pt>
                <c:pt idx="569">
                  <c:v>2280.13</c:v>
                </c:pt>
                <c:pt idx="570">
                  <c:v>2304.83</c:v>
                </c:pt>
                <c:pt idx="571">
                  <c:v>2328.66</c:v>
                </c:pt>
                <c:pt idx="572">
                  <c:v>2332.0700000000002</c:v>
                </c:pt>
                <c:pt idx="573">
                  <c:v>2355.0100000000002</c:v>
                </c:pt>
                <c:pt idx="574">
                  <c:v>2351.14</c:v>
                </c:pt>
                <c:pt idx="575">
                  <c:v>2299.16</c:v>
                </c:pt>
                <c:pt idx="576">
                  <c:v>2315.65</c:v>
                </c:pt>
                <c:pt idx="577">
                  <c:v>2278.98</c:v>
                </c:pt>
                <c:pt idx="578">
                  <c:v>2289.86</c:v>
                </c:pt>
                <c:pt idx="579">
                  <c:v>2310.98</c:v>
                </c:pt>
                <c:pt idx="580">
                  <c:v>2306.2199999999998</c:v>
                </c:pt>
                <c:pt idx="581">
                  <c:v>2363.79</c:v>
                </c:pt>
                <c:pt idx="582">
                  <c:v>2369.75</c:v>
                </c:pt>
                <c:pt idx="583">
                  <c:v>2385.06</c:v>
                </c:pt>
                <c:pt idx="584">
                  <c:v>2373.91</c:v>
                </c:pt>
                <c:pt idx="585">
                  <c:v>2352.34</c:v>
                </c:pt>
                <c:pt idx="586">
                  <c:v>2348.52</c:v>
                </c:pt>
                <c:pt idx="587">
                  <c:v>2329.46</c:v>
                </c:pt>
                <c:pt idx="588">
                  <c:v>2329.71</c:v>
                </c:pt>
                <c:pt idx="589">
                  <c:v>2318.09</c:v>
                </c:pt>
                <c:pt idx="590">
                  <c:v>2356.4</c:v>
                </c:pt>
                <c:pt idx="591">
                  <c:v>2350.94</c:v>
                </c:pt>
                <c:pt idx="592">
                  <c:v>2368.36</c:v>
                </c:pt>
                <c:pt idx="593">
                  <c:v>2384.54</c:v>
                </c:pt>
                <c:pt idx="594">
                  <c:v>2391.27</c:v>
                </c:pt>
                <c:pt idx="595">
                  <c:v>2367.2600000000002</c:v>
                </c:pt>
                <c:pt idx="596">
                  <c:v>2346.2199999999998</c:v>
                </c:pt>
                <c:pt idx="597">
                  <c:v>2325.02</c:v>
                </c:pt>
                <c:pt idx="598">
                  <c:v>2324.33</c:v>
                </c:pt>
                <c:pt idx="599">
                  <c:v>2362.85</c:v>
                </c:pt>
                <c:pt idx="600">
                  <c:v>2408.0700000000002</c:v>
                </c:pt>
                <c:pt idx="601">
                  <c:v>2406.9899999999998</c:v>
                </c:pt>
                <c:pt idx="602">
                  <c:v>2396.62</c:v>
                </c:pt>
                <c:pt idx="603">
                  <c:v>2389.73</c:v>
                </c:pt>
                <c:pt idx="604">
                  <c:v>2372.31</c:v>
                </c:pt>
                <c:pt idx="605">
                  <c:v>2417.77</c:v>
                </c:pt>
                <c:pt idx="606">
                  <c:v>2423.46</c:v>
                </c:pt>
                <c:pt idx="607">
                  <c:v>2435.88</c:v>
                </c:pt>
                <c:pt idx="608">
                  <c:v>2438.16</c:v>
                </c:pt>
                <c:pt idx="609">
                  <c:v>2440.23</c:v>
                </c:pt>
                <c:pt idx="610">
                  <c:v>2445.64</c:v>
                </c:pt>
                <c:pt idx="611">
                  <c:v>2443.0500000000002</c:v>
                </c:pt>
                <c:pt idx="612">
                  <c:v>2443.16</c:v>
                </c:pt>
                <c:pt idx="613">
                  <c:v>2446.8200000000002</c:v>
                </c:pt>
                <c:pt idx="614">
                  <c:v>2464.38</c:v>
                </c:pt>
                <c:pt idx="615">
                  <c:v>2469</c:v>
                </c:pt>
                <c:pt idx="616">
                  <c:v>2468.9899999999998</c:v>
                </c:pt>
                <c:pt idx="617">
                  <c:v>2460.41</c:v>
                </c:pt>
                <c:pt idx="618">
                  <c:v>2461.12</c:v>
                </c:pt>
                <c:pt idx="619">
                  <c:v>2441.29</c:v>
                </c:pt>
                <c:pt idx="620">
                  <c:v>2457.4</c:v>
                </c:pt>
                <c:pt idx="621">
                  <c:v>2456.2199999999998</c:v>
                </c:pt>
                <c:pt idx="622">
                  <c:v>2454.39</c:v>
                </c:pt>
                <c:pt idx="623">
                  <c:v>2457.0500000000002</c:v>
                </c:pt>
                <c:pt idx="624">
                  <c:v>2438.1999999999998</c:v>
                </c:pt>
                <c:pt idx="625">
                  <c:v>2450.6</c:v>
                </c:pt>
                <c:pt idx="626">
                  <c:v>2447.8000000000002</c:v>
                </c:pt>
                <c:pt idx="627">
                  <c:v>2445.81</c:v>
                </c:pt>
                <c:pt idx="628">
                  <c:v>2496.12</c:v>
                </c:pt>
                <c:pt idx="629">
                  <c:v>2506.37</c:v>
                </c:pt>
                <c:pt idx="630">
                  <c:v>2491.11</c:v>
                </c:pt>
                <c:pt idx="631">
                  <c:v>2498.9499999999998</c:v>
                </c:pt>
                <c:pt idx="632">
                  <c:v>2504.84</c:v>
                </c:pt>
                <c:pt idx="633">
                  <c:v>2546.0300000000002</c:v>
                </c:pt>
                <c:pt idx="634">
                  <c:v>2556.13</c:v>
                </c:pt>
                <c:pt idx="635">
                  <c:v>2548.2600000000002</c:v>
                </c:pt>
                <c:pt idx="636">
                  <c:v>2545.0500000000002</c:v>
                </c:pt>
                <c:pt idx="637">
                  <c:v>2548.11</c:v>
                </c:pt>
                <c:pt idx="638">
                  <c:v>2547.11</c:v>
                </c:pt>
                <c:pt idx="639">
                  <c:v>2546.92</c:v>
                </c:pt>
                <c:pt idx="640">
                  <c:v>2541.23</c:v>
                </c:pt>
                <c:pt idx="641">
                  <c:v>2514.83</c:v>
                </c:pt>
                <c:pt idx="642">
                  <c:v>2500.92</c:v>
                </c:pt>
                <c:pt idx="643">
                  <c:v>2525.23</c:v>
                </c:pt>
                <c:pt idx="644">
                  <c:v>2513.9299999999998</c:v>
                </c:pt>
                <c:pt idx="645">
                  <c:v>2520.71</c:v>
                </c:pt>
                <c:pt idx="646">
                  <c:v>2523.08</c:v>
                </c:pt>
                <c:pt idx="647">
                  <c:v>2532.79</c:v>
                </c:pt>
                <c:pt idx="648">
                  <c:v>2550.98</c:v>
                </c:pt>
                <c:pt idx="649">
                  <c:v>2551.0300000000002</c:v>
                </c:pt>
                <c:pt idx="650">
                  <c:v>2542.21</c:v>
                </c:pt>
                <c:pt idx="651">
                  <c:v>2517.14</c:v>
                </c:pt>
                <c:pt idx="652">
                  <c:v>2501.75</c:v>
                </c:pt>
                <c:pt idx="653">
                  <c:v>2502.66</c:v>
                </c:pt>
                <c:pt idx="654">
                  <c:v>2495.2800000000002</c:v>
                </c:pt>
                <c:pt idx="655">
                  <c:v>2515.44</c:v>
                </c:pt>
                <c:pt idx="656">
                  <c:v>2541.2800000000002</c:v>
                </c:pt>
                <c:pt idx="657">
                  <c:v>2552.0500000000002</c:v>
                </c:pt>
                <c:pt idx="658">
                  <c:v>2545.9499999999998</c:v>
                </c:pt>
                <c:pt idx="659">
                  <c:v>2503.8000000000002</c:v>
                </c:pt>
                <c:pt idx="660">
                  <c:v>2504.96</c:v>
                </c:pt>
                <c:pt idx="661">
                  <c:v>2468.7800000000002</c:v>
                </c:pt>
                <c:pt idx="662">
                  <c:v>2461.1799999999998</c:v>
                </c:pt>
                <c:pt idx="663">
                  <c:v>2468.6</c:v>
                </c:pt>
                <c:pt idx="664">
                  <c:v>2466.8000000000002</c:v>
                </c:pt>
                <c:pt idx="665">
                  <c:v>2467.5100000000002</c:v>
                </c:pt>
                <c:pt idx="666">
                  <c:v>2494.67</c:v>
                </c:pt>
                <c:pt idx="667">
                  <c:v>2471.3000000000002</c:v>
                </c:pt>
                <c:pt idx="668">
                  <c:v>2476.94</c:v>
                </c:pt>
                <c:pt idx="669">
                  <c:v>2496.46</c:v>
                </c:pt>
                <c:pt idx="670">
                  <c:v>2439.48</c:v>
                </c:pt>
                <c:pt idx="671">
                  <c:v>2409.7199999999998</c:v>
                </c:pt>
                <c:pt idx="672">
                  <c:v>2413.92</c:v>
                </c:pt>
                <c:pt idx="673">
                  <c:v>2414.2399999999998</c:v>
                </c:pt>
                <c:pt idx="674">
                  <c:v>2405.38</c:v>
                </c:pt>
                <c:pt idx="675">
                  <c:v>2372.94</c:v>
                </c:pt>
                <c:pt idx="676">
                  <c:v>2369.3200000000002</c:v>
                </c:pt>
                <c:pt idx="677">
                  <c:v>2381.02</c:v>
                </c:pt>
                <c:pt idx="678">
                  <c:v>2428.4699999999998</c:v>
                </c:pt>
                <c:pt idx="679">
                  <c:v>2430.29</c:v>
                </c:pt>
                <c:pt idx="680">
                  <c:v>2435.9699999999998</c:v>
                </c:pt>
                <c:pt idx="681">
                  <c:v>2468.06</c:v>
                </c:pt>
                <c:pt idx="682">
                  <c:v>2463.12</c:v>
                </c:pt>
                <c:pt idx="683">
                  <c:v>2450.48</c:v>
                </c:pt>
                <c:pt idx="684">
                  <c:v>2470.4699999999998</c:v>
                </c:pt>
                <c:pt idx="685">
                  <c:v>2481.42</c:v>
                </c:pt>
                <c:pt idx="686">
                  <c:v>2481.8200000000002</c:v>
                </c:pt>
                <c:pt idx="687">
                  <c:v>2470.0700000000002</c:v>
                </c:pt>
                <c:pt idx="688">
                  <c:v>2465.9</c:v>
                </c:pt>
                <c:pt idx="689">
                  <c:v>2470.59</c:v>
                </c:pt>
                <c:pt idx="690">
                  <c:v>2479.4</c:v>
                </c:pt>
                <c:pt idx="691">
                  <c:v>2486.84</c:v>
                </c:pt>
                <c:pt idx="692">
                  <c:v>2487.7800000000002</c:v>
                </c:pt>
                <c:pt idx="693">
                  <c:v>2504.08</c:v>
                </c:pt>
                <c:pt idx="694">
                  <c:v>2505.7600000000002</c:v>
                </c:pt>
                <c:pt idx="695">
                  <c:v>2490.56</c:v>
                </c:pt>
                <c:pt idx="696">
                  <c:v>2480.36</c:v>
                </c:pt>
                <c:pt idx="697">
                  <c:v>2509.84</c:v>
                </c:pt>
                <c:pt idx="698">
                  <c:v>2538.7199999999998</c:v>
                </c:pt>
                <c:pt idx="699">
                  <c:v>2519.54</c:v>
                </c:pt>
                <c:pt idx="700">
                  <c:v>2533.91</c:v>
                </c:pt>
                <c:pt idx="701">
                  <c:v>2510.3200000000002</c:v>
                </c:pt>
                <c:pt idx="702">
                  <c:v>2504.5100000000002</c:v>
                </c:pt>
                <c:pt idx="703">
                  <c:v>2492.54</c:v>
                </c:pt>
                <c:pt idx="704">
                  <c:v>2489.9699999999998</c:v>
                </c:pt>
                <c:pt idx="705">
                  <c:v>2462.71</c:v>
                </c:pt>
                <c:pt idx="706">
                  <c:v>2504.44</c:v>
                </c:pt>
                <c:pt idx="707">
                  <c:v>2568.5500000000002</c:v>
                </c:pt>
                <c:pt idx="708">
                  <c:v>2563.19</c:v>
                </c:pt>
                <c:pt idx="709">
                  <c:v>2575.66</c:v>
                </c:pt>
                <c:pt idx="710">
                  <c:v>2567.63</c:v>
                </c:pt>
                <c:pt idx="711">
                  <c:v>2560.17</c:v>
                </c:pt>
                <c:pt idx="712">
                  <c:v>2567.02</c:v>
                </c:pt>
                <c:pt idx="713">
                  <c:v>2586.52</c:v>
                </c:pt>
                <c:pt idx="714">
                  <c:v>2586.69</c:v>
                </c:pt>
                <c:pt idx="715">
                  <c:v>2584.27</c:v>
                </c:pt>
                <c:pt idx="716">
                  <c:v>2587.1999999999998</c:v>
                </c:pt>
                <c:pt idx="717">
                  <c:v>2588.02</c:v>
                </c:pt>
                <c:pt idx="718">
                  <c:v>2602.64</c:v>
                </c:pt>
                <c:pt idx="719">
                  <c:v>2611.54</c:v>
                </c:pt>
                <c:pt idx="720">
                  <c:v>2623.22</c:v>
                </c:pt>
                <c:pt idx="721">
                  <c:v>2627.23</c:v>
                </c:pt>
                <c:pt idx="722">
                  <c:v>2627.33</c:v>
                </c:pt>
                <c:pt idx="723">
                  <c:v>2641.64</c:v>
                </c:pt>
                <c:pt idx="724">
                  <c:v>2636.83</c:v>
                </c:pt>
                <c:pt idx="725">
                  <c:v>2650.43</c:v>
                </c:pt>
                <c:pt idx="726">
                  <c:v>2640.77</c:v>
                </c:pt>
                <c:pt idx="727">
                  <c:v>2634.16</c:v>
                </c:pt>
                <c:pt idx="728">
                  <c:v>2660.7</c:v>
                </c:pt>
                <c:pt idx="729">
                  <c:v>2630.05</c:v>
                </c:pt>
                <c:pt idx="730">
                  <c:v>2657.76</c:v>
                </c:pt>
                <c:pt idx="731">
                  <c:v>2659.55</c:v>
                </c:pt>
                <c:pt idx="732">
                  <c:v>2655.84</c:v>
                </c:pt>
                <c:pt idx="733">
                  <c:v>2670.85</c:v>
                </c:pt>
                <c:pt idx="734">
                  <c:v>2669.37</c:v>
                </c:pt>
                <c:pt idx="735">
                  <c:v>2673.77</c:v>
                </c:pt>
                <c:pt idx="736">
                  <c:v>2676.6</c:v>
                </c:pt>
                <c:pt idx="737">
                  <c:v>2678.77</c:v>
                </c:pt>
                <c:pt idx="738">
                  <c:v>2676.21</c:v>
                </c:pt>
                <c:pt idx="739">
                  <c:v>2696.26</c:v>
                </c:pt>
                <c:pt idx="740">
                  <c:v>2662.94</c:v>
                </c:pt>
                <c:pt idx="741">
                  <c:v>2646.75</c:v>
                </c:pt>
                <c:pt idx="742">
                  <c:v>2670.36</c:v>
                </c:pt>
                <c:pt idx="743">
                  <c:v>2621.46</c:v>
                </c:pt>
                <c:pt idx="744">
                  <c:v>2637.89</c:v>
                </c:pt>
                <c:pt idx="745">
                  <c:v>2672.11</c:v>
                </c:pt>
                <c:pt idx="746">
                  <c:v>2669.92</c:v>
                </c:pt>
                <c:pt idx="747">
                  <c:v>2676.18</c:v>
                </c:pt>
                <c:pt idx="748">
                  <c:v>2688.54</c:v>
                </c:pt>
                <c:pt idx="749">
                  <c:v>2714.35</c:v>
                </c:pt>
                <c:pt idx="750">
                  <c:v>2718.07</c:v>
                </c:pt>
                <c:pt idx="751">
                  <c:v>2723.27</c:v>
                </c:pt>
                <c:pt idx="752">
                  <c:v>2735.67</c:v>
                </c:pt>
                <c:pt idx="753">
                  <c:v>2744.81</c:v>
                </c:pt>
                <c:pt idx="754">
                  <c:v>2738.35</c:v>
                </c:pt>
                <c:pt idx="755">
                  <c:v>2742.87</c:v>
                </c:pt>
                <c:pt idx="756">
                  <c:v>2758.3</c:v>
                </c:pt>
                <c:pt idx="757">
                  <c:v>2753.82</c:v>
                </c:pt>
                <c:pt idx="758">
                  <c:v>2738.68</c:v>
                </c:pt>
                <c:pt idx="759">
                  <c:v>2732.09</c:v>
                </c:pt>
                <c:pt idx="760">
                  <c:v>2750.42</c:v>
                </c:pt>
                <c:pt idx="761">
                  <c:v>2727.69</c:v>
                </c:pt>
                <c:pt idx="762">
                  <c:v>2747.25</c:v>
                </c:pt>
                <c:pt idx="763">
                  <c:v>2738.08</c:v>
                </c:pt>
                <c:pt idx="764">
                  <c:v>2760.32</c:v>
                </c:pt>
                <c:pt idx="765">
                  <c:v>2758.85</c:v>
                </c:pt>
                <c:pt idx="766">
                  <c:v>2770.05</c:v>
                </c:pt>
                <c:pt idx="767">
                  <c:v>2757.83</c:v>
                </c:pt>
                <c:pt idx="768">
                  <c:v>2772.11</c:v>
                </c:pt>
                <c:pt idx="769">
                  <c:v>2743.38</c:v>
                </c:pt>
                <c:pt idx="770">
                  <c:v>2754.67</c:v>
                </c:pt>
                <c:pt idx="771">
                  <c:v>2742.86</c:v>
                </c:pt>
                <c:pt idx="772">
                  <c:v>2761.05</c:v>
                </c:pt>
                <c:pt idx="773">
                  <c:v>2770.84</c:v>
                </c:pt>
                <c:pt idx="774">
                  <c:v>2804.81</c:v>
                </c:pt>
                <c:pt idx="775">
                  <c:v>2815.02</c:v>
                </c:pt>
                <c:pt idx="776">
                  <c:v>2807.1</c:v>
                </c:pt>
                <c:pt idx="777">
                  <c:v>2742.63</c:v>
                </c:pt>
                <c:pt idx="778">
                  <c:v>2781.86</c:v>
                </c:pt>
                <c:pt idx="779">
                  <c:v>2742.01</c:v>
                </c:pt>
                <c:pt idx="780">
                  <c:v>2723.72</c:v>
                </c:pt>
                <c:pt idx="781">
                  <c:v>2747.94</c:v>
                </c:pt>
                <c:pt idx="782">
                  <c:v>2760.8</c:v>
                </c:pt>
                <c:pt idx="783">
                  <c:v>2789.56</c:v>
                </c:pt>
                <c:pt idx="784">
                  <c:v>2789.93</c:v>
                </c:pt>
                <c:pt idx="785">
                  <c:v>2801.28</c:v>
                </c:pt>
                <c:pt idx="786">
                  <c:v>2796.24</c:v>
                </c:pt>
                <c:pt idx="787">
                  <c:v>2816.39</c:v>
                </c:pt>
                <c:pt idx="788">
                  <c:v>2823.42</c:v>
                </c:pt>
                <c:pt idx="789">
                  <c:v>2797.28</c:v>
                </c:pt>
                <c:pt idx="790">
                  <c:v>2823.82</c:v>
                </c:pt>
                <c:pt idx="791">
                  <c:v>2853.88</c:v>
                </c:pt>
                <c:pt idx="792">
                  <c:v>2859.34</c:v>
                </c:pt>
                <c:pt idx="793">
                  <c:v>2874.46</c:v>
                </c:pt>
                <c:pt idx="794">
                  <c:v>2887.61</c:v>
                </c:pt>
                <c:pt idx="795">
                  <c:v>2878.3</c:v>
                </c:pt>
                <c:pt idx="796">
                  <c:v>2890.77</c:v>
                </c:pt>
                <c:pt idx="797">
                  <c:v>2891.17</c:v>
                </c:pt>
                <c:pt idx="798">
                  <c:v>2921.12</c:v>
                </c:pt>
                <c:pt idx="799">
                  <c:v>2936.98</c:v>
                </c:pt>
                <c:pt idx="800">
                  <c:v>2922.4</c:v>
                </c:pt>
                <c:pt idx="801">
                  <c:v>2952.56</c:v>
                </c:pt>
                <c:pt idx="802">
                  <c:v>2950.53</c:v>
                </c:pt>
                <c:pt idx="803">
                  <c:v>2955.69</c:v>
                </c:pt>
                <c:pt idx="804">
                  <c:v>2931.58</c:v>
                </c:pt>
                <c:pt idx="805">
                  <c:v>2923.43</c:v>
                </c:pt>
                <c:pt idx="806">
                  <c:v>2921.88</c:v>
                </c:pt>
                <c:pt idx="807">
                  <c:v>2940.45</c:v>
                </c:pt>
                <c:pt idx="808">
                  <c:v>2920.18</c:v>
                </c:pt>
                <c:pt idx="809">
                  <c:v>2931.39</c:v>
                </c:pt>
                <c:pt idx="810">
                  <c:v>2889.46</c:v>
                </c:pt>
                <c:pt idx="811">
                  <c:v>2906.91</c:v>
                </c:pt>
                <c:pt idx="812">
                  <c:v>2891.02</c:v>
                </c:pt>
                <c:pt idx="813">
                  <c:v>2851.89</c:v>
                </c:pt>
                <c:pt idx="814">
                  <c:v>2876.5</c:v>
                </c:pt>
                <c:pt idx="815">
                  <c:v>2913.46</c:v>
                </c:pt>
                <c:pt idx="816">
                  <c:v>2912.63</c:v>
                </c:pt>
                <c:pt idx="817">
                  <c:v>2883.07</c:v>
                </c:pt>
                <c:pt idx="818">
                  <c:v>2859.62</c:v>
                </c:pt>
                <c:pt idx="819">
                  <c:v>2902.32</c:v>
                </c:pt>
                <c:pt idx="820">
                  <c:v>2885.24</c:v>
                </c:pt>
                <c:pt idx="821">
                  <c:v>2907.12</c:v>
                </c:pt>
                <c:pt idx="822">
                  <c:v>2929.81</c:v>
                </c:pt>
                <c:pt idx="823">
                  <c:v>2889.25</c:v>
                </c:pt>
                <c:pt idx="824">
                  <c:v>2817.44</c:v>
                </c:pt>
                <c:pt idx="825">
                  <c:v>2824.97</c:v>
                </c:pt>
                <c:pt idx="826">
                  <c:v>2790.66</c:v>
                </c:pt>
                <c:pt idx="827">
                  <c:v>2817.44</c:v>
                </c:pt>
                <c:pt idx="828">
                  <c:v>2845.04</c:v>
                </c:pt>
                <c:pt idx="829">
                  <c:v>2862.92</c:v>
                </c:pt>
                <c:pt idx="830">
                  <c:v>2850.66</c:v>
                </c:pt>
                <c:pt idx="831">
                  <c:v>2866.41</c:v>
                </c:pt>
                <c:pt idx="832">
                  <c:v>2865.48</c:v>
                </c:pt>
                <c:pt idx="833">
                  <c:v>2867.85</c:v>
                </c:pt>
                <c:pt idx="834">
                  <c:v>2897.12</c:v>
                </c:pt>
                <c:pt idx="835">
                  <c:v>2913.2</c:v>
                </c:pt>
                <c:pt idx="836">
                  <c:v>2934.31</c:v>
                </c:pt>
                <c:pt idx="837">
                  <c:v>2934.97</c:v>
                </c:pt>
                <c:pt idx="838">
                  <c:v>2975.06</c:v>
                </c:pt>
                <c:pt idx="839">
                  <c:v>2984.24</c:v>
                </c:pt>
                <c:pt idx="840">
                  <c:v>2988.35</c:v>
                </c:pt>
                <c:pt idx="841">
                  <c:v>2977.26</c:v>
                </c:pt>
                <c:pt idx="842">
                  <c:v>2985.85</c:v>
                </c:pt>
                <c:pt idx="843">
                  <c:v>3001.21</c:v>
                </c:pt>
                <c:pt idx="844">
                  <c:v>3006.13</c:v>
                </c:pt>
                <c:pt idx="845">
                  <c:v>3012.3</c:v>
                </c:pt>
                <c:pt idx="846">
                  <c:v>3006.72</c:v>
                </c:pt>
                <c:pt idx="847">
                  <c:v>2995.3</c:v>
                </c:pt>
                <c:pt idx="848">
                  <c:v>3003.01</c:v>
                </c:pt>
                <c:pt idx="849">
                  <c:v>3005.51</c:v>
                </c:pt>
                <c:pt idx="850">
                  <c:v>2994.45</c:v>
                </c:pt>
                <c:pt idx="851">
                  <c:v>2995.68</c:v>
                </c:pt>
                <c:pt idx="852">
                  <c:v>2995.72</c:v>
                </c:pt>
                <c:pt idx="853">
                  <c:v>3033.59</c:v>
                </c:pt>
                <c:pt idx="854">
                  <c:v>3038.63</c:v>
                </c:pt>
                <c:pt idx="855">
                  <c:v>3034.43</c:v>
                </c:pt>
                <c:pt idx="856">
                  <c:v>3017.16</c:v>
                </c:pt>
                <c:pt idx="857">
                  <c:v>3006.63</c:v>
                </c:pt>
                <c:pt idx="858">
                  <c:v>3019</c:v>
                </c:pt>
                <c:pt idx="859">
                  <c:v>3008.79</c:v>
                </c:pt>
                <c:pt idx="860">
                  <c:v>3005.42</c:v>
                </c:pt>
                <c:pt idx="861">
                  <c:v>3014.43</c:v>
                </c:pt>
                <c:pt idx="862">
                  <c:v>2999.42</c:v>
                </c:pt>
                <c:pt idx="863">
                  <c:v>2957.08</c:v>
                </c:pt>
                <c:pt idx="864">
                  <c:v>2947.46</c:v>
                </c:pt>
                <c:pt idx="865">
                  <c:v>2930.27</c:v>
                </c:pt>
                <c:pt idx="866">
                  <c:v>2941.58</c:v>
                </c:pt>
                <c:pt idx="867">
                  <c:v>2924.73</c:v>
                </c:pt>
                <c:pt idx="868">
                  <c:v>2949.96</c:v>
                </c:pt>
                <c:pt idx="869">
                  <c:v>2962.06</c:v>
                </c:pt>
                <c:pt idx="870">
                  <c:v>2950.13</c:v>
                </c:pt>
                <c:pt idx="871">
                  <c:v>2903.29</c:v>
                </c:pt>
                <c:pt idx="872">
                  <c:v>2911.83</c:v>
                </c:pt>
                <c:pt idx="873">
                  <c:v>2917.96</c:v>
                </c:pt>
                <c:pt idx="874">
                  <c:v>2908.96</c:v>
                </c:pt>
                <c:pt idx="875">
                  <c:v>2921.23</c:v>
                </c:pt>
                <c:pt idx="876">
                  <c:v>2945.62</c:v>
                </c:pt>
                <c:pt idx="877">
                  <c:v>2949.27</c:v>
                </c:pt>
                <c:pt idx="878">
                  <c:v>2949.8</c:v>
                </c:pt>
                <c:pt idx="879">
                  <c:v>2979.45</c:v>
                </c:pt>
                <c:pt idx="880">
                  <c:v>3001.36</c:v>
                </c:pt>
                <c:pt idx="881">
                  <c:v>3010.94</c:v>
                </c:pt>
                <c:pt idx="882">
                  <c:v>3001.62</c:v>
                </c:pt>
                <c:pt idx="883">
                  <c:v>3009.79</c:v>
                </c:pt>
                <c:pt idx="884">
                  <c:v>3026.94</c:v>
                </c:pt>
                <c:pt idx="885">
                  <c:v>3039.75</c:v>
                </c:pt>
                <c:pt idx="886">
                  <c:v>3076.81</c:v>
                </c:pt>
                <c:pt idx="887">
                  <c:v>3071.61</c:v>
                </c:pt>
                <c:pt idx="888">
                  <c:v>3049.47</c:v>
                </c:pt>
                <c:pt idx="889">
                  <c:v>3035.09</c:v>
                </c:pt>
                <c:pt idx="890">
                  <c:v>3027.52</c:v>
                </c:pt>
                <c:pt idx="891">
                  <c:v>3019.31</c:v>
                </c:pt>
                <c:pt idx="892">
                  <c:v>3030.41</c:v>
                </c:pt>
                <c:pt idx="893">
                  <c:v>3018.24</c:v>
                </c:pt>
                <c:pt idx="894">
                  <c:v>3000.18</c:v>
                </c:pt>
                <c:pt idx="895">
                  <c:v>3024.38</c:v>
                </c:pt>
                <c:pt idx="896">
                  <c:v>3022.95</c:v>
                </c:pt>
                <c:pt idx="897">
                  <c:v>2995.81</c:v>
                </c:pt>
                <c:pt idx="898">
                  <c:v>3017.05</c:v>
                </c:pt>
                <c:pt idx="899">
                  <c:v>2991.39</c:v>
                </c:pt>
                <c:pt idx="900">
                  <c:v>2955.41</c:v>
                </c:pt>
                <c:pt idx="901">
                  <c:v>2957.4</c:v>
                </c:pt>
                <c:pt idx="902">
                  <c:v>3022.43</c:v>
                </c:pt>
                <c:pt idx="903">
                  <c:v>3041.43</c:v>
                </c:pt>
                <c:pt idx="904">
                  <c:v>3053.84</c:v>
                </c:pt>
                <c:pt idx="905">
                  <c:v>3032.27</c:v>
                </c:pt>
                <c:pt idx="906">
                  <c:v>3074.54</c:v>
                </c:pt>
                <c:pt idx="907">
                  <c:v>3095.42</c:v>
                </c:pt>
                <c:pt idx="908">
                  <c:v>3115.77</c:v>
                </c:pt>
                <c:pt idx="909">
                  <c:v>3116.09</c:v>
                </c:pt>
                <c:pt idx="910">
                  <c:v>3133.98</c:v>
                </c:pt>
                <c:pt idx="911">
                  <c:v>3119.2</c:v>
                </c:pt>
                <c:pt idx="912">
                  <c:v>3129.41</c:v>
                </c:pt>
                <c:pt idx="913">
                  <c:v>3143.16</c:v>
                </c:pt>
                <c:pt idx="914">
                  <c:v>3147.36</c:v>
                </c:pt>
                <c:pt idx="915">
                  <c:v>3165.11</c:v>
                </c:pt>
                <c:pt idx="916">
                  <c:v>3149.93</c:v>
                </c:pt>
                <c:pt idx="917">
                  <c:v>3138.09</c:v>
                </c:pt>
                <c:pt idx="918">
                  <c:v>3147.21</c:v>
                </c:pt>
                <c:pt idx="919">
                  <c:v>3158.47</c:v>
                </c:pt>
                <c:pt idx="920">
                  <c:v>3149.96</c:v>
                </c:pt>
                <c:pt idx="921">
                  <c:v>3165.13</c:v>
                </c:pt>
                <c:pt idx="922">
                  <c:v>3124.12</c:v>
                </c:pt>
                <c:pt idx="923">
                  <c:v>3166.11</c:v>
                </c:pt>
                <c:pt idx="924">
                  <c:v>3168.41</c:v>
                </c:pt>
                <c:pt idx="925">
                  <c:v>3161.1</c:v>
                </c:pt>
                <c:pt idx="926">
                  <c:v>3187.64</c:v>
                </c:pt>
                <c:pt idx="927">
                  <c:v>3203.65</c:v>
                </c:pt>
                <c:pt idx="928">
                  <c:v>3217.2</c:v>
                </c:pt>
                <c:pt idx="929">
                  <c:v>3205.46</c:v>
                </c:pt>
                <c:pt idx="930">
                  <c:v>3199.51</c:v>
                </c:pt>
                <c:pt idx="931">
                  <c:v>3188.04</c:v>
                </c:pt>
                <c:pt idx="932">
                  <c:v>3214.16</c:v>
                </c:pt>
                <c:pt idx="933">
                  <c:v>3230.54</c:v>
                </c:pt>
                <c:pt idx="934">
                  <c:v>3226.53</c:v>
                </c:pt>
                <c:pt idx="935">
                  <c:v>3227.36</c:v>
                </c:pt>
                <c:pt idx="936">
                  <c:v>3236.14</c:v>
                </c:pt>
                <c:pt idx="937">
                  <c:v>3233.72</c:v>
                </c:pt>
                <c:pt idx="938">
                  <c:v>3225.06</c:v>
                </c:pt>
                <c:pt idx="939">
                  <c:v>3214.95</c:v>
                </c:pt>
                <c:pt idx="940">
                  <c:v>3211.59</c:v>
                </c:pt>
                <c:pt idx="941">
                  <c:v>3197.76</c:v>
                </c:pt>
                <c:pt idx="942">
                  <c:v>3233.99</c:v>
                </c:pt>
                <c:pt idx="943">
                  <c:v>3239.99</c:v>
                </c:pt>
                <c:pt idx="944">
                  <c:v>3229.72</c:v>
                </c:pt>
                <c:pt idx="945">
                  <c:v>3193.52</c:v>
                </c:pt>
                <c:pt idx="946">
                  <c:v>3182.33</c:v>
                </c:pt>
                <c:pt idx="947">
                  <c:v>3182.07</c:v>
                </c:pt>
                <c:pt idx="948">
                  <c:v>3202.22</c:v>
                </c:pt>
                <c:pt idx="949">
                  <c:v>3192.33</c:v>
                </c:pt>
                <c:pt idx="950">
                  <c:v>3245.59</c:v>
                </c:pt>
                <c:pt idx="951">
                  <c:v>3244.15</c:v>
                </c:pt>
                <c:pt idx="952">
                  <c:v>3259.79</c:v>
                </c:pt>
                <c:pt idx="953">
                  <c:v>3277.62</c:v>
                </c:pt>
                <c:pt idx="954">
                  <c:v>3287.55</c:v>
                </c:pt>
                <c:pt idx="955">
                  <c:v>3303.15</c:v>
                </c:pt>
                <c:pt idx="956">
                  <c:v>3302.66</c:v>
                </c:pt>
                <c:pt idx="957">
                  <c:v>3302.3</c:v>
                </c:pt>
                <c:pt idx="958">
                  <c:v>3315.59</c:v>
                </c:pt>
                <c:pt idx="959">
                  <c:v>3286.69</c:v>
                </c:pt>
                <c:pt idx="960">
                  <c:v>3285.68</c:v>
                </c:pt>
                <c:pt idx="961">
                  <c:v>3277.48</c:v>
                </c:pt>
                <c:pt idx="962">
                  <c:v>3297.45</c:v>
                </c:pt>
                <c:pt idx="963">
                  <c:v>3297.74</c:v>
                </c:pt>
                <c:pt idx="964">
                  <c:v>3298.87</c:v>
                </c:pt>
                <c:pt idx="965">
                  <c:v>3306.49</c:v>
                </c:pt>
                <c:pt idx="966">
                  <c:v>3265.27</c:v>
                </c:pt>
                <c:pt idx="967">
                  <c:v>3300.61</c:v>
                </c:pt>
                <c:pt idx="968">
                  <c:v>3317.75</c:v>
                </c:pt>
                <c:pt idx="969">
                  <c:v>3313.36</c:v>
                </c:pt>
                <c:pt idx="970">
                  <c:v>3300.51</c:v>
                </c:pt>
                <c:pt idx="971">
                  <c:v>3309.74</c:v>
                </c:pt>
                <c:pt idx="972">
                  <c:v>3312.04</c:v>
                </c:pt>
                <c:pt idx="973">
                  <c:v>3282.64</c:v>
                </c:pt>
                <c:pt idx="974">
                  <c:v>3214.13</c:v>
                </c:pt>
                <c:pt idx="975">
                  <c:v>3198.57</c:v>
                </c:pt>
                <c:pt idx="976">
                  <c:v>3218.21</c:v>
                </c:pt>
                <c:pt idx="977">
                  <c:v>3185.7</c:v>
                </c:pt>
                <c:pt idx="978">
                  <c:v>3221.78</c:v>
                </c:pt>
                <c:pt idx="979">
                  <c:v>3200.95</c:v>
                </c:pt>
                <c:pt idx="980">
                  <c:v>3127.87</c:v>
                </c:pt>
                <c:pt idx="981">
                  <c:v>3151.94</c:v>
                </c:pt>
                <c:pt idx="982">
                  <c:v>3146.49</c:v>
                </c:pt>
                <c:pt idx="983">
                  <c:v>3187.25</c:v>
                </c:pt>
                <c:pt idx="984">
                  <c:v>3229.64</c:v>
                </c:pt>
                <c:pt idx="985">
                  <c:v>3234.79</c:v>
                </c:pt>
                <c:pt idx="986">
                  <c:v>3270.74</c:v>
                </c:pt>
                <c:pt idx="987">
                  <c:v>3271.47</c:v>
                </c:pt>
                <c:pt idx="988">
                  <c:v>3290.82</c:v>
                </c:pt>
                <c:pt idx="989">
                  <c:v>3306.92</c:v>
                </c:pt>
                <c:pt idx="990">
                  <c:v>3311.27</c:v>
                </c:pt>
                <c:pt idx="991">
                  <c:v>3289.83</c:v>
                </c:pt>
                <c:pt idx="992">
                  <c:v>3310.27</c:v>
                </c:pt>
                <c:pt idx="993">
                  <c:v>3304.36</c:v>
                </c:pt>
                <c:pt idx="994">
                  <c:v>3324.84</c:v>
                </c:pt>
                <c:pt idx="995">
                  <c:v>3320.43</c:v>
                </c:pt>
                <c:pt idx="996">
                  <c:v>3321.15</c:v>
                </c:pt>
                <c:pt idx="997">
                  <c:v>3338.05</c:v>
                </c:pt>
                <c:pt idx="998">
                  <c:v>3347.38</c:v>
                </c:pt>
                <c:pt idx="999">
                  <c:v>3322.85</c:v>
                </c:pt>
                <c:pt idx="1000">
                  <c:v>3373.64</c:v>
                </c:pt>
                <c:pt idx="1001">
                  <c:v>3374.1</c:v>
                </c:pt>
                <c:pt idx="1002">
                  <c:v>3380.49</c:v>
                </c:pt>
                <c:pt idx="1003">
                  <c:v>3382.57</c:v>
                </c:pt>
                <c:pt idx="1004">
                  <c:v>3381.22</c:v>
                </c:pt>
                <c:pt idx="1005">
                  <c:v>3364.17</c:v>
                </c:pt>
                <c:pt idx="1006">
                  <c:v>3366.07</c:v>
                </c:pt>
                <c:pt idx="1007">
                  <c:v>3327.11</c:v>
                </c:pt>
                <c:pt idx="1008">
                  <c:v>3317.81</c:v>
                </c:pt>
                <c:pt idx="1009">
                  <c:v>3349.71</c:v>
                </c:pt>
                <c:pt idx="1010">
                  <c:v>3373.98</c:v>
                </c:pt>
                <c:pt idx="1011">
                  <c:v>3353.29</c:v>
                </c:pt>
                <c:pt idx="1012">
                  <c:v>3373.6</c:v>
                </c:pt>
                <c:pt idx="1013">
                  <c:v>3363.72</c:v>
                </c:pt>
                <c:pt idx="1014">
                  <c:v>3347.36</c:v>
                </c:pt>
                <c:pt idx="1015">
                  <c:v>3362.44</c:v>
                </c:pt>
                <c:pt idx="1016">
                  <c:v>3339</c:v>
                </c:pt>
                <c:pt idx="1017">
                  <c:v>3333.23</c:v>
                </c:pt>
                <c:pt idx="1018">
                  <c:v>3348.83</c:v>
                </c:pt>
                <c:pt idx="1019">
                  <c:v>3375.51</c:v>
                </c:pt>
                <c:pt idx="1020">
                  <c:v>3399.51</c:v>
                </c:pt>
                <c:pt idx="1021">
                  <c:v>3409.8</c:v>
                </c:pt>
                <c:pt idx="1022">
                  <c:v>3406</c:v>
                </c:pt>
                <c:pt idx="1023">
                  <c:v>3363.41</c:v>
                </c:pt>
                <c:pt idx="1024">
                  <c:v>3327.27</c:v>
                </c:pt>
                <c:pt idx="1025">
                  <c:v>3340.84</c:v>
                </c:pt>
                <c:pt idx="1026">
                  <c:v>3377.61</c:v>
                </c:pt>
                <c:pt idx="1027">
                  <c:v>3307.08</c:v>
                </c:pt>
                <c:pt idx="1028">
                  <c:v>3276.04</c:v>
                </c:pt>
                <c:pt idx="1029">
                  <c:v>3302.98</c:v>
                </c:pt>
                <c:pt idx="1030">
                  <c:v>3325.3</c:v>
                </c:pt>
                <c:pt idx="1031">
                  <c:v>3360.27</c:v>
                </c:pt>
                <c:pt idx="1032">
                  <c:v>3365</c:v>
                </c:pt>
                <c:pt idx="1033">
                  <c:v>3377.75</c:v>
                </c:pt>
                <c:pt idx="1034">
                  <c:v>3391.58</c:v>
                </c:pt>
                <c:pt idx="1035">
                  <c:v>3384.5</c:v>
                </c:pt>
                <c:pt idx="1036">
                  <c:v>3390.39</c:v>
                </c:pt>
                <c:pt idx="1037">
                  <c:v>3362.95</c:v>
                </c:pt>
                <c:pt idx="1038">
                  <c:v>3374.04</c:v>
                </c:pt>
                <c:pt idx="1039">
                  <c:v>3390.16</c:v>
                </c:pt>
                <c:pt idx="1040">
                  <c:v>3400.46</c:v>
                </c:pt>
                <c:pt idx="1041">
                  <c:v>3400.2</c:v>
                </c:pt>
                <c:pt idx="1042">
                  <c:v>3395.61</c:v>
                </c:pt>
                <c:pt idx="1043">
                  <c:v>3402.23</c:v>
                </c:pt>
                <c:pt idx="1044">
                  <c:v>3371.72</c:v>
                </c:pt>
                <c:pt idx="1045">
                  <c:v>3392.1</c:v>
                </c:pt>
                <c:pt idx="1046">
                  <c:v>3388.29</c:v>
                </c:pt>
                <c:pt idx="1047">
                  <c:v>3394.05</c:v>
                </c:pt>
                <c:pt idx="1048">
                  <c:v>3427.01</c:v>
                </c:pt>
                <c:pt idx="1049">
                  <c:v>3429.3</c:v>
                </c:pt>
                <c:pt idx="1050">
                  <c:v>3413.84</c:v>
                </c:pt>
                <c:pt idx="1051">
                  <c:v>3382.52</c:v>
                </c:pt>
                <c:pt idx="1052">
                  <c:v>3395.21</c:v>
                </c:pt>
                <c:pt idx="1053">
                  <c:v>3408.52</c:v>
                </c:pt>
                <c:pt idx="1054">
                  <c:v>3386.48</c:v>
                </c:pt>
                <c:pt idx="1055">
                  <c:v>3414.45</c:v>
                </c:pt>
                <c:pt idx="1056">
                  <c:v>3422.99</c:v>
                </c:pt>
                <c:pt idx="1057">
                  <c:v>3437.58</c:v>
                </c:pt>
                <c:pt idx="1058">
                  <c:v>3458.19</c:v>
                </c:pt>
                <c:pt idx="1059">
                  <c:v>3454.88</c:v>
                </c:pt>
                <c:pt idx="1060">
                  <c:v>3473.86</c:v>
                </c:pt>
                <c:pt idx="1061">
                  <c:v>3480.29</c:v>
                </c:pt>
                <c:pt idx="1062">
                  <c:v>3483.14</c:v>
                </c:pt>
                <c:pt idx="1063">
                  <c:v>3482</c:v>
                </c:pt>
                <c:pt idx="1064">
                  <c:v>3489.21</c:v>
                </c:pt>
                <c:pt idx="1065">
                  <c:v>3512.21</c:v>
                </c:pt>
                <c:pt idx="1066">
                  <c:v>3528.98</c:v>
                </c:pt>
                <c:pt idx="1067">
                  <c:v>3532.47</c:v>
                </c:pt>
                <c:pt idx="1068">
                  <c:v>3531.62</c:v>
                </c:pt>
                <c:pt idx="1069">
                  <c:v>3519.52</c:v>
                </c:pt>
                <c:pt idx="1070">
                  <c:v>3495.57</c:v>
                </c:pt>
                <c:pt idx="1071">
                  <c:v>3506.58</c:v>
                </c:pt>
                <c:pt idx="1072">
                  <c:v>3509.54</c:v>
                </c:pt>
                <c:pt idx="1073">
                  <c:v>3517.23</c:v>
                </c:pt>
                <c:pt idx="1074">
                  <c:v>3544.42</c:v>
                </c:pt>
                <c:pt idx="1075">
                  <c:v>3549.44</c:v>
                </c:pt>
                <c:pt idx="1076">
                  <c:v>3555.6</c:v>
                </c:pt>
                <c:pt idx="1077">
                  <c:v>3555.14</c:v>
                </c:pt>
                <c:pt idx="1078">
                  <c:v>3532.57</c:v>
                </c:pt>
                <c:pt idx="1079">
                  <c:v>3549.96</c:v>
                </c:pt>
                <c:pt idx="1080">
                  <c:v>3546.38</c:v>
                </c:pt>
                <c:pt idx="1081">
                  <c:v>3553.35</c:v>
                </c:pt>
                <c:pt idx="1082">
                  <c:v>3552.18</c:v>
                </c:pt>
                <c:pt idx="1083">
                  <c:v>3576.55</c:v>
                </c:pt>
                <c:pt idx="1084">
                  <c:v>3579.11</c:v>
                </c:pt>
                <c:pt idx="1085">
                  <c:v>3598.73</c:v>
                </c:pt>
                <c:pt idx="1086">
                  <c:v>3584.75</c:v>
                </c:pt>
                <c:pt idx="1087">
                  <c:v>3560.53</c:v>
                </c:pt>
                <c:pt idx="1088">
                  <c:v>3577.28</c:v>
                </c:pt>
                <c:pt idx="1089">
                  <c:v>3562.49</c:v>
                </c:pt>
                <c:pt idx="1090">
                  <c:v>3568.08</c:v>
                </c:pt>
                <c:pt idx="1091">
                  <c:v>3585.37</c:v>
                </c:pt>
                <c:pt idx="1092">
                  <c:v>3578.46</c:v>
                </c:pt>
                <c:pt idx="1093">
                  <c:v>3593.91</c:v>
                </c:pt>
                <c:pt idx="1094">
                  <c:v>3551.73</c:v>
                </c:pt>
                <c:pt idx="1095">
                  <c:v>3588.21</c:v>
                </c:pt>
                <c:pt idx="1096">
                  <c:v>3579.99</c:v>
                </c:pt>
                <c:pt idx="1097">
                  <c:v>3597.95</c:v>
                </c:pt>
                <c:pt idx="1098">
                  <c:v>3604.3</c:v>
                </c:pt>
                <c:pt idx="1099">
                  <c:v>3606.1</c:v>
                </c:pt>
                <c:pt idx="1100">
                  <c:v>3588.68</c:v>
                </c:pt>
                <c:pt idx="1101">
                  <c:v>3589.73</c:v>
                </c:pt>
                <c:pt idx="1102">
                  <c:v>3573.65</c:v>
                </c:pt>
                <c:pt idx="1103">
                  <c:v>3574.45</c:v>
                </c:pt>
                <c:pt idx="1104">
                  <c:v>3503.19</c:v>
                </c:pt>
                <c:pt idx="1105">
                  <c:v>3493.18</c:v>
                </c:pt>
                <c:pt idx="1106">
                  <c:v>3518.31</c:v>
                </c:pt>
                <c:pt idx="1107">
                  <c:v>3484.56</c:v>
                </c:pt>
                <c:pt idx="1108">
                  <c:v>3485.67</c:v>
                </c:pt>
                <c:pt idx="1109">
                  <c:v>3467.14</c:v>
                </c:pt>
                <c:pt idx="1110">
                  <c:v>3507.21</c:v>
                </c:pt>
                <c:pt idx="1111">
                  <c:v>3517.53</c:v>
                </c:pt>
                <c:pt idx="1112">
                  <c:v>3511.96</c:v>
                </c:pt>
                <c:pt idx="1113">
                  <c:v>3536.42</c:v>
                </c:pt>
                <c:pt idx="1114">
                  <c:v>3551.97</c:v>
                </c:pt>
                <c:pt idx="1115">
                  <c:v>3552.17</c:v>
                </c:pt>
                <c:pt idx="1116">
                  <c:v>3582.7</c:v>
                </c:pt>
                <c:pt idx="1117">
                  <c:v>3601.33</c:v>
                </c:pt>
                <c:pt idx="1118">
                  <c:v>3610.49</c:v>
                </c:pt>
                <c:pt idx="1119">
                  <c:v>3621.23</c:v>
                </c:pt>
                <c:pt idx="1120">
                  <c:v>3614.5</c:v>
                </c:pt>
                <c:pt idx="1121">
                  <c:v>3631.86</c:v>
                </c:pt>
                <c:pt idx="1122">
                  <c:v>3635.71</c:v>
                </c:pt>
                <c:pt idx="1123">
                  <c:v>3636.64</c:v>
                </c:pt>
                <c:pt idx="1124">
                  <c:v>3630.98</c:v>
                </c:pt>
                <c:pt idx="1125">
                  <c:v>3643.34</c:v>
                </c:pt>
                <c:pt idx="1126">
                  <c:v>3641.52</c:v>
                </c:pt>
                <c:pt idx="1127">
                  <c:v>3639.35</c:v>
                </c:pt>
                <c:pt idx="1128">
                  <c:v>3633.87</c:v>
                </c:pt>
                <c:pt idx="1129">
                  <c:v>3652.26</c:v>
                </c:pt>
                <c:pt idx="1130">
                  <c:v>3641.66</c:v>
                </c:pt>
                <c:pt idx="1131">
                  <c:v>3617.89</c:v>
                </c:pt>
                <c:pt idx="1132">
                  <c:v>3631.45</c:v>
                </c:pt>
                <c:pt idx="1133">
                  <c:v>3635.66</c:v>
                </c:pt>
                <c:pt idx="1134">
                  <c:v>3614.06</c:v>
                </c:pt>
                <c:pt idx="1135">
                  <c:v>3611.52</c:v>
                </c:pt>
                <c:pt idx="1136">
                  <c:v>3638.6</c:v>
                </c:pt>
                <c:pt idx="1137">
                  <c:v>3643.4</c:v>
                </c:pt>
                <c:pt idx="1138">
                  <c:v>3661.73</c:v>
                </c:pt>
                <c:pt idx="1139">
                  <c:v>3660.03</c:v>
                </c:pt>
                <c:pt idx="1140">
                  <c:v>3630.7</c:v>
                </c:pt>
                <c:pt idx="1141">
                  <c:v>3610.1</c:v>
                </c:pt>
                <c:pt idx="1142">
                  <c:v>3638.44</c:v>
                </c:pt>
                <c:pt idx="1143">
                  <c:v>3579.61</c:v>
                </c:pt>
                <c:pt idx="1144">
                  <c:v>3610.98</c:v>
                </c:pt>
                <c:pt idx="1145">
                  <c:v>3602.09</c:v>
                </c:pt>
                <c:pt idx="1146">
                  <c:v>3592.25</c:v>
                </c:pt>
                <c:pt idx="1147">
                  <c:v>3544.98</c:v>
                </c:pt>
                <c:pt idx="1148">
                  <c:v>3545.3</c:v>
                </c:pt>
                <c:pt idx="1149">
                  <c:v>3584.94</c:v>
                </c:pt>
                <c:pt idx="1150">
                  <c:v>3579.42</c:v>
                </c:pt>
                <c:pt idx="1151">
                  <c:v>3525.29</c:v>
                </c:pt>
                <c:pt idx="1152">
                  <c:v>3588.07</c:v>
                </c:pt>
                <c:pt idx="1153">
                  <c:v>3514.12</c:v>
                </c:pt>
                <c:pt idx="1154">
                  <c:v>3474.23</c:v>
                </c:pt>
                <c:pt idx="1155">
                  <c:v>3417.01</c:v>
                </c:pt>
                <c:pt idx="1156">
                  <c:v>3422.43</c:v>
                </c:pt>
                <c:pt idx="1157">
                  <c:v>3395.03</c:v>
                </c:pt>
                <c:pt idx="1158">
                  <c:v>3395.64</c:v>
                </c:pt>
                <c:pt idx="1159">
                  <c:v>3439.39</c:v>
                </c:pt>
                <c:pt idx="1160">
                  <c:v>3470.89</c:v>
                </c:pt>
                <c:pt idx="1161">
                  <c:v>3538.9</c:v>
                </c:pt>
                <c:pt idx="1162">
                  <c:v>3513.47</c:v>
                </c:pt>
                <c:pt idx="1163">
                  <c:v>3556.7</c:v>
                </c:pt>
                <c:pt idx="1164">
                  <c:v>3581.82</c:v>
                </c:pt>
                <c:pt idx="1165">
                  <c:v>3576.47</c:v>
                </c:pt>
                <c:pt idx="1166">
                  <c:v>3619.16</c:v>
                </c:pt>
                <c:pt idx="1167">
                  <c:v>3614.53</c:v>
                </c:pt>
                <c:pt idx="1168">
                  <c:v>3637.3</c:v>
                </c:pt>
                <c:pt idx="1169">
                  <c:v>3679.99</c:v>
                </c:pt>
                <c:pt idx="1170">
                  <c:v>3679.58</c:v>
                </c:pt>
                <c:pt idx="1171">
                  <c:v>3669.18</c:v>
                </c:pt>
                <c:pt idx="1172">
                  <c:v>3691.38</c:v>
                </c:pt>
                <c:pt idx="1173">
                  <c:v>3706.45</c:v>
                </c:pt>
                <c:pt idx="1174">
                  <c:v>3708.46</c:v>
                </c:pt>
                <c:pt idx="1175">
                  <c:v>3720.25</c:v>
                </c:pt>
                <c:pt idx="1176">
                  <c:v>3722.84</c:v>
                </c:pt>
                <c:pt idx="1177">
                  <c:v>3721.3</c:v>
                </c:pt>
                <c:pt idx="1178">
                  <c:v>3723.58</c:v>
                </c:pt>
                <c:pt idx="1179">
                  <c:v>3724.92</c:v>
                </c:pt>
                <c:pt idx="1180">
                  <c:v>3727.86</c:v>
                </c:pt>
                <c:pt idx="1181">
                  <c:v>3747.74</c:v>
                </c:pt>
                <c:pt idx="1182">
                  <c:v>3742.35</c:v>
                </c:pt>
                <c:pt idx="1183">
                  <c:v>3749.87</c:v>
                </c:pt>
                <c:pt idx="1184">
                  <c:v>3770.03</c:v>
                </c:pt>
                <c:pt idx="1185">
                  <c:v>3780.88</c:v>
                </c:pt>
                <c:pt idx="1186">
                  <c:v>3776.94</c:v>
                </c:pt>
                <c:pt idx="1187">
                  <c:v>3788.42</c:v>
                </c:pt>
                <c:pt idx="1188">
                  <c:v>3778.96</c:v>
                </c:pt>
                <c:pt idx="1189">
                  <c:v>3753.31</c:v>
                </c:pt>
                <c:pt idx="1190">
                  <c:v>3777.47</c:v>
                </c:pt>
                <c:pt idx="1191">
                  <c:v>3792.69</c:v>
                </c:pt>
                <c:pt idx="1192">
                  <c:v>3788.34</c:v>
                </c:pt>
                <c:pt idx="1193">
                  <c:v>3794.68</c:v>
                </c:pt>
                <c:pt idx="1194">
                  <c:v>3767.7</c:v>
                </c:pt>
                <c:pt idx="1195">
                  <c:v>3766.83</c:v>
                </c:pt>
                <c:pt idx="1196">
                  <c:v>3705.51</c:v>
                </c:pt>
                <c:pt idx="1197">
                  <c:v>3723.32</c:v>
                </c:pt>
                <c:pt idx="1198">
                  <c:v>3663.1</c:v>
                </c:pt>
                <c:pt idx="1199">
                  <c:v>3639.97</c:v>
                </c:pt>
                <c:pt idx="1200">
                  <c:v>3609.06</c:v>
                </c:pt>
                <c:pt idx="1201">
                  <c:v>3682.7</c:v>
                </c:pt>
                <c:pt idx="1202">
                  <c:v>3771.72</c:v>
                </c:pt>
                <c:pt idx="1203">
                  <c:v>3788.97</c:v>
                </c:pt>
                <c:pt idx="1204">
                  <c:v>3803.94</c:v>
                </c:pt>
                <c:pt idx="1205">
                  <c:v>3810.78</c:v>
                </c:pt>
                <c:pt idx="1206">
                  <c:v>3810.39</c:v>
                </c:pt>
                <c:pt idx="1207">
                  <c:v>3823</c:v>
                </c:pt>
                <c:pt idx="1208">
                  <c:v>3826.95</c:v>
                </c:pt>
                <c:pt idx="1209">
                  <c:v>3808.69</c:v>
                </c:pt>
                <c:pt idx="1210">
                  <c:v>3769.44</c:v>
                </c:pt>
                <c:pt idx="1211">
                  <c:v>3768.68</c:v>
                </c:pt>
                <c:pt idx="1212">
                  <c:v>3700.03</c:v>
                </c:pt>
                <c:pt idx="1213">
                  <c:v>3667.14</c:v>
                </c:pt>
                <c:pt idx="1214">
                  <c:v>3710.94</c:v>
                </c:pt>
                <c:pt idx="1215">
                  <c:v>3777.4</c:v>
                </c:pt>
                <c:pt idx="1216">
                  <c:v>3745.67</c:v>
                </c:pt>
                <c:pt idx="1217">
                  <c:v>3715.36</c:v>
                </c:pt>
                <c:pt idx="1218">
                  <c:v>3706.15</c:v>
                </c:pt>
                <c:pt idx="1219">
                  <c:v>3684.72</c:v>
                </c:pt>
                <c:pt idx="1220">
                  <c:v>3650.74</c:v>
                </c:pt>
                <c:pt idx="1221">
                  <c:v>3699.79</c:v>
                </c:pt>
                <c:pt idx="1222">
                  <c:v>3705.64</c:v>
                </c:pt>
                <c:pt idx="1223">
                  <c:v>3723.62</c:v>
                </c:pt>
                <c:pt idx="1224">
                  <c:v>3780.51</c:v>
                </c:pt>
                <c:pt idx="1225">
                  <c:v>3759.76</c:v>
                </c:pt>
                <c:pt idx="1226">
                  <c:v>3769.45</c:v>
                </c:pt>
                <c:pt idx="1227">
                  <c:v>3718.99</c:v>
                </c:pt>
                <c:pt idx="1228">
                  <c:v>3669.1</c:v>
                </c:pt>
                <c:pt idx="1229">
                  <c:v>3704.35</c:v>
                </c:pt>
                <c:pt idx="1230">
                  <c:v>3656.28</c:v>
                </c:pt>
                <c:pt idx="1231">
                  <c:v>3703.77</c:v>
                </c:pt>
                <c:pt idx="1232">
                  <c:v>3757.34</c:v>
                </c:pt>
                <c:pt idx="1233">
                  <c:v>3742.84</c:v>
                </c:pt>
                <c:pt idx="1234">
                  <c:v>3782.11</c:v>
                </c:pt>
                <c:pt idx="1235">
                  <c:v>3770.2</c:v>
                </c:pt>
                <c:pt idx="1236">
                  <c:v>3754.36</c:v>
                </c:pt>
                <c:pt idx="1237">
                  <c:v>3794.62</c:v>
                </c:pt>
                <c:pt idx="1238">
                  <c:v>3795.82</c:v>
                </c:pt>
                <c:pt idx="1239">
                  <c:v>3833.35</c:v>
                </c:pt>
                <c:pt idx="1240">
                  <c:v>3849.29</c:v>
                </c:pt>
                <c:pt idx="1241">
                  <c:v>3856.04</c:v>
                </c:pt>
                <c:pt idx="1242">
                  <c:v>3855</c:v>
                </c:pt>
                <c:pt idx="1243">
                  <c:v>3851.53</c:v>
                </c:pt>
                <c:pt idx="1244">
                  <c:v>3875.6</c:v>
                </c:pt>
                <c:pt idx="1245">
                  <c:v>3874.46</c:v>
                </c:pt>
                <c:pt idx="1246">
                  <c:v>3885.27</c:v>
                </c:pt>
                <c:pt idx="1247">
                  <c:v>3882.95</c:v>
                </c:pt>
                <c:pt idx="1248">
                  <c:v>3877.85</c:v>
                </c:pt>
                <c:pt idx="1249">
                  <c:v>3866.42</c:v>
                </c:pt>
                <c:pt idx="1250">
                  <c:v>3890.32</c:v>
                </c:pt>
                <c:pt idx="1251">
                  <c:v>3872.71</c:v>
                </c:pt>
                <c:pt idx="1252">
                  <c:v>3856.51</c:v>
                </c:pt>
                <c:pt idx="1253">
                  <c:v>3861.29</c:v>
                </c:pt>
                <c:pt idx="1254">
                  <c:v>3807.04</c:v>
                </c:pt>
                <c:pt idx="1255">
                  <c:v>3822.42</c:v>
                </c:pt>
                <c:pt idx="1256">
                  <c:v>3757.83</c:v>
                </c:pt>
                <c:pt idx="1257">
                  <c:v>3751.2</c:v>
                </c:pt>
                <c:pt idx="1258">
                  <c:v>3799.43</c:v>
                </c:pt>
                <c:pt idx="1259">
                  <c:v>3776.44</c:v>
                </c:pt>
                <c:pt idx="1260">
                  <c:v>3827.62</c:v>
                </c:pt>
                <c:pt idx="1261">
                  <c:v>3814.91</c:v>
                </c:pt>
                <c:pt idx="1262">
                  <c:v>3861.39</c:v>
                </c:pt>
                <c:pt idx="1263">
                  <c:v>3842.62</c:v>
                </c:pt>
                <c:pt idx="1264">
                  <c:v>3877.26</c:v>
                </c:pt>
                <c:pt idx="1265">
                  <c:v>3870.49</c:v>
                </c:pt>
                <c:pt idx="1266">
                  <c:v>3847.05</c:v>
                </c:pt>
                <c:pt idx="1267">
                  <c:v>3791.13</c:v>
                </c:pt>
                <c:pt idx="1268">
                  <c:v>3782.21</c:v>
                </c:pt>
                <c:pt idx="1269">
                  <c:v>3791.9</c:v>
                </c:pt>
                <c:pt idx="1270">
                  <c:v>3838.65</c:v>
                </c:pt>
                <c:pt idx="1271">
                  <c:v>3805.27</c:v>
                </c:pt>
                <c:pt idx="1272">
                  <c:v>3790.66</c:v>
                </c:pt>
                <c:pt idx="1273">
                  <c:v>3804.14</c:v>
                </c:pt>
                <c:pt idx="1274">
                  <c:v>3829.31</c:v>
                </c:pt>
                <c:pt idx="1275">
                  <c:v>3821.49</c:v>
                </c:pt>
                <c:pt idx="1276">
                  <c:v>3833.2</c:v>
                </c:pt>
                <c:pt idx="1277">
                  <c:v>3850.29</c:v>
                </c:pt>
                <c:pt idx="1278">
                  <c:v>3870.31</c:v>
                </c:pt>
                <c:pt idx="1279">
                  <c:v>3852.93</c:v>
                </c:pt>
                <c:pt idx="1280">
                  <c:v>3859.22</c:v>
                </c:pt>
                <c:pt idx="1281">
                  <c:v>3879.1</c:v>
                </c:pt>
                <c:pt idx="1282">
                  <c:v>3876.17</c:v>
                </c:pt>
                <c:pt idx="1283">
                  <c:v>3832.33</c:v>
                </c:pt>
                <c:pt idx="1284">
                  <c:v>3867.82</c:v>
                </c:pt>
                <c:pt idx="1285">
                  <c:v>3862.15</c:v>
                </c:pt>
                <c:pt idx="1286">
                  <c:v>3881.93</c:v>
                </c:pt>
                <c:pt idx="1287">
                  <c:v>3891.46</c:v>
                </c:pt>
                <c:pt idx="1288">
                  <c:v>3900.24</c:v>
                </c:pt>
                <c:pt idx="1289">
                  <c:v>3884.1</c:v>
                </c:pt>
                <c:pt idx="1290">
                  <c:v>3895.21</c:v>
                </c:pt>
                <c:pt idx="1291">
                  <c:v>3880.9</c:v>
                </c:pt>
                <c:pt idx="1292">
                  <c:v>3841.78</c:v>
                </c:pt>
                <c:pt idx="1293">
                  <c:v>3883.75</c:v>
                </c:pt>
                <c:pt idx="1294">
                  <c:v>3895.16</c:v>
                </c:pt>
                <c:pt idx="1295">
                  <c:v>3849.41</c:v>
                </c:pt>
                <c:pt idx="1296">
                  <c:v>3833.7</c:v>
                </c:pt>
                <c:pt idx="1297">
                  <c:v>3849.13</c:v>
                </c:pt>
                <c:pt idx="1298">
                  <c:v>3901.01</c:v>
                </c:pt>
                <c:pt idx="1299">
                  <c:v>3881.93</c:v>
                </c:pt>
                <c:pt idx="1300">
                  <c:v>3870.69</c:v>
                </c:pt>
                <c:pt idx="1301">
                  <c:v>3870.36</c:v>
                </c:pt>
                <c:pt idx="1302">
                  <c:v>3912.52</c:v>
                </c:pt>
                <c:pt idx="1303">
                  <c:v>3915.99</c:v>
                </c:pt>
                <c:pt idx="1304">
                  <c:v>3928.15</c:v>
                </c:pt>
                <c:pt idx="1305">
                  <c:v>3926.41</c:v>
                </c:pt>
                <c:pt idx="1306">
                  <c:v>3923.18</c:v>
                </c:pt>
                <c:pt idx="1307">
                  <c:v>3932.9</c:v>
                </c:pt>
                <c:pt idx="1308">
                  <c:v>3924.16</c:v>
                </c:pt>
                <c:pt idx="1309">
                  <c:v>3883.88</c:v>
                </c:pt>
                <c:pt idx="1310">
                  <c:v>3920.11</c:v>
                </c:pt>
                <c:pt idx="1311">
                  <c:v>3915.82</c:v>
                </c:pt>
                <c:pt idx="1312">
                  <c:v>3891.18</c:v>
                </c:pt>
                <c:pt idx="1313">
                  <c:v>3899.59</c:v>
                </c:pt>
                <c:pt idx="1314">
                  <c:v>3895.85</c:v>
                </c:pt>
                <c:pt idx="1315">
                  <c:v>3904.83</c:v>
                </c:pt>
                <c:pt idx="1316">
                  <c:v>3871.23</c:v>
                </c:pt>
                <c:pt idx="1317">
                  <c:v>3865.83</c:v>
                </c:pt>
                <c:pt idx="1318">
                  <c:v>3841.45</c:v>
                </c:pt>
                <c:pt idx="1319">
                  <c:v>3843.16</c:v>
                </c:pt>
                <c:pt idx="1320">
                  <c:v>3889.7</c:v>
                </c:pt>
                <c:pt idx="1321">
                  <c:v>3897.59</c:v>
                </c:pt>
                <c:pt idx="1322">
                  <c:v>3870.56</c:v>
                </c:pt>
                <c:pt idx="1323">
                  <c:v>3852.75</c:v>
                </c:pt>
                <c:pt idx="1324">
                  <c:v>3874.73</c:v>
                </c:pt>
                <c:pt idx="1325">
                  <c:v>3882.49</c:v>
                </c:pt>
                <c:pt idx="1326">
                  <c:v>3921.43</c:v>
                </c:pt>
                <c:pt idx="1327">
                  <c:v>3900.64</c:v>
                </c:pt>
                <c:pt idx="1328">
                  <c:v>3924.41</c:v>
                </c:pt>
                <c:pt idx="1329">
                  <c:v>3927.23</c:v>
                </c:pt>
                <c:pt idx="1330">
                  <c:v>3898.47</c:v>
                </c:pt>
                <c:pt idx="1331">
                  <c:v>3887.04</c:v>
                </c:pt>
                <c:pt idx="1332">
                  <c:v>3886.21</c:v>
                </c:pt>
                <c:pt idx="1333">
                  <c:v>3805.5</c:v>
                </c:pt>
                <c:pt idx="1334">
                  <c:v>3815.85</c:v>
                </c:pt>
                <c:pt idx="1335">
                  <c:v>3843.26</c:v>
                </c:pt>
                <c:pt idx="1336">
                  <c:v>3842.06</c:v>
                </c:pt>
                <c:pt idx="1337">
                  <c:v>3827.35</c:v>
                </c:pt>
                <c:pt idx="1338">
                  <c:v>3850.66</c:v>
                </c:pt>
                <c:pt idx="1339">
                  <c:v>3787.67</c:v>
                </c:pt>
                <c:pt idx="1340">
                  <c:v>3796.26</c:v>
                </c:pt>
                <c:pt idx="1341">
                  <c:v>3843.1</c:v>
                </c:pt>
                <c:pt idx="1342">
                  <c:v>3885.97</c:v>
                </c:pt>
                <c:pt idx="1343">
                  <c:v>3903.31</c:v>
                </c:pt>
                <c:pt idx="1344">
                  <c:v>3900.5</c:v>
                </c:pt>
                <c:pt idx="1345">
                  <c:v>3931.85</c:v>
                </c:pt>
                <c:pt idx="1346">
                  <c:v>3936.22</c:v>
                </c:pt>
                <c:pt idx="1347">
                  <c:v>3939.35</c:v>
                </c:pt>
                <c:pt idx="1348">
                  <c:v>3922.7</c:v>
                </c:pt>
                <c:pt idx="1349">
                  <c:v>3913.75</c:v>
                </c:pt>
                <c:pt idx="1350">
                  <c:v>3891.79</c:v>
                </c:pt>
                <c:pt idx="1351">
                  <c:v>3850.15</c:v>
                </c:pt>
                <c:pt idx="1352">
                  <c:v>3827.93</c:v>
                </c:pt>
                <c:pt idx="1353">
                  <c:v>3875.37</c:v>
                </c:pt>
                <c:pt idx="1354">
                  <c:v>3904.21</c:v>
                </c:pt>
                <c:pt idx="1355">
                  <c:v>3904.64</c:v>
                </c:pt>
                <c:pt idx="1356">
                  <c:v>3895.8</c:v>
                </c:pt>
                <c:pt idx="1357">
                  <c:v>3885.07</c:v>
                </c:pt>
                <c:pt idx="1358">
                  <c:v>3876.44</c:v>
                </c:pt>
                <c:pt idx="1359">
                  <c:v>3889.99</c:v>
                </c:pt>
                <c:pt idx="1360">
                  <c:v>3860.92</c:v>
                </c:pt>
                <c:pt idx="1361">
                  <c:v>3849.96</c:v>
                </c:pt>
                <c:pt idx="1362">
                  <c:v>3899.36</c:v>
                </c:pt>
                <c:pt idx="1363">
                  <c:v>3862.81</c:v>
                </c:pt>
                <c:pt idx="1364">
                  <c:v>3867.37</c:v>
                </c:pt>
                <c:pt idx="1365">
                  <c:v>3863.03</c:v>
                </c:pt>
                <c:pt idx="1366">
                  <c:v>3878.16</c:v>
                </c:pt>
                <c:pt idx="1367">
                  <c:v>3899.1</c:v>
                </c:pt>
                <c:pt idx="1368">
                  <c:v>3889.6</c:v>
                </c:pt>
                <c:pt idx="1369">
                  <c:v>3857.74</c:v>
                </c:pt>
                <c:pt idx="1370">
                  <c:v>3776.36</c:v>
                </c:pt>
                <c:pt idx="1371">
                  <c:v>3656.67</c:v>
                </c:pt>
                <c:pt idx="1372">
                  <c:v>3512.65</c:v>
                </c:pt>
                <c:pt idx="1373">
                  <c:v>3465.19</c:v>
                </c:pt>
                <c:pt idx="1374">
                  <c:v>3600.73</c:v>
                </c:pt>
                <c:pt idx="1375">
                  <c:v>3688.6</c:v>
                </c:pt>
                <c:pt idx="1376">
                  <c:v>3691.3</c:v>
                </c:pt>
                <c:pt idx="1377">
                  <c:v>3660.75</c:v>
                </c:pt>
                <c:pt idx="1378">
                  <c:v>3552.65</c:v>
                </c:pt>
                <c:pt idx="1379">
                  <c:v>3618.25</c:v>
                </c:pt>
                <c:pt idx="1380">
                  <c:v>3622.66</c:v>
                </c:pt>
                <c:pt idx="1381">
                  <c:v>3567.41</c:v>
                </c:pt>
                <c:pt idx="1382">
                  <c:v>3657.32</c:v>
                </c:pt>
                <c:pt idx="1383">
                  <c:v>3606.8</c:v>
                </c:pt>
                <c:pt idx="1384">
                  <c:v>3626.14</c:v>
                </c:pt>
                <c:pt idx="1385">
                  <c:v>3643.54</c:v>
                </c:pt>
                <c:pt idx="1386">
                  <c:v>3628.87</c:v>
                </c:pt>
                <c:pt idx="1387">
                  <c:v>3675.48</c:v>
                </c:pt>
                <c:pt idx="1388">
                  <c:v>3707.62</c:v>
                </c:pt>
                <c:pt idx="1389">
                  <c:v>3698.74</c:v>
                </c:pt>
                <c:pt idx="1390">
                  <c:v>3638.99</c:v>
                </c:pt>
                <c:pt idx="1391">
                  <c:v>3655.64</c:v>
                </c:pt>
                <c:pt idx="1392">
                  <c:v>3610.7</c:v>
                </c:pt>
                <c:pt idx="1393">
                  <c:v>3603.49</c:v>
                </c:pt>
                <c:pt idx="1394">
                  <c:v>3591.37</c:v>
                </c:pt>
                <c:pt idx="1395">
                  <c:v>3589.71</c:v>
                </c:pt>
                <c:pt idx="1396">
                  <c:v>3498.61</c:v>
                </c:pt>
                <c:pt idx="1397">
                  <c:v>3503.13</c:v>
                </c:pt>
                <c:pt idx="1398">
                  <c:v>3570.17</c:v>
                </c:pt>
                <c:pt idx="1399">
                  <c:v>3577.47</c:v>
                </c:pt>
                <c:pt idx="1400">
                  <c:v>3629.04</c:v>
                </c:pt>
                <c:pt idx="1401">
                  <c:v>3695.61</c:v>
                </c:pt>
                <c:pt idx="1402">
                  <c:v>3682.33</c:v>
                </c:pt>
                <c:pt idx="1403">
                  <c:v>3713.36</c:v>
                </c:pt>
                <c:pt idx="1404">
                  <c:v>3746.12</c:v>
                </c:pt>
                <c:pt idx="1405">
                  <c:v>3748.96</c:v>
                </c:pt>
                <c:pt idx="1406">
                  <c:v>3753.73</c:v>
                </c:pt>
                <c:pt idx="1407">
                  <c:v>3728.48</c:v>
                </c:pt>
                <c:pt idx="1408">
                  <c:v>3711.11</c:v>
                </c:pt>
                <c:pt idx="1409">
                  <c:v>3766.43</c:v>
                </c:pt>
                <c:pt idx="1410">
                  <c:v>3783.64</c:v>
                </c:pt>
                <c:pt idx="1411">
                  <c:v>3784.72</c:v>
                </c:pt>
                <c:pt idx="1412">
                  <c:v>3779.44</c:v>
                </c:pt>
                <c:pt idx="1413">
                  <c:v>3757.91</c:v>
                </c:pt>
                <c:pt idx="1414">
                  <c:v>3820.49</c:v>
                </c:pt>
                <c:pt idx="1415">
                  <c:v>3862.65</c:v>
                </c:pt>
                <c:pt idx="1416">
                  <c:v>3855.29</c:v>
                </c:pt>
                <c:pt idx="1417">
                  <c:v>3845.45</c:v>
                </c:pt>
                <c:pt idx="1418">
                  <c:v>3891.34</c:v>
                </c:pt>
                <c:pt idx="1419">
                  <c:v>3890.04</c:v>
                </c:pt>
                <c:pt idx="1420">
                  <c:v>3871.33</c:v>
                </c:pt>
                <c:pt idx="1421">
                  <c:v>3917.3</c:v>
                </c:pt>
                <c:pt idx="1422">
                  <c:v>3928.05</c:v>
                </c:pt>
                <c:pt idx="1423">
                  <c:v>3915.52</c:v>
                </c:pt>
                <c:pt idx="1424">
                  <c:v>3911.89</c:v>
                </c:pt>
                <c:pt idx="1425">
                  <c:v>3910.98</c:v>
                </c:pt>
                <c:pt idx="1426">
                  <c:v>3873.37</c:v>
                </c:pt>
                <c:pt idx="1427">
                  <c:v>3880.23</c:v>
                </c:pt>
                <c:pt idx="1428">
                  <c:v>3867.71</c:v>
                </c:pt>
                <c:pt idx="1429">
                  <c:v>3814.29</c:v>
                </c:pt>
                <c:pt idx="1430">
                  <c:v>3771.59</c:v>
                </c:pt>
                <c:pt idx="1431">
                  <c:v>3828.46</c:v>
                </c:pt>
                <c:pt idx="1432">
                  <c:v>3824.14</c:v>
                </c:pt>
                <c:pt idx="1433">
                  <c:v>3886.26</c:v>
                </c:pt>
                <c:pt idx="1434">
                  <c:v>3882.06</c:v>
                </c:pt>
                <c:pt idx="1435">
                  <c:v>3897.45</c:v>
                </c:pt>
                <c:pt idx="1436">
                  <c:v>3892.8</c:v>
                </c:pt>
                <c:pt idx="1437">
                  <c:v>3897.67</c:v>
                </c:pt>
                <c:pt idx="1438">
                  <c:v>3897.57</c:v>
                </c:pt>
                <c:pt idx="1439">
                  <c:v>3900.74</c:v>
                </c:pt>
                <c:pt idx="1440">
                  <c:v>3882.84</c:v>
                </c:pt>
                <c:pt idx="1441">
                  <c:v>3924.63</c:v>
                </c:pt>
                <c:pt idx="1442">
                  <c:v>3882.38</c:v>
                </c:pt>
                <c:pt idx="1443">
                  <c:v>3826.74</c:v>
                </c:pt>
                <c:pt idx="1444">
                  <c:v>3905.31</c:v>
                </c:pt>
                <c:pt idx="1445">
                  <c:v>3878.31</c:v>
                </c:pt>
                <c:pt idx="1446">
                  <c:v>3853.48</c:v>
                </c:pt>
                <c:pt idx="1447">
                  <c:v>3823.9</c:v>
                </c:pt>
                <c:pt idx="1448">
                  <c:v>3832.93</c:v>
                </c:pt>
                <c:pt idx="1449">
                  <c:v>3759.09</c:v>
                </c:pt>
                <c:pt idx="1450">
                  <c:v>3777.22</c:v>
                </c:pt>
                <c:pt idx="1451">
                  <c:v>3817.36</c:v>
                </c:pt>
                <c:pt idx="1452">
                  <c:v>3873.12</c:v>
                </c:pt>
                <c:pt idx="1453">
                  <c:v>3815.46</c:v>
                </c:pt>
                <c:pt idx="1454">
                  <c:v>3747.56</c:v>
                </c:pt>
                <c:pt idx="1455">
                  <c:v>3777.15</c:v>
                </c:pt>
                <c:pt idx="1456">
                  <c:v>3810.85</c:v>
                </c:pt>
                <c:pt idx="1457">
                  <c:v>3858.47</c:v>
                </c:pt>
                <c:pt idx="1458">
                  <c:v>3852.31</c:v>
                </c:pt>
                <c:pt idx="1459">
                  <c:v>3843.94</c:v>
                </c:pt>
                <c:pt idx="1460">
                  <c:v>3885.55</c:v>
                </c:pt>
                <c:pt idx="1461">
                  <c:v>3857.9</c:v>
                </c:pt>
                <c:pt idx="1462">
                  <c:v>3821.6</c:v>
                </c:pt>
                <c:pt idx="1463">
                  <c:v>3763.99</c:v>
                </c:pt>
                <c:pt idx="1464">
                  <c:v>3771.57</c:v>
                </c:pt>
                <c:pt idx="1465">
                  <c:v>3723.44</c:v>
                </c:pt>
                <c:pt idx="1466">
                  <c:v>3635.29</c:v>
                </c:pt>
                <c:pt idx="1467">
                  <c:v>3595.91</c:v>
                </c:pt>
                <c:pt idx="1468">
                  <c:v>3598.97</c:v>
                </c:pt>
                <c:pt idx="1469">
                  <c:v>3627.06</c:v>
                </c:pt>
                <c:pt idx="1470">
                  <c:v>3536.92</c:v>
                </c:pt>
                <c:pt idx="1471">
                  <c:v>3596.03</c:v>
                </c:pt>
                <c:pt idx="1472">
                  <c:v>3518.51</c:v>
                </c:pt>
                <c:pt idx="1473">
                  <c:v>3520.4</c:v>
                </c:pt>
                <c:pt idx="1474">
                  <c:v>3479.75</c:v>
                </c:pt>
                <c:pt idx="1475">
                  <c:v>3497.94</c:v>
                </c:pt>
                <c:pt idx="1476">
                  <c:v>3568.9</c:v>
                </c:pt>
                <c:pt idx="1477">
                  <c:v>3513.11</c:v>
                </c:pt>
                <c:pt idx="1478">
                  <c:v>3562.81</c:v>
                </c:pt>
                <c:pt idx="1479">
                  <c:v>3524.33</c:v>
                </c:pt>
                <c:pt idx="1480">
                  <c:v>3544.13</c:v>
                </c:pt>
                <c:pt idx="1481">
                  <c:v>3631.96</c:v>
                </c:pt>
                <c:pt idx="1482">
                  <c:v>3630.46</c:v>
                </c:pt>
                <c:pt idx="1483">
                  <c:v>3562.52</c:v>
                </c:pt>
                <c:pt idx="1484">
                  <c:v>3581.53</c:v>
                </c:pt>
                <c:pt idx="1485">
                  <c:v>3587.71</c:v>
                </c:pt>
                <c:pt idx="1486">
                  <c:v>3521.6</c:v>
                </c:pt>
                <c:pt idx="1487">
                  <c:v>3472.08</c:v>
                </c:pt>
                <c:pt idx="1488">
                  <c:v>3470.5</c:v>
                </c:pt>
                <c:pt idx="1489">
                  <c:v>3471.04</c:v>
                </c:pt>
                <c:pt idx="1490">
                  <c:v>3428.99</c:v>
                </c:pt>
                <c:pt idx="1491">
                  <c:v>3496.28</c:v>
                </c:pt>
                <c:pt idx="1492">
                  <c:v>3555.2</c:v>
                </c:pt>
                <c:pt idx="1493">
                  <c:v>3614.16</c:v>
                </c:pt>
                <c:pt idx="1494">
                  <c:v>3597.49</c:v>
                </c:pt>
                <c:pt idx="1495">
                  <c:v>3597.92</c:v>
                </c:pt>
                <c:pt idx="1496">
                  <c:v>3649.92</c:v>
                </c:pt>
                <c:pt idx="1497">
                  <c:v>3604.68</c:v>
                </c:pt>
                <c:pt idx="1498">
                  <c:v>3620.87</c:v>
                </c:pt>
                <c:pt idx="1499">
                  <c:v>3662.84</c:v>
                </c:pt>
                <c:pt idx="1500">
                  <c:v>3656.42</c:v>
                </c:pt>
                <c:pt idx="1501">
                  <c:v>3627.06</c:v>
                </c:pt>
                <c:pt idx="1502">
                  <c:v>3713.7</c:v>
                </c:pt>
                <c:pt idx="1503">
                  <c:v>3729.59</c:v>
                </c:pt>
                <c:pt idx="1504">
                  <c:v>3743.02</c:v>
                </c:pt>
                <c:pt idx="1505">
                  <c:v>3755.47</c:v>
                </c:pt>
                <c:pt idx="1506">
                  <c:v>3759.05</c:v>
                </c:pt>
                <c:pt idx="1507">
                  <c:v>3717.49</c:v>
                </c:pt>
                <c:pt idx="1508">
                  <c:v>3736.92</c:v>
                </c:pt>
                <c:pt idx="1509">
                  <c:v>3737.74</c:v>
                </c:pt>
                <c:pt idx="1510">
                  <c:v>3800.07</c:v>
                </c:pt>
                <c:pt idx="1511">
                  <c:v>3795.53</c:v>
                </c:pt>
                <c:pt idx="1512">
                  <c:v>3788.62</c:v>
                </c:pt>
                <c:pt idx="1513">
                  <c:v>3810.09</c:v>
                </c:pt>
                <c:pt idx="1514">
                  <c:v>3835.26</c:v>
                </c:pt>
                <c:pt idx="1515">
                  <c:v>3852.15</c:v>
                </c:pt>
                <c:pt idx="1516">
                  <c:v>3855.97</c:v>
                </c:pt>
                <c:pt idx="1517">
                  <c:v>3853.18</c:v>
                </c:pt>
                <c:pt idx="1518">
                  <c:v>3828.58</c:v>
                </c:pt>
                <c:pt idx="1519">
                  <c:v>3827.14</c:v>
                </c:pt>
                <c:pt idx="1520">
                  <c:v>3829.26</c:v>
                </c:pt>
                <c:pt idx="1521">
                  <c:v>3863.8</c:v>
                </c:pt>
                <c:pt idx="1522">
                  <c:v>3881.01</c:v>
                </c:pt>
                <c:pt idx="1523">
                  <c:v>3873.11</c:v>
                </c:pt>
                <c:pt idx="1524">
                  <c:v>3897.66</c:v>
                </c:pt>
                <c:pt idx="1525">
                  <c:v>3886</c:v>
                </c:pt>
                <c:pt idx="1526">
                  <c:v>3846.59</c:v>
                </c:pt>
                <c:pt idx="1527">
                  <c:v>3888.41</c:v>
                </c:pt>
                <c:pt idx="1528">
                  <c:v>3841.98</c:v>
                </c:pt>
                <c:pt idx="1529">
                  <c:v>3852.72</c:v>
                </c:pt>
                <c:pt idx="1530">
                  <c:v>3842.17</c:v>
                </c:pt>
                <c:pt idx="1531">
                  <c:v>3879.42</c:v>
                </c:pt>
                <c:pt idx="1532">
                  <c:v>3918.95</c:v>
                </c:pt>
                <c:pt idx="1533">
                  <c:v>3920.03</c:v>
                </c:pt>
                <c:pt idx="1534">
                  <c:v>3916.17</c:v>
                </c:pt>
                <c:pt idx="1535">
                  <c:v>3941.86</c:v>
                </c:pt>
                <c:pt idx="1536">
                  <c:v>3954.01</c:v>
                </c:pt>
                <c:pt idx="1537">
                  <c:v>3957.25</c:v>
                </c:pt>
                <c:pt idx="1538">
                  <c:v>3936.8</c:v>
                </c:pt>
                <c:pt idx="1539">
                  <c:v>3937</c:v>
                </c:pt>
                <c:pt idx="1540">
                  <c:v>3929.88</c:v>
                </c:pt>
                <c:pt idx="1541">
                  <c:v>3937.23</c:v>
                </c:pt>
                <c:pt idx="1542">
                  <c:v>3944.02</c:v>
                </c:pt>
                <c:pt idx="1543">
                  <c:v>3907.88</c:v>
                </c:pt>
                <c:pt idx="1544">
                  <c:v>3888.13</c:v>
                </c:pt>
                <c:pt idx="1545">
                  <c:v>3918.53</c:v>
                </c:pt>
                <c:pt idx="1546">
                  <c:v>3884.63</c:v>
                </c:pt>
                <c:pt idx="1547">
                  <c:v>3862.4</c:v>
                </c:pt>
                <c:pt idx="1548">
                  <c:v>3862.4</c:v>
                </c:pt>
                <c:pt idx="1549">
                  <c:v>3875.18</c:v>
                </c:pt>
                <c:pt idx="1550">
                  <c:v>3878.14</c:v>
                </c:pt>
                <c:pt idx="1551">
                  <c:v>3926.63</c:v>
                </c:pt>
                <c:pt idx="1552">
                  <c:v>3891.13</c:v>
                </c:pt>
                <c:pt idx="1553">
                  <c:v>3890.85</c:v>
                </c:pt>
                <c:pt idx="1554">
                  <c:v>3858.17</c:v>
                </c:pt>
                <c:pt idx="1555">
                  <c:v>3896.36</c:v>
                </c:pt>
                <c:pt idx="1556">
                  <c:v>3860.88</c:v>
                </c:pt>
                <c:pt idx="1557">
                  <c:v>3862.25</c:v>
                </c:pt>
                <c:pt idx="1558">
                  <c:v>3847.97</c:v>
                </c:pt>
                <c:pt idx="1559">
                  <c:v>3871.75</c:v>
                </c:pt>
                <c:pt idx="1560">
                  <c:v>3863.82</c:v>
                </c:pt>
                <c:pt idx="1561">
                  <c:v>3916.77</c:v>
                </c:pt>
                <c:pt idx="1562">
                  <c:v>3944.33</c:v>
                </c:pt>
                <c:pt idx="1563">
                  <c:v>3944.05</c:v>
                </c:pt>
                <c:pt idx="1564">
                  <c:v>3961.67</c:v>
                </c:pt>
                <c:pt idx="1565">
                  <c:v>3957.95</c:v>
                </c:pt>
                <c:pt idx="1566">
                  <c:v>3963.1</c:v>
                </c:pt>
                <c:pt idx="1567">
                  <c:v>3974.76</c:v>
                </c:pt>
                <c:pt idx="1568">
                  <c:v>3963.23</c:v>
                </c:pt>
                <c:pt idx="1569">
                  <c:v>3982.74</c:v>
                </c:pt>
                <c:pt idx="1570">
                  <c:v>3987.96</c:v>
                </c:pt>
                <c:pt idx="1571">
                  <c:v>4001.98</c:v>
                </c:pt>
                <c:pt idx="1572">
                  <c:v>3995.28</c:v>
                </c:pt>
                <c:pt idx="1573">
                  <c:v>3958.68</c:v>
                </c:pt>
                <c:pt idx="1574">
                  <c:v>3927.73</c:v>
                </c:pt>
                <c:pt idx="1575">
                  <c:v>3920.93</c:v>
                </c:pt>
                <c:pt idx="1576">
                  <c:v>3914.02</c:v>
                </c:pt>
                <c:pt idx="1577">
                  <c:v>3926.93</c:v>
                </c:pt>
                <c:pt idx="1578">
                  <c:v>3914.15</c:v>
                </c:pt>
                <c:pt idx="1579">
                  <c:v>3936.91</c:v>
                </c:pt>
                <c:pt idx="1580">
                  <c:v>3947.94</c:v>
                </c:pt>
                <c:pt idx="1581">
                  <c:v>3941.45</c:v>
                </c:pt>
                <c:pt idx="1582">
                  <c:v>3994.18</c:v>
                </c:pt>
                <c:pt idx="1583">
                  <c:v>3850.7</c:v>
                </c:pt>
                <c:pt idx="1584">
                  <c:v>3781.02</c:v>
                </c:pt>
                <c:pt idx="1585">
                  <c:v>3849.05</c:v>
                </c:pt>
                <c:pt idx="1586">
                  <c:v>3915.1</c:v>
                </c:pt>
                <c:pt idx="1587">
                  <c:v>3968.21</c:v>
                </c:pt>
                <c:pt idx="1588">
                  <c:v>3976.68</c:v>
                </c:pt>
                <c:pt idx="1589">
                  <c:v>3949.72</c:v>
                </c:pt>
                <c:pt idx="1590">
                  <c:v>3972.26</c:v>
                </c:pt>
                <c:pt idx="1591">
                  <c:v>3969.19</c:v>
                </c:pt>
                <c:pt idx="1592">
                  <c:v>4029.75</c:v>
                </c:pt>
                <c:pt idx="1593">
                  <c:v>4043.49</c:v>
                </c:pt>
                <c:pt idx="1594">
                  <c:v>4071.85</c:v>
                </c:pt>
                <c:pt idx="1595">
                  <c:v>4072.77</c:v>
                </c:pt>
                <c:pt idx="1596">
                  <c:v>4094.28</c:v>
                </c:pt>
                <c:pt idx="1597">
                  <c:v>4090.49</c:v>
                </c:pt>
                <c:pt idx="1598">
                  <c:v>4100.3999999999996</c:v>
                </c:pt>
                <c:pt idx="1599">
                  <c:v>4094.61</c:v>
                </c:pt>
                <c:pt idx="1600">
                  <c:v>4112.6099999999997</c:v>
                </c:pt>
                <c:pt idx="1601">
                  <c:v>4097.82</c:v>
                </c:pt>
                <c:pt idx="1602">
                  <c:v>4116.5</c:v>
                </c:pt>
                <c:pt idx="1603">
                  <c:v>4104.13</c:v>
                </c:pt>
                <c:pt idx="1604">
                  <c:v>4105.57</c:v>
                </c:pt>
                <c:pt idx="1605">
                  <c:v>4100.8100000000004</c:v>
                </c:pt>
                <c:pt idx="1606">
                  <c:v>4107.75</c:v>
                </c:pt>
                <c:pt idx="1607">
                  <c:v>4114.51</c:v>
                </c:pt>
                <c:pt idx="1608">
                  <c:v>4109.28</c:v>
                </c:pt>
                <c:pt idx="1609">
                  <c:v>4083.25</c:v>
                </c:pt>
                <c:pt idx="1610">
                  <c:v>4097.3</c:v>
                </c:pt>
                <c:pt idx="1611">
                  <c:v>4099.21</c:v>
                </c:pt>
                <c:pt idx="1612">
                  <c:v>4134.5600000000004</c:v>
                </c:pt>
                <c:pt idx="1613">
                  <c:v>4131.1899999999996</c:v>
                </c:pt>
                <c:pt idx="1614">
                  <c:v>4132.96</c:v>
                </c:pt>
                <c:pt idx="1615">
                  <c:v>4122.6499999999996</c:v>
                </c:pt>
                <c:pt idx="1616">
                  <c:v>4142.72</c:v>
                </c:pt>
                <c:pt idx="1617">
                  <c:v>4139.63</c:v>
                </c:pt>
                <c:pt idx="1618">
                  <c:v>4151.6899999999996</c:v>
                </c:pt>
                <c:pt idx="1619">
                  <c:v>4129.68</c:v>
                </c:pt>
                <c:pt idx="1620">
                  <c:v>4138.42</c:v>
                </c:pt>
                <c:pt idx="1621">
                  <c:v>4147.6400000000003</c:v>
                </c:pt>
                <c:pt idx="1622">
                  <c:v>4142.2299999999996</c:v>
                </c:pt>
                <c:pt idx="1623">
                  <c:v>4139.97</c:v>
                </c:pt>
                <c:pt idx="1624">
                  <c:v>4148.16</c:v>
                </c:pt>
                <c:pt idx="1625">
                  <c:v>4126.6499999999996</c:v>
                </c:pt>
                <c:pt idx="1626">
                  <c:v>4121.09</c:v>
                </c:pt>
                <c:pt idx="1627">
                  <c:v>4114.68</c:v>
                </c:pt>
                <c:pt idx="1628">
                  <c:v>4136.75</c:v>
                </c:pt>
                <c:pt idx="1629">
                  <c:v>4129.34</c:v>
                </c:pt>
                <c:pt idx="1630">
                  <c:v>4120.29</c:v>
                </c:pt>
                <c:pt idx="1631">
                  <c:v>4120.17</c:v>
                </c:pt>
                <c:pt idx="1632">
                  <c:v>4137.7</c:v>
                </c:pt>
                <c:pt idx="1633">
                  <c:v>4150.1099999999997</c:v>
                </c:pt>
                <c:pt idx="1634">
                  <c:v>4150.51</c:v>
                </c:pt>
                <c:pt idx="1635">
                  <c:v>4141.46</c:v>
                </c:pt>
                <c:pt idx="1636">
                  <c:v>4039.95</c:v>
                </c:pt>
                <c:pt idx="1637">
                  <c:v>4099.47</c:v>
                </c:pt>
                <c:pt idx="1638">
                  <c:v>4039.92</c:v>
                </c:pt>
                <c:pt idx="1639">
                  <c:v>4037.83</c:v>
                </c:pt>
                <c:pt idx="1640">
                  <c:v>4079.32</c:v>
                </c:pt>
                <c:pt idx="1641">
                  <c:v>4063.97</c:v>
                </c:pt>
                <c:pt idx="1642">
                  <c:v>4063.94</c:v>
                </c:pt>
                <c:pt idx="1643">
                  <c:v>4065.2</c:v>
                </c:pt>
                <c:pt idx="1644">
                  <c:v>4109.63</c:v>
                </c:pt>
                <c:pt idx="1645">
                  <c:v>4136.41</c:v>
                </c:pt>
                <c:pt idx="1646">
                  <c:v>4112.6899999999996</c:v>
                </c:pt>
                <c:pt idx="1647">
                  <c:v>4077.71</c:v>
                </c:pt>
                <c:pt idx="1648">
                  <c:v>4104.18</c:v>
                </c:pt>
                <c:pt idx="1649">
                  <c:v>4126.83</c:v>
                </c:pt>
                <c:pt idx="1650">
                  <c:v>4088.47</c:v>
                </c:pt>
                <c:pt idx="1651">
                  <c:v>4121.0600000000004</c:v>
                </c:pt>
                <c:pt idx="1652">
                  <c:v>4108.13</c:v>
                </c:pt>
                <c:pt idx="1653">
                  <c:v>4088.17</c:v>
                </c:pt>
                <c:pt idx="1654">
                  <c:v>4107.3999999999996</c:v>
                </c:pt>
                <c:pt idx="1655">
                  <c:v>4109.49</c:v>
                </c:pt>
                <c:pt idx="1656">
                  <c:v>4096.25</c:v>
                </c:pt>
                <c:pt idx="1657">
                  <c:v>4115.12</c:v>
                </c:pt>
                <c:pt idx="1658">
                  <c:v>4063.92</c:v>
                </c:pt>
                <c:pt idx="1659">
                  <c:v>4068.92</c:v>
                </c:pt>
                <c:pt idx="1660">
                  <c:v>4056.45</c:v>
                </c:pt>
                <c:pt idx="1661">
                  <c:v>4057.28</c:v>
                </c:pt>
                <c:pt idx="1662">
                  <c:v>4045.07</c:v>
                </c:pt>
                <c:pt idx="1663">
                  <c:v>4069.99</c:v>
                </c:pt>
                <c:pt idx="1664">
                  <c:v>4079.5</c:v>
                </c:pt>
                <c:pt idx="1665">
                  <c:v>4074.18</c:v>
                </c:pt>
                <c:pt idx="1666">
                  <c:v>4073.85</c:v>
                </c:pt>
                <c:pt idx="1667">
                  <c:v>4093.22</c:v>
                </c:pt>
                <c:pt idx="1668">
                  <c:v>4077.8</c:v>
                </c:pt>
                <c:pt idx="1669">
                  <c:v>4070.76</c:v>
                </c:pt>
                <c:pt idx="1670">
                  <c:v>4058.75</c:v>
                </c:pt>
                <c:pt idx="1671">
                  <c:v>4046.36</c:v>
                </c:pt>
                <c:pt idx="1672">
                  <c:v>4045.89</c:v>
                </c:pt>
                <c:pt idx="1673">
                  <c:v>4018.47</c:v>
                </c:pt>
                <c:pt idx="1674">
                  <c:v>3992.76</c:v>
                </c:pt>
                <c:pt idx="1675">
                  <c:v>3976.56</c:v>
                </c:pt>
                <c:pt idx="1676">
                  <c:v>3970.02</c:v>
                </c:pt>
                <c:pt idx="1677">
                  <c:v>4058.3</c:v>
                </c:pt>
                <c:pt idx="1678">
                  <c:v>4075.61</c:v>
                </c:pt>
                <c:pt idx="1679">
                  <c:v>4121.03</c:v>
                </c:pt>
                <c:pt idx="1680">
                  <c:v>4129.46</c:v>
                </c:pt>
                <c:pt idx="1681">
                  <c:v>4123.6899999999996</c:v>
                </c:pt>
                <c:pt idx="1682">
                  <c:v>4123.8100000000004</c:v>
                </c:pt>
                <c:pt idx="1683">
                  <c:v>4155.62</c:v>
                </c:pt>
                <c:pt idx="1684">
                  <c:v>4150.21</c:v>
                </c:pt>
                <c:pt idx="1685">
                  <c:v>4169.87</c:v>
                </c:pt>
                <c:pt idx="1686">
                  <c:v>4160.58</c:v>
                </c:pt>
                <c:pt idx="1687">
                  <c:v>4191.68</c:v>
                </c:pt>
                <c:pt idx="1688">
                  <c:v>4200.95</c:v>
                </c:pt>
                <c:pt idx="1689">
                  <c:v>4204.49</c:v>
                </c:pt>
                <c:pt idx="1690">
                  <c:v>4221.0200000000004</c:v>
                </c:pt>
                <c:pt idx="1691">
                  <c:v>4199.3900000000003</c:v>
                </c:pt>
                <c:pt idx="1692">
                  <c:v>4205.99</c:v>
                </c:pt>
                <c:pt idx="1693">
                  <c:v>4195.7299999999996</c:v>
                </c:pt>
                <c:pt idx="1694">
                  <c:v>4181.1499999999996</c:v>
                </c:pt>
                <c:pt idx="1695">
                  <c:v>4182.8100000000004</c:v>
                </c:pt>
                <c:pt idx="1696">
                  <c:v>4207.57</c:v>
                </c:pt>
                <c:pt idx="1697">
                  <c:v>4222.04</c:v>
                </c:pt>
                <c:pt idx="1698">
                  <c:v>4278.4399999999996</c:v>
                </c:pt>
                <c:pt idx="1699">
                  <c:v>4288.1000000000004</c:v>
                </c:pt>
                <c:pt idx="1700">
                  <c:v>4313.6099999999997</c:v>
                </c:pt>
                <c:pt idx="1701">
                  <c:v>4308.9399999999996</c:v>
                </c:pt>
                <c:pt idx="1702">
                  <c:v>4337.8599999999997</c:v>
                </c:pt>
                <c:pt idx="1703">
                  <c:v>4302.93</c:v>
                </c:pt>
                <c:pt idx="1704">
                  <c:v>4319.84</c:v>
                </c:pt>
                <c:pt idx="1705">
                  <c:v>4312.3999999999996</c:v>
                </c:pt>
                <c:pt idx="1706">
                  <c:v>4321.0200000000004</c:v>
                </c:pt>
                <c:pt idx="1707">
                  <c:v>4337.3599999999997</c:v>
                </c:pt>
                <c:pt idx="1708">
                  <c:v>4326.8500000000004</c:v>
                </c:pt>
                <c:pt idx="1709">
                  <c:v>4319.33</c:v>
                </c:pt>
                <c:pt idx="1710">
                  <c:v>4325.17</c:v>
                </c:pt>
                <c:pt idx="1711">
                  <c:v>4334.93</c:v>
                </c:pt>
                <c:pt idx="1712">
                  <c:v>4299.45</c:v>
                </c:pt>
                <c:pt idx="1713">
                  <c:v>4298.3900000000003</c:v>
                </c:pt>
                <c:pt idx="1714">
                  <c:v>4278.66</c:v>
                </c:pt>
                <c:pt idx="1715">
                  <c:v>4315.08</c:v>
                </c:pt>
                <c:pt idx="1716">
                  <c:v>4340.75</c:v>
                </c:pt>
                <c:pt idx="1717">
                  <c:v>4337.45</c:v>
                </c:pt>
                <c:pt idx="1718">
                  <c:v>4354.05</c:v>
                </c:pt>
                <c:pt idx="1719">
                  <c:v>4338.62</c:v>
                </c:pt>
                <c:pt idx="1720">
                  <c:v>4338.6400000000003</c:v>
                </c:pt>
                <c:pt idx="1721">
                  <c:v>4351.32</c:v>
                </c:pt>
                <c:pt idx="1722">
                  <c:v>4342.09</c:v>
                </c:pt>
                <c:pt idx="1723">
                  <c:v>4350.1099999999997</c:v>
                </c:pt>
                <c:pt idx="1724">
                  <c:v>4337.2</c:v>
                </c:pt>
                <c:pt idx="1725">
                  <c:v>4345.57</c:v>
                </c:pt>
                <c:pt idx="1726">
                  <c:v>4329.96</c:v>
                </c:pt>
                <c:pt idx="1727">
                  <c:v>4344.67</c:v>
                </c:pt>
                <c:pt idx="1728">
                  <c:v>4333.1000000000004</c:v>
                </c:pt>
                <c:pt idx="1729">
                  <c:v>4361.5600000000004</c:v>
                </c:pt>
                <c:pt idx="1730">
                  <c:v>4396.57</c:v>
                </c:pt>
                <c:pt idx="1731">
                  <c:v>4393.43</c:v>
                </c:pt>
                <c:pt idx="1732">
                  <c:v>4389.8500000000004</c:v>
                </c:pt>
                <c:pt idx="1733">
                  <c:v>4363.67</c:v>
                </c:pt>
                <c:pt idx="1734">
                  <c:v>4359.8100000000004</c:v>
                </c:pt>
                <c:pt idx="1735">
                  <c:v>4362.1000000000004</c:v>
                </c:pt>
                <c:pt idx="1736">
                  <c:v>4364.8500000000004</c:v>
                </c:pt>
                <c:pt idx="1737">
                  <c:v>4396.95</c:v>
                </c:pt>
                <c:pt idx="1738">
                  <c:v>4387.67</c:v>
                </c:pt>
                <c:pt idx="1739">
                  <c:v>4388.87</c:v>
                </c:pt>
                <c:pt idx="1740">
                  <c:v>4393.3100000000004</c:v>
                </c:pt>
                <c:pt idx="1741">
                  <c:v>4419.3999999999996</c:v>
                </c:pt>
                <c:pt idx="1742">
                  <c:v>4435.42</c:v>
                </c:pt>
                <c:pt idx="1743">
                  <c:v>4459.83</c:v>
                </c:pt>
                <c:pt idx="1744">
                  <c:v>4478.9799999999996</c:v>
                </c:pt>
                <c:pt idx="1745">
                  <c:v>4501.99</c:v>
                </c:pt>
                <c:pt idx="1746">
                  <c:v>4498.5600000000004</c:v>
                </c:pt>
                <c:pt idx="1747">
                  <c:v>4506.2</c:v>
                </c:pt>
                <c:pt idx="1748">
                  <c:v>4533.46</c:v>
                </c:pt>
                <c:pt idx="1749">
                  <c:v>4528.97</c:v>
                </c:pt>
                <c:pt idx="1750">
                  <c:v>4531.3900000000003</c:v>
                </c:pt>
                <c:pt idx="1751">
                  <c:v>4539.25</c:v>
                </c:pt>
                <c:pt idx="1752">
                  <c:v>4544.51</c:v>
                </c:pt>
                <c:pt idx="1753">
                  <c:v>4532.93</c:v>
                </c:pt>
                <c:pt idx="1754">
                  <c:v>4595.7299999999996</c:v>
                </c:pt>
                <c:pt idx="1755">
                  <c:v>4569.17</c:v>
                </c:pt>
                <c:pt idx="1756">
                  <c:v>4571.6000000000004</c:v>
                </c:pt>
                <c:pt idx="1757">
                  <c:v>4556.72</c:v>
                </c:pt>
                <c:pt idx="1758">
                  <c:v>4543.75</c:v>
                </c:pt>
                <c:pt idx="1759">
                  <c:v>4534.68</c:v>
                </c:pt>
                <c:pt idx="1760">
                  <c:v>4538.3599999999997</c:v>
                </c:pt>
                <c:pt idx="1761">
                  <c:v>4553.28</c:v>
                </c:pt>
                <c:pt idx="1762">
                  <c:v>4556.4399999999996</c:v>
                </c:pt>
                <c:pt idx="1763">
                  <c:v>4541.26</c:v>
                </c:pt>
                <c:pt idx="1764">
                  <c:v>4579.4399999999996</c:v>
                </c:pt>
                <c:pt idx="1765">
                  <c:v>4572.16</c:v>
                </c:pt>
                <c:pt idx="1766">
                  <c:v>4566.17</c:v>
                </c:pt>
                <c:pt idx="1767">
                  <c:v>4557.12</c:v>
                </c:pt>
                <c:pt idx="1768">
                  <c:v>4500.9799999999996</c:v>
                </c:pt>
                <c:pt idx="1769">
                  <c:v>4509.6499999999996</c:v>
                </c:pt>
                <c:pt idx="1770">
                  <c:v>4504.92</c:v>
                </c:pt>
                <c:pt idx="1771">
                  <c:v>4501.1099999999997</c:v>
                </c:pt>
                <c:pt idx="1772">
                  <c:v>4496.53</c:v>
                </c:pt>
                <c:pt idx="1773">
                  <c:v>4529.17</c:v>
                </c:pt>
                <c:pt idx="1774">
                  <c:v>4535.01</c:v>
                </c:pt>
                <c:pt idx="1775">
                  <c:v>4548.46</c:v>
                </c:pt>
                <c:pt idx="1776">
                  <c:v>4538.21</c:v>
                </c:pt>
                <c:pt idx="1777">
                  <c:v>4530.9799999999996</c:v>
                </c:pt>
                <c:pt idx="1778">
                  <c:v>4534.25</c:v>
                </c:pt>
                <c:pt idx="1779">
                  <c:v>4520.8599999999997</c:v>
                </c:pt>
                <c:pt idx="1780">
                  <c:v>4530.93</c:v>
                </c:pt>
                <c:pt idx="1781">
                  <c:v>4527.2</c:v>
                </c:pt>
                <c:pt idx="1782">
                  <c:v>4530.57</c:v>
                </c:pt>
                <c:pt idx="1783">
                  <c:v>4524.71</c:v>
                </c:pt>
                <c:pt idx="1784">
                  <c:v>4507.76</c:v>
                </c:pt>
                <c:pt idx="1785">
                  <c:v>4477.07</c:v>
                </c:pt>
                <c:pt idx="1786">
                  <c:v>4515.6499999999996</c:v>
                </c:pt>
                <c:pt idx="1787">
                  <c:v>4502.66</c:v>
                </c:pt>
                <c:pt idx="1788">
                  <c:v>4495.5600000000004</c:v>
                </c:pt>
                <c:pt idx="1789">
                  <c:v>4529.6499999999996</c:v>
                </c:pt>
                <c:pt idx="1790">
                  <c:v>4515.8999999999996</c:v>
                </c:pt>
                <c:pt idx="1791">
                  <c:v>4564.93</c:v>
                </c:pt>
                <c:pt idx="1792">
                  <c:v>4592.74</c:v>
                </c:pt>
                <c:pt idx="1793">
                  <c:v>4590.5600000000004</c:v>
                </c:pt>
                <c:pt idx="1794">
                  <c:v>4593.57</c:v>
                </c:pt>
                <c:pt idx="1795">
                  <c:v>4584.82</c:v>
                </c:pt>
                <c:pt idx="1796">
                  <c:v>4592.78</c:v>
                </c:pt>
                <c:pt idx="1797">
                  <c:v>4598.24</c:v>
                </c:pt>
                <c:pt idx="1798">
                  <c:v>4593.32</c:v>
                </c:pt>
                <c:pt idx="1799">
                  <c:v>4596.24</c:v>
                </c:pt>
                <c:pt idx="1800">
                  <c:v>4615.09</c:v>
                </c:pt>
                <c:pt idx="1801">
                  <c:v>4615.7299999999996</c:v>
                </c:pt>
                <c:pt idx="1802">
                  <c:v>4611.21</c:v>
                </c:pt>
                <c:pt idx="1803">
                  <c:v>4618.1899999999996</c:v>
                </c:pt>
                <c:pt idx="1804">
                  <c:v>4609.6899999999996</c:v>
                </c:pt>
                <c:pt idx="1805">
                  <c:v>4602.96</c:v>
                </c:pt>
                <c:pt idx="1806">
                  <c:v>4625.51</c:v>
                </c:pt>
                <c:pt idx="1807">
                  <c:v>4623.26</c:v>
                </c:pt>
                <c:pt idx="1808">
                  <c:v>4540.58</c:v>
                </c:pt>
                <c:pt idx="1809">
                  <c:v>4557.41</c:v>
                </c:pt>
                <c:pt idx="1810">
                  <c:v>4588.3500000000004</c:v>
                </c:pt>
                <c:pt idx="1811">
                  <c:v>4612.12</c:v>
                </c:pt>
                <c:pt idx="1812">
                  <c:v>4620.7</c:v>
                </c:pt>
                <c:pt idx="1813">
                  <c:v>4632.37</c:v>
                </c:pt>
                <c:pt idx="1814">
                  <c:v>4653.59</c:v>
                </c:pt>
                <c:pt idx="1815">
                  <c:v>4655.6499999999996</c:v>
                </c:pt>
                <c:pt idx="1816">
                  <c:v>4650.76</c:v>
                </c:pt>
                <c:pt idx="1817">
                  <c:v>4649.34</c:v>
                </c:pt>
                <c:pt idx="1818">
                  <c:v>4685.1099999999997</c:v>
                </c:pt>
                <c:pt idx="1819">
                  <c:v>4702.5600000000004</c:v>
                </c:pt>
                <c:pt idx="1820">
                  <c:v>4697</c:v>
                </c:pt>
                <c:pt idx="1821">
                  <c:v>4683.96</c:v>
                </c:pt>
                <c:pt idx="1822">
                  <c:v>4692.29</c:v>
                </c:pt>
                <c:pt idx="1823">
                  <c:v>4693.67</c:v>
                </c:pt>
                <c:pt idx="1824">
                  <c:v>4689.79</c:v>
                </c:pt>
                <c:pt idx="1825">
                  <c:v>4685.54</c:v>
                </c:pt>
                <c:pt idx="1826">
                  <c:v>4707.88</c:v>
                </c:pt>
                <c:pt idx="1827">
                  <c:v>4703.53</c:v>
                </c:pt>
                <c:pt idx="1828">
                  <c:v>4693.8599999999997</c:v>
                </c:pt>
                <c:pt idx="1829">
                  <c:v>4695.2299999999996</c:v>
                </c:pt>
                <c:pt idx="1830">
                  <c:v>4734.4799999999996</c:v>
                </c:pt>
                <c:pt idx="1831">
                  <c:v>4702.82</c:v>
                </c:pt>
                <c:pt idx="1832">
                  <c:v>4700.5</c:v>
                </c:pt>
                <c:pt idx="1833">
                  <c:v>4698.3999999999996</c:v>
                </c:pt>
                <c:pt idx="1834">
                  <c:v>4705.7299999999996</c:v>
                </c:pt>
                <c:pt idx="1835">
                  <c:v>4707.2700000000004</c:v>
                </c:pt>
                <c:pt idx="1836">
                  <c:v>4669.2700000000004</c:v>
                </c:pt>
                <c:pt idx="1837">
                  <c:v>4711.33</c:v>
                </c:pt>
                <c:pt idx="1838">
                  <c:v>4670.96</c:v>
                </c:pt>
                <c:pt idx="1839">
                  <c:v>4678.3599999999997</c:v>
                </c:pt>
                <c:pt idx="1840">
                  <c:v>4689.6099999999997</c:v>
                </c:pt>
                <c:pt idx="1841">
                  <c:v>4697.34</c:v>
                </c:pt>
                <c:pt idx="1842">
                  <c:v>4655.0200000000004</c:v>
                </c:pt>
                <c:pt idx="1843">
                  <c:v>4684.88</c:v>
                </c:pt>
                <c:pt idx="1844">
                  <c:v>4689.25</c:v>
                </c:pt>
                <c:pt idx="1845">
                  <c:v>4685.6400000000003</c:v>
                </c:pt>
                <c:pt idx="1846">
                  <c:v>4720.28</c:v>
                </c:pt>
                <c:pt idx="1847">
                  <c:v>4729.25</c:v>
                </c:pt>
                <c:pt idx="1848">
                  <c:v>4751.43</c:v>
                </c:pt>
                <c:pt idx="1849">
                  <c:v>4751.33</c:v>
                </c:pt>
                <c:pt idx="1850">
                  <c:v>4754.2700000000004</c:v>
                </c:pt>
                <c:pt idx="1851">
                  <c:v>4780.25</c:v>
                </c:pt>
                <c:pt idx="1852">
                  <c:v>4779.84</c:v>
                </c:pt>
                <c:pt idx="1853">
                  <c:v>4778.07</c:v>
                </c:pt>
                <c:pt idx="1854">
                  <c:v>4773.1000000000004</c:v>
                </c:pt>
                <c:pt idx="1855">
                  <c:v>4787.04</c:v>
                </c:pt>
                <c:pt idx="1856">
                  <c:v>4788.41</c:v>
                </c:pt>
                <c:pt idx="1857">
                  <c:v>4784.26</c:v>
                </c:pt>
                <c:pt idx="1858">
                  <c:v>4778.0200000000004</c:v>
                </c:pt>
                <c:pt idx="1859">
                  <c:v>4774.5600000000004</c:v>
                </c:pt>
                <c:pt idx="1860">
                  <c:v>4786.2700000000004</c:v>
                </c:pt>
                <c:pt idx="1861">
                  <c:v>4789.54</c:v>
                </c:pt>
                <c:pt idx="1862">
                  <c:v>4779.99</c:v>
                </c:pt>
                <c:pt idx="1863">
                  <c:v>4789.1099999999997</c:v>
                </c:pt>
                <c:pt idx="1864">
                  <c:v>4797.13</c:v>
                </c:pt>
                <c:pt idx="1865">
                  <c:v>4786.12</c:v>
                </c:pt>
                <c:pt idx="1866">
                  <c:v>4784.9399999999996</c:v>
                </c:pt>
                <c:pt idx="1867">
                  <c:v>4717.3999999999996</c:v>
                </c:pt>
                <c:pt idx="1868">
                  <c:v>4723.7299999999996</c:v>
                </c:pt>
                <c:pt idx="1869">
                  <c:v>4771.43</c:v>
                </c:pt>
                <c:pt idx="1870">
                  <c:v>4770.1499999999996</c:v>
                </c:pt>
                <c:pt idx="1871">
                  <c:v>4778.28</c:v>
                </c:pt>
                <c:pt idx="1872">
                  <c:v>4704.7299999999996</c:v>
                </c:pt>
                <c:pt idx="1873">
                  <c:v>4696.22</c:v>
                </c:pt>
                <c:pt idx="1874">
                  <c:v>4701.82</c:v>
                </c:pt>
                <c:pt idx="1875">
                  <c:v>4748.7299999999996</c:v>
                </c:pt>
                <c:pt idx="1876">
                  <c:v>4732.76</c:v>
                </c:pt>
                <c:pt idx="1877">
                  <c:v>4723.03</c:v>
                </c:pt>
                <c:pt idx="1878">
                  <c:v>4731.46</c:v>
                </c:pt>
                <c:pt idx="1879">
                  <c:v>4733.97</c:v>
                </c:pt>
                <c:pt idx="1880">
                  <c:v>4738.62</c:v>
                </c:pt>
                <c:pt idx="1881">
                  <c:v>4761.72</c:v>
                </c:pt>
                <c:pt idx="1882">
                  <c:v>4789.18</c:v>
                </c:pt>
                <c:pt idx="1883">
                  <c:v>4798.99</c:v>
                </c:pt>
                <c:pt idx="1884">
                  <c:v>4762.75</c:v>
                </c:pt>
                <c:pt idx="1885">
                  <c:v>4777.6899999999996</c:v>
                </c:pt>
                <c:pt idx="1886">
                  <c:v>4777.93</c:v>
                </c:pt>
                <c:pt idx="1887">
                  <c:v>4771.0200000000004</c:v>
                </c:pt>
                <c:pt idx="1888">
                  <c:v>4822.8</c:v>
                </c:pt>
                <c:pt idx="1889">
                  <c:v>4839.3100000000004</c:v>
                </c:pt>
                <c:pt idx="1890">
                  <c:v>4843.04</c:v>
                </c:pt>
                <c:pt idx="1891">
                  <c:v>4839.29</c:v>
                </c:pt>
                <c:pt idx="1892">
                  <c:v>4848.84</c:v>
                </c:pt>
                <c:pt idx="1893">
                  <c:v>4856.08</c:v>
                </c:pt>
                <c:pt idx="1894">
                  <c:v>4861.5200000000004</c:v>
                </c:pt>
                <c:pt idx="1895">
                  <c:v>4864.6099999999997</c:v>
                </c:pt>
                <c:pt idx="1896">
                  <c:v>4849.95</c:v>
                </c:pt>
                <c:pt idx="1897">
                  <c:v>4853.2</c:v>
                </c:pt>
                <c:pt idx="1898">
                  <c:v>4842.41</c:v>
                </c:pt>
                <c:pt idx="1899">
                  <c:v>4843.1400000000003</c:v>
                </c:pt>
                <c:pt idx="1900">
                  <c:v>4862.93</c:v>
                </c:pt>
                <c:pt idx="1901">
                  <c:v>4869.8100000000004</c:v>
                </c:pt>
                <c:pt idx="1902">
                  <c:v>4887.97</c:v>
                </c:pt>
                <c:pt idx="1903">
                  <c:v>4906.92</c:v>
                </c:pt>
                <c:pt idx="1904">
                  <c:v>4917.7299999999996</c:v>
                </c:pt>
                <c:pt idx="1905">
                  <c:v>4924.1899999999996</c:v>
                </c:pt>
                <c:pt idx="1906">
                  <c:v>4952.8500000000004</c:v>
                </c:pt>
                <c:pt idx="1907">
                  <c:v>4949.09</c:v>
                </c:pt>
                <c:pt idx="1908">
                  <c:v>4940.16</c:v>
                </c:pt>
                <c:pt idx="1909">
                  <c:v>4951.7700000000004</c:v>
                </c:pt>
                <c:pt idx="1910">
                  <c:v>4960.79</c:v>
                </c:pt>
                <c:pt idx="1911">
                  <c:v>4952.8500000000004</c:v>
                </c:pt>
                <c:pt idx="1912">
                  <c:v>4957.2700000000004</c:v>
                </c:pt>
                <c:pt idx="1913">
                  <c:v>4966.05</c:v>
                </c:pt>
                <c:pt idx="1914">
                  <c:v>4969.38</c:v>
                </c:pt>
                <c:pt idx="1915">
                  <c:v>4973.28</c:v>
                </c:pt>
                <c:pt idx="1916">
                  <c:v>4975.32</c:v>
                </c:pt>
                <c:pt idx="1917">
                  <c:v>5001.1099999999997</c:v>
                </c:pt>
                <c:pt idx="1918">
                  <c:v>4981.37</c:v>
                </c:pt>
                <c:pt idx="1919">
                  <c:v>4989.5600000000004</c:v>
                </c:pt>
                <c:pt idx="1920">
                  <c:v>4966.29</c:v>
                </c:pt>
                <c:pt idx="1921">
                  <c:v>4972.6000000000004</c:v>
                </c:pt>
                <c:pt idx="1922">
                  <c:v>5012.75</c:v>
                </c:pt>
                <c:pt idx="1923">
                  <c:v>4997.1499999999996</c:v>
                </c:pt>
                <c:pt idx="1924">
                  <c:v>5002.03</c:v>
                </c:pt>
                <c:pt idx="1925">
                  <c:v>5009.99</c:v>
                </c:pt>
                <c:pt idx="1926">
                  <c:v>5011.4799999999996</c:v>
                </c:pt>
                <c:pt idx="1927">
                  <c:v>5027.49</c:v>
                </c:pt>
                <c:pt idx="1928">
                  <c:v>5034.3</c:v>
                </c:pt>
                <c:pt idx="1929">
                  <c:v>5033.38</c:v>
                </c:pt>
                <c:pt idx="1930">
                  <c:v>5040.74</c:v>
                </c:pt>
                <c:pt idx="1931">
                  <c:v>5023.01</c:v>
                </c:pt>
                <c:pt idx="1932">
                  <c:v>5020.3100000000004</c:v>
                </c:pt>
                <c:pt idx="1933">
                  <c:v>5025.3599999999997</c:v>
                </c:pt>
                <c:pt idx="1934">
                  <c:v>5014.53</c:v>
                </c:pt>
                <c:pt idx="1935">
                  <c:v>4987.96</c:v>
                </c:pt>
                <c:pt idx="1936">
                  <c:v>5030.4799999999996</c:v>
                </c:pt>
                <c:pt idx="1937">
                  <c:v>5017.45</c:v>
                </c:pt>
                <c:pt idx="1938">
                  <c:v>5024.01</c:v>
                </c:pt>
                <c:pt idx="1939">
                  <c:v>5056.95</c:v>
                </c:pt>
                <c:pt idx="1940">
                  <c:v>5053.6000000000004</c:v>
                </c:pt>
                <c:pt idx="1941">
                  <c:v>5064.2299999999996</c:v>
                </c:pt>
                <c:pt idx="1942">
                  <c:v>5062.8500000000004</c:v>
                </c:pt>
                <c:pt idx="1943">
                  <c:v>5112.91</c:v>
                </c:pt>
                <c:pt idx="1944">
                  <c:v>5111.68</c:v>
                </c:pt>
                <c:pt idx="1945">
                  <c:v>5155.4399999999996</c:v>
                </c:pt>
                <c:pt idx="1946">
                  <c:v>5145.21</c:v>
                </c:pt>
                <c:pt idx="1947">
                  <c:v>5139.91</c:v>
                </c:pt>
                <c:pt idx="1948">
                  <c:v>5120.92</c:v>
                </c:pt>
                <c:pt idx="1949">
                  <c:v>5120.46</c:v>
                </c:pt>
                <c:pt idx="1950">
                  <c:v>5136.37</c:v>
                </c:pt>
                <c:pt idx="1951">
                  <c:v>5165.1899999999996</c:v>
                </c:pt>
                <c:pt idx="1952">
                  <c:v>5181.75</c:v>
                </c:pt>
                <c:pt idx="1953">
                  <c:v>5189.96</c:v>
                </c:pt>
                <c:pt idx="1954">
                  <c:v>5187.68</c:v>
                </c:pt>
                <c:pt idx="1955">
                  <c:v>5167.45</c:v>
                </c:pt>
                <c:pt idx="1956">
                  <c:v>5214.1000000000004</c:v>
                </c:pt>
                <c:pt idx="1957">
                  <c:v>5242.28</c:v>
                </c:pt>
                <c:pt idx="1958">
                  <c:v>5225.43</c:v>
                </c:pt>
                <c:pt idx="1959">
                  <c:v>5221.79</c:v>
                </c:pt>
                <c:pt idx="1960">
                  <c:v>5232.16</c:v>
                </c:pt>
                <c:pt idx="1961">
                  <c:v>5229.79</c:v>
                </c:pt>
                <c:pt idx="1962">
                  <c:v>5224.51</c:v>
                </c:pt>
                <c:pt idx="1963">
                  <c:v>5229.01</c:v>
                </c:pt>
                <c:pt idx="1964">
                  <c:v>5239.59</c:v>
                </c:pt>
                <c:pt idx="1965">
                  <c:v>5212.76</c:v>
                </c:pt>
                <c:pt idx="1966">
                  <c:v>5256.28</c:v>
                </c:pt>
                <c:pt idx="1967">
                  <c:v>5289.92</c:v>
                </c:pt>
                <c:pt idx="1968">
                  <c:v>5312.33</c:v>
                </c:pt>
                <c:pt idx="1969">
                  <c:v>5349.69</c:v>
                </c:pt>
                <c:pt idx="1970">
                  <c:v>5358.68</c:v>
                </c:pt>
                <c:pt idx="1971">
                  <c:v>5367.26</c:v>
                </c:pt>
                <c:pt idx="1972">
                  <c:v>5361.33</c:v>
                </c:pt>
                <c:pt idx="1973">
                  <c:v>5399.46</c:v>
                </c:pt>
                <c:pt idx="1974">
                  <c:v>5435.92</c:v>
                </c:pt>
                <c:pt idx="1975">
                  <c:v>5416.86</c:v>
                </c:pt>
                <c:pt idx="1976">
                  <c:v>5467.85</c:v>
                </c:pt>
                <c:pt idx="1977">
                  <c:v>5459.5</c:v>
                </c:pt>
                <c:pt idx="1978">
                  <c:v>5483.57</c:v>
                </c:pt>
                <c:pt idx="1979">
                  <c:v>5527.89</c:v>
                </c:pt>
                <c:pt idx="1980">
                  <c:v>5540.13</c:v>
                </c:pt>
                <c:pt idx="1981">
                  <c:v>5537.03</c:v>
                </c:pt>
                <c:pt idx="1982">
                  <c:v>5540.38</c:v>
                </c:pt>
                <c:pt idx="1983">
                  <c:v>5606.08</c:v>
                </c:pt>
                <c:pt idx="1984">
                  <c:v>5568.67</c:v>
                </c:pt>
                <c:pt idx="1985">
                  <c:v>5508.36</c:v>
                </c:pt>
                <c:pt idx="1986">
                  <c:v>5511.21</c:v>
                </c:pt>
                <c:pt idx="1987">
                  <c:v>5508.7</c:v>
                </c:pt>
                <c:pt idx="1988">
                  <c:v>5392.21</c:v>
                </c:pt>
                <c:pt idx="1989">
                  <c:v>5171.26</c:v>
                </c:pt>
                <c:pt idx="1990">
                  <c:v>5262.02</c:v>
                </c:pt>
                <c:pt idx="1991">
                  <c:v>5235.84</c:v>
                </c:pt>
                <c:pt idx="1992">
                  <c:v>5040.0600000000004</c:v>
                </c:pt>
                <c:pt idx="1993">
                  <c:v>5116.99</c:v>
                </c:pt>
                <c:pt idx="1994">
                  <c:v>5188.37</c:v>
                </c:pt>
                <c:pt idx="1995">
                  <c:v>5202.22</c:v>
                </c:pt>
                <c:pt idx="1996">
                  <c:v>5273.43</c:v>
                </c:pt>
                <c:pt idx="1997">
                  <c:v>5338.35</c:v>
                </c:pt>
                <c:pt idx="1998">
                  <c:v>5340.82</c:v>
                </c:pt>
                <c:pt idx="1999">
                  <c:v>5309.99</c:v>
                </c:pt>
                <c:pt idx="2000">
                  <c:v>5280.91</c:v>
                </c:pt>
                <c:pt idx="2001">
                  <c:v>5286.5</c:v>
                </c:pt>
                <c:pt idx="2002">
                  <c:v>5371.56</c:v>
                </c:pt>
                <c:pt idx="2003">
                  <c:v>5435.38</c:v>
                </c:pt>
                <c:pt idx="2004">
                  <c:v>5367.09</c:v>
                </c:pt>
                <c:pt idx="2005">
                  <c:v>5308.09</c:v>
                </c:pt>
                <c:pt idx="2006">
                  <c:v>5238.18</c:v>
                </c:pt>
                <c:pt idx="2007">
                  <c:v>5265.24</c:v>
                </c:pt>
                <c:pt idx="2008">
                  <c:v>5323.36</c:v>
                </c:pt>
                <c:pt idx="2009">
                  <c:v>5337.69</c:v>
                </c:pt>
                <c:pt idx="2010">
                  <c:v>5335.47</c:v>
                </c:pt>
                <c:pt idx="2011">
                  <c:v>5360.73</c:v>
                </c:pt>
                <c:pt idx="2012">
                  <c:v>5454.03</c:v>
                </c:pt>
                <c:pt idx="2013">
                  <c:v>5447.1</c:v>
                </c:pt>
                <c:pt idx="2014">
                  <c:v>5412.75</c:v>
                </c:pt>
                <c:pt idx="2015">
                  <c:v>5383.27</c:v>
                </c:pt>
                <c:pt idx="2016">
                  <c:v>5379.39</c:v>
                </c:pt>
                <c:pt idx="2017">
                  <c:v>5388.74</c:v>
                </c:pt>
                <c:pt idx="2018">
                  <c:v>5312.23</c:v>
                </c:pt>
                <c:pt idx="2019">
                  <c:v>5320.2</c:v>
                </c:pt>
                <c:pt idx="2020">
                  <c:v>5310.96</c:v>
                </c:pt>
                <c:pt idx="2021">
                  <c:v>5177.5200000000004</c:v>
                </c:pt>
                <c:pt idx="2022">
                  <c:v>5069.03</c:v>
                </c:pt>
                <c:pt idx="2023">
                  <c:v>5206.6899999999996</c:v>
                </c:pt>
                <c:pt idx="2024">
                  <c:v>5116.75</c:v>
                </c:pt>
                <c:pt idx="2025">
                  <c:v>5102.6899999999996</c:v>
                </c:pt>
                <c:pt idx="2026">
                  <c:v>5173.1899999999996</c:v>
                </c:pt>
                <c:pt idx="2027">
                  <c:v>5057.6899999999996</c:v>
                </c:pt>
                <c:pt idx="2028">
                  <c:v>5121.7</c:v>
                </c:pt>
                <c:pt idx="2029">
                  <c:v>5181.3100000000004</c:v>
                </c:pt>
                <c:pt idx="2030">
                  <c:v>5217.62</c:v>
                </c:pt>
                <c:pt idx="2031">
                  <c:v>5103.3500000000004</c:v>
                </c:pt>
                <c:pt idx="2032">
                  <c:v>5121.8999999999996</c:v>
                </c:pt>
                <c:pt idx="2033">
                  <c:v>5207.7299999999996</c:v>
                </c:pt>
                <c:pt idx="2034">
                  <c:v>5179.1899999999996</c:v>
                </c:pt>
                <c:pt idx="2035">
                  <c:v>5222.55</c:v>
                </c:pt>
                <c:pt idx="2036">
                  <c:v>5207.57</c:v>
                </c:pt>
                <c:pt idx="2037">
                  <c:v>5249.94</c:v>
                </c:pt>
                <c:pt idx="2038">
                  <c:v>5305.9</c:v>
                </c:pt>
                <c:pt idx="2039">
                  <c:v>5310.32</c:v>
                </c:pt>
                <c:pt idx="2040">
                  <c:v>5280.57</c:v>
                </c:pt>
                <c:pt idx="2041">
                  <c:v>5235.75</c:v>
                </c:pt>
                <c:pt idx="2042">
                  <c:v>5236.04</c:v>
                </c:pt>
                <c:pt idx="2043">
                  <c:v>5166.1000000000004</c:v>
                </c:pt>
                <c:pt idx="2044">
                  <c:v>5175.59</c:v>
                </c:pt>
                <c:pt idx="2045">
                  <c:v>5229.6099999999997</c:v>
                </c:pt>
                <c:pt idx="2046">
                  <c:v>5235.7299999999996</c:v>
                </c:pt>
                <c:pt idx="2047">
                  <c:v>5193.04</c:v>
                </c:pt>
                <c:pt idx="2048">
                  <c:v>5206.3100000000004</c:v>
                </c:pt>
                <c:pt idx="2049">
                  <c:v>5168.79</c:v>
                </c:pt>
                <c:pt idx="2050">
                  <c:v>5157.7</c:v>
                </c:pt>
                <c:pt idx="2051">
                  <c:v>5224.71</c:v>
                </c:pt>
                <c:pt idx="2052">
                  <c:v>5242.87</c:v>
                </c:pt>
                <c:pt idx="2053">
                  <c:v>5241.53</c:v>
                </c:pt>
                <c:pt idx="2054">
                  <c:v>5292.9</c:v>
                </c:pt>
                <c:pt idx="2055">
                  <c:v>5343.7</c:v>
                </c:pt>
                <c:pt idx="2056">
                  <c:v>5354.69</c:v>
                </c:pt>
                <c:pt idx="2057">
                  <c:v>5359.66</c:v>
                </c:pt>
                <c:pt idx="2058">
                  <c:v>5323.23</c:v>
                </c:pt>
                <c:pt idx="2059">
                  <c:v>5346.33</c:v>
                </c:pt>
                <c:pt idx="2060">
                  <c:v>5343.29</c:v>
                </c:pt>
                <c:pt idx="2061">
                  <c:v>5329.66</c:v>
                </c:pt>
                <c:pt idx="2062">
                  <c:v>5369.19</c:v>
                </c:pt>
                <c:pt idx="2063">
                  <c:v>5352.45</c:v>
                </c:pt>
                <c:pt idx="2064">
                  <c:v>5369.99</c:v>
                </c:pt>
                <c:pt idx="2065">
                  <c:v>5359.32</c:v>
                </c:pt>
                <c:pt idx="2066">
                  <c:v>5347.31</c:v>
                </c:pt>
                <c:pt idx="2067">
                  <c:v>5285.7</c:v>
                </c:pt>
                <c:pt idx="2068">
                  <c:v>5353.76</c:v>
                </c:pt>
                <c:pt idx="2069">
                  <c:v>5318.1</c:v>
                </c:pt>
                <c:pt idx="2070">
                  <c:v>5376.29</c:v>
                </c:pt>
                <c:pt idx="2071">
                  <c:v>5400.5</c:v>
                </c:pt>
                <c:pt idx="2072">
                  <c:v>5404.62</c:v>
                </c:pt>
                <c:pt idx="2073">
                  <c:v>5451.09</c:v>
                </c:pt>
                <c:pt idx="2074">
                  <c:v>5448.18</c:v>
                </c:pt>
                <c:pt idx="2075">
                  <c:v>5465.42</c:v>
                </c:pt>
                <c:pt idx="2076">
                  <c:v>5471.29</c:v>
                </c:pt>
                <c:pt idx="2077">
                  <c:v>5481.07</c:v>
                </c:pt>
                <c:pt idx="2078">
                  <c:v>5459.21</c:v>
                </c:pt>
                <c:pt idx="2079">
                  <c:v>5474.37</c:v>
                </c:pt>
                <c:pt idx="2080">
                  <c:v>5469.37</c:v>
                </c:pt>
                <c:pt idx="2081">
                  <c:v>5457.83</c:v>
                </c:pt>
                <c:pt idx="2082">
                  <c:v>5436.13</c:v>
                </c:pt>
                <c:pt idx="2083">
                  <c:v>5445.43</c:v>
                </c:pt>
                <c:pt idx="2084">
                  <c:v>5411.4</c:v>
                </c:pt>
                <c:pt idx="2085">
                  <c:v>5421.63</c:v>
                </c:pt>
                <c:pt idx="2086">
                  <c:v>5347.23</c:v>
                </c:pt>
                <c:pt idx="2087">
                  <c:v>5359.01</c:v>
                </c:pt>
                <c:pt idx="2088">
                  <c:v>5312.89</c:v>
                </c:pt>
                <c:pt idx="2089">
                  <c:v>5346.44</c:v>
                </c:pt>
                <c:pt idx="2090">
                  <c:v>5350.83</c:v>
                </c:pt>
                <c:pt idx="2091">
                  <c:v>5367.49</c:v>
                </c:pt>
                <c:pt idx="2092">
                  <c:v>5340.93</c:v>
                </c:pt>
                <c:pt idx="2093">
                  <c:v>5388.28</c:v>
                </c:pt>
                <c:pt idx="2094">
                  <c:v>5434.36</c:v>
                </c:pt>
                <c:pt idx="2095">
                  <c:v>5483.89</c:v>
                </c:pt>
                <c:pt idx="2096">
                  <c:v>5503.05</c:v>
                </c:pt>
                <c:pt idx="2097">
                  <c:v>5464.01</c:v>
                </c:pt>
                <c:pt idx="2098">
                  <c:v>5512.36</c:v>
                </c:pt>
                <c:pt idx="2099">
                  <c:v>5518.33</c:v>
                </c:pt>
                <c:pt idx="2100">
                  <c:v>5512.92</c:v>
                </c:pt>
                <c:pt idx="2101">
                  <c:v>5534.91</c:v>
                </c:pt>
                <c:pt idx="2102">
                  <c:v>5546.86</c:v>
                </c:pt>
                <c:pt idx="2103">
                  <c:v>5525.51</c:v>
                </c:pt>
                <c:pt idx="2104">
                  <c:v>5520.5</c:v>
                </c:pt>
                <c:pt idx="2105">
                  <c:v>5530.66</c:v>
                </c:pt>
                <c:pt idx="2106">
                  <c:v>5557.37</c:v>
                </c:pt>
                <c:pt idx="2107">
                  <c:v>5607.99</c:v>
                </c:pt>
                <c:pt idx="2108">
                  <c:v>5590.99</c:v>
                </c:pt>
                <c:pt idx="2109">
                  <c:v>5554.31</c:v>
                </c:pt>
                <c:pt idx="2110">
                  <c:v>5522.81</c:v>
                </c:pt>
                <c:pt idx="2111">
                  <c:v>5549.96</c:v>
                </c:pt>
                <c:pt idx="2112">
                  <c:v>5544.19</c:v>
                </c:pt>
                <c:pt idx="2113">
                  <c:v>5572.08</c:v>
                </c:pt>
                <c:pt idx="2114">
                  <c:v>5598.71</c:v>
                </c:pt>
                <c:pt idx="2115">
                  <c:v>5619.05</c:v>
                </c:pt>
                <c:pt idx="2116">
                  <c:v>5634.98</c:v>
                </c:pt>
                <c:pt idx="2117">
                  <c:v>5633.67</c:v>
                </c:pt>
                <c:pt idx="2118">
                  <c:v>5627</c:v>
                </c:pt>
                <c:pt idx="2119">
                  <c:v>5588.66</c:v>
                </c:pt>
                <c:pt idx="2120">
                  <c:v>5566.36</c:v>
                </c:pt>
                <c:pt idx="2121">
                  <c:v>5602.41</c:v>
                </c:pt>
                <c:pt idx="2122">
                  <c:v>5560.85</c:v>
                </c:pt>
                <c:pt idx="2123">
                  <c:v>5606.56</c:v>
                </c:pt>
                <c:pt idx="2124">
                  <c:v>5625.66</c:v>
                </c:pt>
                <c:pt idx="2125">
                  <c:v>5639.53</c:v>
                </c:pt>
                <c:pt idx="2126">
                  <c:v>5651.39</c:v>
                </c:pt>
                <c:pt idx="2127">
                  <c:v>5649.31</c:v>
                </c:pt>
                <c:pt idx="2128">
                  <c:v>5640.1</c:v>
                </c:pt>
                <c:pt idx="2129">
                  <c:v>5675.12</c:v>
                </c:pt>
                <c:pt idx="2130">
                  <c:v>5719.3</c:v>
                </c:pt>
                <c:pt idx="2131">
                  <c:v>5720.89</c:v>
                </c:pt>
                <c:pt idx="2132">
                  <c:v>5754</c:v>
                </c:pt>
                <c:pt idx="2133">
                  <c:v>5729.45</c:v>
                </c:pt>
                <c:pt idx="2134">
                  <c:v>5730.8</c:v>
                </c:pt>
                <c:pt idx="2135">
                  <c:v>5721.86</c:v>
                </c:pt>
                <c:pt idx="2136">
                  <c:v>5705.86</c:v>
                </c:pt>
                <c:pt idx="2137">
                  <c:v>5686.7</c:v>
                </c:pt>
                <c:pt idx="2138">
                  <c:v>5674.58</c:v>
                </c:pt>
                <c:pt idx="2139">
                  <c:v>5685.34</c:v>
                </c:pt>
                <c:pt idx="2140">
                  <c:v>5706.99</c:v>
                </c:pt>
                <c:pt idx="2141">
                  <c:v>5709.08</c:v>
                </c:pt>
                <c:pt idx="2142">
                  <c:v>5740.75</c:v>
                </c:pt>
                <c:pt idx="2143">
                  <c:v>5743.19</c:v>
                </c:pt>
                <c:pt idx="2144">
                  <c:v>5711.29</c:v>
                </c:pt>
                <c:pt idx="2145">
                  <c:v>5742.18</c:v>
                </c:pt>
                <c:pt idx="2146">
                  <c:v>5749.39</c:v>
                </c:pt>
                <c:pt idx="2147">
                  <c:v>5794.72</c:v>
                </c:pt>
                <c:pt idx="2148">
                  <c:v>5792.72</c:v>
                </c:pt>
                <c:pt idx="2149">
                  <c:v>5772.36</c:v>
                </c:pt>
                <c:pt idx="2150">
                  <c:v>5765.25</c:v>
                </c:pt>
                <c:pt idx="2151">
                  <c:v>5746.27</c:v>
                </c:pt>
                <c:pt idx="2152">
                  <c:v>5763.22</c:v>
                </c:pt>
                <c:pt idx="2153">
                  <c:v>5763.42</c:v>
                </c:pt>
                <c:pt idx="2154">
                  <c:v>5784.45</c:v>
                </c:pt>
                <c:pt idx="2155">
                  <c:v>5782.37</c:v>
                </c:pt>
                <c:pt idx="2156">
                  <c:v>5786.48</c:v>
                </c:pt>
                <c:pt idx="2157">
                  <c:v>5740.56</c:v>
                </c:pt>
                <c:pt idx="2158">
                  <c:v>5708.9</c:v>
                </c:pt>
                <c:pt idx="2159">
                  <c:v>5706.66</c:v>
                </c:pt>
                <c:pt idx="2160">
                  <c:v>5700.23</c:v>
                </c:pt>
                <c:pt idx="2161">
                  <c:v>5512.94</c:v>
                </c:pt>
                <c:pt idx="2162">
                  <c:v>5399.54</c:v>
                </c:pt>
                <c:pt idx="2163">
                  <c:v>5476.83</c:v>
                </c:pt>
                <c:pt idx="2164">
                  <c:v>5444.61</c:v>
                </c:pt>
                <c:pt idx="2165">
                  <c:v>5561.8</c:v>
                </c:pt>
                <c:pt idx="2166">
                  <c:v>5560.62</c:v>
                </c:pt>
                <c:pt idx="2167">
                  <c:v>5481.13</c:v>
                </c:pt>
                <c:pt idx="2168">
                  <c:v>5479.3</c:v>
                </c:pt>
                <c:pt idx="2169">
                  <c:v>5455.88</c:v>
                </c:pt>
                <c:pt idx="2170">
                  <c:v>5426.08</c:v>
                </c:pt>
                <c:pt idx="2171">
                  <c:v>5258.61</c:v>
                </c:pt>
                <c:pt idx="2172">
                  <c:v>5356.54</c:v>
                </c:pt>
                <c:pt idx="2173">
                  <c:v>5263.74</c:v>
                </c:pt>
                <c:pt idx="2174">
                  <c:v>5229.28</c:v>
                </c:pt>
                <c:pt idx="2175">
                  <c:v>5311.67</c:v>
                </c:pt>
                <c:pt idx="2176">
                  <c:v>5369.49</c:v>
                </c:pt>
                <c:pt idx="2177">
                  <c:v>5426.33</c:v>
                </c:pt>
                <c:pt idx="2178">
                  <c:v>5392.53</c:v>
                </c:pt>
                <c:pt idx="2179">
                  <c:v>5422.88</c:v>
                </c:pt>
                <c:pt idx="2180">
                  <c:v>5457.25</c:v>
                </c:pt>
                <c:pt idx="2181">
                  <c:v>5573.06</c:v>
                </c:pt>
                <c:pt idx="2182">
                  <c:v>5562</c:v>
                </c:pt>
                <c:pt idx="2183">
                  <c:v>5511.79</c:v>
                </c:pt>
                <c:pt idx="2184">
                  <c:v>5403.19</c:v>
                </c:pt>
                <c:pt idx="2185">
                  <c:v>5395.37</c:v>
                </c:pt>
                <c:pt idx="2186">
                  <c:v>5355.94</c:v>
                </c:pt>
                <c:pt idx="2187">
                  <c:v>5414.43</c:v>
                </c:pt>
                <c:pt idx="2188">
                  <c:v>5426.86</c:v>
                </c:pt>
                <c:pt idx="2189">
                  <c:v>5336.7</c:v>
                </c:pt>
                <c:pt idx="2190">
                  <c:v>5240.2299999999996</c:v>
                </c:pt>
                <c:pt idx="2191">
                  <c:v>5256.61</c:v>
                </c:pt>
                <c:pt idx="2192">
                  <c:v>5222.43</c:v>
                </c:pt>
                <c:pt idx="2193">
                  <c:v>5304.17</c:v>
                </c:pt>
                <c:pt idx="2194">
                  <c:v>5321.52</c:v>
                </c:pt>
                <c:pt idx="2195">
                  <c:v>5444.12</c:v>
                </c:pt>
                <c:pt idx="2196">
                  <c:v>5433.49</c:v>
                </c:pt>
                <c:pt idx="2197">
                  <c:v>5478.91</c:v>
                </c:pt>
                <c:pt idx="2198">
                  <c:v>5538.86</c:v>
                </c:pt>
                <c:pt idx="2199">
                  <c:v>5359.91</c:v>
                </c:pt>
                <c:pt idx="2200">
                  <c:v>5353.43</c:v>
                </c:pt>
                <c:pt idx="2201">
                  <c:v>5229.4399999999996</c:v>
                </c:pt>
                <c:pt idx="2202">
                  <c:v>5238.7</c:v>
                </c:pt>
                <c:pt idx="2203">
                  <c:v>5237.1000000000004</c:v>
                </c:pt>
                <c:pt idx="2204">
                  <c:v>5265.53</c:v>
                </c:pt>
                <c:pt idx="2205">
                  <c:v>5265.46</c:v>
                </c:pt>
                <c:pt idx="2206">
                  <c:v>5165.6000000000004</c:v>
                </c:pt>
                <c:pt idx="2207">
                  <c:v>5058.58</c:v>
                </c:pt>
                <c:pt idx="2208">
                  <c:v>5059.34</c:v>
                </c:pt>
                <c:pt idx="2209">
                  <c:v>4981.92</c:v>
                </c:pt>
                <c:pt idx="2210">
                  <c:v>4903.46</c:v>
                </c:pt>
                <c:pt idx="2211">
                  <c:v>4802.51</c:v>
                </c:pt>
                <c:pt idx="2212">
                  <c:v>4672.66</c:v>
                </c:pt>
                <c:pt idx="2213">
                  <c:v>4904.49</c:v>
                </c:pt>
                <c:pt idx="2214">
                  <c:v>4946.9399999999996</c:v>
                </c:pt>
                <c:pt idx="2215">
                  <c:v>4941.6099999999997</c:v>
                </c:pt>
                <c:pt idx="2216">
                  <c:v>4984.22</c:v>
                </c:pt>
                <c:pt idx="2217">
                  <c:v>4990.5600000000004</c:v>
                </c:pt>
                <c:pt idx="2218">
                  <c:v>4868.3</c:v>
                </c:pt>
                <c:pt idx="2219">
                  <c:v>5035.45</c:v>
                </c:pt>
                <c:pt idx="2220">
                  <c:v>5070.76</c:v>
                </c:pt>
                <c:pt idx="2221">
                  <c:v>5120.04</c:v>
                </c:pt>
                <c:pt idx="2222">
                  <c:v>5142.66</c:v>
                </c:pt>
                <c:pt idx="2223">
                  <c:v>5165.8900000000003</c:v>
                </c:pt>
                <c:pt idx="2224">
                  <c:v>5165.1499999999996</c:v>
                </c:pt>
                <c:pt idx="2225">
                  <c:v>5138.58</c:v>
                </c:pt>
                <c:pt idx="2226">
                  <c:v>5193.78</c:v>
                </c:pt>
                <c:pt idx="2227">
                  <c:v>5205.45</c:v>
                </c:pt>
                <c:pt idx="2228">
                  <c:v>5245.48</c:v>
                </c:pt>
                <c:pt idx="2229">
                  <c:v>5314.78</c:v>
                </c:pt>
                <c:pt idx="2230">
                  <c:v>5239.75</c:v>
                </c:pt>
                <c:pt idx="2231">
                  <c:v>5251.29</c:v>
                </c:pt>
                <c:pt idx="2232">
                  <c:v>5258.69</c:v>
                </c:pt>
                <c:pt idx="2233">
                  <c:v>5303.51</c:v>
                </c:pt>
                <c:pt idx="2234">
                  <c:v>5261.88</c:v>
                </c:pt>
                <c:pt idx="2235">
                  <c:v>5254.31</c:v>
                </c:pt>
                <c:pt idx="2236">
                  <c:v>5336.6</c:v>
                </c:pt>
                <c:pt idx="2237">
                  <c:v>5383.63</c:v>
                </c:pt>
                <c:pt idx="2238">
                  <c:v>5389.19</c:v>
                </c:pt>
                <c:pt idx="2239">
                  <c:v>5425.8</c:v>
                </c:pt>
                <c:pt idx="2240">
                  <c:v>5451.4</c:v>
                </c:pt>
                <c:pt idx="2241">
                  <c:v>5439.8</c:v>
                </c:pt>
                <c:pt idx="2242">
                  <c:v>5389.69</c:v>
                </c:pt>
                <c:pt idx="2243">
                  <c:v>5395.12</c:v>
                </c:pt>
                <c:pt idx="2244">
                  <c:v>5399</c:v>
                </c:pt>
                <c:pt idx="2245">
                  <c:v>5468.98</c:v>
                </c:pt>
                <c:pt idx="2246">
                  <c:v>5485.97</c:v>
                </c:pt>
                <c:pt idx="2247">
                  <c:v>5473.33</c:v>
                </c:pt>
                <c:pt idx="2248">
                  <c:v>5533.27</c:v>
                </c:pt>
                <c:pt idx="2249">
                  <c:v>5541.98</c:v>
                </c:pt>
                <c:pt idx="2250">
                  <c:v>5552.9</c:v>
                </c:pt>
                <c:pt idx="2251">
                  <c:v>5533.8</c:v>
                </c:pt>
                <c:pt idx="2252">
                  <c:v>5569.45</c:v>
                </c:pt>
                <c:pt idx="2253">
                  <c:v>5577.09</c:v>
                </c:pt>
                <c:pt idx="2254">
                  <c:v>5572.74</c:v>
                </c:pt>
                <c:pt idx="2255">
                  <c:v>5570.57</c:v>
                </c:pt>
                <c:pt idx="2256">
                  <c:v>5556.49</c:v>
                </c:pt>
                <c:pt idx="2257">
                  <c:v>5595.11</c:v>
                </c:pt>
                <c:pt idx="2258">
                  <c:v>5573.53</c:v>
                </c:pt>
                <c:pt idx="2259">
                  <c:v>5567.4</c:v>
                </c:pt>
                <c:pt idx="2260">
                  <c:v>5531.34</c:v>
                </c:pt>
                <c:pt idx="2261">
                  <c:v>5487.56</c:v>
                </c:pt>
                <c:pt idx="2262">
                  <c:v>5476.39</c:v>
                </c:pt>
                <c:pt idx="2263">
                  <c:v>5556.77</c:v>
                </c:pt>
                <c:pt idx="2264">
                  <c:v>5573.44</c:v>
                </c:pt>
                <c:pt idx="2265">
                  <c:v>5612.56</c:v>
                </c:pt>
                <c:pt idx="2266">
                  <c:v>5609.59</c:v>
                </c:pt>
                <c:pt idx="2267">
                  <c:v>5637.77</c:v>
                </c:pt>
                <c:pt idx="2268">
                  <c:v>5658.73</c:v>
                </c:pt>
                <c:pt idx="2269">
                  <c:v>5658.15</c:v>
                </c:pt>
                <c:pt idx="2270">
                  <c:v>5641.74</c:v>
                </c:pt>
                <c:pt idx="2271">
                  <c:v>5703.28</c:v>
                </c:pt>
                <c:pt idx="2272">
                  <c:v>5595.5</c:v>
                </c:pt>
                <c:pt idx="2273">
                  <c:v>5591.23</c:v>
                </c:pt>
                <c:pt idx="2274">
                  <c:v>5631.39</c:v>
                </c:pt>
                <c:pt idx="2275">
                  <c:v>5605.32</c:v>
                </c:pt>
                <c:pt idx="2276">
                  <c:v>5626.32</c:v>
                </c:pt>
                <c:pt idx="2277">
                  <c:v>5664.46</c:v>
                </c:pt>
                <c:pt idx="2278">
                  <c:v>5730.04</c:v>
                </c:pt>
                <c:pt idx="2279">
                  <c:v>5730.35</c:v>
                </c:pt>
                <c:pt idx="2280">
                  <c:v>5742.67</c:v>
                </c:pt>
                <c:pt idx="2281">
                  <c:v>5755.96</c:v>
                </c:pt>
                <c:pt idx="2282">
                  <c:v>5782.7</c:v>
                </c:pt>
                <c:pt idx="2283">
                  <c:v>5788.86</c:v>
                </c:pt>
                <c:pt idx="2284">
                  <c:v>5755.49</c:v>
                </c:pt>
                <c:pt idx="2285">
                  <c:v>5775.99</c:v>
                </c:pt>
                <c:pt idx="2286">
                  <c:v>5776.28</c:v>
                </c:pt>
                <c:pt idx="2287">
                  <c:v>5815.04</c:v>
                </c:pt>
                <c:pt idx="2288">
                  <c:v>5811.51</c:v>
                </c:pt>
                <c:pt idx="2289">
                  <c:v>5814.46</c:v>
                </c:pt>
                <c:pt idx="2290">
                  <c:v>5801.83</c:v>
                </c:pt>
                <c:pt idx="2291">
                  <c:v>5811.13</c:v>
                </c:pt>
                <c:pt idx="2292">
                  <c:v>5817.16</c:v>
                </c:pt>
                <c:pt idx="2293">
                  <c:v>5868.88</c:v>
                </c:pt>
                <c:pt idx="2294">
                  <c:v>5856.03</c:v>
                </c:pt>
                <c:pt idx="2295">
                  <c:v>5853.87</c:v>
                </c:pt>
                <c:pt idx="2296">
                  <c:v>5881.48</c:v>
                </c:pt>
                <c:pt idx="2297">
                  <c:v>5888.05</c:v>
                </c:pt>
                <c:pt idx="2298">
                  <c:v>5893.81</c:v>
                </c:pt>
                <c:pt idx="2299">
                  <c:v>5849.65</c:v>
                </c:pt>
                <c:pt idx="2300">
                  <c:v>5837.46</c:v>
                </c:pt>
                <c:pt idx="2301">
                  <c:v>5894.3</c:v>
                </c:pt>
                <c:pt idx="2302">
                  <c:v>5868.45</c:v>
                </c:pt>
                <c:pt idx="2303">
                  <c:v>5771.59</c:v>
                </c:pt>
                <c:pt idx="2304">
                  <c:v>5762.48</c:v>
                </c:pt>
                <c:pt idx="2305">
                  <c:v>5747.08</c:v>
                </c:pt>
                <c:pt idx="2306">
                  <c:v>5770.44</c:v>
                </c:pt>
                <c:pt idx="2307">
                  <c:v>5631.41</c:v>
                </c:pt>
                <c:pt idx="2308">
                  <c:v>5677.2</c:v>
                </c:pt>
                <c:pt idx="2309">
                  <c:v>5711.49</c:v>
                </c:pt>
                <c:pt idx="2310">
                  <c:v>5763.95</c:v>
                </c:pt>
                <c:pt idx="2311">
                  <c:v>5730.89</c:v>
                </c:pt>
                <c:pt idx="2312">
                  <c:v>5692.3</c:v>
                </c:pt>
                <c:pt idx="2313">
                  <c:v>5740.81</c:v>
                </c:pt>
                <c:pt idx="2314">
                  <c:v>5724.71</c:v>
                </c:pt>
                <c:pt idx="2315">
                  <c:v>5657.1</c:v>
                </c:pt>
                <c:pt idx="2316">
                  <c:v>5665.6</c:v>
                </c:pt>
                <c:pt idx="2317">
                  <c:v>5618.18</c:v>
                </c:pt>
                <c:pt idx="2318">
                  <c:v>5579.51</c:v>
                </c:pt>
                <c:pt idx="2319">
                  <c:v>5591.97</c:v>
                </c:pt>
                <c:pt idx="2320">
                  <c:v>5519.27</c:v>
                </c:pt>
                <c:pt idx="2321">
                  <c:v>5504.05</c:v>
                </c:pt>
                <c:pt idx="2322">
                  <c:v>5622.31</c:v>
                </c:pt>
                <c:pt idx="2323">
                  <c:v>5668.89</c:v>
                </c:pt>
                <c:pt idx="2324">
                  <c:v>5705.22</c:v>
                </c:pt>
                <c:pt idx="2325">
                  <c:v>5765.66</c:v>
                </c:pt>
                <c:pt idx="2326">
                  <c:v>5792.56</c:v>
                </c:pt>
                <c:pt idx="2327">
                  <c:v>5790.83</c:v>
                </c:pt>
                <c:pt idx="2328">
                  <c:v>5779.12</c:v>
                </c:pt>
                <c:pt idx="2329">
                  <c:v>5804.53</c:v>
                </c:pt>
                <c:pt idx="2330">
                  <c:v>5795.96</c:v>
                </c:pt>
                <c:pt idx="2331">
                  <c:v>5801.4</c:v>
                </c:pt>
                <c:pt idx="2332">
                  <c:v>5857.95</c:v>
                </c:pt>
                <c:pt idx="2333">
                  <c:v>5875.45</c:v>
                </c:pt>
                <c:pt idx="2334">
                  <c:v>5931.66</c:v>
                </c:pt>
                <c:pt idx="2335">
                  <c:v>5924.54</c:v>
                </c:pt>
                <c:pt idx="2336">
                  <c:v>5914.29</c:v>
                </c:pt>
                <c:pt idx="2337">
                  <c:v>5858.13</c:v>
                </c:pt>
                <c:pt idx="2338">
                  <c:v>5850.9</c:v>
                </c:pt>
                <c:pt idx="2339">
                  <c:v>5874.15</c:v>
                </c:pt>
                <c:pt idx="2340">
                  <c:v>5908.25</c:v>
                </c:pt>
                <c:pt idx="2341">
                  <c:v>5953.63</c:v>
                </c:pt>
                <c:pt idx="2342">
                  <c:v>5971.29</c:v>
                </c:pt>
                <c:pt idx="2343">
                  <c:v>6018.54</c:v>
                </c:pt>
                <c:pt idx="2344">
                  <c:v>6008.31</c:v>
                </c:pt>
                <c:pt idx="2345">
                  <c:v>5979.34</c:v>
                </c:pt>
                <c:pt idx="2346">
                  <c:v>5988.48</c:v>
                </c:pt>
                <c:pt idx="2347">
                  <c:v>6015.56</c:v>
                </c:pt>
                <c:pt idx="2348">
                  <c:v>6029.33</c:v>
                </c:pt>
                <c:pt idx="2349">
                  <c:v>6057.77</c:v>
                </c:pt>
                <c:pt idx="2350">
                  <c:v>6058.83</c:v>
                </c:pt>
                <c:pt idx="2351">
                  <c:v>6038.4</c:v>
                </c:pt>
                <c:pt idx="2352">
                  <c:v>5999.05</c:v>
                </c:pt>
                <c:pt idx="2353">
                  <c:v>6021.15</c:v>
                </c:pt>
                <c:pt idx="2354">
                  <c:v>5984.2</c:v>
                </c:pt>
                <c:pt idx="2355">
                  <c:v>6001.28</c:v>
                </c:pt>
                <c:pt idx="2356">
                  <c:v>6042.48</c:v>
                </c:pt>
                <c:pt idx="2357">
                  <c:v>6071.05</c:v>
                </c:pt>
                <c:pt idx="2358">
                  <c:v>6039.13</c:v>
                </c:pt>
                <c:pt idx="2359">
                  <c:v>6083.82</c:v>
                </c:pt>
                <c:pt idx="2360">
                  <c:v>6074.01</c:v>
                </c:pt>
                <c:pt idx="2361">
                  <c:v>6058.96</c:v>
                </c:pt>
                <c:pt idx="2362">
                  <c:v>5993.17</c:v>
                </c:pt>
                <c:pt idx="2363">
                  <c:v>5939.83</c:v>
                </c:pt>
                <c:pt idx="2364">
                  <c:v>5897.1</c:v>
                </c:pt>
                <c:pt idx="2365">
                  <c:v>5721.8</c:v>
                </c:pt>
                <c:pt idx="2366">
                  <c:v>5796.72</c:v>
                </c:pt>
                <c:pt idx="2367">
                  <c:v>5801.32</c:v>
                </c:pt>
                <c:pt idx="2368">
                  <c:v>5911.66</c:v>
                </c:pt>
                <c:pt idx="2369">
                  <c:v>5873.47</c:v>
                </c:pt>
                <c:pt idx="2370">
                  <c:v>5804.25</c:v>
                </c:pt>
                <c:pt idx="2371">
                  <c:v>5890.16</c:v>
                </c:pt>
                <c:pt idx="2372">
                  <c:v>5719.3</c:v>
                </c:pt>
                <c:pt idx="2373">
                  <c:v>5734.49</c:v>
                </c:pt>
                <c:pt idx="2374">
                  <c:v>5818.17</c:v>
                </c:pt>
                <c:pt idx="2375">
                  <c:v>5888.93</c:v>
                </c:pt>
                <c:pt idx="2376">
                  <c:v>5842.76</c:v>
                </c:pt>
                <c:pt idx="2377">
                  <c:v>5891.19</c:v>
                </c:pt>
                <c:pt idx="2378">
                  <c:v>5888.37</c:v>
                </c:pt>
                <c:pt idx="2379">
                  <c:v>5735.63</c:v>
                </c:pt>
                <c:pt idx="2380">
                  <c:v>5799.34</c:v>
                </c:pt>
                <c:pt idx="2381">
                  <c:v>5780.79</c:v>
                </c:pt>
                <c:pt idx="2382">
                  <c:v>5818.84</c:v>
                </c:pt>
                <c:pt idx="2383">
                  <c:v>5893.65</c:v>
                </c:pt>
                <c:pt idx="2384">
                  <c:v>5898.23</c:v>
                </c:pt>
                <c:pt idx="2385">
                  <c:v>5857.95</c:v>
                </c:pt>
                <c:pt idx="2386">
                  <c:v>5921.96</c:v>
                </c:pt>
                <c:pt idx="2387">
                  <c:v>6000.38</c:v>
                </c:pt>
                <c:pt idx="2388">
                  <c:v>6006.07</c:v>
                </c:pt>
                <c:pt idx="2389">
                  <c:v>6005.99</c:v>
                </c:pt>
                <c:pt idx="2390">
                  <c:v>6008.12</c:v>
                </c:pt>
                <c:pt idx="2391">
                  <c:v>6051.87</c:v>
                </c:pt>
                <c:pt idx="2392">
                  <c:v>6070.23</c:v>
                </c:pt>
                <c:pt idx="2393">
                  <c:v>6067.5</c:v>
                </c:pt>
                <c:pt idx="2394">
                  <c:v>6048.67</c:v>
                </c:pt>
                <c:pt idx="2395">
                  <c:v>6064.31</c:v>
                </c:pt>
                <c:pt idx="2396">
                  <c:v>6066.42</c:v>
                </c:pt>
                <c:pt idx="2397">
                  <c:v>6066.9</c:v>
                </c:pt>
                <c:pt idx="2398">
                  <c:v>6037.5</c:v>
                </c:pt>
                <c:pt idx="2399">
                  <c:v>6036.9</c:v>
                </c:pt>
                <c:pt idx="2400">
                  <c:v>5986.58</c:v>
                </c:pt>
                <c:pt idx="2401">
                  <c:v>6023.46</c:v>
                </c:pt>
                <c:pt idx="2402">
                  <c:v>6009.19</c:v>
                </c:pt>
                <c:pt idx="2403">
                  <c:v>5978.11</c:v>
                </c:pt>
                <c:pt idx="2404">
                  <c:v>6008.59</c:v>
                </c:pt>
                <c:pt idx="2405">
                  <c:v>5935.2</c:v>
                </c:pt>
                <c:pt idx="2406">
                  <c:v>5828.93</c:v>
                </c:pt>
                <c:pt idx="2407">
                  <c:v>5876.86</c:v>
                </c:pt>
                <c:pt idx="2408">
                  <c:v>5960.43</c:v>
                </c:pt>
                <c:pt idx="2409">
                  <c:v>5933.76</c:v>
                </c:pt>
                <c:pt idx="2410">
                  <c:v>5841.57</c:v>
                </c:pt>
                <c:pt idx="2411">
                  <c:v>5896.6</c:v>
                </c:pt>
                <c:pt idx="2412">
                  <c:v>5934.56</c:v>
                </c:pt>
                <c:pt idx="2413">
                  <c:v>6000.04</c:v>
                </c:pt>
                <c:pt idx="2414">
                  <c:v>5991.72</c:v>
                </c:pt>
                <c:pt idx="2415">
                  <c:v>6051.39</c:v>
                </c:pt>
                <c:pt idx="2416">
                  <c:v>6039.69</c:v>
                </c:pt>
                <c:pt idx="2417">
                  <c:v>6056.84</c:v>
                </c:pt>
                <c:pt idx="2418">
                  <c:v>6033.26</c:v>
                </c:pt>
                <c:pt idx="2419">
                  <c:v>6074.9</c:v>
                </c:pt>
                <c:pt idx="2420">
                  <c:v>6053.42</c:v>
                </c:pt>
                <c:pt idx="2421">
                  <c:v>6070.87</c:v>
                </c:pt>
                <c:pt idx="2422">
                  <c:v>6082.54</c:v>
                </c:pt>
                <c:pt idx="2423">
                  <c:v>6107.42</c:v>
                </c:pt>
                <c:pt idx="2424">
                  <c:v>6141.51</c:v>
                </c:pt>
                <c:pt idx="2425">
                  <c:v>6136.47</c:v>
                </c:pt>
                <c:pt idx="2426">
                  <c:v>6156.93</c:v>
                </c:pt>
                <c:pt idx="2427">
                  <c:v>6138.73</c:v>
                </c:pt>
                <c:pt idx="2428">
                  <c:v>6198.59</c:v>
                </c:pt>
                <c:pt idx="2429">
                  <c:v>6221.63</c:v>
                </c:pt>
                <c:pt idx="2430">
                  <c:v>6214.28</c:v>
                </c:pt>
                <c:pt idx="2431">
                  <c:v>6219.1</c:v>
                </c:pt>
                <c:pt idx="2432">
                  <c:v>6238.99</c:v>
                </c:pt>
                <c:pt idx="2433">
                  <c:v>6256.11</c:v>
                </c:pt>
                <c:pt idx="2434">
                  <c:v>6243.81</c:v>
                </c:pt>
                <c:pt idx="2435">
                  <c:v>6253.91</c:v>
                </c:pt>
                <c:pt idx="2436">
                  <c:v>6258.58</c:v>
                </c:pt>
                <c:pt idx="2437">
                  <c:v>6265.42</c:v>
                </c:pt>
                <c:pt idx="2438">
                  <c:v>6314.74</c:v>
                </c:pt>
                <c:pt idx="2439">
                  <c:v>6318.02</c:v>
                </c:pt>
                <c:pt idx="2440">
                  <c:v>6314.66</c:v>
                </c:pt>
                <c:pt idx="2441">
                  <c:v>6292.17</c:v>
                </c:pt>
                <c:pt idx="2442">
                  <c:v>6282.59</c:v>
                </c:pt>
                <c:pt idx="2443">
                  <c:v>6296.34</c:v>
                </c:pt>
                <c:pt idx="2444">
                  <c:v>6344.36</c:v>
                </c:pt>
                <c:pt idx="2445">
                  <c:v>6358.46</c:v>
                </c:pt>
                <c:pt idx="2446">
                  <c:v>6385.76</c:v>
                </c:pt>
                <c:pt idx="2447">
                  <c:v>6361.56</c:v>
                </c:pt>
                <c:pt idx="2448">
                  <c:v>6306.88</c:v>
                </c:pt>
                <c:pt idx="2449">
                  <c:v>6265.22</c:v>
                </c:pt>
                <c:pt idx="2450">
                  <c:v>6305.49</c:v>
                </c:pt>
                <c:pt idx="2451">
                  <c:v>6316.69</c:v>
                </c:pt>
                <c:pt idx="2452">
                  <c:v>6374.7</c:v>
                </c:pt>
                <c:pt idx="2453">
                  <c:v>6355.07</c:v>
                </c:pt>
                <c:pt idx="2454">
                  <c:v>6348.31</c:v>
                </c:pt>
                <c:pt idx="2455">
                  <c:v>6366.84</c:v>
                </c:pt>
                <c:pt idx="2456">
                  <c:v>6422.35</c:v>
                </c:pt>
                <c:pt idx="2457">
                  <c:v>6423.93</c:v>
                </c:pt>
                <c:pt idx="2458">
                  <c:v>6470.03</c:v>
                </c:pt>
                <c:pt idx="2459">
                  <c:v>6472.24</c:v>
                </c:pt>
                <c:pt idx="2460">
                  <c:v>6470</c:v>
                </c:pt>
                <c:pt idx="2461">
                  <c:v>6499.26</c:v>
                </c:pt>
                <c:pt idx="2462">
                  <c:v>6531.75</c:v>
                </c:pt>
                <c:pt idx="2463">
                  <c:v>6537.4</c:v>
                </c:pt>
                <c:pt idx="2464">
                  <c:v>6536.58</c:v>
                </c:pt>
                <c:pt idx="2465">
                  <c:v>6570.71</c:v>
                </c:pt>
                <c:pt idx="2466">
                  <c:v>6571.03</c:v>
                </c:pt>
                <c:pt idx="2467">
                  <c:v>6533.91</c:v>
                </c:pt>
                <c:pt idx="2468">
                  <c:v>6553.57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00-420E-965D-ECA3C9E538FE}"/>
            </c:ext>
          </c:extLst>
        </c:ser>
        <c:ser>
          <c:idx val="1"/>
          <c:order val="1"/>
          <c:tx>
            <c:strRef>
              <c:f>Backtest!$E$50</c:f>
              <c:strCache>
                <c:ptCount val="1"/>
                <c:pt idx="0">
                  <c:v>Média Móvel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Backtest!$C$51:$C$2519</c:f>
              <c:numCache>
                <c:formatCode>m/d/yyyy</c:formatCode>
                <c:ptCount val="2469"/>
                <c:pt idx="0">
                  <c:v>40249</c:v>
                </c:pt>
                <c:pt idx="1">
                  <c:v>40252</c:v>
                </c:pt>
                <c:pt idx="2">
                  <c:v>40253</c:v>
                </c:pt>
                <c:pt idx="3">
                  <c:v>40254</c:v>
                </c:pt>
                <c:pt idx="4">
                  <c:v>40255</c:v>
                </c:pt>
                <c:pt idx="5">
                  <c:v>40256</c:v>
                </c:pt>
                <c:pt idx="6">
                  <c:v>40259</c:v>
                </c:pt>
                <c:pt idx="7">
                  <c:v>40260</c:v>
                </c:pt>
                <c:pt idx="8">
                  <c:v>40261</c:v>
                </c:pt>
                <c:pt idx="9">
                  <c:v>40262</c:v>
                </c:pt>
                <c:pt idx="10">
                  <c:v>40263</c:v>
                </c:pt>
                <c:pt idx="11">
                  <c:v>40266</c:v>
                </c:pt>
                <c:pt idx="12">
                  <c:v>40267</c:v>
                </c:pt>
                <c:pt idx="13">
                  <c:v>40268</c:v>
                </c:pt>
                <c:pt idx="14">
                  <c:v>40269</c:v>
                </c:pt>
                <c:pt idx="15">
                  <c:v>40273</c:v>
                </c:pt>
                <c:pt idx="16">
                  <c:v>40274</c:v>
                </c:pt>
                <c:pt idx="17">
                  <c:v>40275</c:v>
                </c:pt>
                <c:pt idx="18">
                  <c:v>40276</c:v>
                </c:pt>
                <c:pt idx="19">
                  <c:v>40277</c:v>
                </c:pt>
                <c:pt idx="20">
                  <c:v>40280</c:v>
                </c:pt>
                <c:pt idx="21">
                  <c:v>40281</c:v>
                </c:pt>
                <c:pt idx="22">
                  <c:v>40282</c:v>
                </c:pt>
                <c:pt idx="23">
                  <c:v>40283</c:v>
                </c:pt>
                <c:pt idx="24">
                  <c:v>40284</c:v>
                </c:pt>
                <c:pt idx="25">
                  <c:v>40287</c:v>
                </c:pt>
                <c:pt idx="26">
                  <c:v>40288</c:v>
                </c:pt>
                <c:pt idx="27">
                  <c:v>40289</c:v>
                </c:pt>
                <c:pt idx="28">
                  <c:v>40290</c:v>
                </c:pt>
                <c:pt idx="29">
                  <c:v>40291</c:v>
                </c:pt>
                <c:pt idx="30">
                  <c:v>40294</c:v>
                </c:pt>
                <c:pt idx="31">
                  <c:v>40295</c:v>
                </c:pt>
                <c:pt idx="32">
                  <c:v>40296</c:v>
                </c:pt>
                <c:pt idx="33">
                  <c:v>40297</c:v>
                </c:pt>
                <c:pt idx="34">
                  <c:v>40298</c:v>
                </c:pt>
                <c:pt idx="35">
                  <c:v>40301</c:v>
                </c:pt>
                <c:pt idx="36">
                  <c:v>40302</c:v>
                </c:pt>
                <c:pt idx="37">
                  <c:v>40303</c:v>
                </c:pt>
                <c:pt idx="38">
                  <c:v>40304</c:v>
                </c:pt>
                <c:pt idx="39">
                  <c:v>40305</c:v>
                </c:pt>
                <c:pt idx="40">
                  <c:v>40308</c:v>
                </c:pt>
                <c:pt idx="41">
                  <c:v>40309</c:v>
                </c:pt>
                <c:pt idx="42">
                  <c:v>40310</c:v>
                </c:pt>
                <c:pt idx="43">
                  <c:v>40311</c:v>
                </c:pt>
                <c:pt idx="44">
                  <c:v>40312</c:v>
                </c:pt>
                <c:pt idx="45">
                  <c:v>40315</c:v>
                </c:pt>
                <c:pt idx="46">
                  <c:v>40316</c:v>
                </c:pt>
                <c:pt idx="47">
                  <c:v>40317</c:v>
                </c:pt>
                <c:pt idx="48">
                  <c:v>40318</c:v>
                </c:pt>
                <c:pt idx="49">
                  <c:v>40319</c:v>
                </c:pt>
                <c:pt idx="50">
                  <c:v>40322</c:v>
                </c:pt>
                <c:pt idx="51">
                  <c:v>40323</c:v>
                </c:pt>
                <c:pt idx="52">
                  <c:v>40324</c:v>
                </c:pt>
                <c:pt idx="53">
                  <c:v>40325</c:v>
                </c:pt>
                <c:pt idx="54">
                  <c:v>40326</c:v>
                </c:pt>
                <c:pt idx="55">
                  <c:v>40330</c:v>
                </c:pt>
                <c:pt idx="56">
                  <c:v>40331</c:v>
                </c:pt>
                <c:pt idx="57">
                  <c:v>40332</c:v>
                </c:pt>
                <c:pt idx="58">
                  <c:v>40333</c:v>
                </c:pt>
                <c:pt idx="59">
                  <c:v>40336</c:v>
                </c:pt>
                <c:pt idx="60">
                  <c:v>40337</c:v>
                </c:pt>
                <c:pt idx="61">
                  <c:v>40338</c:v>
                </c:pt>
                <c:pt idx="62">
                  <c:v>40339</c:v>
                </c:pt>
                <c:pt idx="63">
                  <c:v>40340</c:v>
                </c:pt>
                <c:pt idx="64">
                  <c:v>40343</c:v>
                </c:pt>
                <c:pt idx="65">
                  <c:v>40344</c:v>
                </c:pt>
                <c:pt idx="66">
                  <c:v>40345</c:v>
                </c:pt>
                <c:pt idx="67">
                  <c:v>40346</c:v>
                </c:pt>
                <c:pt idx="68">
                  <c:v>40347</c:v>
                </c:pt>
                <c:pt idx="69">
                  <c:v>40350</c:v>
                </c:pt>
                <c:pt idx="70">
                  <c:v>40351</c:v>
                </c:pt>
                <c:pt idx="71">
                  <c:v>40352</c:v>
                </c:pt>
                <c:pt idx="72">
                  <c:v>40353</c:v>
                </c:pt>
                <c:pt idx="73">
                  <c:v>40354</c:v>
                </c:pt>
                <c:pt idx="74">
                  <c:v>40357</c:v>
                </c:pt>
                <c:pt idx="75">
                  <c:v>40358</c:v>
                </c:pt>
                <c:pt idx="76">
                  <c:v>40359</c:v>
                </c:pt>
                <c:pt idx="77">
                  <c:v>40360</c:v>
                </c:pt>
                <c:pt idx="78">
                  <c:v>40361</c:v>
                </c:pt>
                <c:pt idx="79">
                  <c:v>40365</c:v>
                </c:pt>
                <c:pt idx="80">
                  <c:v>40366</c:v>
                </c:pt>
                <c:pt idx="81">
                  <c:v>40367</c:v>
                </c:pt>
                <c:pt idx="82">
                  <c:v>40368</c:v>
                </c:pt>
                <c:pt idx="83">
                  <c:v>40371</c:v>
                </c:pt>
                <c:pt idx="84">
                  <c:v>40372</c:v>
                </c:pt>
                <c:pt idx="85">
                  <c:v>40373</c:v>
                </c:pt>
                <c:pt idx="86">
                  <c:v>40374</c:v>
                </c:pt>
                <c:pt idx="87">
                  <c:v>40375</c:v>
                </c:pt>
                <c:pt idx="88">
                  <c:v>40378</c:v>
                </c:pt>
                <c:pt idx="89">
                  <c:v>40379</c:v>
                </c:pt>
                <c:pt idx="90">
                  <c:v>40380</c:v>
                </c:pt>
                <c:pt idx="91">
                  <c:v>40381</c:v>
                </c:pt>
                <c:pt idx="92">
                  <c:v>40382</c:v>
                </c:pt>
                <c:pt idx="93">
                  <c:v>40385</c:v>
                </c:pt>
                <c:pt idx="94">
                  <c:v>40386</c:v>
                </c:pt>
                <c:pt idx="95">
                  <c:v>40387</c:v>
                </c:pt>
                <c:pt idx="96">
                  <c:v>40388</c:v>
                </c:pt>
                <c:pt idx="97">
                  <c:v>40389</c:v>
                </c:pt>
                <c:pt idx="98">
                  <c:v>40392</c:v>
                </c:pt>
                <c:pt idx="99">
                  <c:v>40393</c:v>
                </c:pt>
                <c:pt idx="100">
                  <c:v>40394</c:v>
                </c:pt>
                <c:pt idx="101">
                  <c:v>40395</c:v>
                </c:pt>
                <c:pt idx="102">
                  <c:v>40396</c:v>
                </c:pt>
                <c:pt idx="103">
                  <c:v>40399</c:v>
                </c:pt>
                <c:pt idx="104">
                  <c:v>40400</c:v>
                </c:pt>
                <c:pt idx="105">
                  <c:v>40401</c:v>
                </c:pt>
                <c:pt idx="106">
                  <c:v>40402</c:v>
                </c:pt>
                <c:pt idx="107">
                  <c:v>40403</c:v>
                </c:pt>
                <c:pt idx="108">
                  <c:v>40406</c:v>
                </c:pt>
                <c:pt idx="109">
                  <c:v>40407</c:v>
                </c:pt>
                <c:pt idx="110">
                  <c:v>40408</c:v>
                </c:pt>
                <c:pt idx="111">
                  <c:v>40409</c:v>
                </c:pt>
                <c:pt idx="112">
                  <c:v>40410</c:v>
                </c:pt>
                <c:pt idx="113">
                  <c:v>40413</c:v>
                </c:pt>
                <c:pt idx="114">
                  <c:v>40414</c:v>
                </c:pt>
                <c:pt idx="115">
                  <c:v>40415</c:v>
                </c:pt>
                <c:pt idx="116">
                  <c:v>40416</c:v>
                </c:pt>
                <c:pt idx="117">
                  <c:v>40417</c:v>
                </c:pt>
                <c:pt idx="118">
                  <c:v>40420</c:v>
                </c:pt>
                <c:pt idx="119">
                  <c:v>40421</c:v>
                </c:pt>
                <c:pt idx="120">
                  <c:v>40422</c:v>
                </c:pt>
                <c:pt idx="121">
                  <c:v>40423</c:v>
                </c:pt>
                <c:pt idx="122">
                  <c:v>40424</c:v>
                </c:pt>
                <c:pt idx="123">
                  <c:v>40428</c:v>
                </c:pt>
                <c:pt idx="124">
                  <c:v>40429</c:v>
                </c:pt>
                <c:pt idx="125">
                  <c:v>40430</c:v>
                </c:pt>
                <c:pt idx="126">
                  <c:v>40431</c:v>
                </c:pt>
                <c:pt idx="127">
                  <c:v>40434</c:v>
                </c:pt>
                <c:pt idx="128">
                  <c:v>40435</c:v>
                </c:pt>
                <c:pt idx="129">
                  <c:v>40436</c:v>
                </c:pt>
                <c:pt idx="130">
                  <c:v>40437</c:v>
                </c:pt>
                <c:pt idx="131">
                  <c:v>40438</c:v>
                </c:pt>
                <c:pt idx="132">
                  <c:v>40441</c:v>
                </c:pt>
                <c:pt idx="133">
                  <c:v>40442</c:v>
                </c:pt>
                <c:pt idx="134">
                  <c:v>40443</c:v>
                </c:pt>
                <c:pt idx="135">
                  <c:v>40444</c:v>
                </c:pt>
                <c:pt idx="136">
                  <c:v>40445</c:v>
                </c:pt>
                <c:pt idx="137">
                  <c:v>40448</c:v>
                </c:pt>
                <c:pt idx="138">
                  <c:v>40449</c:v>
                </c:pt>
                <c:pt idx="139">
                  <c:v>40450</c:v>
                </c:pt>
                <c:pt idx="140">
                  <c:v>40451</c:v>
                </c:pt>
                <c:pt idx="141">
                  <c:v>40452</c:v>
                </c:pt>
                <c:pt idx="142">
                  <c:v>40455</c:v>
                </c:pt>
                <c:pt idx="143">
                  <c:v>40456</c:v>
                </c:pt>
                <c:pt idx="144">
                  <c:v>40457</c:v>
                </c:pt>
                <c:pt idx="145">
                  <c:v>40458</c:v>
                </c:pt>
                <c:pt idx="146">
                  <c:v>40459</c:v>
                </c:pt>
                <c:pt idx="147">
                  <c:v>40462</c:v>
                </c:pt>
                <c:pt idx="148">
                  <c:v>40463</c:v>
                </c:pt>
                <c:pt idx="149">
                  <c:v>40464</c:v>
                </c:pt>
                <c:pt idx="150">
                  <c:v>40465</c:v>
                </c:pt>
                <c:pt idx="151">
                  <c:v>40466</c:v>
                </c:pt>
                <c:pt idx="152">
                  <c:v>40469</c:v>
                </c:pt>
                <c:pt idx="153">
                  <c:v>40470</c:v>
                </c:pt>
                <c:pt idx="154">
                  <c:v>40471</c:v>
                </c:pt>
                <c:pt idx="155">
                  <c:v>40472</c:v>
                </c:pt>
                <c:pt idx="156">
                  <c:v>40473</c:v>
                </c:pt>
                <c:pt idx="157">
                  <c:v>40476</c:v>
                </c:pt>
                <c:pt idx="158">
                  <c:v>40477</c:v>
                </c:pt>
                <c:pt idx="159">
                  <c:v>40478</c:v>
                </c:pt>
                <c:pt idx="160">
                  <c:v>40479</c:v>
                </c:pt>
                <c:pt idx="161">
                  <c:v>40480</c:v>
                </c:pt>
                <c:pt idx="162">
                  <c:v>40483</c:v>
                </c:pt>
                <c:pt idx="163">
                  <c:v>40484</c:v>
                </c:pt>
                <c:pt idx="164">
                  <c:v>40485</c:v>
                </c:pt>
                <c:pt idx="165">
                  <c:v>40486</c:v>
                </c:pt>
                <c:pt idx="166">
                  <c:v>40487</c:v>
                </c:pt>
                <c:pt idx="167">
                  <c:v>40490</c:v>
                </c:pt>
                <c:pt idx="168">
                  <c:v>40491</c:v>
                </c:pt>
                <c:pt idx="169">
                  <c:v>40492</c:v>
                </c:pt>
                <c:pt idx="170">
                  <c:v>40493</c:v>
                </c:pt>
                <c:pt idx="171">
                  <c:v>40494</c:v>
                </c:pt>
                <c:pt idx="172">
                  <c:v>40497</c:v>
                </c:pt>
                <c:pt idx="173">
                  <c:v>40498</c:v>
                </c:pt>
                <c:pt idx="174">
                  <c:v>40499</c:v>
                </c:pt>
                <c:pt idx="175">
                  <c:v>40500</c:v>
                </c:pt>
                <c:pt idx="176">
                  <c:v>40501</c:v>
                </c:pt>
                <c:pt idx="177">
                  <c:v>40504</c:v>
                </c:pt>
                <c:pt idx="178">
                  <c:v>40505</c:v>
                </c:pt>
                <c:pt idx="179">
                  <c:v>40506</c:v>
                </c:pt>
                <c:pt idx="180">
                  <c:v>40508</c:v>
                </c:pt>
                <c:pt idx="181">
                  <c:v>40511</c:v>
                </c:pt>
                <c:pt idx="182">
                  <c:v>40512</c:v>
                </c:pt>
                <c:pt idx="183">
                  <c:v>40513</c:v>
                </c:pt>
                <c:pt idx="184">
                  <c:v>40514</c:v>
                </c:pt>
                <c:pt idx="185">
                  <c:v>40515</c:v>
                </c:pt>
                <c:pt idx="186">
                  <c:v>40518</c:v>
                </c:pt>
                <c:pt idx="187">
                  <c:v>40519</c:v>
                </c:pt>
                <c:pt idx="188">
                  <c:v>40520</c:v>
                </c:pt>
                <c:pt idx="189">
                  <c:v>40521</c:v>
                </c:pt>
                <c:pt idx="190">
                  <c:v>40522</c:v>
                </c:pt>
                <c:pt idx="191">
                  <c:v>40525</c:v>
                </c:pt>
                <c:pt idx="192">
                  <c:v>40526</c:v>
                </c:pt>
                <c:pt idx="193">
                  <c:v>40527</c:v>
                </c:pt>
                <c:pt idx="194">
                  <c:v>40528</c:v>
                </c:pt>
                <c:pt idx="195">
                  <c:v>40529</c:v>
                </c:pt>
                <c:pt idx="196">
                  <c:v>40532</c:v>
                </c:pt>
                <c:pt idx="197">
                  <c:v>40533</c:v>
                </c:pt>
                <c:pt idx="198">
                  <c:v>40534</c:v>
                </c:pt>
                <c:pt idx="199">
                  <c:v>40535</c:v>
                </c:pt>
                <c:pt idx="200">
                  <c:v>40539</c:v>
                </c:pt>
                <c:pt idx="201">
                  <c:v>40540</c:v>
                </c:pt>
                <c:pt idx="202">
                  <c:v>40541</c:v>
                </c:pt>
                <c:pt idx="203">
                  <c:v>40542</c:v>
                </c:pt>
                <c:pt idx="204">
                  <c:v>40543</c:v>
                </c:pt>
                <c:pt idx="205">
                  <c:v>40546</c:v>
                </c:pt>
                <c:pt idx="206">
                  <c:v>40547</c:v>
                </c:pt>
                <c:pt idx="207">
                  <c:v>40548</c:v>
                </c:pt>
                <c:pt idx="208">
                  <c:v>40549</c:v>
                </c:pt>
                <c:pt idx="209">
                  <c:v>40550</c:v>
                </c:pt>
                <c:pt idx="210">
                  <c:v>40553</c:v>
                </c:pt>
                <c:pt idx="211">
                  <c:v>40554</c:v>
                </c:pt>
                <c:pt idx="212">
                  <c:v>40555</c:v>
                </c:pt>
                <c:pt idx="213">
                  <c:v>40556</c:v>
                </c:pt>
                <c:pt idx="214">
                  <c:v>40557</c:v>
                </c:pt>
                <c:pt idx="215">
                  <c:v>40561</c:v>
                </c:pt>
                <c:pt idx="216">
                  <c:v>40562</c:v>
                </c:pt>
                <c:pt idx="217">
                  <c:v>40563</c:v>
                </c:pt>
                <c:pt idx="218">
                  <c:v>40564</c:v>
                </c:pt>
                <c:pt idx="219">
                  <c:v>40567</c:v>
                </c:pt>
                <c:pt idx="220">
                  <c:v>40568</c:v>
                </c:pt>
                <c:pt idx="221">
                  <c:v>40569</c:v>
                </c:pt>
                <c:pt idx="222">
                  <c:v>40570</c:v>
                </c:pt>
                <c:pt idx="223">
                  <c:v>40571</c:v>
                </c:pt>
                <c:pt idx="224">
                  <c:v>40574</c:v>
                </c:pt>
                <c:pt idx="225">
                  <c:v>40575</c:v>
                </c:pt>
                <c:pt idx="226">
                  <c:v>40576</c:v>
                </c:pt>
                <c:pt idx="227">
                  <c:v>40577</c:v>
                </c:pt>
                <c:pt idx="228">
                  <c:v>40578</c:v>
                </c:pt>
                <c:pt idx="229">
                  <c:v>40581</c:v>
                </c:pt>
                <c:pt idx="230">
                  <c:v>40582</c:v>
                </c:pt>
                <c:pt idx="231">
                  <c:v>40583</c:v>
                </c:pt>
                <c:pt idx="232">
                  <c:v>40584</c:v>
                </c:pt>
                <c:pt idx="233">
                  <c:v>40585</c:v>
                </c:pt>
                <c:pt idx="234">
                  <c:v>40588</c:v>
                </c:pt>
                <c:pt idx="235">
                  <c:v>40589</c:v>
                </c:pt>
                <c:pt idx="236">
                  <c:v>40590</c:v>
                </c:pt>
                <c:pt idx="237">
                  <c:v>40591</c:v>
                </c:pt>
                <c:pt idx="238">
                  <c:v>40592</c:v>
                </c:pt>
                <c:pt idx="239">
                  <c:v>40596</c:v>
                </c:pt>
                <c:pt idx="240">
                  <c:v>40597</c:v>
                </c:pt>
                <c:pt idx="241">
                  <c:v>40598</c:v>
                </c:pt>
                <c:pt idx="242">
                  <c:v>40599</c:v>
                </c:pt>
                <c:pt idx="243">
                  <c:v>40602</c:v>
                </c:pt>
                <c:pt idx="244">
                  <c:v>40603</c:v>
                </c:pt>
                <c:pt idx="245">
                  <c:v>40604</c:v>
                </c:pt>
                <c:pt idx="246">
                  <c:v>40605</c:v>
                </c:pt>
                <c:pt idx="247">
                  <c:v>40606</c:v>
                </c:pt>
                <c:pt idx="248">
                  <c:v>40609</c:v>
                </c:pt>
                <c:pt idx="249">
                  <c:v>40610</c:v>
                </c:pt>
                <c:pt idx="250">
                  <c:v>40611</c:v>
                </c:pt>
                <c:pt idx="251">
                  <c:v>40612</c:v>
                </c:pt>
                <c:pt idx="252">
                  <c:v>40613</c:v>
                </c:pt>
                <c:pt idx="253">
                  <c:v>40616</c:v>
                </c:pt>
                <c:pt idx="254">
                  <c:v>40617</c:v>
                </c:pt>
                <c:pt idx="255">
                  <c:v>40618</c:v>
                </c:pt>
                <c:pt idx="256">
                  <c:v>40619</c:v>
                </c:pt>
                <c:pt idx="257">
                  <c:v>40620</c:v>
                </c:pt>
                <c:pt idx="258">
                  <c:v>40623</c:v>
                </c:pt>
                <c:pt idx="259">
                  <c:v>40624</c:v>
                </c:pt>
                <c:pt idx="260">
                  <c:v>40625</c:v>
                </c:pt>
                <c:pt idx="261">
                  <c:v>40626</c:v>
                </c:pt>
                <c:pt idx="262">
                  <c:v>40627</c:v>
                </c:pt>
                <c:pt idx="263">
                  <c:v>40630</c:v>
                </c:pt>
                <c:pt idx="264">
                  <c:v>40631</c:v>
                </c:pt>
                <c:pt idx="265">
                  <c:v>40632</c:v>
                </c:pt>
                <c:pt idx="266">
                  <c:v>40633</c:v>
                </c:pt>
                <c:pt idx="267">
                  <c:v>40634</c:v>
                </c:pt>
                <c:pt idx="268">
                  <c:v>40637</c:v>
                </c:pt>
                <c:pt idx="269">
                  <c:v>40638</c:v>
                </c:pt>
                <c:pt idx="270">
                  <c:v>40639</c:v>
                </c:pt>
                <c:pt idx="271">
                  <c:v>40640</c:v>
                </c:pt>
                <c:pt idx="272">
                  <c:v>40641</c:v>
                </c:pt>
                <c:pt idx="273">
                  <c:v>40644</c:v>
                </c:pt>
                <c:pt idx="274">
                  <c:v>40645</c:v>
                </c:pt>
                <c:pt idx="275">
                  <c:v>40646</c:v>
                </c:pt>
                <c:pt idx="276">
                  <c:v>40647</c:v>
                </c:pt>
                <c:pt idx="277">
                  <c:v>40648</c:v>
                </c:pt>
                <c:pt idx="278">
                  <c:v>40651</c:v>
                </c:pt>
                <c:pt idx="279">
                  <c:v>40652</c:v>
                </c:pt>
                <c:pt idx="280">
                  <c:v>40653</c:v>
                </c:pt>
                <c:pt idx="281">
                  <c:v>40654</c:v>
                </c:pt>
                <c:pt idx="282">
                  <c:v>40658</c:v>
                </c:pt>
                <c:pt idx="283">
                  <c:v>40659</c:v>
                </c:pt>
                <c:pt idx="284">
                  <c:v>40660</c:v>
                </c:pt>
                <c:pt idx="285">
                  <c:v>40661</c:v>
                </c:pt>
                <c:pt idx="286">
                  <c:v>40662</c:v>
                </c:pt>
                <c:pt idx="287">
                  <c:v>40665</c:v>
                </c:pt>
                <c:pt idx="288">
                  <c:v>40666</c:v>
                </c:pt>
                <c:pt idx="289">
                  <c:v>40667</c:v>
                </c:pt>
                <c:pt idx="290">
                  <c:v>40668</c:v>
                </c:pt>
                <c:pt idx="291">
                  <c:v>40669</c:v>
                </c:pt>
                <c:pt idx="292">
                  <c:v>40672</c:v>
                </c:pt>
                <c:pt idx="293">
                  <c:v>40673</c:v>
                </c:pt>
                <c:pt idx="294">
                  <c:v>40674</c:v>
                </c:pt>
                <c:pt idx="295">
                  <c:v>40675</c:v>
                </c:pt>
                <c:pt idx="296">
                  <c:v>40676</c:v>
                </c:pt>
                <c:pt idx="297">
                  <c:v>40679</c:v>
                </c:pt>
                <c:pt idx="298">
                  <c:v>40680</c:v>
                </c:pt>
                <c:pt idx="299">
                  <c:v>40681</c:v>
                </c:pt>
                <c:pt idx="300">
                  <c:v>40682</c:v>
                </c:pt>
                <c:pt idx="301">
                  <c:v>40683</c:v>
                </c:pt>
                <c:pt idx="302">
                  <c:v>40686</c:v>
                </c:pt>
                <c:pt idx="303">
                  <c:v>40687</c:v>
                </c:pt>
                <c:pt idx="304">
                  <c:v>40688</c:v>
                </c:pt>
                <c:pt idx="305">
                  <c:v>40689</c:v>
                </c:pt>
                <c:pt idx="306">
                  <c:v>40690</c:v>
                </c:pt>
                <c:pt idx="307">
                  <c:v>40694</c:v>
                </c:pt>
                <c:pt idx="308">
                  <c:v>40695</c:v>
                </c:pt>
                <c:pt idx="309">
                  <c:v>40696</c:v>
                </c:pt>
                <c:pt idx="310">
                  <c:v>40697</c:v>
                </c:pt>
                <c:pt idx="311">
                  <c:v>40700</c:v>
                </c:pt>
                <c:pt idx="312">
                  <c:v>40701</c:v>
                </c:pt>
                <c:pt idx="313">
                  <c:v>40702</c:v>
                </c:pt>
                <c:pt idx="314">
                  <c:v>40703</c:v>
                </c:pt>
                <c:pt idx="315">
                  <c:v>40704</c:v>
                </c:pt>
                <c:pt idx="316">
                  <c:v>40707</c:v>
                </c:pt>
                <c:pt idx="317">
                  <c:v>40708</c:v>
                </c:pt>
                <c:pt idx="318">
                  <c:v>40709</c:v>
                </c:pt>
                <c:pt idx="319">
                  <c:v>40710</c:v>
                </c:pt>
                <c:pt idx="320">
                  <c:v>40711</c:v>
                </c:pt>
                <c:pt idx="321">
                  <c:v>40714</c:v>
                </c:pt>
                <c:pt idx="322">
                  <c:v>40715</c:v>
                </c:pt>
                <c:pt idx="323">
                  <c:v>40716</c:v>
                </c:pt>
                <c:pt idx="324">
                  <c:v>40717</c:v>
                </c:pt>
                <c:pt idx="325">
                  <c:v>40718</c:v>
                </c:pt>
                <c:pt idx="326">
                  <c:v>40721</c:v>
                </c:pt>
                <c:pt idx="327">
                  <c:v>40722</c:v>
                </c:pt>
                <c:pt idx="328">
                  <c:v>40723</c:v>
                </c:pt>
                <c:pt idx="329">
                  <c:v>40724</c:v>
                </c:pt>
                <c:pt idx="330">
                  <c:v>40725</c:v>
                </c:pt>
                <c:pt idx="331">
                  <c:v>40729</c:v>
                </c:pt>
                <c:pt idx="332">
                  <c:v>40730</c:v>
                </c:pt>
                <c:pt idx="333">
                  <c:v>40731</c:v>
                </c:pt>
                <c:pt idx="334">
                  <c:v>40732</c:v>
                </c:pt>
                <c:pt idx="335">
                  <c:v>40735</c:v>
                </c:pt>
                <c:pt idx="336">
                  <c:v>40736</c:v>
                </c:pt>
                <c:pt idx="337">
                  <c:v>40737</c:v>
                </c:pt>
                <c:pt idx="338">
                  <c:v>40738</c:v>
                </c:pt>
                <c:pt idx="339">
                  <c:v>40739</c:v>
                </c:pt>
                <c:pt idx="340">
                  <c:v>40742</c:v>
                </c:pt>
                <c:pt idx="341">
                  <c:v>40743</c:v>
                </c:pt>
                <c:pt idx="342">
                  <c:v>40744</c:v>
                </c:pt>
                <c:pt idx="343">
                  <c:v>40745</c:v>
                </c:pt>
                <c:pt idx="344">
                  <c:v>40746</c:v>
                </c:pt>
                <c:pt idx="345">
                  <c:v>40749</c:v>
                </c:pt>
                <c:pt idx="346">
                  <c:v>40750</c:v>
                </c:pt>
                <c:pt idx="347">
                  <c:v>40751</c:v>
                </c:pt>
                <c:pt idx="348">
                  <c:v>40752</c:v>
                </c:pt>
                <c:pt idx="349">
                  <c:v>40753</c:v>
                </c:pt>
                <c:pt idx="350">
                  <c:v>40756</c:v>
                </c:pt>
                <c:pt idx="351">
                  <c:v>40757</c:v>
                </c:pt>
                <c:pt idx="352">
                  <c:v>40758</c:v>
                </c:pt>
                <c:pt idx="353">
                  <c:v>40759</c:v>
                </c:pt>
                <c:pt idx="354">
                  <c:v>40760</c:v>
                </c:pt>
                <c:pt idx="355">
                  <c:v>40763</c:v>
                </c:pt>
                <c:pt idx="356">
                  <c:v>40764</c:v>
                </c:pt>
                <c:pt idx="357">
                  <c:v>40765</c:v>
                </c:pt>
                <c:pt idx="358">
                  <c:v>40766</c:v>
                </c:pt>
                <c:pt idx="359">
                  <c:v>40767</c:v>
                </c:pt>
                <c:pt idx="360">
                  <c:v>40770</c:v>
                </c:pt>
                <c:pt idx="361">
                  <c:v>40771</c:v>
                </c:pt>
                <c:pt idx="362">
                  <c:v>40772</c:v>
                </c:pt>
                <c:pt idx="363">
                  <c:v>40773</c:v>
                </c:pt>
                <c:pt idx="364">
                  <c:v>40774</c:v>
                </c:pt>
                <c:pt idx="365">
                  <c:v>40777</c:v>
                </c:pt>
                <c:pt idx="366">
                  <c:v>40778</c:v>
                </c:pt>
                <c:pt idx="367">
                  <c:v>40779</c:v>
                </c:pt>
                <c:pt idx="368">
                  <c:v>40780</c:v>
                </c:pt>
                <c:pt idx="369">
                  <c:v>40781</c:v>
                </c:pt>
                <c:pt idx="370">
                  <c:v>40784</c:v>
                </c:pt>
                <c:pt idx="371">
                  <c:v>40785</c:v>
                </c:pt>
                <c:pt idx="372">
                  <c:v>40786</c:v>
                </c:pt>
                <c:pt idx="373">
                  <c:v>40787</c:v>
                </c:pt>
                <c:pt idx="374">
                  <c:v>40788</c:v>
                </c:pt>
                <c:pt idx="375">
                  <c:v>40792</c:v>
                </c:pt>
                <c:pt idx="376">
                  <c:v>40793</c:v>
                </c:pt>
                <c:pt idx="377">
                  <c:v>40794</c:v>
                </c:pt>
                <c:pt idx="378">
                  <c:v>40795</c:v>
                </c:pt>
                <c:pt idx="379">
                  <c:v>40798</c:v>
                </c:pt>
                <c:pt idx="380">
                  <c:v>40799</c:v>
                </c:pt>
                <c:pt idx="381">
                  <c:v>40800</c:v>
                </c:pt>
                <c:pt idx="382">
                  <c:v>40801</c:v>
                </c:pt>
                <c:pt idx="383">
                  <c:v>40802</c:v>
                </c:pt>
                <c:pt idx="384">
                  <c:v>40805</c:v>
                </c:pt>
                <c:pt idx="385">
                  <c:v>40806</c:v>
                </c:pt>
                <c:pt idx="386">
                  <c:v>40807</c:v>
                </c:pt>
                <c:pt idx="387">
                  <c:v>40808</c:v>
                </c:pt>
                <c:pt idx="388">
                  <c:v>40809</c:v>
                </c:pt>
                <c:pt idx="389">
                  <c:v>40812</c:v>
                </c:pt>
                <c:pt idx="390">
                  <c:v>40813</c:v>
                </c:pt>
                <c:pt idx="391">
                  <c:v>40814</c:v>
                </c:pt>
                <c:pt idx="392">
                  <c:v>40815</c:v>
                </c:pt>
                <c:pt idx="393">
                  <c:v>40816</c:v>
                </c:pt>
                <c:pt idx="394">
                  <c:v>40819</c:v>
                </c:pt>
                <c:pt idx="395">
                  <c:v>40820</c:v>
                </c:pt>
                <c:pt idx="396">
                  <c:v>40821</c:v>
                </c:pt>
                <c:pt idx="397">
                  <c:v>40822</c:v>
                </c:pt>
                <c:pt idx="398">
                  <c:v>40823</c:v>
                </c:pt>
                <c:pt idx="399">
                  <c:v>40826</c:v>
                </c:pt>
                <c:pt idx="400">
                  <c:v>40827</c:v>
                </c:pt>
                <c:pt idx="401">
                  <c:v>40828</c:v>
                </c:pt>
                <c:pt idx="402">
                  <c:v>40829</c:v>
                </c:pt>
                <c:pt idx="403">
                  <c:v>40830</c:v>
                </c:pt>
                <c:pt idx="404">
                  <c:v>40833</c:v>
                </c:pt>
                <c:pt idx="405">
                  <c:v>40834</c:v>
                </c:pt>
                <c:pt idx="406">
                  <c:v>40835</c:v>
                </c:pt>
                <c:pt idx="407">
                  <c:v>40836</c:v>
                </c:pt>
                <c:pt idx="408">
                  <c:v>40837</c:v>
                </c:pt>
                <c:pt idx="409">
                  <c:v>40840</c:v>
                </c:pt>
                <c:pt idx="410">
                  <c:v>40841</c:v>
                </c:pt>
                <c:pt idx="411">
                  <c:v>40842</c:v>
                </c:pt>
                <c:pt idx="412">
                  <c:v>40843</c:v>
                </c:pt>
                <c:pt idx="413">
                  <c:v>40844</c:v>
                </c:pt>
                <c:pt idx="414">
                  <c:v>40847</c:v>
                </c:pt>
                <c:pt idx="415">
                  <c:v>40848</c:v>
                </c:pt>
                <c:pt idx="416">
                  <c:v>40849</c:v>
                </c:pt>
                <c:pt idx="417">
                  <c:v>40850</c:v>
                </c:pt>
                <c:pt idx="418">
                  <c:v>40851</c:v>
                </c:pt>
                <c:pt idx="419">
                  <c:v>40854</c:v>
                </c:pt>
                <c:pt idx="420">
                  <c:v>40855</c:v>
                </c:pt>
                <c:pt idx="421">
                  <c:v>40856</c:v>
                </c:pt>
                <c:pt idx="422">
                  <c:v>40857</c:v>
                </c:pt>
                <c:pt idx="423">
                  <c:v>40858</c:v>
                </c:pt>
                <c:pt idx="424">
                  <c:v>40861</c:v>
                </c:pt>
                <c:pt idx="425">
                  <c:v>40862</c:v>
                </c:pt>
                <c:pt idx="426">
                  <c:v>40863</c:v>
                </c:pt>
                <c:pt idx="427">
                  <c:v>40864</c:v>
                </c:pt>
                <c:pt idx="428">
                  <c:v>40865</c:v>
                </c:pt>
                <c:pt idx="429">
                  <c:v>40868</c:v>
                </c:pt>
                <c:pt idx="430">
                  <c:v>40869</c:v>
                </c:pt>
                <c:pt idx="431">
                  <c:v>40870</c:v>
                </c:pt>
                <c:pt idx="432">
                  <c:v>40872</c:v>
                </c:pt>
                <c:pt idx="433">
                  <c:v>40875</c:v>
                </c:pt>
                <c:pt idx="434">
                  <c:v>40876</c:v>
                </c:pt>
                <c:pt idx="435">
                  <c:v>40877</c:v>
                </c:pt>
                <c:pt idx="436">
                  <c:v>40878</c:v>
                </c:pt>
                <c:pt idx="437">
                  <c:v>40879</c:v>
                </c:pt>
                <c:pt idx="438">
                  <c:v>40882</c:v>
                </c:pt>
                <c:pt idx="439">
                  <c:v>40883</c:v>
                </c:pt>
                <c:pt idx="440">
                  <c:v>40884</c:v>
                </c:pt>
                <c:pt idx="441">
                  <c:v>40885</c:v>
                </c:pt>
                <c:pt idx="442">
                  <c:v>40886</c:v>
                </c:pt>
                <c:pt idx="443">
                  <c:v>40889</c:v>
                </c:pt>
                <c:pt idx="444">
                  <c:v>40890</c:v>
                </c:pt>
                <c:pt idx="445">
                  <c:v>40891</c:v>
                </c:pt>
                <c:pt idx="446">
                  <c:v>40892</c:v>
                </c:pt>
                <c:pt idx="447">
                  <c:v>40893</c:v>
                </c:pt>
                <c:pt idx="448">
                  <c:v>40896</c:v>
                </c:pt>
                <c:pt idx="449">
                  <c:v>40897</c:v>
                </c:pt>
                <c:pt idx="450">
                  <c:v>40898</c:v>
                </c:pt>
                <c:pt idx="451">
                  <c:v>40899</c:v>
                </c:pt>
                <c:pt idx="452">
                  <c:v>40900</c:v>
                </c:pt>
                <c:pt idx="453">
                  <c:v>40904</c:v>
                </c:pt>
                <c:pt idx="454">
                  <c:v>40905</c:v>
                </c:pt>
                <c:pt idx="455">
                  <c:v>40906</c:v>
                </c:pt>
                <c:pt idx="456">
                  <c:v>40907</c:v>
                </c:pt>
                <c:pt idx="457">
                  <c:v>40911</c:v>
                </c:pt>
                <c:pt idx="458">
                  <c:v>40912</c:v>
                </c:pt>
                <c:pt idx="459">
                  <c:v>40913</c:v>
                </c:pt>
                <c:pt idx="460">
                  <c:v>40914</c:v>
                </c:pt>
                <c:pt idx="461">
                  <c:v>40917</c:v>
                </c:pt>
                <c:pt idx="462">
                  <c:v>40918</c:v>
                </c:pt>
                <c:pt idx="463">
                  <c:v>40919</c:v>
                </c:pt>
                <c:pt idx="464">
                  <c:v>40920</c:v>
                </c:pt>
                <c:pt idx="465">
                  <c:v>40921</c:v>
                </c:pt>
                <c:pt idx="466">
                  <c:v>40925</c:v>
                </c:pt>
                <c:pt idx="467">
                  <c:v>40926</c:v>
                </c:pt>
                <c:pt idx="468">
                  <c:v>40927</c:v>
                </c:pt>
                <c:pt idx="469">
                  <c:v>40928</c:v>
                </c:pt>
                <c:pt idx="470">
                  <c:v>40931</c:v>
                </c:pt>
                <c:pt idx="471">
                  <c:v>40932</c:v>
                </c:pt>
                <c:pt idx="472">
                  <c:v>40933</c:v>
                </c:pt>
                <c:pt idx="473">
                  <c:v>40934</c:v>
                </c:pt>
                <c:pt idx="474">
                  <c:v>40935</c:v>
                </c:pt>
                <c:pt idx="475">
                  <c:v>40938</c:v>
                </c:pt>
                <c:pt idx="476">
                  <c:v>40939</c:v>
                </c:pt>
                <c:pt idx="477">
                  <c:v>40940</c:v>
                </c:pt>
                <c:pt idx="478">
                  <c:v>40941</c:v>
                </c:pt>
                <c:pt idx="479">
                  <c:v>40942</c:v>
                </c:pt>
                <c:pt idx="480">
                  <c:v>40945</c:v>
                </c:pt>
                <c:pt idx="481">
                  <c:v>40946</c:v>
                </c:pt>
                <c:pt idx="482">
                  <c:v>40947</c:v>
                </c:pt>
                <c:pt idx="483">
                  <c:v>40948</c:v>
                </c:pt>
                <c:pt idx="484">
                  <c:v>40949</c:v>
                </c:pt>
                <c:pt idx="485">
                  <c:v>40952</c:v>
                </c:pt>
                <c:pt idx="486">
                  <c:v>40953</c:v>
                </c:pt>
                <c:pt idx="487">
                  <c:v>40954</c:v>
                </c:pt>
                <c:pt idx="488">
                  <c:v>40955</c:v>
                </c:pt>
                <c:pt idx="489">
                  <c:v>40956</c:v>
                </c:pt>
                <c:pt idx="490">
                  <c:v>40960</c:v>
                </c:pt>
                <c:pt idx="491">
                  <c:v>40961</c:v>
                </c:pt>
                <c:pt idx="492">
                  <c:v>40962</c:v>
                </c:pt>
                <c:pt idx="493">
                  <c:v>40963</c:v>
                </c:pt>
                <c:pt idx="494">
                  <c:v>40966</c:v>
                </c:pt>
                <c:pt idx="495">
                  <c:v>40967</c:v>
                </c:pt>
                <c:pt idx="496">
                  <c:v>40968</c:v>
                </c:pt>
                <c:pt idx="497">
                  <c:v>40969</c:v>
                </c:pt>
                <c:pt idx="498">
                  <c:v>40970</c:v>
                </c:pt>
                <c:pt idx="499">
                  <c:v>40973</c:v>
                </c:pt>
                <c:pt idx="500">
                  <c:v>40974</c:v>
                </c:pt>
                <c:pt idx="501">
                  <c:v>40975</c:v>
                </c:pt>
                <c:pt idx="502">
                  <c:v>40976</c:v>
                </c:pt>
                <c:pt idx="503">
                  <c:v>40977</c:v>
                </c:pt>
                <c:pt idx="504">
                  <c:v>40980</c:v>
                </c:pt>
                <c:pt idx="505">
                  <c:v>40981</c:v>
                </c:pt>
                <c:pt idx="506">
                  <c:v>40982</c:v>
                </c:pt>
                <c:pt idx="507">
                  <c:v>40983</c:v>
                </c:pt>
                <c:pt idx="508">
                  <c:v>40984</c:v>
                </c:pt>
                <c:pt idx="509">
                  <c:v>40987</c:v>
                </c:pt>
                <c:pt idx="510">
                  <c:v>40988</c:v>
                </c:pt>
                <c:pt idx="511">
                  <c:v>40989</c:v>
                </c:pt>
                <c:pt idx="512">
                  <c:v>40990</c:v>
                </c:pt>
                <c:pt idx="513">
                  <c:v>40991</c:v>
                </c:pt>
                <c:pt idx="514">
                  <c:v>40994</c:v>
                </c:pt>
                <c:pt idx="515">
                  <c:v>40995</c:v>
                </c:pt>
                <c:pt idx="516">
                  <c:v>40996</c:v>
                </c:pt>
                <c:pt idx="517">
                  <c:v>40997</c:v>
                </c:pt>
                <c:pt idx="518">
                  <c:v>40998</c:v>
                </c:pt>
                <c:pt idx="519">
                  <c:v>41001</c:v>
                </c:pt>
                <c:pt idx="520">
                  <c:v>41002</c:v>
                </c:pt>
                <c:pt idx="521">
                  <c:v>41003</c:v>
                </c:pt>
                <c:pt idx="522">
                  <c:v>41004</c:v>
                </c:pt>
                <c:pt idx="523">
                  <c:v>41008</c:v>
                </c:pt>
                <c:pt idx="524">
                  <c:v>41009</c:v>
                </c:pt>
                <c:pt idx="525">
                  <c:v>41010</c:v>
                </c:pt>
                <c:pt idx="526">
                  <c:v>41011</c:v>
                </c:pt>
                <c:pt idx="527">
                  <c:v>41012</c:v>
                </c:pt>
                <c:pt idx="528">
                  <c:v>41015</c:v>
                </c:pt>
                <c:pt idx="529">
                  <c:v>41016</c:v>
                </c:pt>
                <c:pt idx="530">
                  <c:v>41017</c:v>
                </c:pt>
                <c:pt idx="531">
                  <c:v>41018</c:v>
                </c:pt>
                <c:pt idx="532">
                  <c:v>41019</c:v>
                </c:pt>
                <c:pt idx="533">
                  <c:v>41022</c:v>
                </c:pt>
                <c:pt idx="534">
                  <c:v>41023</c:v>
                </c:pt>
                <c:pt idx="535">
                  <c:v>41024</c:v>
                </c:pt>
                <c:pt idx="536">
                  <c:v>41025</c:v>
                </c:pt>
                <c:pt idx="537">
                  <c:v>41026</c:v>
                </c:pt>
                <c:pt idx="538">
                  <c:v>41029</c:v>
                </c:pt>
                <c:pt idx="539">
                  <c:v>41030</c:v>
                </c:pt>
                <c:pt idx="540">
                  <c:v>41031</c:v>
                </c:pt>
                <c:pt idx="541">
                  <c:v>41032</c:v>
                </c:pt>
                <c:pt idx="542">
                  <c:v>41033</c:v>
                </c:pt>
                <c:pt idx="543">
                  <c:v>41036</c:v>
                </c:pt>
                <c:pt idx="544">
                  <c:v>41037</c:v>
                </c:pt>
                <c:pt idx="545">
                  <c:v>41038</c:v>
                </c:pt>
                <c:pt idx="546">
                  <c:v>41039</c:v>
                </c:pt>
                <c:pt idx="547">
                  <c:v>41040</c:v>
                </c:pt>
                <c:pt idx="548">
                  <c:v>41043</c:v>
                </c:pt>
                <c:pt idx="549">
                  <c:v>41044</c:v>
                </c:pt>
                <c:pt idx="550">
                  <c:v>41045</c:v>
                </c:pt>
                <c:pt idx="551">
                  <c:v>41046</c:v>
                </c:pt>
                <c:pt idx="552">
                  <c:v>41047</c:v>
                </c:pt>
                <c:pt idx="553">
                  <c:v>41050</c:v>
                </c:pt>
                <c:pt idx="554">
                  <c:v>41051</c:v>
                </c:pt>
                <c:pt idx="555">
                  <c:v>41052</c:v>
                </c:pt>
                <c:pt idx="556">
                  <c:v>41053</c:v>
                </c:pt>
                <c:pt idx="557">
                  <c:v>41054</c:v>
                </c:pt>
                <c:pt idx="558">
                  <c:v>41058</c:v>
                </c:pt>
                <c:pt idx="559">
                  <c:v>41059</c:v>
                </c:pt>
                <c:pt idx="560">
                  <c:v>41060</c:v>
                </c:pt>
                <c:pt idx="561">
                  <c:v>41061</c:v>
                </c:pt>
                <c:pt idx="562">
                  <c:v>41064</c:v>
                </c:pt>
                <c:pt idx="563">
                  <c:v>41065</c:v>
                </c:pt>
                <c:pt idx="564">
                  <c:v>41066</c:v>
                </c:pt>
                <c:pt idx="565">
                  <c:v>41067</c:v>
                </c:pt>
                <c:pt idx="566">
                  <c:v>41068</c:v>
                </c:pt>
                <c:pt idx="567">
                  <c:v>41071</c:v>
                </c:pt>
                <c:pt idx="568">
                  <c:v>41072</c:v>
                </c:pt>
                <c:pt idx="569">
                  <c:v>41073</c:v>
                </c:pt>
                <c:pt idx="570">
                  <c:v>41074</c:v>
                </c:pt>
                <c:pt idx="571">
                  <c:v>41075</c:v>
                </c:pt>
                <c:pt idx="572">
                  <c:v>41078</c:v>
                </c:pt>
                <c:pt idx="573">
                  <c:v>41079</c:v>
                </c:pt>
                <c:pt idx="574">
                  <c:v>41080</c:v>
                </c:pt>
                <c:pt idx="575">
                  <c:v>41081</c:v>
                </c:pt>
                <c:pt idx="576">
                  <c:v>41082</c:v>
                </c:pt>
                <c:pt idx="577">
                  <c:v>41085</c:v>
                </c:pt>
                <c:pt idx="578">
                  <c:v>41086</c:v>
                </c:pt>
                <c:pt idx="579">
                  <c:v>41087</c:v>
                </c:pt>
                <c:pt idx="580">
                  <c:v>41088</c:v>
                </c:pt>
                <c:pt idx="581">
                  <c:v>41089</c:v>
                </c:pt>
                <c:pt idx="582">
                  <c:v>41092</c:v>
                </c:pt>
                <c:pt idx="583">
                  <c:v>41093</c:v>
                </c:pt>
                <c:pt idx="584">
                  <c:v>41095</c:v>
                </c:pt>
                <c:pt idx="585">
                  <c:v>41096</c:v>
                </c:pt>
                <c:pt idx="586">
                  <c:v>41099</c:v>
                </c:pt>
                <c:pt idx="587">
                  <c:v>41100</c:v>
                </c:pt>
                <c:pt idx="588">
                  <c:v>41101</c:v>
                </c:pt>
                <c:pt idx="589">
                  <c:v>41102</c:v>
                </c:pt>
                <c:pt idx="590">
                  <c:v>41103</c:v>
                </c:pt>
                <c:pt idx="591">
                  <c:v>41106</c:v>
                </c:pt>
                <c:pt idx="592">
                  <c:v>41107</c:v>
                </c:pt>
                <c:pt idx="593">
                  <c:v>41108</c:v>
                </c:pt>
                <c:pt idx="594">
                  <c:v>41109</c:v>
                </c:pt>
                <c:pt idx="595">
                  <c:v>41110</c:v>
                </c:pt>
                <c:pt idx="596">
                  <c:v>41113</c:v>
                </c:pt>
                <c:pt idx="597">
                  <c:v>41114</c:v>
                </c:pt>
                <c:pt idx="598">
                  <c:v>41115</c:v>
                </c:pt>
                <c:pt idx="599">
                  <c:v>41116</c:v>
                </c:pt>
                <c:pt idx="600">
                  <c:v>41117</c:v>
                </c:pt>
                <c:pt idx="601">
                  <c:v>41120</c:v>
                </c:pt>
                <c:pt idx="602">
                  <c:v>41121</c:v>
                </c:pt>
                <c:pt idx="603">
                  <c:v>41122</c:v>
                </c:pt>
                <c:pt idx="604">
                  <c:v>41123</c:v>
                </c:pt>
                <c:pt idx="605">
                  <c:v>41124</c:v>
                </c:pt>
                <c:pt idx="606">
                  <c:v>41127</c:v>
                </c:pt>
                <c:pt idx="607">
                  <c:v>41128</c:v>
                </c:pt>
                <c:pt idx="608">
                  <c:v>41129</c:v>
                </c:pt>
                <c:pt idx="609">
                  <c:v>41130</c:v>
                </c:pt>
                <c:pt idx="610">
                  <c:v>41131</c:v>
                </c:pt>
                <c:pt idx="611">
                  <c:v>41134</c:v>
                </c:pt>
                <c:pt idx="612">
                  <c:v>41135</c:v>
                </c:pt>
                <c:pt idx="613">
                  <c:v>41136</c:v>
                </c:pt>
                <c:pt idx="614">
                  <c:v>41137</c:v>
                </c:pt>
                <c:pt idx="615">
                  <c:v>41138</c:v>
                </c:pt>
                <c:pt idx="616">
                  <c:v>41141</c:v>
                </c:pt>
                <c:pt idx="617">
                  <c:v>41142</c:v>
                </c:pt>
                <c:pt idx="618">
                  <c:v>41143</c:v>
                </c:pt>
                <c:pt idx="619">
                  <c:v>41144</c:v>
                </c:pt>
                <c:pt idx="620">
                  <c:v>41145</c:v>
                </c:pt>
                <c:pt idx="621">
                  <c:v>41148</c:v>
                </c:pt>
                <c:pt idx="622">
                  <c:v>41149</c:v>
                </c:pt>
                <c:pt idx="623">
                  <c:v>41150</c:v>
                </c:pt>
                <c:pt idx="624">
                  <c:v>41151</c:v>
                </c:pt>
                <c:pt idx="625">
                  <c:v>41152</c:v>
                </c:pt>
                <c:pt idx="626">
                  <c:v>41156</c:v>
                </c:pt>
                <c:pt idx="627">
                  <c:v>41157</c:v>
                </c:pt>
                <c:pt idx="628">
                  <c:v>41158</c:v>
                </c:pt>
                <c:pt idx="629">
                  <c:v>41159</c:v>
                </c:pt>
                <c:pt idx="630">
                  <c:v>41162</c:v>
                </c:pt>
                <c:pt idx="631">
                  <c:v>41163</c:v>
                </c:pt>
                <c:pt idx="632">
                  <c:v>41164</c:v>
                </c:pt>
                <c:pt idx="633">
                  <c:v>41165</c:v>
                </c:pt>
                <c:pt idx="634">
                  <c:v>41166</c:v>
                </c:pt>
                <c:pt idx="635">
                  <c:v>41169</c:v>
                </c:pt>
                <c:pt idx="636">
                  <c:v>41170</c:v>
                </c:pt>
                <c:pt idx="637">
                  <c:v>41171</c:v>
                </c:pt>
                <c:pt idx="638">
                  <c:v>41172</c:v>
                </c:pt>
                <c:pt idx="639">
                  <c:v>41173</c:v>
                </c:pt>
                <c:pt idx="640">
                  <c:v>41176</c:v>
                </c:pt>
                <c:pt idx="641">
                  <c:v>41177</c:v>
                </c:pt>
                <c:pt idx="642">
                  <c:v>41178</c:v>
                </c:pt>
                <c:pt idx="643">
                  <c:v>41179</c:v>
                </c:pt>
                <c:pt idx="644">
                  <c:v>41180</c:v>
                </c:pt>
                <c:pt idx="645">
                  <c:v>41183</c:v>
                </c:pt>
                <c:pt idx="646">
                  <c:v>41184</c:v>
                </c:pt>
                <c:pt idx="647">
                  <c:v>41185</c:v>
                </c:pt>
                <c:pt idx="648">
                  <c:v>41186</c:v>
                </c:pt>
                <c:pt idx="649">
                  <c:v>41187</c:v>
                </c:pt>
                <c:pt idx="650">
                  <c:v>41190</c:v>
                </c:pt>
                <c:pt idx="651">
                  <c:v>41191</c:v>
                </c:pt>
                <c:pt idx="652">
                  <c:v>41192</c:v>
                </c:pt>
                <c:pt idx="653">
                  <c:v>41193</c:v>
                </c:pt>
                <c:pt idx="654">
                  <c:v>41194</c:v>
                </c:pt>
                <c:pt idx="655">
                  <c:v>41197</c:v>
                </c:pt>
                <c:pt idx="656">
                  <c:v>41198</c:v>
                </c:pt>
                <c:pt idx="657">
                  <c:v>41199</c:v>
                </c:pt>
                <c:pt idx="658">
                  <c:v>41200</c:v>
                </c:pt>
                <c:pt idx="659">
                  <c:v>41201</c:v>
                </c:pt>
                <c:pt idx="660">
                  <c:v>41204</c:v>
                </c:pt>
                <c:pt idx="661">
                  <c:v>41205</c:v>
                </c:pt>
                <c:pt idx="662">
                  <c:v>41206</c:v>
                </c:pt>
                <c:pt idx="663">
                  <c:v>41207</c:v>
                </c:pt>
                <c:pt idx="664">
                  <c:v>41208</c:v>
                </c:pt>
                <c:pt idx="665">
                  <c:v>41213</c:v>
                </c:pt>
                <c:pt idx="666">
                  <c:v>41214</c:v>
                </c:pt>
                <c:pt idx="667">
                  <c:v>41215</c:v>
                </c:pt>
                <c:pt idx="668">
                  <c:v>41218</c:v>
                </c:pt>
                <c:pt idx="669">
                  <c:v>41219</c:v>
                </c:pt>
                <c:pt idx="670">
                  <c:v>41220</c:v>
                </c:pt>
                <c:pt idx="671">
                  <c:v>41221</c:v>
                </c:pt>
                <c:pt idx="672">
                  <c:v>41222</c:v>
                </c:pt>
                <c:pt idx="673">
                  <c:v>41225</c:v>
                </c:pt>
                <c:pt idx="674">
                  <c:v>41226</c:v>
                </c:pt>
                <c:pt idx="675">
                  <c:v>41227</c:v>
                </c:pt>
                <c:pt idx="676">
                  <c:v>41228</c:v>
                </c:pt>
                <c:pt idx="677">
                  <c:v>41229</c:v>
                </c:pt>
                <c:pt idx="678">
                  <c:v>41232</c:v>
                </c:pt>
                <c:pt idx="679">
                  <c:v>41233</c:v>
                </c:pt>
                <c:pt idx="680">
                  <c:v>41234</c:v>
                </c:pt>
                <c:pt idx="681">
                  <c:v>41236</c:v>
                </c:pt>
                <c:pt idx="682">
                  <c:v>41239</c:v>
                </c:pt>
                <c:pt idx="683">
                  <c:v>41240</c:v>
                </c:pt>
                <c:pt idx="684">
                  <c:v>41241</c:v>
                </c:pt>
                <c:pt idx="685">
                  <c:v>41242</c:v>
                </c:pt>
                <c:pt idx="686">
                  <c:v>41243</c:v>
                </c:pt>
                <c:pt idx="687">
                  <c:v>41246</c:v>
                </c:pt>
                <c:pt idx="688">
                  <c:v>41247</c:v>
                </c:pt>
                <c:pt idx="689">
                  <c:v>41248</c:v>
                </c:pt>
                <c:pt idx="690">
                  <c:v>41249</c:v>
                </c:pt>
                <c:pt idx="691">
                  <c:v>41250</c:v>
                </c:pt>
                <c:pt idx="692">
                  <c:v>41253</c:v>
                </c:pt>
                <c:pt idx="693">
                  <c:v>41254</c:v>
                </c:pt>
                <c:pt idx="694">
                  <c:v>41255</c:v>
                </c:pt>
                <c:pt idx="695">
                  <c:v>41256</c:v>
                </c:pt>
                <c:pt idx="696">
                  <c:v>41257</c:v>
                </c:pt>
                <c:pt idx="697">
                  <c:v>41260</c:v>
                </c:pt>
                <c:pt idx="698">
                  <c:v>41261</c:v>
                </c:pt>
                <c:pt idx="699">
                  <c:v>41262</c:v>
                </c:pt>
                <c:pt idx="700">
                  <c:v>41263</c:v>
                </c:pt>
                <c:pt idx="701">
                  <c:v>41264</c:v>
                </c:pt>
                <c:pt idx="702">
                  <c:v>41267</c:v>
                </c:pt>
                <c:pt idx="703">
                  <c:v>41269</c:v>
                </c:pt>
                <c:pt idx="704">
                  <c:v>41270</c:v>
                </c:pt>
                <c:pt idx="705">
                  <c:v>41271</c:v>
                </c:pt>
                <c:pt idx="706">
                  <c:v>41274</c:v>
                </c:pt>
                <c:pt idx="707">
                  <c:v>41276</c:v>
                </c:pt>
                <c:pt idx="708">
                  <c:v>41277</c:v>
                </c:pt>
                <c:pt idx="709">
                  <c:v>41278</c:v>
                </c:pt>
                <c:pt idx="710">
                  <c:v>41281</c:v>
                </c:pt>
                <c:pt idx="711">
                  <c:v>41282</c:v>
                </c:pt>
                <c:pt idx="712">
                  <c:v>41283</c:v>
                </c:pt>
                <c:pt idx="713">
                  <c:v>41284</c:v>
                </c:pt>
                <c:pt idx="714">
                  <c:v>41285</c:v>
                </c:pt>
                <c:pt idx="715">
                  <c:v>41288</c:v>
                </c:pt>
                <c:pt idx="716">
                  <c:v>41289</c:v>
                </c:pt>
                <c:pt idx="717">
                  <c:v>41290</c:v>
                </c:pt>
                <c:pt idx="718">
                  <c:v>41291</c:v>
                </c:pt>
                <c:pt idx="719">
                  <c:v>41292</c:v>
                </c:pt>
                <c:pt idx="720">
                  <c:v>41296</c:v>
                </c:pt>
                <c:pt idx="721">
                  <c:v>41297</c:v>
                </c:pt>
                <c:pt idx="722">
                  <c:v>41298</c:v>
                </c:pt>
                <c:pt idx="723">
                  <c:v>41299</c:v>
                </c:pt>
                <c:pt idx="724">
                  <c:v>41302</c:v>
                </c:pt>
                <c:pt idx="725">
                  <c:v>41303</c:v>
                </c:pt>
                <c:pt idx="726">
                  <c:v>41304</c:v>
                </c:pt>
                <c:pt idx="727">
                  <c:v>41305</c:v>
                </c:pt>
                <c:pt idx="728">
                  <c:v>41306</c:v>
                </c:pt>
                <c:pt idx="729">
                  <c:v>41309</c:v>
                </c:pt>
                <c:pt idx="730">
                  <c:v>41310</c:v>
                </c:pt>
                <c:pt idx="731">
                  <c:v>41311</c:v>
                </c:pt>
                <c:pt idx="732">
                  <c:v>41312</c:v>
                </c:pt>
                <c:pt idx="733">
                  <c:v>41313</c:v>
                </c:pt>
                <c:pt idx="734">
                  <c:v>41316</c:v>
                </c:pt>
                <c:pt idx="735">
                  <c:v>41317</c:v>
                </c:pt>
                <c:pt idx="736">
                  <c:v>41318</c:v>
                </c:pt>
                <c:pt idx="737">
                  <c:v>41319</c:v>
                </c:pt>
                <c:pt idx="738">
                  <c:v>41320</c:v>
                </c:pt>
                <c:pt idx="739">
                  <c:v>41324</c:v>
                </c:pt>
                <c:pt idx="740">
                  <c:v>41325</c:v>
                </c:pt>
                <c:pt idx="741">
                  <c:v>41326</c:v>
                </c:pt>
                <c:pt idx="742">
                  <c:v>41327</c:v>
                </c:pt>
                <c:pt idx="743">
                  <c:v>41330</c:v>
                </c:pt>
                <c:pt idx="744">
                  <c:v>41331</c:v>
                </c:pt>
                <c:pt idx="745">
                  <c:v>41332</c:v>
                </c:pt>
                <c:pt idx="746">
                  <c:v>41333</c:v>
                </c:pt>
                <c:pt idx="747">
                  <c:v>41334</c:v>
                </c:pt>
                <c:pt idx="748">
                  <c:v>41337</c:v>
                </c:pt>
                <c:pt idx="749">
                  <c:v>41338</c:v>
                </c:pt>
                <c:pt idx="750">
                  <c:v>41339</c:v>
                </c:pt>
                <c:pt idx="751">
                  <c:v>41340</c:v>
                </c:pt>
                <c:pt idx="752">
                  <c:v>41341</c:v>
                </c:pt>
                <c:pt idx="753">
                  <c:v>41344</c:v>
                </c:pt>
                <c:pt idx="754">
                  <c:v>41345</c:v>
                </c:pt>
                <c:pt idx="755">
                  <c:v>41346</c:v>
                </c:pt>
                <c:pt idx="756">
                  <c:v>41347</c:v>
                </c:pt>
                <c:pt idx="757">
                  <c:v>41348</c:v>
                </c:pt>
                <c:pt idx="758">
                  <c:v>41351</c:v>
                </c:pt>
                <c:pt idx="759">
                  <c:v>41352</c:v>
                </c:pt>
                <c:pt idx="760">
                  <c:v>41353</c:v>
                </c:pt>
                <c:pt idx="761">
                  <c:v>41354</c:v>
                </c:pt>
                <c:pt idx="762">
                  <c:v>41355</c:v>
                </c:pt>
                <c:pt idx="763">
                  <c:v>41358</c:v>
                </c:pt>
                <c:pt idx="764">
                  <c:v>41359</c:v>
                </c:pt>
                <c:pt idx="765">
                  <c:v>41360</c:v>
                </c:pt>
                <c:pt idx="766">
                  <c:v>41361</c:v>
                </c:pt>
                <c:pt idx="767">
                  <c:v>41365</c:v>
                </c:pt>
                <c:pt idx="768">
                  <c:v>41366</c:v>
                </c:pt>
                <c:pt idx="769">
                  <c:v>41367</c:v>
                </c:pt>
                <c:pt idx="770">
                  <c:v>41368</c:v>
                </c:pt>
                <c:pt idx="771">
                  <c:v>41369</c:v>
                </c:pt>
                <c:pt idx="772">
                  <c:v>41372</c:v>
                </c:pt>
                <c:pt idx="773">
                  <c:v>41373</c:v>
                </c:pt>
                <c:pt idx="774">
                  <c:v>41374</c:v>
                </c:pt>
                <c:pt idx="775">
                  <c:v>41375</c:v>
                </c:pt>
                <c:pt idx="776">
                  <c:v>41376</c:v>
                </c:pt>
                <c:pt idx="777">
                  <c:v>41379</c:v>
                </c:pt>
                <c:pt idx="778">
                  <c:v>41380</c:v>
                </c:pt>
                <c:pt idx="779">
                  <c:v>41381</c:v>
                </c:pt>
                <c:pt idx="780">
                  <c:v>41382</c:v>
                </c:pt>
                <c:pt idx="781">
                  <c:v>41383</c:v>
                </c:pt>
                <c:pt idx="782">
                  <c:v>41386</c:v>
                </c:pt>
                <c:pt idx="783">
                  <c:v>41387</c:v>
                </c:pt>
                <c:pt idx="784">
                  <c:v>41388</c:v>
                </c:pt>
                <c:pt idx="785">
                  <c:v>41389</c:v>
                </c:pt>
                <c:pt idx="786">
                  <c:v>41390</c:v>
                </c:pt>
                <c:pt idx="787">
                  <c:v>41393</c:v>
                </c:pt>
                <c:pt idx="788">
                  <c:v>41394</c:v>
                </c:pt>
                <c:pt idx="789">
                  <c:v>41395</c:v>
                </c:pt>
                <c:pt idx="790">
                  <c:v>41396</c:v>
                </c:pt>
                <c:pt idx="791">
                  <c:v>41397</c:v>
                </c:pt>
                <c:pt idx="792">
                  <c:v>41400</c:v>
                </c:pt>
                <c:pt idx="793">
                  <c:v>41401</c:v>
                </c:pt>
                <c:pt idx="794">
                  <c:v>41402</c:v>
                </c:pt>
                <c:pt idx="795">
                  <c:v>41403</c:v>
                </c:pt>
                <c:pt idx="796">
                  <c:v>41404</c:v>
                </c:pt>
                <c:pt idx="797">
                  <c:v>41407</c:v>
                </c:pt>
                <c:pt idx="798">
                  <c:v>41408</c:v>
                </c:pt>
                <c:pt idx="799">
                  <c:v>41409</c:v>
                </c:pt>
                <c:pt idx="800">
                  <c:v>41410</c:v>
                </c:pt>
                <c:pt idx="801">
                  <c:v>41411</c:v>
                </c:pt>
                <c:pt idx="802">
                  <c:v>41414</c:v>
                </c:pt>
                <c:pt idx="803">
                  <c:v>41415</c:v>
                </c:pt>
                <c:pt idx="804">
                  <c:v>41416</c:v>
                </c:pt>
                <c:pt idx="805">
                  <c:v>41417</c:v>
                </c:pt>
                <c:pt idx="806">
                  <c:v>41418</c:v>
                </c:pt>
                <c:pt idx="807">
                  <c:v>41422</c:v>
                </c:pt>
                <c:pt idx="808">
                  <c:v>41423</c:v>
                </c:pt>
                <c:pt idx="809">
                  <c:v>41424</c:v>
                </c:pt>
                <c:pt idx="810">
                  <c:v>41425</c:v>
                </c:pt>
                <c:pt idx="811">
                  <c:v>41428</c:v>
                </c:pt>
                <c:pt idx="812">
                  <c:v>41429</c:v>
                </c:pt>
                <c:pt idx="813">
                  <c:v>41430</c:v>
                </c:pt>
                <c:pt idx="814">
                  <c:v>41431</c:v>
                </c:pt>
                <c:pt idx="815">
                  <c:v>41432</c:v>
                </c:pt>
                <c:pt idx="816">
                  <c:v>41435</c:v>
                </c:pt>
                <c:pt idx="817">
                  <c:v>41436</c:v>
                </c:pt>
                <c:pt idx="818">
                  <c:v>41437</c:v>
                </c:pt>
                <c:pt idx="819">
                  <c:v>41438</c:v>
                </c:pt>
                <c:pt idx="820">
                  <c:v>41439</c:v>
                </c:pt>
                <c:pt idx="821">
                  <c:v>41442</c:v>
                </c:pt>
                <c:pt idx="822">
                  <c:v>41443</c:v>
                </c:pt>
                <c:pt idx="823">
                  <c:v>41444</c:v>
                </c:pt>
                <c:pt idx="824">
                  <c:v>41445</c:v>
                </c:pt>
                <c:pt idx="825">
                  <c:v>41446</c:v>
                </c:pt>
                <c:pt idx="826">
                  <c:v>41449</c:v>
                </c:pt>
                <c:pt idx="827">
                  <c:v>41450</c:v>
                </c:pt>
                <c:pt idx="828">
                  <c:v>41451</c:v>
                </c:pt>
                <c:pt idx="829">
                  <c:v>41452</c:v>
                </c:pt>
                <c:pt idx="830">
                  <c:v>41453</c:v>
                </c:pt>
                <c:pt idx="831">
                  <c:v>41456</c:v>
                </c:pt>
                <c:pt idx="832">
                  <c:v>41457</c:v>
                </c:pt>
                <c:pt idx="833">
                  <c:v>41458</c:v>
                </c:pt>
                <c:pt idx="834">
                  <c:v>41460</c:v>
                </c:pt>
                <c:pt idx="835">
                  <c:v>41463</c:v>
                </c:pt>
                <c:pt idx="836">
                  <c:v>41464</c:v>
                </c:pt>
                <c:pt idx="837">
                  <c:v>41465</c:v>
                </c:pt>
                <c:pt idx="838">
                  <c:v>41466</c:v>
                </c:pt>
                <c:pt idx="839">
                  <c:v>41467</c:v>
                </c:pt>
                <c:pt idx="840">
                  <c:v>41470</c:v>
                </c:pt>
                <c:pt idx="841">
                  <c:v>41471</c:v>
                </c:pt>
                <c:pt idx="842">
                  <c:v>41472</c:v>
                </c:pt>
                <c:pt idx="843">
                  <c:v>41473</c:v>
                </c:pt>
                <c:pt idx="844">
                  <c:v>41474</c:v>
                </c:pt>
                <c:pt idx="845">
                  <c:v>41477</c:v>
                </c:pt>
                <c:pt idx="846">
                  <c:v>41478</c:v>
                </c:pt>
                <c:pt idx="847">
                  <c:v>41479</c:v>
                </c:pt>
                <c:pt idx="848">
                  <c:v>41480</c:v>
                </c:pt>
                <c:pt idx="849">
                  <c:v>41481</c:v>
                </c:pt>
                <c:pt idx="850">
                  <c:v>41484</c:v>
                </c:pt>
                <c:pt idx="851">
                  <c:v>41485</c:v>
                </c:pt>
                <c:pt idx="852">
                  <c:v>41486</c:v>
                </c:pt>
                <c:pt idx="853">
                  <c:v>41487</c:v>
                </c:pt>
                <c:pt idx="854">
                  <c:v>41488</c:v>
                </c:pt>
                <c:pt idx="855">
                  <c:v>41491</c:v>
                </c:pt>
                <c:pt idx="856">
                  <c:v>41492</c:v>
                </c:pt>
                <c:pt idx="857">
                  <c:v>41493</c:v>
                </c:pt>
                <c:pt idx="858">
                  <c:v>41494</c:v>
                </c:pt>
                <c:pt idx="859">
                  <c:v>41495</c:v>
                </c:pt>
                <c:pt idx="860">
                  <c:v>41498</c:v>
                </c:pt>
                <c:pt idx="861">
                  <c:v>41499</c:v>
                </c:pt>
                <c:pt idx="862">
                  <c:v>41500</c:v>
                </c:pt>
                <c:pt idx="863">
                  <c:v>41501</c:v>
                </c:pt>
                <c:pt idx="864">
                  <c:v>41502</c:v>
                </c:pt>
                <c:pt idx="865">
                  <c:v>41505</c:v>
                </c:pt>
                <c:pt idx="866">
                  <c:v>41506</c:v>
                </c:pt>
                <c:pt idx="867">
                  <c:v>41507</c:v>
                </c:pt>
                <c:pt idx="868">
                  <c:v>41508</c:v>
                </c:pt>
                <c:pt idx="869">
                  <c:v>41509</c:v>
                </c:pt>
                <c:pt idx="870">
                  <c:v>41512</c:v>
                </c:pt>
                <c:pt idx="871">
                  <c:v>41513</c:v>
                </c:pt>
                <c:pt idx="872">
                  <c:v>41514</c:v>
                </c:pt>
                <c:pt idx="873">
                  <c:v>41515</c:v>
                </c:pt>
                <c:pt idx="874">
                  <c:v>41516</c:v>
                </c:pt>
                <c:pt idx="875">
                  <c:v>41520</c:v>
                </c:pt>
                <c:pt idx="876">
                  <c:v>41521</c:v>
                </c:pt>
                <c:pt idx="877">
                  <c:v>41522</c:v>
                </c:pt>
                <c:pt idx="878">
                  <c:v>41523</c:v>
                </c:pt>
                <c:pt idx="879">
                  <c:v>41526</c:v>
                </c:pt>
                <c:pt idx="880">
                  <c:v>41527</c:v>
                </c:pt>
                <c:pt idx="881">
                  <c:v>41528</c:v>
                </c:pt>
                <c:pt idx="882">
                  <c:v>41529</c:v>
                </c:pt>
                <c:pt idx="883">
                  <c:v>41530</c:v>
                </c:pt>
                <c:pt idx="884">
                  <c:v>41533</c:v>
                </c:pt>
                <c:pt idx="885">
                  <c:v>41534</c:v>
                </c:pt>
                <c:pt idx="886">
                  <c:v>41535</c:v>
                </c:pt>
                <c:pt idx="887">
                  <c:v>41536</c:v>
                </c:pt>
                <c:pt idx="888">
                  <c:v>41537</c:v>
                </c:pt>
                <c:pt idx="889">
                  <c:v>41540</c:v>
                </c:pt>
                <c:pt idx="890">
                  <c:v>41541</c:v>
                </c:pt>
                <c:pt idx="891">
                  <c:v>41542</c:v>
                </c:pt>
                <c:pt idx="892">
                  <c:v>41543</c:v>
                </c:pt>
                <c:pt idx="893">
                  <c:v>41544</c:v>
                </c:pt>
                <c:pt idx="894">
                  <c:v>41547</c:v>
                </c:pt>
                <c:pt idx="895">
                  <c:v>41548</c:v>
                </c:pt>
                <c:pt idx="896">
                  <c:v>41549</c:v>
                </c:pt>
                <c:pt idx="897">
                  <c:v>41550</c:v>
                </c:pt>
                <c:pt idx="898">
                  <c:v>41551</c:v>
                </c:pt>
                <c:pt idx="899">
                  <c:v>41554</c:v>
                </c:pt>
                <c:pt idx="900">
                  <c:v>41555</c:v>
                </c:pt>
                <c:pt idx="901">
                  <c:v>41556</c:v>
                </c:pt>
                <c:pt idx="902">
                  <c:v>41557</c:v>
                </c:pt>
                <c:pt idx="903">
                  <c:v>41558</c:v>
                </c:pt>
                <c:pt idx="904">
                  <c:v>41561</c:v>
                </c:pt>
                <c:pt idx="905">
                  <c:v>41562</c:v>
                </c:pt>
                <c:pt idx="906">
                  <c:v>41563</c:v>
                </c:pt>
                <c:pt idx="907">
                  <c:v>41564</c:v>
                </c:pt>
                <c:pt idx="908">
                  <c:v>41565</c:v>
                </c:pt>
                <c:pt idx="909">
                  <c:v>41568</c:v>
                </c:pt>
                <c:pt idx="910">
                  <c:v>41569</c:v>
                </c:pt>
                <c:pt idx="911">
                  <c:v>41570</c:v>
                </c:pt>
                <c:pt idx="912">
                  <c:v>41571</c:v>
                </c:pt>
                <c:pt idx="913">
                  <c:v>41572</c:v>
                </c:pt>
                <c:pt idx="914">
                  <c:v>41575</c:v>
                </c:pt>
                <c:pt idx="915">
                  <c:v>41576</c:v>
                </c:pt>
                <c:pt idx="916">
                  <c:v>41577</c:v>
                </c:pt>
                <c:pt idx="917">
                  <c:v>41578</c:v>
                </c:pt>
                <c:pt idx="918">
                  <c:v>41579</c:v>
                </c:pt>
                <c:pt idx="919">
                  <c:v>41582</c:v>
                </c:pt>
                <c:pt idx="920">
                  <c:v>41583</c:v>
                </c:pt>
                <c:pt idx="921">
                  <c:v>41584</c:v>
                </c:pt>
                <c:pt idx="922">
                  <c:v>41585</c:v>
                </c:pt>
                <c:pt idx="923">
                  <c:v>41586</c:v>
                </c:pt>
                <c:pt idx="924">
                  <c:v>41589</c:v>
                </c:pt>
                <c:pt idx="925">
                  <c:v>41590</c:v>
                </c:pt>
                <c:pt idx="926">
                  <c:v>41591</c:v>
                </c:pt>
                <c:pt idx="927">
                  <c:v>41592</c:v>
                </c:pt>
                <c:pt idx="928">
                  <c:v>41593</c:v>
                </c:pt>
                <c:pt idx="929">
                  <c:v>41596</c:v>
                </c:pt>
                <c:pt idx="930">
                  <c:v>41597</c:v>
                </c:pt>
                <c:pt idx="931">
                  <c:v>41598</c:v>
                </c:pt>
                <c:pt idx="932">
                  <c:v>41599</c:v>
                </c:pt>
                <c:pt idx="933">
                  <c:v>41600</c:v>
                </c:pt>
                <c:pt idx="934">
                  <c:v>41603</c:v>
                </c:pt>
                <c:pt idx="935">
                  <c:v>41604</c:v>
                </c:pt>
                <c:pt idx="936">
                  <c:v>41605</c:v>
                </c:pt>
                <c:pt idx="937">
                  <c:v>41607</c:v>
                </c:pt>
                <c:pt idx="938">
                  <c:v>41610</c:v>
                </c:pt>
                <c:pt idx="939">
                  <c:v>41611</c:v>
                </c:pt>
                <c:pt idx="940">
                  <c:v>41612</c:v>
                </c:pt>
                <c:pt idx="941">
                  <c:v>41613</c:v>
                </c:pt>
                <c:pt idx="942">
                  <c:v>41614</c:v>
                </c:pt>
                <c:pt idx="943">
                  <c:v>41617</c:v>
                </c:pt>
                <c:pt idx="944">
                  <c:v>41618</c:v>
                </c:pt>
                <c:pt idx="945">
                  <c:v>41619</c:v>
                </c:pt>
                <c:pt idx="946">
                  <c:v>41620</c:v>
                </c:pt>
                <c:pt idx="947">
                  <c:v>41621</c:v>
                </c:pt>
                <c:pt idx="948">
                  <c:v>41624</c:v>
                </c:pt>
                <c:pt idx="949">
                  <c:v>41625</c:v>
                </c:pt>
                <c:pt idx="950">
                  <c:v>41626</c:v>
                </c:pt>
                <c:pt idx="951">
                  <c:v>41627</c:v>
                </c:pt>
                <c:pt idx="952">
                  <c:v>41628</c:v>
                </c:pt>
                <c:pt idx="953">
                  <c:v>41631</c:v>
                </c:pt>
                <c:pt idx="954">
                  <c:v>41632</c:v>
                </c:pt>
                <c:pt idx="955">
                  <c:v>41634</c:v>
                </c:pt>
                <c:pt idx="956">
                  <c:v>41635</c:v>
                </c:pt>
                <c:pt idx="957">
                  <c:v>41638</c:v>
                </c:pt>
                <c:pt idx="958">
                  <c:v>41639</c:v>
                </c:pt>
                <c:pt idx="959">
                  <c:v>41641</c:v>
                </c:pt>
                <c:pt idx="960">
                  <c:v>41642</c:v>
                </c:pt>
                <c:pt idx="961">
                  <c:v>41645</c:v>
                </c:pt>
                <c:pt idx="962">
                  <c:v>41646</c:v>
                </c:pt>
                <c:pt idx="963">
                  <c:v>41647</c:v>
                </c:pt>
                <c:pt idx="964">
                  <c:v>41648</c:v>
                </c:pt>
                <c:pt idx="965">
                  <c:v>41649</c:v>
                </c:pt>
                <c:pt idx="966">
                  <c:v>41652</c:v>
                </c:pt>
                <c:pt idx="967">
                  <c:v>41653</c:v>
                </c:pt>
                <c:pt idx="968">
                  <c:v>41654</c:v>
                </c:pt>
                <c:pt idx="969">
                  <c:v>41655</c:v>
                </c:pt>
                <c:pt idx="970">
                  <c:v>41656</c:v>
                </c:pt>
                <c:pt idx="971">
                  <c:v>41660</c:v>
                </c:pt>
                <c:pt idx="972">
                  <c:v>41661</c:v>
                </c:pt>
                <c:pt idx="973">
                  <c:v>41662</c:v>
                </c:pt>
                <c:pt idx="974">
                  <c:v>41663</c:v>
                </c:pt>
                <c:pt idx="975">
                  <c:v>41666</c:v>
                </c:pt>
                <c:pt idx="976">
                  <c:v>41667</c:v>
                </c:pt>
                <c:pt idx="977">
                  <c:v>41668</c:v>
                </c:pt>
                <c:pt idx="978">
                  <c:v>41669</c:v>
                </c:pt>
                <c:pt idx="979">
                  <c:v>41670</c:v>
                </c:pt>
                <c:pt idx="980">
                  <c:v>41673</c:v>
                </c:pt>
                <c:pt idx="981">
                  <c:v>41674</c:v>
                </c:pt>
                <c:pt idx="982">
                  <c:v>41675</c:v>
                </c:pt>
                <c:pt idx="983">
                  <c:v>41676</c:v>
                </c:pt>
                <c:pt idx="984">
                  <c:v>41677</c:v>
                </c:pt>
                <c:pt idx="985">
                  <c:v>41680</c:v>
                </c:pt>
                <c:pt idx="986">
                  <c:v>41681</c:v>
                </c:pt>
                <c:pt idx="987">
                  <c:v>41682</c:v>
                </c:pt>
                <c:pt idx="988">
                  <c:v>41683</c:v>
                </c:pt>
                <c:pt idx="989">
                  <c:v>41684</c:v>
                </c:pt>
                <c:pt idx="990">
                  <c:v>41688</c:v>
                </c:pt>
                <c:pt idx="991">
                  <c:v>41689</c:v>
                </c:pt>
                <c:pt idx="992">
                  <c:v>41690</c:v>
                </c:pt>
                <c:pt idx="993">
                  <c:v>41691</c:v>
                </c:pt>
                <c:pt idx="994">
                  <c:v>41694</c:v>
                </c:pt>
                <c:pt idx="995">
                  <c:v>41695</c:v>
                </c:pt>
                <c:pt idx="996">
                  <c:v>41696</c:v>
                </c:pt>
                <c:pt idx="997">
                  <c:v>41697</c:v>
                </c:pt>
                <c:pt idx="998">
                  <c:v>41698</c:v>
                </c:pt>
                <c:pt idx="999">
                  <c:v>41701</c:v>
                </c:pt>
                <c:pt idx="1000">
                  <c:v>41702</c:v>
                </c:pt>
                <c:pt idx="1001">
                  <c:v>41703</c:v>
                </c:pt>
                <c:pt idx="1002">
                  <c:v>41704</c:v>
                </c:pt>
                <c:pt idx="1003">
                  <c:v>41705</c:v>
                </c:pt>
                <c:pt idx="1004">
                  <c:v>41708</c:v>
                </c:pt>
                <c:pt idx="1005">
                  <c:v>41709</c:v>
                </c:pt>
                <c:pt idx="1006">
                  <c:v>41710</c:v>
                </c:pt>
                <c:pt idx="1007">
                  <c:v>41711</c:v>
                </c:pt>
                <c:pt idx="1008">
                  <c:v>41712</c:v>
                </c:pt>
                <c:pt idx="1009">
                  <c:v>41715</c:v>
                </c:pt>
                <c:pt idx="1010">
                  <c:v>41716</c:v>
                </c:pt>
                <c:pt idx="1011">
                  <c:v>41717</c:v>
                </c:pt>
                <c:pt idx="1012">
                  <c:v>41718</c:v>
                </c:pt>
                <c:pt idx="1013">
                  <c:v>41719</c:v>
                </c:pt>
                <c:pt idx="1014">
                  <c:v>41722</c:v>
                </c:pt>
                <c:pt idx="1015">
                  <c:v>41723</c:v>
                </c:pt>
                <c:pt idx="1016">
                  <c:v>41724</c:v>
                </c:pt>
                <c:pt idx="1017">
                  <c:v>41725</c:v>
                </c:pt>
                <c:pt idx="1018">
                  <c:v>41726</c:v>
                </c:pt>
                <c:pt idx="1019">
                  <c:v>41729</c:v>
                </c:pt>
                <c:pt idx="1020">
                  <c:v>41730</c:v>
                </c:pt>
                <c:pt idx="1021">
                  <c:v>41731</c:v>
                </c:pt>
                <c:pt idx="1022">
                  <c:v>41732</c:v>
                </c:pt>
                <c:pt idx="1023">
                  <c:v>41733</c:v>
                </c:pt>
                <c:pt idx="1024">
                  <c:v>41736</c:v>
                </c:pt>
                <c:pt idx="1025">
                  <c:v>41737</c:v>
                </c:pt>
                <c:pt idx="1026">
                  <c:v>41738</c:v>
                </c:pt>
                <c:pt idx="1027">
                  <c:v>41739</c:v>
                </c:pt>
                <c:pt idx="1028">
                  <c:v>41740</c:v>
                </c:pt>
                <c:pt idx="1029">
                  <c:v>41743</c:v>
                </c:pt>
                <c:pt idx="1030">
                  <c:v>41744</c:v>
                </c:pt>
                <c:pt idx="1031">
                  <c:v>41745</c:v>
                </c:pt>
                <c:pt idx="1032">
                  <c:v>41746</c:v>
                </c:pt>
                <c:pt idx="1033">
                  <c:v>41750</c:v>
                </c:pt>
                <c:pt idx="1034">
                  <c:v>41751</c:v>
                </c:pt>
                <c:pt idx="1035">
                  <c:v>41752</c:v>
                </c:pt>
                <c:pt idx="1036">
                  <c:v>41753</c:v>
                </c:pt>
                <c:pt idx="1037">
                  <c:v>41754</c:v>
                </c:pt>
                <c:pt idx="1038">
                  <c:v>41757</c:v>
                </c:pt>
                <c:pt idx="1039">
                  <c:v>41758</c:v>
                </c:pt>
                <c:pt idx="1040">
                  <c:v>41759</c:v>
                </c:pt>
                <c:pt idx="1041">
                  <c:v>41760</c:v>
                </c:pt>
                <c:pt idx="1042">
                  <c:v>41761</c:v>
                </c:pt>
                <c:pt idx="1043">
                  <c:v>41764</c:v>
                </c:pt>
                <c:pt idx="1044">
                  <c:v>41765</c:v>
                </c:pt>
                <c:pt idx="1045">
                  <c:v>41766</c:v>
                </c:pt>
                <c:pt idx="1046">
                  <c:v>41767</c:v>
                </c:pt>
                <c:pt idx="1047">
                  <c:v>41768</c:v>
                </c:pt>
                <c:pt idx="1048">
                  <c:v>41771</c:v>
                </c:pt>
                <c:pt idx="1049">
                  <c:v>41772</c:v>
                </c:pt>
                <c:pt idx="1050">
                  <c:v>41773</c:v>
                </c:pt>
                <c:pt idx="1051">
                  <c:v>41774</c:v>
                </c:pt>
                <c:pt idx="1052">
                  <c:v>41775</c:v>
                </c:pt>
                <c:pt idx="1053">
                  <c:v>41778</c:v>
                </c:pt>
                <c:pt idx="1054">
                  <c:v>41779</c:v>
                </c:pt>
                <c:pt idx="1055">
                  <c:v>41780</c:v>
                </c:pt>
                <c:pt idx="1056">
                  <c:v>41781</c:v>
                </c:pt>
                <c:pt idx="1057">
                  <c:v>41782</c:v>
                </c:pt>
                <c:pt idx="1058">
                  <c:v>41786</c:v>
                </c:pt>
                <c:pt idx="1059">
                  <c:v>41787</c:v>
                </c:pt>
                <c:pt idx="1060">
                  <c:v>41788</c:v>
                </c:pt>
                <c:pt idx="1061">
                  <c:v>41789</c:v>
                </c:pt>
                <c:pt idx="1062">
                  <c:v>41792</c:v>
                </c:pt>
                <c:pt idx="1063">
                  <c:v>41793</c:v>
                </c:pt>
                <c:pt idx="1064">
                  <c:v>41794</c:v>
                </c:pt>
                <c:pt idx="1065">
                  <c:v>41795</c:v>
                </c:pt>
                <c:pt idx="1066">
                  <c:v>41796</c:v>
                </c:pt>
                <c:pt idx="1067">
                  <c:v>41799</c:v>
                </c:pt>
                <c:pt idx="1068">
                  <c:v>41800</c:v>
                </c:pt>
                <c:pt idx="1069">
                  <c:v>41801</c:v>
                </c:pt>
                <c:pt idx="1070">
                  <c:v>41802</c:v>
                </c:pt>
                <c:pt idx="1071">
                  <c:v>41803</c:v>
                </c:pt>
                <c:pt idx="1072">
                  <c:v>41806</c:v>
                </c:pt>
                <c:pt idx="1073">
                  <c:v>41807</c:v>
                </c:pt>
                <c:pt idx="1074">
                  <c:v>41808</c:v>
                </c:pt>
                <c:pt idx="1075">
                  <c:v>41809</c:v>
                </c:pt>
                <c:pt idx="1076">
                  <c:v>41810</c:v>
                </c:pt>
                <c:pt idx="1077">
                  <c:v>41813</c:v>
                </c:pt>
                <c:pt idx="1078">
                  <c:v>41814</c:v>
                </c:pt>
                <c:pt idx="1079">
                  <c:v>41815</c:v>
                </c:pt>
                <c:pt idx="1080">
                  <c:v>41816</c:v>
                </c:pt>
                <c:pt idx="1081">
                  <c:v>41817</c:v>
                </c:pt>
                <c:pt idx="1082">
                  <c:v>41820</c:v>
                </c:pt>
                <c:pt idx="1083">
                  <c:v>41821</c:v>
                </c:pt>
                <c:pt idx="1084">
                  <c:v>41822</c:v>
                </c:pt>
                <c:pt idx="1085">
                  <c:v>41823</c:v>
                </c:pt>
                <c:pt idx="1086">
                  <c:v>41827</c:v>
                </c:pt>
                <c:pt idx="1087">
                  <c:v>41828</c:v>
                </c:pt>
                <c:pt idx="1088">
                  <c:v>41829</c:v>
                </c:pt>
                <c:pt idx="1089">
                  <c:v>41830</c:v>
                </c:pt>
                <c:pt idx="1090">
                  <c:v>41831</c:v>
                </c:pt>
                <c:pt idx="1091">
                  <c:v>41834</c:v>
                </c:pt>
                <c:pt idx="1092">
                  <c:v>41835</c:v>
                </c:pt>
                <c:pt idx="1093">
                  <c:v>41836</c:v>
                </c:pt>
                <c:pt idx="1094">
                  <c:v>41837</c:v>
                </c:pt>
                <c:pt idx="1095">
                  <c:v>41838</c:v>
                </c:pt>
                <c:pt idx="1096">
                  <c:v>41841</c:v>
                </c:pt>
                <c:pt idx="1097">
                  <c:v>41842</c:v>
                </c:pt>
                <c:pt idx="1098">
                  <c:v>41843</c:v>
                </c:pt>
                <c:pt idx="1099">
                  <c:v>41844</c:v>
                </c:pt>
                <c:pt idx="1100">
                  <c:v>41845</c:v>
                </c:pt>
                <c:pt idx="1101">
                  <c:v>41848</c:v>
                </c:pt>
                <c:pt idx="1102">
                  <c:v>41849</c:v>
                </c:pt>
                <c:pt idx="1103">
                  <c:v>41850</c:v>
                </c:pt>
                <c:pt idx="1104">
                  <c:v>41851</c:v>
                </c:pt>
                <c:pt idx="1105">
                  <c:v>41852</c:v>
                </c:pt>
                <c:pt idx="1106">
                  <c:v>41855</c:v>
                </c:pt>
                <c:pt idx="1107">
                  <c:v>41856</c:v>
                </c:pt>
                <c:pt idx="1108">
                  <c:v>41857</c:v>
                </c:pt>
                <c:pt idx="1109">
                  <c:v>41858</c:v>
                </c:pt>
                <c:pt idx="1110">
                  <c:v>41859</c:v>
                </c:pt>
                <c:pt idx="1111">
                  <c:v>41862</c:v>
                </c:pt>
                <c:pt idx="1112">
                  <c:v>41863</c:v>
                </c:pt>
                <c:pt idx="1113">
                  <c:v>41864</c:v>
                </c:pt>
                <c:pt idx="1114">
                  <c:v>41865</c:v>
                </c:pt>
                <c:pt idx="1115">
                  <c:v>41866</c:v>
                </c:pt>
                <c:pt idx="1116">
                  <c:v>41869</c:v>
                </c:pt>
                <c:pt idx="1117">
                  <c:v>41870</c:v>
                </c:pt>
                <c:pt idx="1118">
                  <c:v>41871</c:v>
                </c:pt>
                <c:pt idx="1119">
                  <c:v>41872</c:v>
                </c:pt>
                <c:pt idx="1120">
                  <c:v>41873</c:v>
                </c:pt>
                <c:pt idx="1121">
                  <c:v>41876</c:v>
                </c:pt>
                <c:pt idx="1122">
                  <c:v>41877</c:v>
                </c:pt>
                <c:pt idx="1123">
                  <c:v>41878</c:v>
                </c:pt>
                <c:pt idx="1124">
                  <c:v>41879</c:v>
                </c:pt>
                <c:pt idx="1125">
                  <c:v>41880</c:v>
                </c:pt>
                <c:pt idx="1126">
                  <c:v>41884</c:v>
                </c:pt>
                <c:pt idx="1127">
                  <c:v>41885</c:v>
                </c:pt>
                <c:pt idx="1128">
                  <c:v>41886</c:v>
                </c:pt>
                <c:pt idx="1129">
                  <c:v>41887</c:v>
                </c:pt>
                <c:pt idx="1130">
                  <c:v>41890</c:v>
                </c:pt>
                <c:pt idx="1131">
                  <c:v>41891</c:v>
                </c:pt>
                <c:pt idx="1132">
                  <c:v>41892</c:v>
                </c:pt>
                <c:pt idx="1133">
                  <c:v>41893</c:v>
                </c:pt>
                <c:pt idx="1134">
                  <c:v>41894</c:v>
                </c:pt>
                <c:pt idx="1135">
                  <c:v>41897</c:v>
                </c:pt>
                <c:pt idx="1136">
                  <c:v>41898</c:v>
                </c:pt>
                <c:pt idx="1137">
                  <c:v>41899</c:v>
                </c:pt>
                <c:pt idx="1138">
                  <c:v>41900</c:v>
                </c:pt>
                <c:pt idx="1139">
                  <c:v>41901</c:v>
                </c:pt>
                <c:pt idx="1140">
                  <c:v>41904</c:v>
                </c:pt>
                <c:pt idx="1141">
                  <c:v>41905</c:v>
                </c:pt>
                <c:pt idx="1142">
                  <c:v>41906</c:v>
                </c:pt>
                <c:pt idx="1143">
                  <c:v>41907</c:v>
                </c:pt>
                <c:pt idx="1144">
                  <c:v>41908</c:v>
                </c:pt>
                <c:pt idx="1145">
                  <c:v>41911</c:v>
                </c:pt>
                <c:pt idx="1146">
                  <c:v>41912</c:v>
                </c:pt>
                <c:pt idx="1147">
                  <c:v>41913</c:v>
                </c:pt>
                <c:pt idx="1148">
                  <c:v>41914</c:v>
                </c:pt>
                <c:pt idx="1149">
                  <c:v>41915</c:v>
                </c:pt>
                <c:pt idx="1150">
                  <c:v>41918</c:v>
                </c:pt>
                <c:pt idx="1151">
                  <c:v>41919</c:v>
                </c:pt>
                <c:pt idx="1152">
                  <c:v>41920</c:v>
                </c:pt>
                <c:pt idx="1153">
                  <c:v>41921</c:v>
                </c:pt>
                <c:pt idx="1154">
                  <c:v>41922</c:v>
                </c:pt>
                <c:pt idx="1155">
                  <c:v>41925</c:v>
                </c:pt>
                <c:pt idx="1156">
                  <c:v>41926</c:v>
                </c:pt>
                <c:pt idx="1157">
                  <c:v>41927</c:v>
                </c:pt>
                <c:pt idx="1158">
                  <c:v>41928</c:v>
                </c:pt>
                <c:pt idx="1159">
                  <c:v>41929</c:v>
                </c:pt>
                <c:pt idx="1160">
                  <c:v>41932</c:v>
                </c:pt>
                <c:pt idx="1161">
                  <c:v>41933</c:v>
                </c:pt>
                <c:pt idx="1162">
                  <c:v>41934</c:v>
                </c:pt>
                <c:pt idx="1163">
                  <c:v>41935</c:v>
                </c:pt>
                <c:pt idx="1164">
                  <c:v>41936</c:v>
                </c:pt>
                <c:pt idx="1165">
                  <c:v>41939</c:v>
                </c:pt>
                <c:pt idx="1166">
                  <c:v>41940</c:v>
                </c:pt>
                <c:pt idx="1167">
                  <c:v>41941</c:v>
                </c:pt>
                <c:pt idx="1168">
                  <c:v>41942</c:v>
                </c:pt>
                <c:pt idx="1169">
                  <c:v>41943</c:v>
                </c:pt>
                <c:pt idx="1170">
                  <c:v>41946</c:v>
                </c:pt>
                <c:pt idx="1171">
                  <c:v>41947</c:v>
                </c:pt>
                <c:pt idx="1172">
                  <c:v>41948</c:v>
                </c:pt>
                <c:pt idx="1173">
                  <c:v>41949</c:v>
                </c:pt>
                <c:pt idx="1174">
                  <c:v>41950</c:v>
                </c:pt>
                <c:pt idx="1175">
                  <c:v>41953</c:v>
                </c:pt>
                <c:pt idx="1176">
                  <c:v>41954</c:v>
                </c:pt>
                <c:pt idx="1177">
                  <c:v>41955</c:v>
                </c:pt>
                <c:pt idx="1178">
                  <c:v>41956</c:v>
                </c:pt>
                <c:pt idx="1179">
                  <c:v>41957</c:v>
                </c:pt>
                <c:pt idx="1180">
                  <c:v>41960</c:v>
                </c:pt>
                <c:pt idx="1181">
                  <c:v>41961</c:v>
                </c:pt>
                <c:pt idx="1182">
                  <c:v>41962</c:v>
                </c:pt>
                <c:pt idx="1183">
                  <c:v>41963</c:v>
                </c:pt>
                <c:pt idx="1184">
                  <c:v>41964</c:v>
                </c:pt>
                <c:pt idx="1185">
                  <c:v>41967</c:v>
                </c:pt>
                <c:pt idx="1186">
                  <c:v>41968</c:v>
                </c:pt>
                <c:pt idx="1187">
                  <c:v>41969</c:v>
                </c:pt>
                <c:pt idx="1188">
                  <c:v>41971</c:v>
                </c:pt>
                <c:pt idx="1189">
                  <c:v>41974</c:v>
                </c:pt>
                <c:pt idx="1190">
                  <c:v>41975</c:v>
                </c:pt>
                <c:pt idx="1191">
                  <c:v>41976</c:v>
                </c:pt>
                <c:pt idx="1192">
                  <c:v>41977</c:v>
                </c:pt>
                <c:pt idx="1193">
                  <c:v>41978</c:v>
                </c:pt>
                <c:pt idx="1194">
                  <c:v>41981</c:v>
                </c:pt>
                <c:pt idx="1195">
                  <c:v>41982</c:v>
                </c:pt>
                <c:pt idx="1196">
                  <c:v>41983</c:v>
                </c:pt>
                <c:pt idx="1197">
                  <c:v>41984</c:v>
                </c:pt>
                <c:pt idx="1198">
                  <c:v>41985</c:v>
                </c:pt>
                <c:pt idx="1199">
                  <c:v>41988</c:v>
                </c:pt>
                <c:pt idx="1200">
                  <c:v>41989</c:v>
                </c:pt>
                <c:pt idx="1201">
                  <c:v>41990</c:v>
                </c:pt>
                <c:pt idx="1202">
                  <c:v>41991</c:v>
                </c:pt>
                <c:pt idx="1203">
                  <c:v>41992</c:v>
                </c:pt>
                <c:pt idx="1204">
                  <c:v>41995</c:v>
                </c:pt>
                <c:pt idx="1205">
                  <c:v>41996</c:v>
                </c:pt>
                <c:pt idx="1206">
                  <c:v>41997</c:v>
                </c:pt>
                <c:pt idx="1207">
                  <c:v>41999</c:v>
                </c:pt>
                <c:pt idx="1208">
                  <c:v>42002</c:v>
                </c:pt>
                <c:pt idx="1209">
                  <c:v>42003</c:v>
                </c:pt>
                <c:pt idx="1210">
                  <c:v>42004</c:v>
                </c:pt>
                <c:pt idx="1211">
                  <c:v>42006</c:v>
                </c:pt>
                <c:pt idx="1212">
                  <c:v>42009</c:v>
                </c:pt>
                <c:pt idx="1213">
                  <c:v>42010</c:v>
                </c:pt>
                <c:pt idx="1214">
                  <c:v>42011</c:v>
                </c:pt>
                <c:pt idx="1215">
                  <c:v>42012</c:v>
                </c:pt>
                <c:pt idx="1216">
                  <c:v>42013</c:v>
                </c:pt>
                <c:pt idx="1217">
                  <c:v>42016</c:v>
                </c:pt>
                <c:pt idx="1218">
                  <c:v>42017</c:v>
                </c:pt>
                <c:pt idx="1219">
                  <c:v>42018</c:v>
                </c:pt>
                <c:pt idx="1220">
                  <c:v>42019</c:v>
                </c:pt>
                <c:pt idx="1221">
                  <c:v>42020</c:v>
                </c:pt>
                <c:pt idx="1222">
                  <c:v>42024</c:v>
                </c:pt>
                <c:pt idx="1223">
                  <c:v>42025</c:v>
                </c:pt>
                <c:pt idx="1224">
                  <c:v>42026</c:v>
                </c:pt>
                <c:pt idx="1225">
                  <c:v>42027</c:v>
                </c:pt>
                <c:pt idx="1226">
                  <c:v>42030</c:v>
                </c:pt>
                <c:pt idx="1227">
                  <c:v>42031</c:v>
                </c:pt>
                <c:pt idx="1228">
                  <c:v>42032</c:v>
                </c:pt>
                <c:pt idx="1229">
                  <c:v>42033</c:v>
                </c:pt>
                <c:pt idx="1230">
                  <c:v>42034</c:v>
                </c:pt>
                <c:pt idx="1231">
                  <c:v>42037</c:v>
                </c:pt>
                <c:pt idx="1232">
                  <c:v>42038</c:v>
                </c:pt>
                <c:pt idx="1233">
                  <c:v>42039</c:v>
                </c:pt>
                <c:pt idx="1234">
                  <c:v>42040</c:v>
                </c:pt>
                <c:pt idx="1235">
                  <c:v>42041</c:v>
                </c:pt>
                <c:pt idx="1236">
                  <c:v>42044</c:v>
                </c:pt>
                <c:pt idx="1237">
                  <c:v>42045</c:v>
                </c:pt>
                <c:pt idx="1238">
                  <c:v>42046</c:v>
                </c:pt>
                <c:pt idx="1239">
                  <c:v>42047</c:v>
                </c:pt>
                <c:pt idx="1240">
                  <c:v>42048</c:v>
                </c:pt>
                <c:pt idx="1241">
                  <c:v>42052</c:v>
                </c:pt>
                <c:pt idx="1242">
                  <c:v>42053</c:v>
                </c:pt>
                <c:pt idx="1243">
                  <c:v>42054</c:v>
                </c:pt>
                <c:pt idx="1244">
                  <c:v>42055</c:v>
                </c:pt>
                <c:pt idx="1245">
                  <c:v>42058</c:v>
                </c:pt>
                <c:pt idx="1246">
                  <c:v>42059</c:v>
                </c:pt>
                <c:pt idx="1247">
                  <c:v>42060</c:v>
                </c:pt>
                <c:pt idx="1248">
                  <c:v>42061</c:v>
                </c:pt>
                <c:pt idx="1249">
                  <c:v>42062</c:v>
                </c:pt>
                <c:pt idx="1250">
                  <c:v>42065</c:v>
                </c:pt>
                <c:pt idx="1251">
                  <c:v>42066</c:v>
                </c:pt>
                <c:pt idx="1252">
                  <c:v>42067</c:v>
                </c:pt>
                <c:pt idx="1253">
                  <c:v>42068</c:v>
                </c:pt>
                <c:pt idx="1254">
                  <c:v>42069</c:v>
                </c:pt>
                <c:pt idx="1255">
                  <c:v>42072</c:v>
                </c:pt>
                <c:pt idx="1256">
                  <c:v>42073</c:v>
                </c:pt>
                <c:pt idx="1257">
                  <c:v>42074</c:v>
                </c:pt>
                <c:pt idx="1258">
                  <c:v>42075</c:v>
                </c:pt>
                <c:pt idx="1259">
                  <c:v>42076</c:v>
                </c:pt>
                <c:pt idx="1260">
                  <c:v>42079</c:v>
                </c:pt>
                <c:pt idx="1261">
                  <c:v>42080</c:v>
                </c:pt>
                <c:pt idx="1262">
                  <c:v>42081</c:v>
                </c:pt>
                <c:pt idx="1263">
                  <c:v>42082</c:v>
                </c:pt>
                <c:pt idx="1264">
                  <c:v>42083</c:v>
                </c:pt>
                <c:pt idx="1265">
                  <c:v>42086</c:v>
                </c:pt>
                <c:pt idx="1266">
                  <c:v>42087</c:v>
                </c:pt>
                <c:pt idx="1267">
                  <c:v>42088</c:v>
                </c:pt>
                <c:pt idx="1268">
                  <c:v>42089</c:v>
                </c:pt>
                <c:pt idx="1269">
                  <c:v>42090</c:v>
                </c:pt>
                <c:pt idx="1270">
                  <c:v>42093</c:v>
                </c:pt>
                <c:pt idx="1271">
                  <c:v>42094</c:v>
                </c:pt>
                <c:pt idx="1272">
                  <c:v>42095</c:v>
                </c:pt>
                <c:pt idx="1273">
                  <c:v>42096</c:v>
                </c:pt>
                <c:pt idx="1274">
                  <c:v>42100</c:v>
                </c:pt>
                <c:pt idx="1275">
                  <c:v>42101</c:v>
                </c:pt>
                <c:pt idx="1276">
                  <c:v>42102</c:v>
                </c:pt>
                <c:pt idx="1277">
                  <c:v>42103</c:v>
                </c:pt>
                <c:pt idx="1278">
                  <c:v>42104</c:v>
                </c:pt>
                <c:pt idx="1279">
                  <c:v>42107</c:v>
                </c:pt>
                <c:pt idx="1280">
                  <c:v>42108</c:v>
                </c:pt>
                <c:pt idx="1281">
                  <c:v>42109</c:v>
                </c:pt>
                <c:pt idx="1282">
                  <c:v>42110</c:v>
                </c:pt>
                <c:pt idx="1283">
                  <c:v>42111</c:v>
                </c:pt>
                <c:pt idx="1284">
                  <c:v>42114</c:v>
                </c:pt>
                <c:pt idx="1285">
                  <c:v>42115</c:v>
                </c:pt>
                <c:pt idx="1286">
                  <c:v>42116</c:v>
                </c:pt>
                <c:pt idx="1287">
                  <c:v>42117</c:v>
                </c:pt>
                <c:pt idx="1288">
                  <c:v>42118</c:v>
                </c:pt>
                <c:pt idx="1289">
                  <c:v>42121</c:v>
                </c:pt>
                <c:pt idx="1290">
                  <c:v>42122</c:v>
                </c:pt>
                <c:pt idx="1291">
                  <c:v>42123</c:v>
                </c:pt>
                <c:pt idx="1292">
                  <c:v>42124</c:v>
                </c:pt>
                <c:pt idx="1293">
                  <c:v>42125</c:v>
                </c:pt>
                <c:pt idx="1294">
                  <c:v>42128</c:v>
                </c:pt>
                <c:pt idx="1295">
                  <c:v>42129</c:v>
                </c:pt>
                <c:pt idx="1296">
                  <c:v>42130</c:v>
                </c:pt>
                <c:pt idx="1297">
                  <c:v>42131</c:v>
                </c:pt>
                <c:pt idx="1298">
                  <c:v>42132</c:v>
                </c:pt>
                <c:pt idx="1299">
                  <c:v>42135</c:v>
                </c:pt>
                <c:pt idx="1300">
                  <c:v>42136</c:v>
                </c:pt>
                <c:pt idx="1301">
                  <c:v>42137</c:v>
                </c:pt>
                <c:pt idx="1302">
                  <c:v>42138</c:v>
                </c:pt>
                <c:pt idx="1303">
                  <c:v>42139</c:v>
                </c:pt>
                <c:pt idx="1304">
                  <c:v>42142</c:v>
                </c:pt>
                <c:pt idx="1305">
                  <c:v>42143</c:v>
                </c:pt>
                <c:pt idx="1306">
                  <c:v>42144</c:v>
                </c:pt>
                <c:pt idx="1307">
                  <c:v>42145</c:v>
                </c:pt>
                <c:pt idx="1308">
                  <c:v>42146</c:v>
                </c:pt>
                <c:pt idx="1309">
                  <c:v>42150</c:v>
                </c:pt>
                <c:pt idx="1310">
                  <c:v>42151</c:v>
                </c:pt>
                <c:pt idx="1311">
                  <c:v>42152</c:v>
                </c:pt>
                <c:pt idx="1312">
                  <c:v>42153</c:v>
                </c:pt>
                <c:pt idx="1313">
                  <c:v>42156</c:v>
                </c:pt>
                <c:pt idx="1314">
                  <c:v>42157</c:v>
                </c:pt>
                <c:pt idx="1315">
                  <c:v>42158</c:v>
                </c:pt>
                <c:pt idx="1316">
                  <c:v>42159</c:v>
                </c:pt>
                <c:pt idx="1317">
                  <c:v>42160</c:v>
                </c:pt>
                <c:pt idx="1318">
                  <c:v>42163</c:v>
                </c:pt>
                <c:pt idx="1319">
                  <c:v>42164</c:v>
                </c:pt>
                <c:pt idx="1320">
                  <c:v>42165</c:v>
                </c:pt>
                <c:pt idx="1321">
                  <c:v>42166</c:v>
                </c:pt>
                <c:pt idx="1322">
                  <c:v>42167</c:v>
                </c:pt>
                <c:pt idx="1323">
                  <c:v>42170</c:v>
                </c:pt>
                <c:pt idx="1324">
                  <c:v>42171</c:v>
                </c:pt>
                <c:pt idx="1325">
                  <c:v>42172</c:v>
                </c:pt>
                <c:pt idx="1326">
                  <c:v>42173</c:v>
                </c:pt>
                <c:pt idx="1327">
                  <c:v>42174</c:v>
                </c:pt>
                <c:pt idx="1328">
                  <c:v>42177</c:v>
                </c:pt>
                <c:pt idx="1329">
                  <c:v>42178</c:v>
                </c:pt>
                <c:pt idx="1330">
                  <c:v>42179</c:v>
                </c:pt>
                <c:pt idx="1331">
                  <c:v>42180</c:v>
                </c:pt>
                <c:pt idx="1332">
                  <c:v>42181</c:v>
                </c:pt>
                <c:pt idx="1333">
                  <c:v>42184</c:v>
                </c:pt>
                <c:pt idx="1334">
                  <c:v>42185</c:v>
                </c:pt>
                <c:pt idx="1335">
                  <c:v>42186</c:v>
                </c:pt>
                <c:pt idx="1336">
                  <c:v>42187</c:v>
                </c:pt>
                <c:pt idx="1337">
                  <c:v>42191</c:v>
                </c:pt>
                <c:pt idx="1338">
                  <c:v>42192</c:v>
                </c:pt>
                <c:pt idx="1339">
                  <c:v>42193</c:v>
                </c:pt>
                <c:pt idx="1340">
                  <c:v>42194</c:v>
                </c:pt>
                <c:pt idx="1341">
                  <c:v>42195</c:v>
                </c:pt>
                <c:pt idx="1342">
                  <c:v>42198</c:v>
                </c:pt>
                <c:pt idx="1343">
                  <c:v>42199</c:v>
                </c:pt>
                <c:pt idx="1344">
                  <c:v>42200</c:v>
                </c:pt>
                <c:pt idx="1345">
                  <c:v>42201</c:v>
                </c:pt>
                <c:pt idx="1346">
                  <c:v>42202</c:v>
                </c:pt>
                <c:pt idx="1347">
                  <c:v>42205</c:v>
                </c:pt>
                <c:pt idx="1348">
                  <c:v>42206</c:v>
                </c:pt>
                <c:pt idx="1349">
                  <c:v>42207</c:v>
                </c:pt>
                <c:pt idx="1350">
                  <c:v>42208</c:v>
                </c:pt>
                <c:pt idx="1351">
                  <c:v>42209</c:v>
                </c:pt>
                <c:pt idx="1352">
                  <c:v>42212</c:v>
                </c:pt>
                <c:pt idx="1353">
                  <c:v>42213</c:v>
                </c:pt>
                <c:pt idx="1354">
                  <c:v>42214</c:v>
                </c:pt>
                <c:pt idx="1355">
                  <c:v>42215</c:v>
                </c:pt>
                <c:pt idx="1356">
                  <c:v>42216</c:v>
                </c:pt>
                <c:pt idx="1357">
                  <c:v>42219</c:v>
                </c:pt>
                <c:pt idx="1358">
                  <c:v>42220</c:v>
                </c:pt>
                <c:pt idx="1359">
                  <c:v>42221</c:v>
                </c:pt>
                <c:pt idx="1360">
                  <c:v>42222</c:v>
                </c:pt>
                <c:pt idx="1361">
                  <c:v>42223</c:v>
                </c:pt>
                <c:pt idx="1362">
                  <c:v>42226</c:v>
                </c:pt>
                <c:pt idx="1363">
                  <c:v>42227</c:v>
                </c:pt>
                <c:pt idx="1364">
                  <c:v>42228</c:v>
                </c:pt>
                <c:pt idx="1365">
                  <c:v>42229</c:v>
                </c:pt>
                <c:pt idx="1366">
                  <c:v>42230</c:v>
                </c:pt>
                <c:pt idx="1367">
                  <c:v>42233</c:v>
                </c:pt>
                <c:pt idx="1368">
                  <c:v>42234</c:v>
                </c:pt>
                <c:pt idx="1369">
                  <c:v>42235</c:v>
                </c:pt>
                <c:pt idx="1370">
                  <c:v>42236</c:v>
                </c:pt>
                <c:pt idx="1371">
                  <c:v>42237</c:v>
                </c:pt>
                <c:pt idx="1372">
                  <c:v>42240</c:v>
                </c:pt>
                <c:pt idx="1373">
                  <c:v>42241</c:v>
                </c:pt>
                <c:pt idx="1374">
                  <c:v>42242</c:v>
                </c:pt>
                <c:pt idx="1375">
                  <c:v>42243</c:v>
                </c:pt>
                <c:pt idx="1376">
                  <c:v>42244</c:v>
                </c:pt>
                <c:pt idx="1377">
                  <c:v>42247</c:v>
                </c:pt>
                <c:pt idx="1378">
                  <c:v>42248</c:v>
                </c:pt>
                <c:pt idx="1379">
                  <c:v>42249</c:v>
                </c:pt>
                <c:pt idx="1380">
                  <c:v>42250</c:v>
                </c:pt>
                <c:pt idx="1381">
                  <c:v>42251</c:v>
                </c:pt>
                <c:pt idx="1382">
                  <c:v>42255</c:v>
                </c:pt>
                <c:pt idx="1383">
                  <c:v>42256</c:v>
                </c:pt>
                <c:pt idx="1384">
                  <c:v>42257</c:v>
                </c:pt>
                <c:pt idx="1385">
                  <c:v>42258</c:v>
                </c:pt>
                <c:pt idx="1386">
                  <c:v>42261</c:v>
                </c:pt>
                <c:pt idx="1387">
                  <c:v>42262</c:v>
                </c:pt>
                <c:pt idx="1388">
                  <c:v>42263</c:v>
                </c:pt>
                <c:pt idx="1389">
                  <c:v>42264</c:v>
                </c:pt>
                <c:pt idx="1390">
                  <c:v>42265</c:v>
                </c:pt>
                <c:pt idx="1391">
                  <c:v>42268</c:v>
                </c:pt>
                <c:pt idx="1392">
                  <c:v>42269</c:v>
                </c:pt>
                <c:pt idx="1393">
                  <c:v>42270</c:v>
                </c:pt>
                <c:pt idx="1394">
                  <c:v>42271</c:v>
                </c:pt>
                <c:pt idx="1395">
                  <c:v>42272</c:v>
                </c:pt>
                <c:pt idx="1396">
                  <c:v>42275</c:v>
                </c:pt>
                <c:pt idx="1397">
                  <c:v>42276</c:v>
                </c:pt>
                <c:pt idx="1398">
                  <c:v>42277</c:v>
                </c:pt>
                <c:pt idx="1399">
                  <c:v>42278</c:v>
                </c:pt>
                <c:pt idx="1400">
                  <c:v>42279</c:v>
                </c:pt>
                <c:pt idx="1401">
                  <c:v>42282</c:v>
                </c:pt>
                <c:pt idx="1402">
                  <c:v>42283</c:v>
                </c:pt>
                <c:pt idx="1403">
                  <c:v>42284</c:v>
                </c:pt>
                <c:pt idx="1404">
                  <c:v>42285</c:v>
                </c:pt>
                <c:pt idx="1405">
                  <c:v>42286</c:v>
                </c:pt>
                <c:pt idx="1406">
                  <c:v>42289</c:v>
                </c:pt>
                <c:pt idx="1407">
                  <c:v>42290</c:v>
                </c:pt>
                <c:pt idx="1408">
                  <c:v>42291</c:v>
                </c:pt>
                <c:pt idx="1409">
                  <c:v>42292</c:v>
                </c:pt>
                <c:pt idx="1410">
                  <c:v>42293</c:v>
                </c:pt>
                <c:pt idx="1411">
                  <c:v>42296</c:v>
                </c:pt>
                <c:pt idx="1412">
                  <c:v>42297</c:v>
                </c:pt>
                <c:pt idx="1413">
                  <c:v>42298</c:v>
                </c:pt>
                <c:pt idx="1414">
                  <c:v>42299</c:v>
                </c:pt>
                <c:pt idx="1415">
                  <c:v>42300</c:v>
                </c:pt>
                <c:pt idx="1416">
                  <c:v>42303</c:v>
                </c:pt>
                <c:pt idx="1417">
                  <c:v>42304</c:v>
                </c:pt>
                <c:pt idx="1418">
                  <c:v>42305</c:v>
                </c:pt>
                <c:pt idx="1419">
                  <c:v>42306</c:v>
                </c:pt>
                <c:pt idx="1420">
                  <c:v>42307</c:v>
                </c:pt>
                <c:pt idx="1421">
                  <c:v>42310</c:v>
                </c:pt>
                <c:pt idx="1422">
                  <c:v>42311</c:v>
                </c:pt>
                <c:pt idx="1423">
                  <c:v>42312</c:v>
                </c:pt>
                <c:pt idx="1424">
                  <c:v>42313</c:v>
                </c:pt>
                <c:pt idx="1425">
                  <c:v>42314</c:v>
                </c:pt>
                <c:pt idx="1426">
                  <c:v>42317</c:v>
                </c:pt>
                <c:pt idx="1427">
                  <c:v>42318</c:v>
                </c:pt>
                <c:pt idx="1428">
                  <c:v>42319</c:v>
                </c:pt>
                <c:pt idx="1429">
                  <c:v>42320</c:v>
                </c:pt>
                <c:pt idx="1430">
                  <c:v>42321</c:v>
                </c:pt>
                <c:pt idx="1431">
                  <c:v>42324</c:v>
                </c:pt>
                <c:pt idx="1432">
                  <c:v>42325</c:v>
                </c:pt>
                <c:pt idx="1433">
                  <c:v>42326</c:v>
                </c:pt>
                <c:pt idx="1434">
                  <c:v>42327</c:v>
                </c:pt>
                <c:pt idx="1435">
                  <c:v>42328</c:v>
                </c:pt>
                <c:pt idx="1436">
                  <c:v>42331</c:v>
                </c:pt>
                <c:pt idx="1437">
                  <c:v>42332</c:v>
                </c:pt>
                <c:pt idx="1438">
                  <c:v>42333</c:v>
                </c:pt>
                <c:pt idx="1439">
                  <c:v>42335</c:v>
                </c:pt>
                <c:pt idx="1440">
                  <c:v>42338</c:v>
                </c:pt>
                <c:pt idx="1441">
                  <c:v>42339</c:v>
                </c:pt>
                <c:pt idx="1442">
                  <c:v>42340</c:v>
                </c:pt>
                <c:pt idx="1443">
                  <c:v>42341</c:v>
                </c:pt>
                <c:pt idx="1444">
                  <c:v>42342</c:v>
                </c:pt>
                <c:pt idx="1445">
                  <c:v>42345</c:v>
                </c:pt>
                <c:pt idx="1446">
                  <c:v>42346</c:v>
                </c:pt>
                <c:pt idx="1447">
                  <c:v>42347</c:v>
                </c:pt>
                <c:pt idx="1448">
                  <c:v>42348</c:v>
                </c:pt>
                <c:pt idx="1449">
                  <c:v>42349</c:v>
                </c:pt>
                <c:pt idx="1450">
                  <c:v>42352</c:v>
                </c:pt>
                <c:pt idx="1451">
                  <c:v>42353</c:v>
                </c:pt>
                <c:pt idx="1452">
                  <c:v>42354</c:v>
                </c:pt>
                <c:pt idx="1453">
                  <c:v>42355</c:v>
                </c:pt>
                <c:pt idx="1454">
                  <c:v>42356</c:v>
                </c:pt>
                <c:pt idx="1455">
                  <c:v>42359</c:v>
                </c:pt>
                <c:pt idx="1456">
                  <c:v>42360</c:v>
                </c:pt>
                <c:pt idx="1457">
                  <c:v>42361</c:v>
                </c:pt>
                <c:pt idx="1458">
                  <c:v>42362</c:v>
                </c:pt>
                <c:pt idx="1459">
                  <c:v>42366</c:v>
                </c:pt>
                <c:pt idx="1460">
                  <c:v>42367</c:v>
                </c:pt>
                <c:pt idx="1461">
                  <c:v>42368</c:v>
                </c:pt>
                <c:pt idx="1462">
                  <c:v>42369</c:v>
                </c:pt>
                <c:pt idx="1463">
                  <c:v>42373</c:v>
                </c:pt>
                <c:pt idx="1464">
                  <c:v>42374</c:v>
                </c:pt>
                <c:pt idx="1465">
                  <c:v>42375</c:v>
                </c:pt>
                <c:pt idx="1466">
                  <c:v>42376</c:v>
                </c:pt>
                <c:pt idx="1467">
                  <c:v>42377</c:v>
                </c:pt>
                <c:pt idx="1468">
                  <c:v>42380</c:v>
                </c:pt>
                <c:pt idx="1469">
                  <c:v>42381</c:v>
                </c:pt>
                <c:pt idx="1470">
                  <c:v>42382</c:v>
                </c:pt>
                <c:pt idx="1471">
                  <c:v>42383</c:v>
                </c:pt>
                <c:pt idx="1472">
                  <c:v>42384</c:v>
                </c:pt>
                <c:pt idx="1473">
                  <c:v>42388</c:v>
                </c:pt>
                <c:pt idx="1474">
                  <c:v>42389</c:v>
                </c:pt>
                <c:pt idx="1475">
                  <c:v>42390</c:v>
                </c:pt>
                <c:pt idx="1476">
                  <c:v>42391</c:v>
                </c:pt>
                <c:pt idx="1477">
                  <c:v>42394</c:v>
                </c:pt>
                <c:pt idx="1478">
                  <c:v>42395</c:v>
                </c:pt>
                <c:pt idx="1479">
                  <c:v>42396</c:v>
                </c:pt>
                <c:pt idx="1480">
                  <c:v>42397</c:v>
                </c:pt>
                <c:pt idx="1481">
                  <c:v>42398</c:v>
                </c:pt>
                <c:pt idx="1482">
                  <c:v>42401</c:v>
                </c:pt>
                <c:pt idx="1483">
                  <c:v>42402</c:v>
                </c:pt>
                <c:pt idx="1484">
                  <c:v>42403</c:v>
                </c:pt>
                <c:pt idx="1485">
                  <c:v>42404</c:v>
                </c:pt>
                <c:pt idx="1486">
                  <c:v>42405</c:v>
                </c:pt>
                <c:pt idx="1487">
                  <c:v>42408</c:v>
                </c:pt>
                <c:pt idx="1488">
                  <c:v>42409</c:v>
                </c:pt>
                <c:pt idx="1489">
                  <c:v>42410</c:v>
                </c:pt>
                <c:pt idx="1490">
                  <c:v>42411</c:v>
                </c:pt>
                <c:pt idx="1491">
                  <c:v>42412</c:v>
                </c:pt>
                <c:pt idx="1492">
                  <c:v>42416</c:v>
                </c:pt>
                <c:pt idx="1493">
                  <c:v>42417</c:v>
                </c:pt>
                <c:pt idx="1494">
                  <c:v>42418</c:v>
                </c:pt>
                <c:pt idx="1495">
                  <c:v>42419</c:v>
                </c:pt>
                <c:pt idx="1496">
                  <c:v>42422</c:v>
                </c:pt>
                <c:pt idx="1497">
                  <c:v>42423</c:v>
                </c:pt>
                <c:pt idx="1498">
                  <c:v>42424</c:v>
                </c:pt>
                <c:pt idx="1499">
                  <c:v>42425</c:v>
                </c:pt>
                <c:pt idx="1500">
                  <c:v>42426</c:v>
                </c:pt>
                <c:pt idx="1501">
                  <c:v>42429</c:v>
                </c:pt>
                <c:pt idx="1502">
                  <c:v>42430</c:v>
                </c:pt>
                <c:pt idx="1503">
                  <c:v>42431</c:v>
                </c:pt>
                <c:pt idx="1504">
                  <c:v>42432</c:v>
                </c:pt>
                <c:pt idx="1505">
                  <c:v>42433</c:v>
                </c:pt>
                <c:pt idx="1506">
                  <c:v>42436</c:v>
                </c:pt>
                <c:pt idx="1507">
                  <c:v>42437</c:v>
                </c:pt>
                <c:pt idx="1508">
                  <c:v>42438</c:v>
                </c:pt>
                <c:pt idx="1509">
                  <c:v>42439</c:v>
                </c:pt>
                <c:pt idx="1510">
                  <c:v>42440</c:v>
                </c:pt>
                <c:pt idx="1511">
                  <c:v>42443</c:v>
                </c:pt>
                <c:pt idx="1512">
                  <c:v>42444</c:v>
                </c:pt>
                <c:pt idx="1513">
                  <c:v>42445</c:v>
                </c:pt>
                <c:pt idx="1514">
                  <c:v>42446</c:v>
                </c:pt>
                <c:pt idx="1515">
                  <c:v>42447</c:v>
                </c:pt>
                <c:pt idx="1516">
                  <c:v>42450</c:v>
                </c:pt>
                <c:pt idx="1517">
                  <c:v>42451</c:v>
                </c:pt>
                <c:pt idx="1518">
                  <c:v>42452</c:v>
                </c:pt>
                <c:pt idx="1519">
                  <c:v>42453</c:v>
                </c:pt>
                <c:pt idx="1520">
                  <c:v>42457</c:v>
                </c:pt>
                <c:pt idx="1521">
                  <c:v>42458</c:v>
                </c:pt>
                <c:pt idx="1522">
                  <c:v>42459</c:v>
                </c:pt>
                <c:pt idx="1523">
                  <c:v>42460</c:v>
                </c:pt>
                <c:pt idx="1524">
                  <c:v>42461</c:v>
                </c:pt>
                <c:pt idx="1525">
                  <c:v>42464</c:v>
                </c:pt>
                <c:pt idx="1526">
                  <c:v>42465</c:v>
                </c:pt>
                <c:pt idx="1527">
                  <c:v>42466</c:v>
                </c:pt>
                <c:pt idx="1528">
                  <c:v>42467</c:v>
                </c:pt>
                <c:pt idx="1529">
                  <c:v>42468</c:v>
                </c:pt>
                <c:pt idx="1530">
                  <c:v>42471</c:v>
                </c:pt>
                <c:pt idx="1531">
                  <c:v>42472</c:v>
                </c:pt>
                <c:pt idx="1532">
                  <c:v>42473</c:v>
                </c:pt>
                <c:pt idx="1533">
                  <c:v>42474</c:v>
                </c:pt>
                <c:pt idx="1534">
                  <c:v>42475</c:v>
                </c:pt>
                <c:pt idx="1535">
                  <c:v>42478</c:v>
                </c:pt>
                <c:pt idx="1536">
                  <c:v>42479</c:v>
                </c:pt>
                <c:pt idx="1537">
                  <c:v>42480</c:v>
                </c:pt>
                <c:pt idx="1538">
                  <c:v>42481</c:v>
                </c:pt>
                <c:pt idx="1539">
                  <c:v>42482</c:v>
                </c:pt>
                <c:pt idx="1540">
                  <c:v>42485</c:v>
                </c:pt>
                <c:pt idx="1541">
                  <c:v>42486</c:v>
                </c:pt>
                <c:pt idx="1542">
                  <c:v>42487</c:v>
                </c:pt>
                <c:pt idx="1543">
                  <c:v>42488</c:v>
                </c:pt>
                <c:pt idx="1544">
                  <c:v>42489</c:v>
                </c:pt>
                <c:pt idx="1545">
                  <c:v>42492</c:v>
                </c:pt>
                <c:pt idx="1546">
                  <c:v>42493</c:v>
                </c:pt>
                <c:pt idx="1547">
                  <c:v>42494</c:v>
                </c:pt>
                <c:pt idx="1548">
                  <c:v>42495</c:v>
                </c:pt>
                <c:pt idx="1549">
                  <c:v>42496</c:v>
                </c:pt>
                <c:pt idx="1550">
                  <c:v>42499</c:v>
                </c:pt>
                <c:pt idx="1551">
                  <c:v>42500</c:v>
                </c:pt>
                <c:pt idx="1552">
                  <c:v>42501</c:v>
                </c:pt>
                <c:pt idx="1553">
                  <c:v>42502</c:v>
                </c:pt>
                <c:pt idx="1554">
                  <c:v>42503</c:v>
                </c:pt>
                <c:pt idx="1555">
                  <c:v>42506</c:v>
                </c:pt>
                <c:pt idx="1556">
                  <c:v>42507</c:v>
                </c:pt>
                <c:pt idx="1557">
                  <c:v>42508</c:v>
                </c:pt>
                <c:pt idx="1558">
                  <c:v>42509</c:v>
                </c:pt>
                <c:pt idx="1559">
                  <c:v>42510</c:v>
                </c:pt>
                <c:pt idx="1560">
                  <c:v>42513</c:v>
                </c:pt>
                <c:pt idx="1561">
                  <c:v>42514</c:v>
                </c:pt>
                <c:pt idx="1562">
                  <c:v>42515</c:v>
                </c:pt>
                <c:pt idx="1563">
                  <c:v>42516</c:v>
                </c:pt>
                <c:pt idx="1564">
                  <c:v>42517</c:v>
                </c:pt>
                <c:pt idx="1565">
                  <c:v>42521</c:v>
                </c:pt>
                <c:pt idx="1566">
                  <c:v>42522</c:v>
                </c:pt>
                <c:pt idx="1567">
                  <c:v>42523</c:v>
                </c:pt>
                <c:pt idx="1568">
                  <c:v>42524</c:v>
                </c:pt>
                <c:pt idx="1569">
                  <c:v>42527</c:v>
                </c:pt>
                <c:pt idx="1570">
                  <c:v>42528</c:v>
                </c:pt>
                <c:pt idx="1571">
                  <c:v>42529</c:v>
                </c:pt>
                <c:pt idx="1572">
                  <c:v>42530</c:v>
                </c:pt>
                <c:pt idx="1573">
                  <c:v>42531</c:v>
                </c:pt>
                <c:pt idx="1574">
                  <c:v>42534</c:v>
                </c:pt>
                <c:pt idx="1575">
                  <c:v>42535</c:v>
                </c:pt>
                <c:pt idx="1576">
                  <c:v>42536</c:v>
                </c:pt>
                <c:pt idx="1577">
                  <c:v>42537</c:v>
                </c:pt>
                <c:pt idx="1578">
                  <c:v>42538</c:v>
                </c:pt>
                <c:pt idx="1579">
                  <c:v>42541</c:v>
                </c:pt>
                <c:pt idx="1580">
                  <c:v>42542</c:v>
                </c:pt>
                <c:pt idx="1581">
                  <c:v>42543</c:v>
                </c:pt>
                <c:pt idx="1582">
                  <c:v>42544</c:v>
                </c:pt>
                <c:pt idx="1583">
                  <c:v>42545</c:v>
                </c:pt>
                <c:pt idx="1584">
                  <c:v>42548</c:v>
                </c:pt>
                <c:pt idx="1585">
                  <c:v>42549</c:v>
                </c:pt>
                <c:pt idx="1586">
                  <c:v>42550</c:v>
                </c:pt>
                <c:pt idx="1587">
                  <c:v>42551</c:v>
                </c:pt>
                <c:pt idx="1588">
                  <c:v>42552</c:v>
                </c:pt>
                <c:pt idx="1589">
                  <c:v>42556</c:v>
                </c:pt>
                <c:pt idx="1590">
                  <c:v>42557</c:v>
                </c:pt>
                <c:pt idx="1591">
                  <c:v>42558</c:v>
                </c:pt>
                <c:pt idx="1592">
                  <c:v>42559</c:v>
                </c:pt>
                <c:pt idx="1593">
                  <c:v>42562</c:v>
                </c:pt>
                <c:pt idx="1594">
                  <c:v>42563</c:v>
                </c:pt>
                <c:pt idx="1595">
                  <c:v>42564</c:v>
                </c:pt>
                <c:pt idx="1596">
                  <c:v>42565</c:v>
                </c:pt>
                <c:pt idx="1597">
                  <c:v>42566</c:v>
                </c:pt>
                <c:pt idx="1598">
                  <c:v>42569</c:v>
                </c:pt>
                <c:pt idx="1599">
                  <c:v>42570</c:v>
                </c:pt>
                <c:pt idx="1600">
                  <c:v>42571</c:v>
                </c:pt>
                <c:pt idx="1601">
                  <c:v>42572</c:v>
                </c:pt>
                <c:pt idx="1602">
                  <c:v>42573</c:v>
                </c:pt>
                <c:pt idx="1603">
                  <c:v>42576</c:v>
                </c:pt>
                <c:pt idx="1604">
                  <c:v>42577</c:v>
                </c:pt>
                <c:pt idx="1605">
                  <c:v>42578</c:v>
                </c:pt>
                <c:pt idx="1606">
                  <c:v>42579</c:v>
                </c:pt>
                <c:pt idx="1607">
                  <c:v>42580</c:v>
                </c:pt>
                <c:pt idx="1608">
                  <c:v>42583</c:v>
                </c:pt>
                <c:pt idx="1609">
                  <c:v>42584</c:v>
                </c:pt>
                <c:pt idx="1610">
                  <c:v>42585</c:v>
                </c:pt>
                <c:pt idx="1611">
                  <c:v>42586</c:v>
                </c:pt>
                <c:pt idx="1612">
                  <c:v>42587</c:v>
                </c:pt>
                <c:pt idx="1613">
                  <c:v>42590</c:v>
                </c:pt>
                <c:pt idx="1614">
                  <c:v>42591</c:v>
                </c:pt>
                <c:pt idx="1615">
                  <c:v>42592</c:v>
                </c:pt>
                <c:pt idx="1616">
                  <c:v>42593</c:v>
                </c:pt>
                <c:pt idx="1617">
                  <c:v>42594</c:v>
                </c:pt>
                <c:pt idx="1618">
                  <c:v>42597</c:v>
                </c:pt>
                <c:pt idx="1619">
                  <c:v>42598</c:v>
                </c:pt>
                <c:pt idx="1620">
                  <c:v>42599</c:v>
                </c:pt>
                <c:pt idx="1621">
                  <c:v>42600</c:v>
                </c:pt>
                <c:pt idx="1622">
                  <c:v>42601</c:v>
                </c:pt>
                <c:pt idx="1623">
                  <c:v>42604</c:v>
                </c:pt>
                <c:pt idx="1624">
                  <c:v>42605</c:v>
                </c:pt>
                <c:pt idx="1625">
                  <c:v>42606</c:v>
                </c:pt>
                <c:pt idx="1626">
                  <c:v>42607</c:v>
                </c:pt>
                <c:pt idx="1627">
                  <c:v>42608</c:v>
                </c:pt>
                <c:pt idx="1628">
                  <c:v>42611</c:v>
                </c:pt>
                <c:pt idx="1629">
                  <c:v>42612</c:v>
                </c:pt>
                <c:pt idx="1630">
                  <c:v>42613</c:v>
                </c:pt>
                <c:pt idx="1631">
                  <c:v>42614</c:v>
                </c:pt>
                <c:pt idx="1632">
                  <c:v>42615</c:v>
                </c:pt>
                <c:pt idx="1633">
                  <c:v>42619</c:v>
                </c:pt>
                <c:pt idx="1634">
                  <c:v>42620</c:v>
                </c:pt>
                <c:pt idx="1635">
                  <c:v>42621</c:v>
                </c:pt>
                <c:pt idx="1636">
                  <c:v>42622</c:v>
                </c:pt>
                <c:pt idx="1637">
                  <c:v>42625</c:v>
                </c:pt>
                <c:pt idx="1638">
                  <c:v>42626</c:v>
                </c:pt>
                <c:pt idx="1639">
                  <c:v>42627</c:v>
                </c:pt>
                <c:pt idx="1640">
                  <c:v>42628</c:v>
                </c:pt>
                <c:pt idx="1641">
                  <c:v>42629</c:v>
                </c:pt>
                <c:pt idx="1642">
                  <c:v>42632</c:v>
                </c:pt>
                <c:pt idx="1643">
                  <c:v>42633</c:v>
                </c:pt>
                <c:pt idx="1644">
                  <c:v>42634</c:v>
                </c:pt>
                <c:pt idx="1645">
                  <c:v>42635</c:v>
                </c:pt>
                <c:pt idx="1646">
                  <c:v>42636</c:v>
                </c:pt>
                <c:pt idx="1647">
                  <c:v>42639</c:v>
                </c:pt>
                <c:pt idx="1648">
                  <c:v>42640</c:v>
                </c:pt>
                <c:pt idx="1649">
                  <c:v>42641</c:v>
                </c:pt>
                <c:pt idx="1650">
                  <c:v>42642</c:v>
                </c:pt>
                <c:pt idx="1651">
                  <c:v>42643</c:v>
                </c:pt>
                <c:pt idx="1652">
                  <c:v>42646</c:v>
                </c:pt>
                <c:pt idx="1653">
                  <c:v>42647</c:v>
                </c:pt>
                <c:pt idx="1654">
                  <c:v>42648</c:v>
                </c:pt>
                <c:pt idx="1655">
                  <c:v>42649</c:v>
                </c:pt>
                <c:pt idx="1656">
                  <c:v>42650</c:v>
                </c:pt>
                <c:pt idx="1657">
                  <c:v>42653</c:v>
                </c:pt>
                <c:pt idx="1658">
                  <c:v>42654</c:v>
                </c:pt>
                <c:pt idx="1659">
                  <c:v>42655</c:v>
                </c:pt>
                <c:pt idx="1660">
                  <c:v>42656</c:v>
                </c:pt>
                <c:pt idx="1661">
                  <c:v>42657</c:v>
                </c:pt>
                <c:pt idx="1662">
                  <c:v>42660</c:v>
                </c:pt>
                <c:pt idx="1663">
                  <c:v>42661</c:v>
                </c:pt>
                <c:pt idx="1664">
                  <c:v>42662</c:v>
                </c:pt>
                <c:pt idx="1665">
                  <c:v>42663</c:v>
                </c:pt>
                <c:pt idx="1666">
                  <c:v>42664</c:v>
                </c:pt>
                <c:pt idx="1667">
                  <c:v>42667</c:v>
                </c:pt>
                <c:pt idx="1668">
                  <c:v>42668</c:v>
                </c:pt>
                <c:pt idx="1669">
                  <c:v>42669</c:v>
                </c:pt>
                <c:pt idx="1670">
                  <c:v>42670</c:v>
                </c:pt>
                <c:pt idx="1671">
                  <c:v>42671</c:v>
                </c:pt>
                <c:pt idx="1672">
                  <c:v>42674</c:v>
                </c:pt>
                <c:pt idx="1673">
                  <c:v>42675</c:v>
                </c:pt>
                <c:pt idx="1674">
                  <c:v>42676</c:v>
                </c:pt>
                <c:pt idx="1675">
                  <c:v>42677</c:v>
                </c:pt>
                <c:pt idx="1676">
                  <c:v>42678</c:v>
                </c:pt>
                <c:pt idx="1677">
                  <c:v>42681</c:v>
                </c:pt>
                <c:pt idx="1678">
                  <c:v>42682</c:v>
                </c:pt>
                <c:pt idx="1679">
                  <c:v>42683</c:v>
                </c:pt>
                <c:pt idx="1680">
                  <c:v>42684</c:v>
                </c:pt>
                <c:pt idx="1681">
                  <c:v>42685</c:v>
                </c:pt>
                <c:pt idx="1682">
                  <c:v>42688</c:v>
                </c:pt>
                <c:pt idx="1683">
                  <c:v>42689</c:v>
                </c:pt>
                <c:pt idx="1684">
                  <c:v>42690</c:v>
                </c:pt>
                <c:pt idx="1685">
                  <c:v>42691</c:v>
                </c:pt>
                <c:pt idx="1686">
                  <c:v>42692</c:v>
                </c:pt>
                <c:pt idx="1687">
                  <c:v>42695</c:v>
                </c:pt>
                <c:pt idx="1688">
                  <c:v>42696</c:v>
                </c:pt>
                <c:pt idx="1689">
                  <c:v>42697</c:v>
                </c:pt>
                <c:pt idx="1690">
                  <c:v>42699</c:v>
                </c:pt>
                <c:pt idx="1691">
                  <c:v>42702</c:v>
                </c:pt>
                <c:pt idx="1692">
                  <c:v>42703</c:v>
                </c:pt>
                <c:pt idx="1693">
                  <c:v>42704</c:v>
                </c:pt>
                <c:pt idx="1694">
                  <c:v>42705</c:v>
                </c:pt>
                <c:pt idx="1695">
                  <c:v>42706</c:v>
                </c:pt>
                <c:pt idx="1696">
                  <c:v>42709</c:v>
                </c:pt>
                <c:pt idx="1697">
                  <c:v>42710</c:v>
                </c:pt>
                <c:pt idx="1698">
                  <c:v>42711</c:v>
                </c:pt>
                <c:pt idx="1699">
                  <c:v>42712</c:v>
                </c:pt>
                <c:pt idx="1700">
                  <c:v>42713</c:v>
                </c:pt>
                <c:pt idx="1701">
                  <c:v>42716</c:v>
                </c:pt>
                <c:pt idx="1702">
                  <c:v>42717</c:v>
                </c:pt>
                <c:pt idx="1703">
                  <c:v>42718</c:v>
                </c:pt>
                <c:pt idx="1704">
                  <c:v>42719</c:v>
                </c:pt>
                <c:pt idx="1705">
                  <c:v>42720</c:v>
                </c:pt>
                <c:pt idx="1706">
                  <c:v>42723</c:v>
                </c:pt>
                <c:pt idx="1707">
                  <c:v>42724</c:v>
                </c:pt>
                <c:pt idx="1708">
                  <c:v>42725</c:v>
                </c:pt>
                <c:pt idx="1709">
                  <c:v>42726</c:v>
                </c:pt>
                <c:pt idx="1710">
                  <c:v>42727</c:v>
                </c:pt>
                <c:pt idx="1711">
                  <c:v>42731</c:v>
                </c:pt>
                <c:pt idx="1712">
                  <c:v>42732</c:v>
                </c:pt>
                <c:pt idx="1713">
                  <c:v>42733</c:v>
                </c:pt>
                <c:pt idx="1714">
                  <c:v>42734</c:v>
                </c:pt>
                <c:pt idx="1715">
                  <c:v>42738</c:v>
                </c:pt>
                <c:pt idx="1716">
                  <c:v>42739</c:v>
                </c:pt>
                <c:pt idx="1717">
                  <c:v>42740</c:v>
                </c:pt>
                <c:pt idx="1718">
                  <c:v>42741</c:v>
                </c:pt>
                <c:pt idx="1719">
                  <c:v>42744</c:v>
                </c:pt>
                <c:pt idx="1720">
                  <c:v>42745</c:v>
                </c:pt>
                <c:pt idx="1721">
                  <c:v>42746</c:v>
                </c:pt>
                <c:pt idx="1722">
                  <c:v>42747</c:v>
                </c:pt>
                <c:pt idx="1723">
                  <c:v>42748</c:v>
                </c:pt>
                <c:pt idx="1724">
                  <c:v>42752</c:v>
                </c:pt>
                <c:pt idx="1725">
                  <c:v>42753</c:v>
                </c:pt>
                <c:pt idx="1726">
                  <c:v>42754</c:v>
                </c:pt>
                <c:pt idx="1727">
                  <c:v>42755</c:v>
                </c:pt>
                <c:pt idx="1728">
                  <c:v>42758</c:v>
                </c:pt>
                <c:pt idx="1729">
                  <c:v>42759</c:v>
                </c:pt>
                <c:pt idx="1730">
                  <c:v>42760</c:v>
                </c:pt>
                <c:pt idx="1731">
                  <c:v>42761</c:v>
                </c:pt>
                <c:pt idx="1732">
                  <c:v>42762</c:v>
                </c:pt>
                <c:pt idx="1733">
                  <c:v>42765</c:v>
                </c:pt>
                <c:pt idx="1734">
                  <c:v>42766</c:v>
                </c:pt>
                <c:pt idx="1735">
                  <c:v>42767</c:v>
                </c:pt>
                <c:pt idx="1736">
                  <c:v>42768</c:v>
                </c:pt>
                <c:pt idx="1737">
                  <c:v>42769</c:v>
                </c:pt>
                <c:pt idx="1738">
                  <c:v>42772</c:v>
                </c:pt>
                <c:pt idx="1739">
                  <c:v>42773</c:v>
                </c:pt>
                <c:pt idx="1740">
                  <c:v>42774</c:v>
                </c:pt>
                <c:pt idx="1741">
                  <c:v>42775</c:v>
                </c:pt>
                <c:pt idx="1742">
                  <c:v>42776</c:v>
                </c:pt>
                <c:pt idx="1743">
                  <c:v>42779</c:v>
                </c:pt>
                <c:pt idx="1744">
                  <c:v>42780</c:v>
                </c:pt>
                <c:pt idx="1745">
                  <c:v>42781</c:v>
                </c:pt>
                <c:pt idx="1746">
                  <c:v>42782</c:v>
                </c:pt>
                <c:pt idx="1747">
                  <c:v>42783</c:v>
                </c:pt>
                <c:pt idx="1748">
                  <c:v>42787</c:v>
                </c:pt>
                <c:pt idx="1749">
                  <c:v>42788</c:v>
                </c:pt>
                <c:pt idx="1750">
                  <c:v>42789</c:v>
                </c:pt>
                <c:pt idx="1751">
                  <c:v>42790</c:v>
                </c:pt>
                <c:pt idx="1752">
                  <c:v>42793</c:v>
                </c:pt>
                <c:pt idx="1753">
                  <c:v>42794</c:v>
                </c:pt>
                <c:pt idx="1754">
                  <c:v>42795</c:v>
                </c:pt>
                <c:pt idx="1755">
                  <c:v>42796</c:v>
                </c:pt>
                <c:pt idx="1756">
                  <c:v>42797</c:v>
                </c:pt>
                <c:pt idx="1757">
                  <c:v>42800</c:v>
                </c:pt>
                <c:pt idx="1758">
                  <c:v>42801</c:v>
                </c:pt>
                <c:pt idx="1759">
                  <c:v>42802</c:v>
                </c:pt>
                <c:pt idx="1760">
                  <c:v>42803</c:v>
                </c:pt>
                <c:pt idx="1761">
                  <c:v>42804</c:v>
                </c:pt>
                <c:pt idx="1762">
                  <c:v>42807</c:v>
                </c:pt>
                <c:pt idx="1763">
                  <c:v>42808</c:v>
                </c:pt>
                <c:pt idx="1764">
                  <c:v>42809</c:v>
                </c:pt>
                <c:pt idx="1765">
                  <c:v>42810</c:v>
                </c:pt>
                <c:pt idx="1766">
                  <c:v>42811</c:v>
                </c:pt>
                <c:pt idx="1767">
                  <c:v>42814</c:v>
                </c:pt>
                <c:pt idx="1768">
                  <c:v>42815</c:v>
                </c:pt>
                <c:pt idx="1769">
                  <c:v>42816</c:v>
                </c:pt>
                <c:pt idx="1770">
                  <c:v>42817</c:v>
                </c:pt>
                <c:pt idx="1771">
                  <c:v>42818</c:v>
                </c:pt>
                <c:pt idx="1772">
                  <c:v>42821</c:v>
                </c:pt>
                <c:pt idx="1773">
                  <c:v>42822</c:v>
                </c:pt>
                <c:pt idx="1774">
                  <c:v>42823</c:v>
                </c:pt>
                <c:pt idx="1775">
                  <c:v>42824</c:v>
                </c:pt>
                <c:pt idx="1776">
                  <c:v>42825</c:v>
                </c:pt>
                <c:pt idx="1777">
                  <c:v>42828</c:v>
                </c:pt>
                <c:pt idx="1778">
                  <c:v>42829</c:v>
                </c:pt>
                <c:pt idx="1779">
                  <c:v>42830</c:v>
                </c:pt>
                <c:pt idx="1780">
                  <c:v>42831</c:v>
                </c:pt>
                <c:pt idx="1781">
                  <c:v>42832</c:v>
                </c:pt>
                <c:pt idx="1782">
                  <c:v>42835</c:v>
                </c:pt>
                <c:pt idx="1783">
                  <c:v>42836</c:v>
                </c:pt>
                <c:pt idx="1784">
                  <c:v>42837</c:v>
                </c:pt>
                <c:pt idx="1785">
                  <c:v>42838</c:v>
                </c:pt>
                <c:pt idx="1786">
                  <c:v>42842</c:v>
                </c:pt>
                <c:pt idx="1787">
                  <c:v>42843</c:v>
                </c:pt>
                <c:pt idx="1788">
                  <c:v>42844</c:v>
                </c:pt>
                <c:pt idx="1789">
                  <c:v>42845</c:v>
                </c:pt>
                <c:pt idx="1790">
                  <c:v>42846</c:v>
                </c:pt>
                <c:pt idx="1791">
                  <c:v>42849</c:v>
                </c:pt>
                <c:pt idx="1792">
                  <c:v>42850</c:v>
                </c:pt>
                <c:pt idx="1793">
                  <c:v>42851</c:v>
                </c:pt>
                <c:pt idx="1794">
                  <c:v>42852</c:v>
                </c:pt>
                <c:pt idx="1795">
                  <c:v>42853</c:v>
                </c:pt>
                <c:pt idx="1796">
                  <c:v>42856</c:v>
                </c:pt>
                <c:pt idx="1797">
                  <c:v>42857</c:v>
                </c:pt>
                <c:pt idx="1798">
                  <c:v>42858</c:v>
                </c:pt>
                <c:pt idx="1799">
                  <c:v>42859</c:v>
                </c:pt>
                <c:pt idx="1800">
                  <c:v>42860</c:v>
                </c:pt>
                <c:pt idx="1801">
                  <c:v>42863</c:v>
                </c:pt>
                <c:pt idx="1802">
                  <c:v>42864</c:v>
                </c:pt>
                <c:pt idx="1803">
                  <c:v>42865</c:v>
                </c:pt>
                <c:pt idx="1804">
                  <c:v>42866</c:v>
                </c:pt>
                <c:pt idx="1805">
                  <c:v>42867</c:v>
                </c:pt>
                <c:pt idx="1806">
                  <c:v>42870</c:v>
                </c:pt>
                <c:pt idx="1807">
                  <c:v>42871</c:v>
                </c:pt>
                <c:pt idx="1808">
                  <c:v>42872</c:v>
                </c:pt>
                <c:pt idx="1809">
                  <c:v>42873</c:v>
                </c:pt>
                <c:pt idx="1810">
                  <c:v>42874</c:v>
                </c:pt>
                <c:pt idx="1811">
                  <c:v>42877</c:v>
                </c:pt>
                <c:pt idx="1812">
                  <c:v>42878</c:v>
                </c:pt>
                <c:pt idx="1813">
                  <c:v>42879</c:v>
                </c:pt>
                <c:pt idx="1814">
                  <c:v>42880</c:v>
                </c:pt>
                <c:pt idx="1815">
                  <c:v>42881</c:v>
                </c:pt>
                <c:pt idx="1816">
                  <c:v>42885</c:v>
                </c:pt>
                <c:pt idx="1817">
                  <c:v>42886</c:v>
                </c:pt>
                <c:pt idx="1818">
                  <c:v>42887</c:v>
                </c:pt>
                <c:pt idx="1819">
                  <c:v>42888</c:v>
                </c:pt>
                <c:pt idx="1820">
                  <c:v>42891</c:v>
                </c:pt>
                <c:pt idx="1821">
                  <c:v>42892</c:v>
                </c:pt>
                <c:pt idx="1822">
                  <c:v>42893</c:v>
                </c:pt>
                <c:pt idx="1823">
                  <c:v>42894</c:v>
                </c:pt>
                <c:pt idx="1824">
                  <c:v>42895</c:v>
                </c:pt>
                <c:pt idx="1825">
                  <c:v>42898</c:v>
                </c:pt>
                <c:pt idx="1826">
                  <c:v>42899</c:v>
                </c:pt>
                <c:pt idx="1827">
                  <c:v>42900</c:v>
                </c:pt>
                <c:pt idx="1828">
                  <c:v>42901</c:v>
                </c:pt>
                <c:pt idx="1829">
                  <c:v>42902</c:v>
                </c:pt>
                <c:pt idx="1830">
                  <c:v>42905</c:v>
                </c:pt>
                <c:pt idx="1831">
                  <c:v>42906</c:v>
                </c:pt>
                <c:pt idx="1832">
                  <c:v>42907</c:v>
                </c:pt>
                <c:pt idx="1833">
                  <c:v>42908</c:v>
                </c:pt>
                <c:pt idx="1834">
                  <c:v>42909</c:v>
                </c:pt>
                <c:pt idx="1835">
                  <c:v>42912</c:v>
                </c:pt>
                <c:pt idx="1836">
                  <c:v>42913</c:v>
                </c:pt>
                <c:pt idx="1837">
                  <c:v>42914</c:v>
                </c:pt>
                <c:pt idx="1838">
                  <c:v>42915</c:v>
                </c:pt>
                <c:pt idx="1839">
                  <c:v>42916</c:v>
                </c:pt>
                <c:pt idx="1840">
                  <c:v>42919</c:v>
                </c:pt>
                <c:pt idx="1841">
                  <c:v>42921</c:v>
                </c:pt>
                <c:pt idx="1842">
                  <c:v>42922</c:v>
                </c:pt>
                <c:pt idx="1843">
                  <c:v>42923</c:v>
                </c:pt>
                <c:pt idx="1844">
                  <c:v>42926</c:v>
                </c:pt>
                <c:pt idx="1845">
                  <c:v>42927</c:v>
                </c:pt>
                <c:pt idx="1846">
                  <c:v>42928</c:v>
                </c:pt>
                <c:pt idx="1847">
                  <c:v>42929</c:v>
                </c:pt>
                <c:pt idx="1848">
                  <c:v>42930</c:v>
                </c:pt>
                <c:pt idx="1849">
                  <c:v>42933</c:v>
                </c:pt>
                <c:pt idx="1850">
                  <c:v>42934</c:v>
                </c:pt>
                <c:pt idx="1851">
                  <c:v>42935</c:v>
                </c:pt>
                <c:pt idx="1852">
                  <c:v>42936</c:v>
                </c:pt>
                <c:pt idx="1853">
                  <c:v>42937</c:v>
                </c:pt>
                <c:pt idx="1854">
                  <c:v>42940</c:v>
                </c:pt>
                <c:pt idx="1855">
                  <c:v>42941</c:v>
                </c:pt>
                <c:pt idx="1856">
                  <c:v>42942</c:v>
                </c:pt>
                <c:pt idx="1857">
                  <c:v>42943</c:v>
                </c:pt>
                <c:pt idx="1858">
                  <c:v>42944</c:v>
                </c:pt>
                <c:pt idx="1859">
                  <c:v>42947</c:v>
                </c:pt>
                <c:pt idx="1860">
                  <c:v>42948</c:v>
                </c:pt>
                <c:pt idx="1861">
                  <c:v>42949</c:v>
                </c:pt>
                <c:pt idx="1862">
                  <c:v>42950</c:v>
                </c:pt>
                <c:pt idx="1863">
                  <c:v>42951</c:v>
                </c:pt>
                <c:pt idx="1864">
                  <c:v>42954</c:v>
                </c:pt>
                <c:pt idx="1865">
                  <c:v>42955</c:v>
                </c:pt>
                <c:pt idx="1866">
                  <c:v>42956</c:v>
                </c:pt>
                <c:pt idx="1867">
                  <c:v>42957</c:v>
                </c:pt>
                <c:pt idx="1868">
                  <c:v>42958</c:v>
                </c:pt>
                <c:pt idx="1869">
                  <c:v>42961</c:v>
                </c:pt>
                <c:pt idx="1870">
                  <c:v>42962</c:v>
                </c:pt>
                <c:pt idx="1871">
                  <c:v>42963</c:v>
                </c:pt>
                <c:pt idx="1872">
                  <c:v>42964</c:v>
                </c:pt>
                <c:pt idx="1873">
                  <c:v>42965</c:v>
                </c:pt>
                <c:pt idx="1874">
                  <c:v>42968</c:v>
                </c:pt>
                <c:pt idx="1875">
                  <c:v>42969</c:v>
                </c:pt>
                <c:pt idx="1876">
                  <c:v>42970</c:v>
                </c:pt>
                <c:pt idx="1877">
                  <c:v>42971</c:v>
                </c:pt>
                <c:pt idx="1878">
                  <c:v>42972</c:v>
                </c:pt>
                <c:pt idx="1879">
                  <c:v>42975</c:v>
                </c:pt>
                <c:pt idx="1880">
                  <c:v>42976</c:v>
                </c:pt>
                <c:pt idx="1881">
                  <c:v>42977</c:v>
                </c:pt>
                <c:pt idx="1882">
                  <c:v>42978</c:v>
                </c:pt>
                <c:pt idx="1883">
                  <c:v>42979</c:v>
                </c:pt>
                <c:pt idx="1884">
                  <c:v>42983</c:v>
                </c:pt>
                <c:pt idx="1885">
                  <c:v>42984</c:v>
                </c:pt>
                <c:pt idx="1886">
                  <c:v>42985</c:v>
                </c:pt>
                <c:pt idx="1887">
                  <c:v>42986</c:v>
                </c:pt>
                <c:pt idx="1888">
                  <c:v>42989</c:v>
                </c:pt>
                <c:pt idx="1889">
                  <c:v>42990</c:v>
                </c:pt>
                <c:pt idx="1890">
                  <c:v>42991</c:v>
                </c:pt>
                <c:pt idx="1891">
                  <c:v>42992</c:v>
                </c:pt>
                <c:pt idx="1892">
                  <c:v>42993</c:v>
                </c:pt>
                <c:pt idx="1893">
                  <c:v>42996</c:v>
                </c:pt>
                <c:pt idx="1894">
                  <c:v>42997</c:v>
                </c:pt>
                <c:pt idx="1895">
                  <c:v>42998</c:v>
                </c:pt>
                <c:pt idx="1896">
                  <c:v>42999</c:v>
                </c:pt>
                <c:pt idx="1897">
                  <c:v>43000</c:v>
                </c:pt>
                <c:pt idx="1898">
                  <c:v>43003</c:v>
                </c:pt>
                <c:pt idx="1899">
                  <c:v>43004</c:v>
                </c:pt>
                <c:pt idx="1900">
                  <c:v>43005</c:v>
                </c:pt>
                <c:pt idx="1901">
                  <c:v>43006</c:v>
                </c:pt>
                <c:pt idx="1902">
                  <c:v>43007</c:v>
                </c:pt>
                <c:pt idx="1903">
                  <c:v>43010</c:v>
                </c:pt>
                <c:pt idx="1904">
                  <c:v>43011</c:v>
                </c:pt>
                <c:pt idx="1905">
                  <c:v>43012</c:v>
                </c:pt>
                <c:pt idx="1906">
                  <c:v>43013</c:v>
                </c:pt>
                <c:pt idx="1907">
                  <c:v>43014</c:v>
                </c:pt>
                <c:pt idx="1908">
                  <c:v>43017</c:v>
                </c:pt>
                <c:pt idx="1909">
                  <c:v>43018</c:v>
                </c:pt>
                <c:pt idx="1910">
                  <c:v>43019</c:v>
                </c:pt>
                <c:pt idx="1911">
                  <c:v>43020</c:v>
                </c:pt>
                <c:pt idx="1912">
                  <c:v>43021</c:v>
                </c:pt>
                <c:pt idx="1913">
                  <c:v>43024</c:v>
                </c:pt>
                <c:pt idx="1914">
                  <c:v>43025</c:v>
                </c:pt>
                <c:pt idx="1915">
                  <c:v>43026</c:v>
                </c:pt>
                <c:pt idx="1916">
                  <c:v>43027</c:v>
                </c:pt>
                <c:pt idx="1917">
                  <c:v>43028</c:v>
                </c:pt>
                <c:pt idx="1918">
                  <c:v>43031</c:v>
                </c:pt>
                <c:pt idx="1919">
                  <c:v>43032</c:v>
                </c:pt>
                <c:pt idx="1920">
                  <c:v>43033</c:v>
                </c:pt>
                <c:pt idx="1921">
                  <c:v>43034</c:v>
                </c:pt>
                <c:pt idx="1922">
                  <c:v>43035</c:v>
                </c:pt>
                <c:pt idx="1923">
                  <c:v>43038</c:v>
                </c:pt>
                <c:pt idx="1924">
                  <c:v>43039</c:v>
                </c:pt>
                <c:pt idx="1925">
                  <c:v>43040</c:v>
                </c:pt>
                <c:pt idx="1926">
                  <c:v>43041</c:v>
                </c:pt>
                <c:pt idx="1927">
                  <c:v>43042</c:v>
                </c:pt>
                <c:pt idx="1928">
                  <c:v>43045</c:v>
                </c:pt>
                <c:pt idx="1929">
                  <c:v>43046</c:v>
                </c:pt>
                <c:pt idx="1930">
                  <c:v>43047</c:v>
                </c:pt>
                <c:pt idx="1931">
                  <c:v>43048</c:v>
                </c:pt>
                <c:pt idx="1932">
                  <c:v>43049</c:v>
                </c:pt>
                <c:pt idx="1933">
                  <c:v>43052</c:v>
                </c:pt>
                <c:pt idx="1934">
                  <c:v>43053</c:v>
                </c:pt>
                <c:pt idx="1935">
                  <c:v>43054</c:v>
                </c:pt>
                <c:pt idx="1936">
                  <c:v>43055</c:v>
                </c:pt>
                <c:pt idx="1937">
                  <c:v>43056</c:v>
                </c:pt>
                <c:pt idx="1938">
                  <c:v>43059</c:v>
                </c:pt>
                <c:pt idx="1939">
                  <c:v>43060</c:v>
                </c:pt>
                <c:pt idx="1940">
                  <c:v>43061</c:v>
                </c:pt>
                <c:pt idx="1941">
                  <c:v>43063</c:v>
                </c:pt>
                <c:pt idx="1942">
                  <c:v>43066</c:v>
                </c:pt>
                <c:pt idx="1943">
                  <c:v>43067</c:v>
                </c:pt>
                <c:pt idx="1944">
                  <c:v>43068</c:v>
                </c:pt>
                <c:pt idx="1945">
                  <c:v>43069</c:v>
                </c:pt>
                <c:pt idx="1946">
                  <c:v>43070</c:v>
                </c:pt>
                <c:pt idx="1947">
                  <c:v>43073</c:v>
                </c:pt>
                <c:pt idx="1948">
                  <c:v>43074</c:v>
                </c:pt>
                <c:pt idx="1949">
                  <c:v>43075</c:v>
                </c:pt>
                <c:pt idx="1950">
                  <c:v>43076</c:v>
                </c:pt>
                <c:pt idx="1951">
                  <c:v>43077</c:v>
                </c:pt>
                <c:pt idx="1952">
                  <c:v>43080</c:v>
                </c:pt>
                <c:pt idx="1953">
                  <c:v>43081</c:v>
                </c:pt>
                <c:pt idx="1954">
                  <c:v>43082</c:v>
                </c:pt>
                <c:pt idx="1955">
                  <c:v>43083</c:v>
                </c:pt>
                <c:pt idx="1956">
                  <c:v>43084</c:v>
                </c:pt>
                <c:pt idx="1957">
                  <c:v>43087</c:v>
                </c:pt>
                <c:pt idx="1958">
                  <c:v>43088</c:v>
                </c:pt>
                <c:pt idx="1959">
                  <c:v>43089</c:v>
                </c:pt>
                <c:pt idx="1960">
                  <c:v>43090</c:v>
                </c:pt>
                <c:pt idx="1961">
                  <c:v>43091</c:v>
                </c:pt>
                <c:pt idx="1962">
                  <c:v>43095</c:v>
                </c:pt>
                <c:pt idx="1963">
                  <c:v>43096</c:v>
                </c:pt>
                <c:pt idx="1964">
                  <c:v>43097</c:v>
                </c:pt>
                <c:pt idx="1965">
                  <c:v>43098</c:v>
                </c:pt>
                <c:pt idx="1966">
                  <c:v>43102</c:v>
                </c:pt>
                <c:pt idx="1967">
                  <c:v>43103</c:v>
                </c:pt>
                <c:pt idx="1968">
                  <c:v>43104</c:v>
                </c:pt>
                <c:pt idx="1969">
                  <c:v>43105</c:v>
                </c:pt>
                <c:pt idx="1970">
                  <c:v>43108</c:v>
                </c:pt>
                <c:pt idx="1971">
                  <c:v>43109</c:v>
                </c:pt>
                <c:pt idx="1972">
                  <c:v>43110</c:v>
                </c:pt>
                <c:pt idx="1973">
                  <c:v>43111</c:v>
                </c:pt>
                <c:pt idx="1974">
                  <c:v>43112</c:v>
                </c:pt>
                <c:pt idx="1975">
                  <c:v>43116</c:v>
                </c:pt>
                <c:pt idx="1976">
                  <c:v>43117</c:v>
                </c:pt>
                <c:pt idx="1977">
                  <c:v>43118</c:v>
                </c:pt>
                <c:pt idx="1978">
                  <c:v>43119</c:v>
                </c:pt>
                <c:pt idx="1979">
                  <c:v>43122</c:v>
                </c:pt>
                <c:pt idx="1980">
                  <c:v>43123</c:v>
                </c:pt>
                <c:pt idx="1981">
                  <c:v>43124</c:v>
                </c:pt>
                <c:pt idx="1982">
                  <c:v>43125</c:v>
                </c:pt>
                <c:pt idx="1983">
                  <c:v>43126</c:v>
                </c:pt>
                <c:pt idx="1984">
                  <c:v>43129</c:v>
                </c:pt>
                <c:pt idx="1985">
                  <c:v>43130</c:v>
                </c:pt>
                <c:pt idx="1986">
                  <c:v>43131</c:v>
                </c:pt>
                <c:pt idx="1987">
                  <c:v>43132</c:v>
                </c:pt>
                <c:pt idx="1988">
                  <c:v>43133</c:v>
                </c:pt>
                <c:pt idx="1989">
                  <c:v>43136</c:v>
                </c:pt>
                <c:pt idx="1990">
                  <c:v>43137</c:v>
                </c:pt>
                <c:pt idx="1991">
                  <c:v>43138</c:v>
                </c:pt>
                <c:pt idx="1992">
                  <c:v>43139</c:v>
                </c:pt>
                <c:pt idx="1993">
                  <c:v>43140</c:v>
                </c:pt>
                <c:pt idx="1994">
                  <c:v>43143</c:v>
                </c:pt>
                <c:pt idx="1995">
                  <c:v>43144</c:v>
                </c:pt>
                <c:pt idx="1996">
                  <c:v>43145</c:v>
                </c:pt>
                <c:pt idx="1997">
                  <c:v>43146</c:v>
                </c:pt>
                <c:pt idx="1998">
                  <c:v>43147</c:v>
                </c:pt>
                <c:pt idx="1999">
                  <c:v>43151</c:v>
                </c:pt>
                <c:pt idx="2000">
                  <c:v>43152</c:v>
                </c:pt>
                <c:pt idx="2001">
                  <c:v>43153</c:v>
                </c:pt>
                <c:pt idx="2002">
                  <c:v>43154</c:v>
                </c:pt>
                <c:pt idx="2003">
                  <c:v>43157</c:v>
                </c:pt>
                <c:pt idx="2004">
                  <c:v>43158</c:v>
                </c:pt>
                <c:pt idx="2005">
                  <c:v>43159</c:v>
                </c:pt>
                <c:pt idx="2006">
                  <c:v>43160</c:v>
                </c:pt>
                <c:pt idx="2007">
                  <c:v>43161</c:v>
                </c:pt>
                <c:pt idx="2008">
                  <c:v>43164</c:v>
                </c:pt>
                <c:pt idx="2009">
                  <c:v>43165</c:v>
                </c:pt>
                <c:pt idx="2010">
                  <c:v>43166</c:v>
                </c:pt>
                <c:pt idx="2011">
                  <c:v>43167</c:v>
                </c:pt>
                <c:pt idx="2012">
                  <c:v>43168</c:v>
                </c:pt>
                <c:pt idx="2013">
                  <c:v>43171</c:v>
                </c:pt>
                <c:pt idx="2014">
                  <c:v>43172</c:v>
                </c:pt>
                <c:pt idx="2015">
                  <c:v>43173</c:v>
                </c:pt>
                <c:pt idx="2016">
                  <c:v>43174</c:v>
                </c:pt>
                <c:pt idx="2017">
                  <c:v>43175</c:v>
                </c:pt>
                <c:pt idx="2018">
                  <c:v>43178</c:v>
                </c:pt>
                <c:pt idx="2019">
                  <c:v>43179</c:v>
                </c:pt>
                <c:pt idx="2020">
                  <c:v>43180</c:v>
                </c:pt>
                <c:pt idx="2021">
                  <c:v>43181</c:v>
                </c:pt>
                <c:pt idx="2022">
                  <c:v>43182</c:v>
                </c:pt>
                <c:pt idx="2023">
                  <c:v>43185</c:v>
                </c:pt>
                <c:pt idx="2024">
                  <c:v>43186</c:v>
                </c:pt>
                <c:pt idx="2025">
                  <c:v>43187</c:v>
                </c:pt>
                <c:pt idx="2026">
                  <c:v>43188</c:v>
                </c:pt>
                <c:pt idx="2027">
                  <c:v>43192</c:v>
                </c:pt>
                <c:pt idx="2028">
                  <c:v>43193</c:v>
                </c:pt>
                <c:pt idx="2029">
                  <c:v>43194</c:v>
                </c:pt>
                <c:pt idx="2030">
                  <c:v>43195</c:v>
                </c:pt>
                <c:pt idx="2031">
                  <c:v>43196</c:v>
                </c:pt>
                <c:pt idx="2032">
                  <c:v>43199</c:v>
                </c:pt>
                <c:pt idx="2033">
                  <c:v>43200</c:v>
                </c:pt>
                <c:pt idx="2034">
                  <c:v>43201</c:v>
                </c:pt>
                <c:pt idx="2035">
                  <c:v>43202</c:v>
                </c:pt>
                <c:pt idx="2036">
                  <c:v>43203</c:v>
                </c:pt>
                <c:pt idx="2037">
                  <c:v>43206</c:v>
                </c:pt>
                <c:pt idx="2038">
                  <c:v>43207</c:v>
                </c:pt>
                <c:pt idx="2039">
                  <c:v>43208</c:v>
                </c:pt>
                <c:pt idx="2040">
                  <c:v>43209</c:v>
                </c:pt>
                <c:pt idx="2041">
                  <c:v>43210</c:v>
                </c:pt>
                <c:pt idx="2042">
                  <c:v>43213</c:v>
                </c:pt>
                <c:pt idx="2043">
                  <c:v>43214</c:v>
                </c:pt>
                <c:pt idx="2044">
                  <c:v>43215</c:v>
                </c:pt>
                <c:pt idx="2045">
                  <c:v>43216</c:v>
                </c:pt>
                <c:pt idx="2046">
                  <c:v>43217</c:v>
                </c:pt>
                <c:pt idx="2047">
                  <c:v>43220</c:v>
                </c:pt>
                <c:pt idx="2048">
                  <c:v>43221</c:v>
                </c:pt>
                <c:pt idx="2049">
                  <c:v>43222</c:v>
                </c:pt>
                <c:pt idx="2050">
                  <c:v>43223</c:v>
                </c:pt>
                <c:pt idx="2051">
                  <c:v>43224</c:v>
                </c:pt>
                <c:pt idx="2052">
                  <c:v>43227</c:v>
                </c:pt>
                <c:pt idx="2053">
                  <c:v>43228</c:v>
                </c:pt>
                <c:pt idx="2054">
                  <c:v>43229</c:v>
                </c:pt>
                <c:pt idx="2055">
                  <c:v>43230</c:v>
                </c:pt>
                <c:pt idx="2056">
                  <c:v>43231</c:v>
                </c:pt>
                <c:pt idx="2057">
                  <c:v>43234</c:v>
                </c:pt>
                <c:pt idx="2058">
                  <c:v>43235</c:v>
                </c:pt>
                <c:pt idx="2059">
                  <c:v>43236</c:v>
                </c:pt>
                <c:pt idx="2060">
                  <c:v>43237</c:v>
                </c:pt>
                <c:pt idx="2061">
                  <c:v>43238</c:v>
                </c:pt>
                <c:pt idx="2062">
                  <c:v>43241</c:v>
                </c:pt>
                <c:pt idx="2063">
                  <c:v>43242</c:v>
                </c:pt>
                <c:pt idx="2064">
                  <c:v>43243</c:v>
                </c:pt>
                <c:pt idx="2065">
                  <c:v>43244</c:v>
                </c:pt>
                <c:pt idx="2066">
                  <c:v>43245</c:v>
                </c:pt>
                <c:pt idx="2067">
                  <c:v>43249</c:v>
                </c:pt>
                <c:pt idx="2068">
                  <c:v>43250</c:v>
                </c:pt>
                <c:pt idx="2069">
                  <c:v>43251</c:v>
                </c:pt>
                <c:pt idx="2070">
                  <c:v>43252</c:v>
                </c:pt>
                <c:pt idx="2071">
                  <c:v>43255</c:v>
                </c:pt>
                <c:pt idx="2072">
                  <c:v>43256</c:v>
                </c:pt>
                <c:pt idx="2073">
                  <c:v>43257</c:v>
                </c:pt>
                <c:pt idx="2074">
                  <c:v>43258</c:v>
                </c:pt>
                <c:pt idx="2075">
                  <c:v>43259</c:v>
                </c:pt>
                <c:pt idx="2076">
                  <c:v>43262</c:v>
                </c:pt>
                <c:pt idx="2077">
                  <c:v>43263</c:v>
                </c:pt>
                <c:pt idx="2078">
                  <c:v>43264</c:v>
                </c:pt>
                <c:pt idx="2079">
                  <c:v>43265</c:v>
                </c:pt>
                <c:pt idx="2080">
                  <c:v>43266</c:v>
                </c:pt>
                <c:pt idx="2081">
                  <c:v>43269</c:v>
                </c:pt>
                <c:pt idx="2082">
                  <c:v>43270</c:v>
                </c:pt>
                <c:pt idx="2083">
                  <c:v>43271</c:v>
                </c:pt>
                <c:pt idx="2084">
                  <c:v>43272</c:v>
                </c:pt>
                <c:pt idx="2085">
                  <c:v>43273</c:v>
                </c:pt>
                <c:pt idx="2086">
                  <c:v>43276</c:v>
                </c:pt>
                <c:pt idx="2087">
                  <c:v>43277</c:v>
                </c:pt>
                <c:pt idx="2088">
                  <c:v>43278</c:v>
                </c:pt>
                <c:pt idx="2089">
                  <c:v>43279</c:v>
                </c:pt>
                <c:pt idx="2090">
                  <c:v>43280</c:v>
                </c:pt>
                <c:pt idx="2091">
                  <c:v>43283</c:v>
                </c:pt>
                <c:pt idx="2092">
                  <c:v>43284</c:v>
                </c:pt>
                <c:pt idx="2093">
                  <c:v>43286</c:v>
                </c:pt>
                <c:pt idx="2094">
                  <c:v>43287</c:v>
                </c:pt>
                <c:pt idx="2095">
                  <c:v>43290</c:v>
                </c:pt>
                <c:pt idx="2096">
                  <c:v>43291</c:v>
                </c:pt>
                <c:pt idx="2097">
                  <c:v>43292</c:v>
                </c:pt>
                <c:pt idx="2098">
                  <c:v>43293</c:v>
                </c:pt>
                <c:pt idx="2099">
                  <c:v>43294</c:v>
                </c:pt>
                <c:pt idx="2100">
                  <c:v>43297</c:v>
                </c:pt>
                <c:pt idx="2101">
                  <c:v>43298</c:v>
                </c:pt>
                <c:pt idx="2102">
                  <c:v>43299</c:v>
                </c:pt>
                <c:pt idx="2103">
                  <c:v>43300</c:v>
                </c:pt>
                <c:pt idx="2104">
                  <c:v>43301</c:v>
                </c:pt>
                <c:pt idx="2105">
                  <c:v>43304</c:v>
                </c:pt>
                <c:pt idx="2106">
                  <c:v>43305</c:v>
                </c:pt>
                <c:pt idx="2107">
                  <c:v>43306</c:v>
                </c:pt>
                <c:pt idx="2108">
                  <c:v>43307</c:v>
                </c:pt>
                <c:pt idx="2109">
                  <c:v>43308</c:v>
                </c:pt>
                <c:pt idx="2110">
                  <c:v>43311</c:v>
                </c:pt>
                <c:pt idx="2111">
                  <c:v>43312</c:v>
                </c:pt>
                <c:pt idx="2112">
                  <c:v>43313</c:v>
                </c:pt>
                <c:pt idx="2113">
                  <c:v>43314</c:v>
                </c:pt>
                <c:pt idx="2114">
                  <c:v>43315</c:v>
                </c:pt>
                <c:pt idx="2115">
                  <c:v>43318</c:v>
                </c:pt>
                <c:pt idx="2116">
                  <c:v>43319</c:v>
                </c:pt>
                <c:pt idx="2117">
                  <c:v>43320</c:v>
                </c:pt>
                <c:pt idx="2118">
                  <c:v>43321</c:v>
                </c:pt>
                <c:pt idx="2119">
                  <c:v>43322</c:v>
                </c:pt>
                <c:pt idx="2120">
                  <c:v>43325</c:v>
                </c:pt>
                <c:pt idx="2121">
                  <c:v>43326</c:v>
                </c:pt>
                <c:pt idx="2122">
                  <c:v>43327</c:v>
                </c:pt>
                <c:pt idx="2123">
                  <c:v>43328</c:v>
                </c:pt>
                <c:pt idx="2124">
                  <c:v>43329</c:v>
                </c:pt>
                <c:pt idx="2125">
                  <c:v>43332</c:v>
                </c:pt>
                <c:pt idx="2126">
                  <c:v>43333</c:v>
                </c:pt>
                <c:pt idx="2127">
                  <c:v>43334</c:v>
                </c:pt>
                <c:pt idx="2128">
                  <c:v>43335</c:v>
                </c:pt>
                <c:pt idx="2129">
                  <c:v>43336</c:v>
                </c:pt>
                <c:pt idx="2130">
                  <c:v>43339</c:v>
                </c:pt>
                <c:pt idx="2131">
                  <c:v>43340</c:v>
                </c:pt>
                <c:pt idx="2132">
                  <c:v>43341</c:v>
                </c:pt>
                <c:pt idx="2133">
                  <c:v>43342</c:v>
                </c:pt>
                <c:pt idx="2134">
                  <c:v>43343</c:v>
                </c:pt>
                <c:pt idx="2135">
                  <c:v>43347</c:v>
                </c:pt>
                <c:pt idx="2136">
                  <c:v>43348</c:v>
                </c:pt>
                <c:pt idx="2137">
                  <c:v>43349</c:v>
                </c:pt>
                <c:pt idx="2138">
                  <c:v>43350</c:v>
                </c:pt>
                <c:pt idx="2139">
                  <c:v>43353</c:v>
                </c:pt>
                <c:pt idx="2140">
                  <c:v>43354</c:v>
                </c:pt>
                <c:pt idx="2141">
                  <c:v>43355</c:v>
                </c:pt>
                <c:pt idx="2142">
                  <c:v>43356</c:v>
                </c:pt>
                <c:pt idx="2143">
                  <c:v>43357</c:v>
                </c:pt>
                <c:pt idx="2144">
                  <c:v>43360</c:v>
                </c:pt>
                <c:pt idx="2145">
                  <c:v>43361</c:v>
                </c:pt>
                <c:pt idx="2146">
                  <c:v>43362</c:v>
                </c:pt>
                <c:pt idx="2147">
                  <c:v>43363</c:v>
                </c:pt>
                <c:pt idx="2148">
                  <c:v>43364</c:v>
                </c:pt>
                <c:pt idx="2149">
                  <c:v>43367</c:v>
                </c:pt>
                <c:pt idx="2150">
                  <c:v>43368</c:v>
                </c:pt>
                <c:pt idx="2151">
                  <c:v>43369</c:v>
                </c:pt>
                <c:pt idx="2152">
                  <c:v>43370</c:v>
                </c:pt>
                <c:pt idx="2153">
                  <c:v>43371</c:v>
                </c:pt>
                <c:pt idx="2154">
                  <c:v>43374</c:v>
                </c:pt>
                <c:pt idx="2155">
                  <c:v>43375</c:v>
                </c:pt>
                <c:pt idx="2156">
                  <c:v>43376</c:v>
                </c:pt>
                <c:pt idx="2157">
                  <c:v>43377</c:v>
                </c:pt>
                <c:pt idx="2158">
                  <c:v>43378</c:v>
                </c:pt>
                <c:pt idx="2159">
                  <c:v>43381</c:v>
                </c:pt>
                <c:pt idx="2160">
                  <c:v>43382</c:v>
                </c:pt>
                <c:pt idx="2161">
                  <c:v>43383</c:v>
                </c:pt>
                <c:pt idx="2162">
                  <c:v>43384</c:v>
                </c:pt>
                <c:pt idx="2163">
                  <c:v>43385</c:v>
                </c:pt>
                <c:pt idx="2164">
                  <c:v>43388</c:v>
                </c:pt>
                <c:pt idx="2165">
                  <c:v>43389</c:v>
                </c:pt>
                <c:pt idx="2166">
                  <c:v>43390</c:v>
                </c:pt>
                <c:pt idx="2167">
                  <c:v>43391</c:v>
                </c:pt>
                <c:pt idx="2168">
                  <c:v>43392</c:v>
                </c:pt>
                <c:pt idx="2169">
                  <c:v>43395</c:v>
                </c:pt>
                <c:pt idx="2170">
                  <c:v>43396</c:v>
                </c:pt>
                <c:pt idx="2171">
                  <c:v>43397</c:v>
                </c:pt>
                <c:pt idx="2172">
                  <c:v>43398</c:v>
                </c:pt>
                <c:pt idx="2173">
                  <c:v>43399</c:v>
                </c:pt>
                <c:pt idx="2174">
                  <c:v>43402</c:v>
                </c:pt>
                <c:pt idx="2175">
                  <c:v>43403</c:v>
                </c:pt>
                <c:pt idx="2176">
                  <c:v>43404</c:v>
                </c:pt>
                <c:pt idx="2177">
                  <c:v>43405</c:v>
                </c:pt>
                <c:pt idx="2178">
                  <c:v>43406</c:v>
                </c:pt>
                <c:pt idx="2179">
                  <c:v>43409</c:v>
                </c:pt>
                <c:pt idx="2180">
                  <c:v>43410</c:v>
                </c:pt>
                <c:pt idx="2181">
                  <c:v>43411</c:v>
                </c:pt>
                <c:pt idx="2182">
                  <c:v>43412</c:v>
                </c:pt>
                <c:pt idx="2183">
                  <c:v>43413</c:v>
                </c:pt>
                <c:pt idx="2184">
                  <c:v>43416</c:v>
                </c:pt>
                <c:pt idx="2185">
                  <c:v>43417</c:v>
                </c:pt>
                <c:pt idx="2186">
                  <c:v>43418</c:v>
                </c:pt>
                <c:pt idx="2187">
                  <c:v>43419</c:v>
                </c:pt>
                <c:pt idx="2188">
                  <c:v>43420</c:v>
                </c:pt>
                <c:pt idx="2189">
                  <c:v>43423</c:v>
                </c:pt>
                <c:pt idx="2190">
                  <c:v>43424</c:v>
                </c:pt>
                <c:pt idx="2191">
                  <c:v>43425</c:v>
                </c:pt>
                <c:pt idx="2192">
                  <c:v>43427</c:v>
                </c:pt>
                <c:pt idx="2193">
                  <c:v>43430</c:v>
                </c:pt>
                <c:pt idx="2194">
                  <c:v>43431</c:v>
                </c:pt>
                <c:pt idx="2195">
                  <c:v>43432</c:v>
                </c:pt>
                <c:pt idx="2196">
                  <c:v>43433</c:v>
                </c:pt>
                <c:pt idx="2197">
                  <c:v>43434</c:v>
                </c:pt>
                <c:pt idx="2198">
                  <c:v>43437</c:v>
                </c:pt>
                <c:pt idx="2199">
                  <c:v>43438</c:v>
                </c:pt>
                <c:pt idx="2200">
                  <c:v>43440</c:v>
                </c:pt>
                <c:pt idx="2201">
                  <c:v>43441</c:v>
                </c:pt>
                <c:pt idx="2202">
                  <c:v>43444</c:v>
                </c:pt>
                <c:pt idx="2203">
                  <c:v>43445</c:v>
                </c:pt>
                <c:pt idx="2204">
                  <c:v>43446</c:v>
                </c:pt>
                <c:pt idx="2205">
                  <c:v>43447</c:v>
                </c:pt>
                <c:pt idx="2206">
                  <c:v>43448</c:v>
                </c:pt>
                <c:pt idx="2207">
                  <c:v>43451</c:v>
                </c:pt>
                <c:pt idx="2208">
                  <c:v>43452</c:v>
                </c:pt>
                <c:pt idx="2209">
                  <c:v>43453</c:v>
                </c:pt>
                <c:pt idx="2210">
                  <c:v>43454</c:v>
                </c:pt>
                <c:pt idx="2211">
                  <c:v>43455</c:v>
                </c:pt>
                <c:pt idx="2212">
                  <c:v>43458</c:v>
                </c:pt>
                <c:pt idx="2213">
                  <c:v>43460</c:v>
                </c:pt>
                <c:pt idx="2214">
                  <c:v>43461</c:v>
                </c:pt>
                <c:pt idx="2215">
                  <c:v>43462</c:v>
                </c:pt>
                <c:pt idx="2216">
                  <c:v>43465</c:v>
                </c:pt>
                <c:pt idx="2217">
                  <c:v>43467</c:v>
                </c:pt>
                <c:pt idx="2218">
                  <c:v>43468</c:v>
                </c:pt>
                <c:pt idx="2219">
                  <c:v>43469</c:v>
                </c:pt>
                <c:pt idx="2220">
                  <c:v>43472</c:v>
                </c:pt>
                <c:pt idx="2221">
                  <c:v>43473</c:v>
                </c:pt>
                <c:pt idx="2222">
                  <c:v>43474</c:v>
                </c:pt>
                <c:pt idx="2223">
                  <c:v>43475</c:v>
                </c:pt>
                <c:pt idx="2224">
                  <c:v>43476</c:v>
                </c:pt>
                <c:pt idx="2225">
                  <c:v>43479</c:v>
                </c:pt>
                <c:pt idx="2226">
                  <c:v>43480</c:v>
                </c:pt>
                <c:pt idx="2227">
                  <c:v>43481</c:v>
                </c:pt>
                <c:pt idx="2228">
                  <c:v>43482</c:v>
                </c:pt>
                <c:pt idx="2229">
                  <c:v>43483</c:v>
                </c:pt>
                <c:pt idx="2230">
                  <c:v>43487</c:v>
                </c:pt>
                <c:pt idx="2231">
                  <c:v>43488</c:v>
                </c:pt>
                <c:pt idx="2232">
                  <c:v>43489</c:v>
                </c:pt>
                <c:pt idx="2233">
                  <c:v>43490</c:v>
                </c:pt>
                <c:pt idx="2234">
                  <c:v>43493</c:v>
                </c:pt>
                <c:pt idx="2235">
                  <c:v>43494</c:v>
                </c:pt>
                <c:pt idx="2236">
                  <c:v>43495</c:v>
                </c:pt>
                <c:pt idx="2237">
                  <c:v>43496</c:v>
                </c:pt>
                <c:pt idx="2238">
                  <c:v>43497</c:v>
                </c:pt>
                <c:pt idx="2239">
                  <c:v>43500</c:v>
                </c:pt>
                <c:pt idx="2240">
                  <c:v>43501</c:v>
                </c:pt>
                <c:pt idx="2241">
                  <c:v>43502</c:v>
                </c:pt>
                <c:pt idx="2242">
                  <c:v>43503</c:v>
                </c:pt>
                <c:pt idx="2243">
                  <c:v>43504</c:v>
                </c:pt>
                <c:pt idx="2244">
                  <c:v>43507</c:v>
                </c:pt>
                <c:pt idx="2245">
                  <c:v>43508</c:v>
                </c:pt>
                <c:pt idx="2246">
                  <c:v>43509</c:v>
                </c:pt>
                <c:pt idx="2247">
                  <c:v>43510</c:v>
                </c:pt>
                <c:pt idx="2248">
                  <c:v>43511</c:v>
                </c:pt>
                <c:pt idx="2249">
                  <c:v>43515</c:v>
                </c:pt>
                <c:pt idx="2250">
                  <c:v>43516</c:v>
                </c:pt>
                <c:pt idx="2251">
                  <c:v>43517</c:v>
                </c:pt>
                <c:pt idx="2252">
                  <c:v>43518</c:v>
                </c:pt>
                <c:pt idx="2253">
                  <c:v>43521</c:v>
                </c:pt>
                <c:pt idx="2254">
                  <c:v>43522</c:v>
                </c:pt>
                <c:pt idx="2255">
                  <c:v>43523</c:v>
                </c:pt>
                <c:pt idx="2256">
                  <c:v>43524</c:v>
                </c:pt>
                <c:pt idx="2257">
                  <c:v>43525</c:v>
                </c:pt>
                <c:pt idx="2258">
                  <c:v>43528</c:v>
                </c:pt>
                <c:pt idx="2259">
                  <c:v>43529</c:v>
                </c:pt>
                <c:pt idx="2260">
                  <c:v>43530</c:v>
                </c:pt>
                <c:pt idx="2261">
                  <c:v>43531</c:v>
                </c:pt>
                <c:pt idx="2262">
                  <c:v>43532</c:v>
                </c:pt>
                <c:pt idx="2263">
                  <c:v>43535</c:v>
                </c:pt>
                <c:pt idx="2264">
                  <c:v>43536</c:v>
                </c:pt>
                <c:pt idx="2265">
                  <c:v>43537</c:v>
                </c:pt>
                <c:pt idx="2266">
                  <c:v>43538</c:v>
                </c:pt>
                <c:pt idx="2267">
                  <c:v>43539</c:v>
                </c:pt>
                <c:pt idx="2268">
                  <c:v>43542</c:v>
                </c:pt>
                <c:pt idx="2269">
                  <c:v>43543</c:v>
                </c:pt>
                <c:pt idx="2270">
                  <c:v>43544</c:v>
                </c:pt>
                <c:pt idx="2271">
                  <c:v>43545</c:v>
                </c:pt>
                <c:pt idx="2272">
                  <c:v>43546</c:v>
                </c:pt>
                <c:pt idx="2273">
                  <c:v>43549</c:v>
                </c:pt>
                <c:pt idx="2274">
                  <c:v>43550</c:v>
                </c:pt>
                <c:pt idx="2275">
                  <c:v>43551</c:v>
                </c:pt>
                <c:pt idx="2276">
                  <c:v>43552</c:v>
                </c:pt>
                <c:pt idx="2277">
                  <c:v>43553</c:v>
                </c:pt>
                <c:pt idx="2278">
                  <c:v>43556</c:v>
                </c:pt>
                <c:pt idx="2279">
                  <c:v>43557</c:v>
                </c:pt>
                <c:pt idx="2280">
                  <c:v>43558</c:v>
                </c:pt>
                <c:pt idx="2281">
                  <c:v>43559</c:v>
                </c:pt>
                <c:pt idx="2282">
                  <c:v>43560</c:v>
                </c:pt>
                <c:pt idx="2283">
                  <c:v>43563</c:v>
                </c:pt>
                <c:pt idx="2284">
                  <c:v>43564</c:v>
                </c:pt>
                <c:pt idx="2285">
                  <c:v>43565</c:v>
                </c:pt>
                <c:pt idx="2286">
                  <c:v>43566</c:v>
                </c:pt>
                <c:pt idx="2287">
                  <c:v>43567</c:v>
                </c:pt>
                <c:pt idx="2288">
                  <c:v>43570</c:v>
                </c:pt>
                <c:pt idx="2289">
                  <c:v>43571</c:v>
                </c:pt>
                <c:pt idx="2290">
                  <c:v>43572</c:v>
                </c:pt>
                <c:pt idx="2291">
                  <c:v>43573</c:v>
                </c:pt>
                <c:pt idx="2292">
                  <c:v>43577</c:v>
                </c:pt>
                <c:pt idx="2293">
                  <c:v>43578</c:v>
                </c:pt>
                <c:pt idx="2294">
                  <c:v>43579</c:v>
                </c:pt>
                <c:pt idx="2295">
                  <c:v>43580</c:v>
                </c:pt>
                <c:pt idx="2296">
                  <c:v>43581</c:v>
                </c:pt>
                <c:pt idx="2297">
                  <c:v>43584</c:v>
                </c:pt>
                <c:pt idx="2298">
                  <c:v>43585</c:v>
                </c:pt>
                <c:pt idx="2299">
                  <c:v>43586</c:v>
                </c:pt>
                <c:pt idx="2300">
                  <c:v>43587</c:v>
                </c:pt>
                <c:pt idx="2301">
                  <c:v>43588</c:v>
                </c:pt>
                <c:pt idx="2302">
                  <c:v>43591</c:v>
                </c:pt>
                <c:pt idx="2303">
                  <c:v>43592</c:v>
                </c:pt>
                <c:pt idx="2304">
                  <c:v>43593</c:v>
                </c:pt>
                <c:pt idx="2305">
                  <c:v>43594</c:v>
                </c:pt>
                <c:pt idx="2306">
                  <c:v>43595</c:v>
                </c:pt>
                <c:pt idx="2307">
                  <c:v>43598</c:v>
                </c:pt>
                <c:pt idx="2308">
                  <c:v>43599</c:v>
                </c:pt>
                <c:pt idx="2309">
                  <c:v>43600</c:v>
                </c:pt>
                <c:pt idx="2310">
                  <c:v>43601</c:v>
                </c:pt>
                <c:pt idx="2311">
                  <c:v>43602</c:v>
                </c:pt>
                <c:pt idx="2312">
                  <c:v>43605</c:v>
                </c:pt>
                <c:pt idx="2313">
                  <c:v>43606</c:v>
                </c:pt>
                <c:pt idx="2314">
                  <c:v>43607</c:v>
                </c:pt>
                <c:pt idx="2315">
                  <c:v>43608</c:v>
                </c:pt>
                <c:pt idx="2316">
                  <c:v>43609</c:v>
                </c:pt>
                <c:pt idx="2317">
                  <c:v>43613</c:v>
                </c:pt>
                <c:pt idx="2318">
                  <c:v>43614</c:v>
                </c:pt>
                <c:pt idx="2319">
                  <c:v>43615</c:v>
                </c:pt>
                <c:pt idx="2320">
                  <c:v>43616</c:v>
                </c:pt>
                <c:pt idx="2321">
                  <c:v>43619</c:v>
                </c:pt>
                <c:pt idx="2322">
                  <c:v>43620</c:v>
                </c:pt>
                <c:pt idx="2323">
                  <c:v>43621</c:v>
                </c:pt>
                <c:pt idx="2324">
                  <c:v>43622</c:v>
                </c:pt>
                <c:pt idx="2325">
                  <c:v>43623</c:v>
                </c:pt>
                <c:pt idx="2326">
                  <c:v>43626</c:v>
                </c:pt>
                <c:pt idx="2327">
                  <c:v>43627</c:v>
                </c:pt>
                <c:pt idx="2328">
                  <c:v>43628</c:v>
                </c:pt>
                <c:pt idx="2329">
                  <c:v>43629</c:v>
                </c:pt>
                <c:pt idx="2330">
                  <c:v>43630</c:v>
                </c:pt>
                <c:pt idx="2331">
                  <c:v>43633</c:v>
                </c:pt>
                <c:pt idx="2332">
                  <c:v>43634</c:v>
                </c:pt>
                <c:pt idx="2333">
                  <c:v>43635</c:v>
                </c:pt>
                <c:pt idx="2334">
                  <c:v>43636</c:v>
                </c:pt>
                <c:pt idx="2335">
                  <c:v>43637</c:v>
                </c:pt>
                <c:pt idx="2336">
                  <c:v>43640</c:v>
                </c:pt>
                <c:pt idx="2337">
                  <c:v>43641</c:v>
                </c:pt>
                <c:pt idx="2338">
                  <c:v>43642</c:v>
                </c:pt>
                <c:pt idx="2339">
                  <c:v>43643</c:v>
                </c:pt>
                <c:pt idx="2340">
                  <c:v>43644</c:v>
                </c:pt>
                <c:pt idx="2341">
                  <c:v>43647</c:v>
                </c:pt>
                <c:pt idx="2342">
                  <c:v>43648</c:v>
                </c:pt>
                <c:pt idx="2343">
                  <c:v>43649</c:v>
                </c:pt>
                <c:pt idx="2344">
                  <c:v>43651</c:v>
                </c:pt>
                <c:pt idx="2345">
                  <c:v>43654</c:v>
                </c:pt>
                <c:pt idx="2346">
                  <c:v>43655</c:v>
                </c:pt>
                <c:pt idx="2347">
                  <c:v>43656</c:v>
                </c:pt>
                <c:pt idx="2348">
                  <c:v>43657</c:v>
                </c:pt>
                <c:pt idx="2349">
                  <c:v>43658</c:v>
                </c:pt>
                <c:pt idx="2350">
                  <c:v>43661</c:v>
                </c:pt>
                <c:pt idx="2351">
                  <c:v>43662</c:v>
                </c:pt>
                <c:pt idx="2352">
                  <c:v>43663</c:v>
                </c:pt>
                <c:pt idx="2353">
                  <c:v>43664</c:v>
                </c:pt>
                <c:pt idx="2354">
                  <c:v>43665</c:v>
                </c:pt>
                <c:pt idx="2355">
                  <c:v>43668</c:v>
                </c:pt>
                <c:pt idx="2356">
                  <c:v>43669</c:v>
                </c:pt>
                <c:pt idx="2357">
                  <c:v>43670</c:v>
                </c:pt>
                <c:pt idx="2358">
                  <c:v>43671</c:v>
                </c:pt>
                <c:pt idx="2359">
                  <c:v>43672</c:v>
                </c:pt>
                <c:pt idx="2360">
                  <c:v>43675</c:v>
                </c:pt>
                <c:pt idx="2361">
                  <c:v>43676</c:v>
                </c:pt>
                <c:pt idx="2362">
                  <c:v>43677</c:v>
                </c:pt>
                <c:pt idx="2363">
                  <c:v>43678</c:v>
                </c:pt>
                <c:pt idx="2364">
                  <c:v>43679</c:v>
                </c:pt>
                <c:pt idx="2365">
                  <c:v>43682</c:v>
                </c:pt>
                <c:pt idx="2366">
                  <c:v>43683</c:v>
                </c:pt>
                <c:pt idx="2367">
                  <c:v>43684</c:v>
                </c:pt>
                <c:pt idx="2368">
                  <c:v>43685</c:v>
                </c:pt>
                <c:pt idx="2369">
                  <c:v>43686</c:v>
                </c:pt>
                <c:pt idx="2370">
                  <c:v>43689</c:v>
                </c:pt>
                <c:pt idx="2371">
                  <c:v>43690</c:v>
                </c:pt>
                <c:pt idx="2372">
                  <c:v>43691</c:v>
                </c:pt>
                <c:pt idx="2373">
                  <c:v>43692</c:v>
                </c:pt>
                <c:pt idx="2374">
                  <c:v>43693</c:v>
                </c:pt>
                <c:pt idx="2375">
                  <c:v>43696</c:v>
                </c:pt>
                <c:pt idx="2376">
                  <c:v>43697</c:v>
                </c:pt>
                <c:pt idx="2377">
                  <c:v>43698</c:v>
                </c:pt>
                <c:pt idx="2378">
                  <c:v>43699</c:v>
                </c:pt>
                <c:pt idx="2379">
                  <c:v>43700</c:v>
                </c:pt>
                <c:pt idx="2380">
                  <c:v>43703</c:v>
                </c:pt>
                <c:pt idx="2381">
                  <c:v>43704</c:v>
                </c:pt>
                <c:pt idx="2382">
                  <c:v>43705</c:v>
                </c:pt>
                <c:pt idx="2383">
                  <c:v>43706</c:v>
                </c:pt>
                <c:pt idx="2384">
                  <c:v>43707</c:v>
                </c:pt>
                <c:pt idx="2385">
                  <c:v>43711</c:v>
                </c:pt>
                <c:pt idx="2386">
                  <c:v>43712</c:v>
                </c:pt>
                <c:pt idx="2387">
                  <c:v>43713</c:v>
                </c:pt>
                <c:pt idx="2388">
                  <c:v>43714</c:v>
                </c:pt>
                <c:pt idx="2389">
                  <c:v>43717</c:v>
                </c:pt>
                <c:pt idx="2390">
                  <c:v>43718</c:v>
                </c:pt>
                <c:pt idx="2391">
                  <c:v>43719</c:v>
                </c:pt>
                <c:pt idx="2392">
                  <c:v>43720</c:v>
                </c:pt>
                <c:pt idx="2393">
                  <c:v>43721</c:v>
                </c:pt>
                <c:pt idx="2394">
                  <c:v>43724</c:v>
                </c:pt>
                <c:pt idx="2395">
                  <c:v>43725</c:v>
                </c:pt>
                <c:pt idx="2396">
                  <c:v>43726</c:v>
                </c:pt>
                <c:pt idx="2397">
                  <c:v>43727</c:v>
                </c:pt>
                <c:pt idx="2398">
                  <c:v>43728</c:v>
                </c:pt>
                <c:pt idx="2399">
                  <c:v>43731</c:v>
                </c:pt>
                <c:pt idx="2400">
                  <c:v>43732</c:v>
                </c:pt>
                <c:pt idx="2401">
                  <c:v>43733</c:v>
                </c:pt>
                <c:pt idx="2402">
                  <c:v>43734</c:v>
                </c:pt>
                <c:pt idx="2403">
                  <c:v>43735</c:v>
                </c:pt>
                <c:pt idx="2404">
                  <c:v>43738</c:v>
                </c:pt>
                <c:pt idx="2405">
                  <c:v>43739</c:v>
                </c:pt>
                <c:pt idx="2406">
                  <c:v>43740</c:v>
                </c:pt>
                <c:pt idx="2407">
                  <c:v>43741</c:v>
                </c:pt>
                <c:pt idx="2408">
                  <c:v>43742</c:v>
                </c:pt>
                <c:pt idx="2409">
                  <c:v>43745</c:v>
                </c:pt>
                <c:pt idx="2410">
                  <c:v>43746</c:v>
                </c:pt>
                <c:pt idx="2411">
                  <c:v>43747</c:v>
                </c:pt>
                <c:pt idx="2412">
                  <c:v>43748</c:v>
                </c:pt>
                <c:pt idx="2413">
                  <c:v>43749</c:v>
                </c:pt>
                <c:pt idx="2414">
                  <c:v>43752</c:v>
                </c:pt>
                <c:pt idx="2415">
                  <c:v>43753</c:v>
                </c:pt>
                <c:pt idx="2416">
                  <c:v>43754</c:v>
                </c:pt>
                <c:pt idx="2417">
                  <c:v>43755</c:v>
                </c:pt>
                <c:pt idx="2418">
                  <c:v>43756</c:v>
                </c:pt>
                <c:pt idx="2419">
                  <c:v>43759</c:v>
                </c:pt>
                <c:pt idx="2420">
                  <c:v>43760</c:v>
                </c:pt>
                <c:pt idx="2421">
                  <c:v>43761</c:v>
                </c:pt>
                <c:pt idx="2422">
                  <c:v>43762</c:v>
                </c:pt>
                <c:pt idx="2423">
                  <c:v>43763</c:v>
                </c:pt>
                <c:pt idx="2424">
                  <c:v>43766</c:v>
                </c:pt>
                <c:pt idx="2425">
                  <c:v>43767</c:v>
                </c:pt>
                <c:pt idx="2426">
                  <c:v>43768</c:v>
                </c:pt>
                <c:pt idx="2427">
                  <c:v>43769</c:v>
                </c:pt>
                <c:pt idx="2428">
                  <c:v>43770</c:v>
                </c:pt>
                <c:pt idx="2429">
                  <c:v>43773</c:v>
                </c:pt>
                <c:pt idx="2430">
                  <c:v>43774</c:v>
                </c:pt>
                <c:pt idx="2431">
                  <c:v>43775</c:v>
                </c:pt>
                <c:pt idx="2432">
                  <c:v>43776</c:v>
                </c:pt>
                <c:pt idx="2433">
                  <c:v>43777</c:v>
                </c:pt>
                <c:pt idx="2434">
                  <c:v>43780</c:v>
                </c:pt>
                <c:pt idx="2435">
                  <c:v>43781</c:v>
                </c:pt>
                <c:pt idx="2436">
                  <c:v>43782</c:v>
                </c:pt>
                <c:pt idx="2437">
                  <c:v>43783</c:v>
                </c:pt>
                <c:pt idx="2438">
                  <c:v>43784</c:v>
                </c:pt>
                <c:pt idx="2439">
                  <c:v>43787</c:v>
                </c:pt>
                <c:pt idx="2440">
                  <c:v>43788</c:v>
                </c:pt>
                <c:pt idx="2441">
                  <c:v>43789</c:v>
                </c:pt>
                <c:pt idx="2442">
                  <c:v>43790</c:v>
                </c:pt>
                <c:pt idx="2443">
                  <c:v>43791</c:v>
                </c:pt>
                <c:pt idx="2444">
                  <c:v>43794</c:v>
                </c:pt>
                <c:pt idx="2445">
                  <c:v>43795</c:v>
                </c:pt>
                <c:pt idx="2446">
                  <c:v>43796</c:v>
                </c:pt>
                <c:pt idx="2447">
                  <c:v>43798</c:v>
                </c:pt>
                <c:pt idx="2448">
                  <c:v>43801</c:v>
                </c:pt>
                <c:pt idx="2449">
                  <c:v>43802</c:v>
                </c:pt>
                <c:pt idx="2450">
                  <c:v>43803</c:v>
                </c:pt>
                <c:pt idx="2451">
                  <c:v>43804</c:v>
                </c:pt>
                <c:pt idx="2452">
                  <c:v>43805</c:v>
                </c:pt>
                <c:pt idx="2453">
                  <c:v>43808</c:v>
                </c:pt>
                <c:pt idx="2454">
                  <c:v>43809</c:v>
                </c:pt>
                <c:pt idx="2455">
                  <c:v>43810</c:v>
                </c:pt>
                <c:pt idx="2456">
                  <c:v>43811</c:v>
                </c:pt>
                <c:pt idx="2457">
                  <c:v>43812</c:v>
                </c:pt>
                <c:pt idx="2458">
                  <c:v>43815</c:v>
                </c:pt>
                <c:pt idx="2459">
                  <c:v>43816</c:v>
                </c:pt>
                <c:pt idx="2460">
                  <c:v>43817</c:v>
                </c:pt>
                <c:pt idx="2461">
                  <c:v>43818</c:v>
                </c:pt>
                <c:pt idx="2462">
                  <c:v>43819</c:v>
                </c:pt>
                <c:pt idx="2463">
                  <c:v>43822</c:v>
                </c:pt>
                <c:pt idx="2464">
                  <c:v>43823</c:v>
                </c:pt>
                <c:pt idx="2465">
                  <c:v>43825</c:v>
                </c:pt>
                <c:pt idx="2466">
                  <c:v>43826</c:v>
                </c:pt>
                <c:pt idx="2467">
                  <c:v>43829</c:v>
                </c:pt>
                <c:pt idx="2468">
                  <c:v>43830</c:v>
                </c:pt>
              </c:numCache>
            </c:numRef>
          </c:cat>
          <c:val>
            <c:numRef>
              <c:f>Backtest!$E$51:$E$2519</c:f>
              <c:numCache>
                <c:formatCode>_-* #.##0_-;\-* #.##0_-;_-* "-"??_-;_-@_-</c:formatCode>
                <c:ptCount val="2469"/>
                <c:pt idx="0">
                  <c:v>1836.6124</c:v>
                </c:pt>
                <c:pt idx="1">
                  <c:v>1837.5734</c:v>
                </c:pt>
                <c:pt idx="2">
                  <c:v>1839.2038</c:v>
                </c:pt>
                <c:pt idx="3">
                  <c:v>1840.4669999999999</c:v>
                </c:pt>
                <c:pt idx="4">
                  <c:v>1841.6016</c:v>
                </c:pt>
                <c:pt idx="5">
                  <c:v>1842.5029999999999</c:v>
                </c:pt>
                <c:pt idx="6">
                  <c:v>1843.4490000000003</c:v>
                </c:pt>
                <c:pt idx="7">
                  <c:v>1844.5675999999999</c:v>
                </c:pt>
                <c:pt idx="8">
                  <c:v>1845.4071999999996</c:v>
                </c:pt>
                <c:pt idx="9">
                  <c:v>1846.5357999999999</c:v>
                </c:pt>
                <c:pt idx="10">
                  <c:v>1847.3773999999996</c:v>
                </c:pt>
                <c:pt idx="11">
                  <c:v>1848.3531999999991</c:v>
                </c:pt>
                <c:pt idx="12">
                  <c:v>1849.7433999999992</c:v>
                </c:pt>
                <c:pt idx="13">
                  <c:v>1850.5385999999992</c:v>
                </c:pt>
                <c:pt idx="14">
                  <c:v>1852.0187999999991</c:v>
                </c:pt>
                <c:pt idx="15">
                  <c:v>1854.5197999999996</c:v>
                </c:pt>
                <c:pt idx="16">
                  <c:v>1857.9027999999994</c:v>
                </c:pt>
                <c:pt idx="17">
                  <c:v>1860.9049999999991</c:v>
                </c:pt>
                <c:pt idx="18">
                  <c:v>1864.1925999999992</c:v>
                </c:pt>
                <c:pt idx="19">
                  <c:v>1867.565599999999</c:v>
                </c:pt>
                <c:pt idx="20">
                  <c:v>1871.4341999999992</c:v>
                </c:pt>
                <c:pt idx="21">
                  <c:v>1875.6843999999992</c:v>
                </c:pt>
                <c:pt idx="22">
                  <c:v>1879.8721999999991</c:v>
                </c:pt>
                <c:pt idx="23">
                  <c:v>1883.6271999999992</c:v>
                </c:pt>
                <c:pt idx="24">
                  <c:v>1886.9215999999994</c:v>
                </c:pt>
                <c:pt idx="25">
                  <c:v>1891.5219999999999</c:v>
                </c:pt>
                <c:pt idx="26">
                  <c:v>1896.3410000000001</c:v>
                </c:pt>
                <c:pt idx="27">
                  <c:v>1901.4198000000001</c:v>
                </c:pt>
                <c:pt idx="28">
                  <c:v>1906.1347999999998</c:v>
                </c:pt>
                <c:pt idx="29">
                  <c:v>1911.2047999999998</c:v>
                </c:pt>
                <c:pt idx="30">
                  <c:v>1915.7556</c:v>
                </c:pt>
                <c:pt idx="31">
                  <c:v>1919.4576000000002</c:v>
                </c:pt>
                <c:pt idx="32">
                  <c:v>1922.7758000000003</c:v>
                </c:pt>
                <c:pt idx="33">
                  <c:v>1926.4486000000004</c:v>
                </c:pt>
                <c:pt idx="34">
                  <c:v>1929.2134000000005</c:v>
                </c:pt>
                <c:pt idx="35">
                  <c:v>1932.4090000000006</c:v>
                </c:pt>
                <c:pt idx="36">
                  <c:v>1934.6922000000006</c:v>
                </c:pt>
                <c:pt idx="37">
                  <c:v>1937.1762000000006</c:v>
                </c:pt>
                <c:pt idx="38">
                  <c:v>1938.0554000000004</c:v>
                </c:pt>
                <c:pt idx="39">
                  <c:v>1938.4290000000005</c:v>
                </c:pt>
                <c:pt idx="40">
                  <c:v>1940.3714000000004</c:v>
                </c:pt>
                <c:pt idx="41">
                  <c:v>1941.8190000000004</c:v>
                </c:pt>
                <c:pt idx="42">
                  <c:v>1943.7206000000003</c:v>
                </c:pt>
                <c:pt idx="43">
                  <c:v>1945.1310000000003</c:v>
                </c:pt>
                <c:pt idx="44">
                  <c:v>1945.6804000000004</c:v>
                </c:pt>
                <c:pt idx="45">
                  <c:v>1945.7570000000005</c:v>
                </c:pt>
                <c:pt idx="46">
                  <c:v>1945.3042</c:v>
                </c:pt>
                <c:pt idx="47">
                  <c:v>1944.5978</c:v>
                </c:pt>
                <c:pt idx="48">
                  <c:v>1942.2762</c:v>
                </c:pt>
                <c:pt idx="49">
                  <c:v>1940.3235999999999</c:v>
                </c:pt>
                <c:pt idx="50">
                  <c:v>1937.9131999999997</c:v>
                </c:pt>
                <c:pt idx="51">
                  <c:v>1935.4973999999995</c:v>
                </c:pt>
                <c:pt idx="52">
                  <c:v>1932.5899999999997</c:v>
                </c:pt>
                <c:pt idx="53">
                  <c:v>1930.6378</c:v>
                </c:pt>
                <c:pt idx="54">
                  <c:v>1928.2447999999997</c:v>
                </c:pt>
                <c:pt idx="55">
                  <c:v>1925.4286</c:v>
                </c:pt>
                <c:pt idx="56">
                  <c:v>1923.3407999999999</c:v>
                </c:pt>
                <c:pt idx="57">
                  <c:v>1921.1212</c:v>
                </c:pt>
                <c:pt idx="58">
                  <c:v>1917.8548000000001</c:v>
                </c:pt>
                <c:pt idx="59">
                  <c:v>1914.1772000000001</c:v>
                </c:pt>
                <c:pt idx="60">
                  <c:v>1910.8593999999998</c:v>
                </c:pt>
                <c:pt idx="61">
                  <c:v>1907.1073999999996</c:v>
                </c:pt>
                <c:pt idx="62">
                  <c:v>1904.385</c:v>
                </c:pt>
                <c:pt idx="63">
                  <c:v>1901.9605999999999</c:v>
                </c:pt>
                <c:pt idx="64">
                  <c:v>1899.1828</c:v>
                </c:pt>
                <c:pt idx="65">
                  <c:v>1896.9461999999999</c:v>
                </c:pt>
                <c:pt idx="66">
                  <c:v>1894.6233999999997</c:v>
                </c:pt>
                <c:pt idx="67">
                  <c:v>1892.5675999999999</c:v>
                </c:pt>
                <c:pt idx="68">
                  <c:v>1890.4271999999996</c:v>
                </c:pt>
                <c:pt idx="69">
                  <c:v>1887.8810000000001</c:v>
                </c:pt>
                <c:pt idx="70">
                  <c:v>1884.674</c:v>
                </c:pt>
                <c:pt idx="71">
                  <c:v>1881.3287999999998</c:v>
                </c:pt>
                <c:pt idx="72">
                  <c:v>1876.9301999999998</c:v>
                </c:pt>
                <c:pt idx="73">
                  <c:v>1872.6002000000001</c:v>
                </c:pt>
                <c:pt idx="74">
                  <c:v>1868.8518000000001</c:v>
                </c:pt>
                <c:pt idx="75">
                  <c:v>1863.8164000000004</c:v>
                </c:pt>
                <c:pt idx="76">
                  <c:v>1858.1144000000004</c:v>
                </c:pt>
                <c:pt idx="77">
                  <c:v>1852.3436000000004</c:v>
                </c:pt>
                <c:pt idx="78">
                  <c:v>1846.3222000000005</c:v>
                </c:pt>
                <c:pt idx="79">
                  <c:v>1840.1978000000006</c:v>
                </c:pt>
                <c:pt idx="80">
                  <c:v>1835.3352000000004</c:v>
                </c:pt>
                <c:pt idx="81">
                  <c:v>1831.7452000000005</c:v>
                </c:pt>
                <c:pt idx="82">
                  <c:v>1828.1514000000006</c:v>
                </c:pt>
                <c:pt idx="83">
                  <c:v>1824.0706000000005</c:v>
                </c:pt>
                <c:pt idx="84">
                  <c:v>1821.2110000000009</c:v>
                </c:pt>
                <c:pt idx="85">
                  <c:v>1817.8300000000011</c:v>
                </c:pt>
                <c:pt idx="86">
                  <c:v>1815.4426000000012</c:v>
                </c:pt>
                <c:pt idx="87">
                  <c:v>1812.2462000000007</c:v>
                </c:pt>
                <c:pt idx="88">
                  <c:v>1810.5084000000008</c:v>
                </c:pt>
                <c:pt idx="89">
                  <c:v>1809.7516000000005</c:v>
                </c:pt>
                <c:pt idx="90">
                  <c:v>1806.9158000000007</c:v>
                </c:pt>
                <c:pt idx="91">
                  <c:v>1805.0060000000005</c:v>
                </c:pt>
                <c:pt idx="92">
                  <c:v>1802.8560000000007</c:v>
                </c:pt>
                <c:pt idx="93">
                  <c:v>1801.5876000000003</c:v>
                </c:pt>
                <c:pt idx="94">
                  <c:v>1801.0020000000002</c:v>
                </c:pt>
                <c:pt idx="95">
                  <c:v>1800.1130000000003</c:v>
                </c:pt>
                <c:pt idx="96">
                  <c:v>1799.6057999999998</c:v>
                </c:pt>
                <c:pt idx="97">
                  <c:v>1799.2881999999997</c:v>
                </c:pt>
                <c:pt idx="98">
                  <c:v>1801.2191999999998</c:v>
                </c:pt>
                <c:pt idx="99">
                  <c:v>1802.4355999999998</c:v>
                </c:pt>
                <c:pt idx="100">
                  <c:v>1804.3563999999997</c:v>
                </c:pt>
                <c:pt idx="101">
                  <c:v>1806.2185999999995</c:v>
                </c:pt>
                <c:pt idx="102">
                  <c:v>1808.1409999999998</c:v>
                </c:pt>
                <c:pt idx="103">
                  <c:v>1809.0899999999997</c:v>
                </c:pt>
                <c:pt idx="104">
                  <c:v>1810.2679999999998</c:v>
                </c:pt>
                <c:pt idx="105">
                  <c:v>1811.0308000000002</c:v>
                </c:pt>
                <c:pt idx="106">
                  <c:v>1810.6780000000001</c:v>
                </c:pt>
                <c:pt idx="107">
                  <c:v>1810.0314000000001</c:v>
                </c:pt>
                <c:pt idx="108">
                  <c:v>1810.6509999999998</c:v>
                </c:pt>
                <c:pt idx="109">
                  <c:v>1812.1971999999996</c:v>
                </c:pt>
                <c:pt idx="110">
                  <c:v>1813.4141999999999</c:v>
                </c:pt>
                <c:pt idx="111">
                  <c:v>1814.2208000000001</c:v>
                </c:pt>
                <c:pt idx="112">
                  <c:v>1813.8604</c:v>
                </c:pt>
                <c:pt idx="113">
                  <c:v>1813.1846000000003</c:v>
                </c:pt>
                <c:pt idx="114">
                  <c:v>1812.0572</c:v>
                </c:pt>
                <c:pt idx="115">
                  <c:v>1810.1974</c:v>
                </c:pt>
                <c:pt idx="116">
                  <c:v>1808.0878</c:v>
                </c:pt>
                <c:pt idx="117">
                  <c:v>1806.5147999999999</c:v>
                </c:pt>
                <c:pt idx="118">
                  <c:v>1804.3765999999994</c:v>
                </c:pt>
                <c:pt idx="119">
                  <c:v>1802.3965999999994</c:v>
                </c:pt>
                <c:pt idx="120">
                  <c:v>1802.0447999999999</c:v>
                </c:pt>
                <c:pt idx="121">
                  <c:v>1802.1313999999995</c:v>
                </c:pt>
                <c:pt idx="122">
                  <c:v>1803.3108</c:v>
                </c:pt>
                <c:pt idx="123">
                  <c:v>1803.9670000000001</c:v>
                </c:pt>
                <c:pt idx="124">
                  <c:v>1804.9323999999999</c:v>
                </c:pt>
                <c:pt idx="125">
                  <c:v>1807.1832000000002</c:v>
                </c:pt>
                <c:pt idx="126">
                  <c:v>1809.9605999999999</c:v>
                </c:pt>
                <c:pt idx="127">
                  <c:v>1813.2734</c:v>
                </c:pt>
                <c:pt idx="128">
                  <c:v>1816.7176000000004</c:v>
                </c:pt>
                <c:pt idx="129">
                  <c:v>1820.1130000000005</c:v>
                </c:pt>
                <c:pt idx="130">
                  <c:v>1822.4120000000005</c:v>
                </c:pt>
                <c:pt idx="131">
                  <c:v>1824.4086000000002</c:v>
                </c:pt>
                <c:pt idx="132">
                  <c:v>1826.7218000000003</c:v>
                </c:pt>
                <c:pt idx="133">
                  <c:v>1828.9106000000002</c:v>
                </c:pt>
                <c:pt idx="134">
                  <c:v>1830.3646000000006</c:v>
                </c:pt>
                <c:pt idx="135">
                  <c:v>1831.5076000000006</c:v>
                </c:pt>
                <c:pt idx="136">
                  <c:v>1833.4044000000004</c:v>
                </c:pt>
                <c:pt idx="137">
                  <c:v>1836.1354000000003</c:v>
                </c:pt>
                <c:pt idx="138">
                  <c:v>1838.8460000000005</c:v>
                </c:pt>
                <c:pt idx="139">
                  <c:v>1841.0532000000003</c:v>
                </c:pt>
                <c:pt idx="140">
                  <c:v>1843.6002000000001</c:v>
                </c:pt>
                <c:pt idx="141">
                  <c:v>1845.5134</c:v>
                </c:pt>
                <c:pt idx="142">
                  <c:v>1846.8213999999998</c:v>
                </c:pt>
                <c:pt idx="143">
                  <c:v>1848.511</c:v>
                </c:pt>
                <c:pt idx="144">
                  <c:v>1850.2332000000001</c:v>
                </c:pt>
                <c:pt idx="145">
                  <c:v>1852.1461999999999</c:v>
                </c:pt>
                <c:pt idx="146">
                  <c:v>1854.444</c:v>
                </c:pt>
                <c:pt idx="147">
                  <c:v>1856.7453999999998</c:v>
                </c:pt>
                <c:pt idx="148">
                  <c:v>1858.3867999999995</c:v>
                </c:pt>
                <c:pt idx="149">
                  <c:v>1860.4909999999995</c:v>
                </c:pt>
                <c:pt idx="150">
                  <c:v>1862.2127999999993</c:v>
                </c:pt>
                <c:pt idx="151">
                  <c:v>1864.0599999999995</c:v>
                </c:pt>
                <c:pt idx="152">
                  <c:v>1866.3279999999993</c:v>
                </c:pt>
                <c:pt idx="153">
                  <c:v>1867.7601999999993</c:v>
                </c:pt>
                <c:pt idx="154">
                  <c:v>1869.8327999999992</c:v>
                </c:pt>
                <c:pt idx="155">
                  <c:v>1873.0125999999989</c:v>
                </c:pt>
                <c:pt idx="156">
                  <c:v>1876.476999999999</c:v>
                </c:pt>
                <c:pt idx="157">
                  <c:v>1880.171399999999</c:v>
                </c:pt>
                <c:pt idx="158">
                  <c:v>1883.8599999999992</c:v>
                </c:pt>
                <c:pt idx="159">
                  <c:v>1886.9973999999993</c:v>
                </c:pt>
                <c:pt idx="160">
                  <c:v>1890.1235999999992</c:v>
                </c:pt>
                <c:pt idx="161">
                  <c:v>1893.8505999999991</c:v>
                </c:pt>
                <c:pt idx="162">
                  <c:v>1897.7465999999993</c:v>
                </c:pt>
                <c:pt idx="163">
                  <c:v>1902.094399999999</c:v>
                </c:pt>
                <c:pt idx="164">
                  <c:v>1907.1129999999994</c:v>
                </c:pt>
                <c:pt idx="165">
                  <c:v>1912.7929999999992</c:v>
                </c:pt>
                <c:pt idx="166">
                  <c:v>1918.9055999999996</c:v>
                </c:pt>
                <c:pt idx="167">
                  <c:v>1924.3473999999999</c:v>
                </c:pt>
                <c:pt idx="168">
                  <c:v>1929.9886000000001</c:v>
                </c:pt>
                <c:pt idx="169">
                  <c:v>1935.8008000000002</c:v>
                </c:pt>
                <c:pt idx="170">
                  <c:v>1940.4012000000002</c:v>
                </c:pt>
                <c:pt idx="171">
                  <c:v>1944.1930000000004</c:v>
                </c:pt>
                <c:pt idx="172">
                  <c:v>1947.4560000000004</c:v>
                </c:pt>
                <c:pt idx="173">
                  <c:v>1950.5002000000004</c:v>
                </c:pt>
                <c:pt idx="174">
                  <c:v>1953.3160000000003</c:v>
                </c:pt>
                <c:pt idx="175">
                  <c:v>1956.5618000000002</c:v>
                </c:pt>
                <c:pt idx="176">
                  <c:v>1959.7316000000003</c:v>
                </c:pt>
                <c:pt idx="177">
                  <c:v>1962.4138000000003</c:v>
                </c:pt>
                <c:pt idx="178">
                  <c:v>1964.5502000000001</c:v>
                </c:pt>
                <c:pt idx="179">
                  <c:v>1967.1466000000003</c:v>
                </c:pt>
                <c:pt idx="180">
                  <c:v>1969.4598000000003</c:v>
                </c:pt>
                <c:pt idx="181">
                  <c:v>1971.6978000000006</c:v>
                </c:pt>
                <c:pt idx="182">
                  <c:v>1973.1226000000004</c:v>
                </c:pt>
                <c:pt idx="183">
                  <c:v>1975.5072000000002</c:v>
                </c:pt>
                <c:pt idx="184">
                  <c:v>1978.5910000000003</c:v>
                </c:pt>
                <c:pt idx="185">
                  <c:v>1982.0996000000002</c:v>
                </c:pt>
                <c:pt idx="186">
                  <c:v>1984.7588000000003</c:v>
                </c:pt>
                <c:pt idx="187">
                  <c:v>1987.6570000000004</c:v>
                </c:pt>
                <c:pt idx="188">
                  <c:v>1990.5257999999999</c:v>
                </c:pt>
                <c:pt idx="189">
                  <c:v>1993.6514000000002</c:v>
                </c:pt>
                <c:pt idx="190">
                  <c:v>1997.1438000000001</c:v>
                </c:pt>
                <c:pt idx="191">
                  <c:v>2000.4754</c:v>
                </c:pt>
                <c:pt idx="192">
                  <c:v>2004.1510000000001</c:v>
                </c:pt>
                <c:pt idx="193">
                  <c:v>2006.8203999999998</c:v>
                </c:pt>
                <c:pt idx="194">
                  <c:v>2009.7541999999999</c:v>
                </c:pt>
                <c:pt idx="195">
                  <c:v>2012.7869999999998</c:v>
                </c:pt>
                <c:pt idx="196">
                  <c:v>2015.6898000000001</c:v>
                </c:pt>
                <c:pt idx="197">
                  <c:v>2018.8455999999999</c:v>
                </c:pt>
                <c:pt idx="198">
                  <c:v>2022.0009999999997</c:v>
                </c:pt>
                <c:pt idx="199">
                  <c:v>2024.8067999999998</c:v>
                </c:pt>
                <c:pt idx="200">
                  <c:v>2027.7821999999996</c:v>
                </c:pt>
                <c:pt idx="201">
                  <c:v>2030.7111999999997</c:v>
                </c:pt>
                <c:pt idx="202">
                  <c:v>2033.4043999999997</c:v>
                </c:pt>
                <c:pt idx="203">
                  <c:v>2036.6649999999997</c:v>
                </c:pt>
                <c:pt idx="204">
                  <c:v>2039.5005999999996</c:v>
                </c:pt>
                <c:pt idx="205">
                  <c:v>2042.7441999999996</c:v>
                </c:pt>
                <c:pt idx="206">
                  <c:v>2045.8381999999995</c:v>
                </c:pt>
                <c:pt idx="207">
                  <c:v>2049.0659999999993</c:v>
                </c:pt>
                <c:pt idx="208">
                  <c:v>2052.2185999999992</c:v>
                </c:pt>
                <c:pt idx="209">
                  <c:v>2055.3937999999994</c:v>
                </c:pt>
                <c:pt idx="210">
                  <c:v>2058.462</c:v>
                </c:pt>
                <c:pt idx="211">
                  <c:v>2061.7066</c:v>
                </c:pt>
                <c:pt idx="212">
                  <c:v>2065.3044</c:v>
                </c:pt>
                <c:pt idx="213">
                  <c:v>2068.5203999999999</c:v>
                </c:pt>
                <c:pt idx="214">
                  <c:v>2071.9023999999999</c:v>
                </c:pt>
                <c:pt idx="215">
                  <c:v>2074.5644000000002</c:v>
                </c:pt>
                <c:pt idx="216">
                  <c:v>2076.6284000000001</c:v>
                </c:pt>
                <c:pt idx="217">
                  <c:v>2078.7182000000003</c:v>
                </c:pt>
                <c:pt idx="218">
                  <c:v>2081.2297999999996</c:v>
                </c:pt>
                <c:pt idx="219">
                  <c:v>2083.8071999999997</c:v>
                </c:pt>
                <c:pt idx="220">
                  <c:v>2086.5709999999995</c:v>
                </c:pt>
                <c:pt idx="221">
                  <c:v>2089.9979999999996</c:v>
                </c:pt>
                <c:pt idx="222">
                  <c:v>2093.5715999999993</c:v>
                </c:pt>
                <c:pt idx="223">
                  <c:v>2097.0053999999996</c:v>
                </c:pt>
                <c:pt idx="224">
                  <c:v>2100.7533999999996</c:v>
                </c:pt>
                <c:pt idx="225">
                  <c:v>2104.6165999999994</c:v>
                </c:pt>
                <c:pt idx="226">
                  <c:v>2108.2635999999993</c:v>
                </c:pt>
                <c:pt idx="227">
                  <c:v>2112.0815999999995</c:v>
                </c:pt>
                <c:pt idx="228">
                  <c:v>2116.599799999999</c:v>
                </c:pt>
                <c:pt idx="229">
                  <c:v>2120.8005999999996</c:v>
                </c:pt>
                <c:pt idx="230">
                  <c:v>2125.4917999999993</c:v>
                </c:pt>
                <c:pt idx="231">
                  <c:v>2130.1079999999993</c:v>
                </c:pt>
                <c:pt idx="232">
                  <c:v>2135.0013999999992</c:v>
                </c:pt>
                <c:pt idx="233">
                  <c:v>2139.2835999999988</c:v>
                </c:pt>
                <c:pt idx="234">
                  <c:v>2143.1621999999993</c:v>
                </c:pt>
                <c:pt idx="235">
                  <c:v>2146.792199999999</c:v>
                </c:pt>
                <c:pt idx="236">
                  <c:v>2150.7621999999992</c:v>
                </c:pt>
                <c:pt idx="237">
                  <c:v>2154.8527999999992</c:v>
                </c:pt>
                <c:pt idx="238">
                  <c:v>2158.8679999999995</c:v>
                </c:pt>
                <c:pt idx="239">
                  <c:v>2161.7925999999993</c:v>
                </c:pt>
                <c:pt idx="240">
                  <c:v>2164.1989999999996</c:v>
                </c:pt>
                <c:pt idx="241">
                  <c:v>2166.5635999999995</c:v>
                </c:pt>
                <c:pt idx="242">
                  <c:v>2169.3659999999995</c:v>
                </c:pt>
                <c:pt idx="243">
                  <c:v>2172.6311999999998</c:v>
                </c:pt>
                <c:pt idx="244">
                  <c:v>2174.9338000000002</c:v>
                </c:pt>
                <c:pt idx="245">
                  <c:v>2177.2796000000003</c:v>
                </c:pt>
                <c:pt idx="246">
                  <c:v>2180.2798000000003</c:v>
                </c:pt>
                <c:pt idx="247">
                  <c:v>2182.6902</c:v>
                </c:pt>
                <c:pt idx="248">
                  <c:v>2184.5816</c:v>
                </c:pt>
                <c:pt idx="249">
                  <c:v>2186.9422</c:v>
                </c:pt>
                <c:pt idx="250">
                  <c:v>2189.2227999999996</c:v>
                </c:pt>
                <c:pt idx="251">
                  <c:v>2190.6293999999998</c:v>
                </c:pt>
                <c:pt idx="252">
                  <c:v>2192.3089999999997</c:v>
                </c:pt>
                <c:pt idx="253">
                  <c:v>2193.7862</c:v>
                </c:pt>
                <c:pt idx="254">
                  <c:v>2194.7815999999998</c:v>
                </c:pt>
                <c:pt idx="255">
                  <c:v>2194.4544000000001</c:v>
                </c:pt>
                <c:pt idx="256">
                  <c:v>2194.7523999999999</c:v>
                </c:pt>
                <c:pt idx="257">
                  <c:v>2195.0162</c:v>
                </c:pt>
                <c:pt idx="258">
                  <c:v>2196.0027999999998</c:v>
                </c:pt>
                <c:pt idx="259">
                  <c:v>2196.9179999999997</c:v>
                </c:pt>
                <c:pt idx="260">
                  <c:v>2198.02</c:v>
                </c:pt>
                <c:pt idx="261">
                  <c:v>2199.3719999999998</c:v>
                </c:pt>
                <c:pt idx="262">
                  <c:v>2200.4731999999999</c:v>
                </c:pt>
                <c:pt idx="263">
                  <c:v>2201.5264000000002</c:v>
                </c:pt>
                <c:pt idx="264">
                  <c:v>2202.5810000000001</c:v>
                </c:pt>
                <c:pt idx="265">
                  <c:v>2203.8776000000003</c:v>
                </c:pt>
                <c:pt idx="266">
                  <c:v>2205.527</c:v>
                </c:pt>
                <c:pt idx="267">
                  <c:v>2207.4549999999999</c:v>
                </c:pt>
                <c:pt idx="268">
                  <c:v>2209.2991999999999</c:v>
                </c:pt>
                <c:pt idx="269">
                  <c:v>2210.8838000000001</c:v>
                </c:pt>
                <c:pt idx="270">
                  <c:v>2212.5726000000004</c:v>
                </c:pt>
                <c:pt idx="271">
                  <c:v>2214.0094000000004</c:v>
                </c:pt>
                <c:pt idx="272">
                  <c:v>2215.1656000000007</c:v>
                </c:pt>
                <c:pt idx="273">
                  <c:v>2216.9768000000004</c:v>
                </c:pt>
                <c:pt idx="274">
                  <c:v>2218.1112000000003</c:v>
                </c:pt>
                <c:pt idx="275">
                  <c:v>2218.5358000000001</c:v>
                </c:pt>
                <c:pt idx="276">
                  <c:v>2219.0768000000007</c:v>
                </c:pt>
                <c:pt idx="277">
                  <c:v>2219.6826000000005</c:v>
                </c:pt>
                <c:pt idx="278">
                  <c:v>2219.6696000000006</c:v>
                </c:pt>
                <c:pt idx="279">
                  <c:v>2219.6348000000003</c:v>
                </c:pt>
                <c:pt idx="280">
                  <c:v>2220.0010000000002</c:v>
                </c:pt>
                <c:pt idx="281">
                  <c:v>2220.7249999999999</c:v>
                </c:pt>
                <c:pt idx="282">
                  <c:v>2221.3395999999998</c:v>
                </c:pt>
                <c:pt idx="283">
                  <c:v>2222.1082000000001</c:v>
                </c:pt>
                <c:pt idx="284">
                  <c:v>2223.0529999999999</c:v>
                </c:pt>
                <c:pt idx="285">
                  <c:v>2224.3042</c:v>
                </c:pt>
                <c:pt idx="286">
                  <c:v>2225.3733999999995</c:v>
                </c:pt>
                <c:pt idx="287">
                  <c:v>2226.2194</c:v>
                </c:pt>
                <c:pt idx="288">
                  <c:v>2226.8226</c:v>
                </c:pt>
                <c:pt idx="289">
                  <c:v>2228.0482000000002</c:v>
                </c:pt>
                <c:pt idx="290">
                  <c:v>2229.1320000000001</c:v>
                </c:pt>
                <c:pt idx="291">
                  <c:v>2230.4268000000002</c:v>
                </c:pt>
                <c:pt idx="292">
                  <c:v>2231.4518000000007</c:v>
                </c:pt>
                <c:pt idx="293">
                  <c:v>2232.5952000000007</c:v>
                </c:pt>
                <c:pt idx="294">
                  <c:v>2233.9582000000005</c:v>
                </c:pt>
                <c:pt idx="295">
                  <c:v>2235.4702000000007</c:v>
                </c:pt>
                <c:pt idx="296">
                  <c:v>2235.8540000000003</c:v>
                </c:pt>
                <c:pt idx="297">
                  <c:v>2236.2905999999998</c:v>
                </c:pt>
                <c:pt idx="298">
                  <c:v>2237.0924</c:v>
                </c:pt>
                <c:pt idx="299">
                  <c:v>2237.8958000000002</c:v>
                </c:pt>
                <c:pt idx="300">
                  <c:v>2238.8560000000007</c:v>
                </c:pt>
                <c:pt idx="301">
                  <c:v>2240.3072000000011</c:v>
                </c:pt>
                <c:pt idx="302">
                  <c:v>2240.8972000000008</c:v>
                </c:pt>
                <c:pt idx="303">
                  <c:v>2241.7158000000009</c:v>
                </c:pt>
                <c:pt idx="304">
                  <c:v>2243.1696000000011</c:v>
                </c:pt>
                <c:pt idx="305">
                  <c:v>2245.6534000000011</c:v>
                </c:pt>
                <c:pt idx="306">
                  <c:v>2247.7596000000008</c:v>
                </c:pt>
                <c:pt idx="307">
                  <c:v>2250.159000000001</c:v>
                </c:pt>
                <c:pt idx="308">
                  <c:v>2250.8764000000015</c:v>
                </c:pt>
                <c:pt idx="309">
                  <c:v>2251.6922000000013</c:v>
                </c:pt>
                <c:pt idx="310">
                  <c:v>2251.9492000000009</c:v>
                </c:pt>
                <c:pt idx="311">
                  <c:v>2251.3236000000011</c:v>
                </c:pt>
                <c:pt idx="312">
                  <c:v>2250.5182000000009</c:v>
                </c:pt>
                <c:pt idx="313">
                  <c:v>2249.6618000000008</c:v>
                </c:pt>
                <c:pt idx="314">
                  <c:v>2248.804000000001</c:v>
                </c:pt>
                <c:pt idx="315">
                  <c:v>2247.0330000000013</c:v>
                </c:pt>
                <c:pt idx="316">
                  <c:v>2245.387200000001</c:v>
                </c:pt>
                <c:pt idx="317">
                  <c:v>2244.0652000000009</c:v>
                </c:pt>
                <c:pt idx="318">
                  <c:v>2241.9614000000006</c:v>
                </c:pt>
                <c:pt idx="319">
                  <c:v>2239.9478000000004</c:v>
                </c:pt>
                <c:pt idx="320">
                  <c:v>2237.9484000000007</c:v>
                </c:pt>
                <c:pt idx="321">
                  <c:v>2236.2492000000002</c:v>
                </c:pt>
                <c:pt idx="322">
                  <c:v>2235.3174000000004</c:v>
                </c:pt>
                <c:pt idx="323">
                  <c:v>2234.2278000000001</c:v>
                </c:pt>
                <c:pt idx="324">
                  <c:v>2233.3624</c:v>
                </c:pt>
                <c:pt idx="325">
                  <c:v>2231.9731999999999</c:v>
                </c:pt>
                <c:pt idx="326">
                  <c:v>2230.9749999999999</c:v>
                </c:pt>
                <c:pt idx="327">
                  <c:v>2230.3743999999997</c:v>
                </c:pt>
                <c:pt idx="328">
                  <c:v>2230.6353999999997</c:v>
                </c:pt>
                <c:pt idx="329">
                  <c:v>2231.0913999999993</c:v>
                </c:pt>
                <c:pt idx="330">
                  <c:v>2231.5985999999989</c:v>
                </c:pt>
                <c:pt idx="331">
                  <c:v>2231.8075999999992</c:v>
                </c:pt>
                <c:pt idx="332">
                  <c:v>2232.1511999999989</c:v>
                </c:pt>
                <c:pt idx="333">
                  <c:v>2232.567199999999</c:v>
                </c:pt>
                <c:pt idx="334">
                  <c:v>2232.3709999999996</c:v>
                </c:pt>
                <c:pt idx="335">
                  <c:v>2231.1831999999995</c:v>
                </c:pt>
                <c:pt idx="336">
                  <c:v>2229.6909999999993</c:v>
                </c:pt>
                <c:pt idx="337">
                  <c:v>2228.4223999999995</c:v>
                </c:pt>
                <c:pt idx="338">
                  <c:v>2227.0091999999995</c:v>
                </c:pt>
                <c:pt idx="339">
                  <c:v>2226.1495999999988</c:v>
                </c:pt>
                <c:pt idx="340">
                  <c:v>2225.3389999999995</c:v>
                </c:pt>
                <c:pt idx="341">
                  <c:v>2225.0737999999997</c:v>
                </c:pt>
                <c:pt idx="342">
                  <c:v>2224.5781999999999</c:v>
                </c:pt>
                <c:pt idx="343">
                  <c:v>2224.3283999999999</c:v>
                </c:pt>
                <c:pt idx="344">
                  <c:v>2224.6057999999994</c:v>
                </c:pt>
                <c:pt idx="345">
                  <c:v>2224.3983999999996</c:v>
                </c:pt>
                <c:pt idx="346">
                  <c:v>2224.3709999999996</c:v>
                </c:pt>
                <c:pt idx="347">
                  <c:v>2223.7045999999991</c:v>
                </c:pt>
                <c:pt idx="348">
                  <c:v>2222.9041999999995</c:v>
                </c:pt>
                <c:pt idx="349">
                  <c:v>2221.4143999999997</c:v>
                </c:pt>
                <c:pt idx="350">
                  <c:v>2219.6401999999998</c:v>
                </c:pt>
                <c:pt idx="351">
                  <c:v>2217.098</c:v>
                </c:pt>
                <c:pt idx="352">
                  <c:v>2215.3229999999999</c:v>
                </c:pt>
                <c:pt idx="353">
                  <c:v>2211.5371999999998</c:v>
                </c:pt>
                <c:pt idx="354">
                  <c:v>2207.5829999999996</c:v>
                </c:pt>
                <c:pt idx="355">
                  <c:v>2200.7297999999992</c:v>
                </c:pt>
                <c:pt idx="356">
                  <c:v>2195.4901999999993</c:v>
                </c:pt>
                <c:pt idx="357">
                  <c:v>2188.0275999999994</c:v>
                </c:pt>
                <c:pt idx="358">
                  <c:v>2183.3711999999996</c:v>
                </c:pt>
                <c:pt idx="359">
                  <c:v>2178.9773999999998</c:v>
                </c:pt>
                <c:pt idx="360">
                  <c:v>2175.8913999999995</c:v>
                </c:pt>
                <c:pt idx="361">
                  <c:v>2172.8869999999997</c:v>
                </c:pt>
                <c:pt idx="362">
                  <c:v>2169.9721999999992</c:v>
                </c:pt>
                <c:pt idx="363">
                  <c:v>2165.4205999999995</c:v>
                </c:pt>
                <c:pt idx="364">
                  <c:v>2159.9655999999995</c:v>
                </c:pt>
                <c:pt idx="365">
                  <c:v>2155.1309999999999</c:v>
                </c:pt>
                <c:pt idx="366">
                  <c:v>2151.5657999999999</c:v>
                </c:pt>
                <c:pt idx="367">
                  <c:v>2147.9787999999999</c:v>
                </c:pt>
                <c:pt idx="368">
                  <c:v>2144.5290000000005</c:v>
                </c:pt>
                <c:pt idx="369">
                  <c:v>2141.5996000000005</c:v>
                </c:pt>
                <c:pt idx="370">
                  <c:v>2139.6778000000004</c:v>
                </c:pt>
                <c:pt idx="371">
                  <c:v>2137.6292000000003</c:v>
                </c:pt>
                <c:pt idx="372">
                  <c:v>2135.2018000000003</c:v>
                </c:pt>
                <c:pt idx="373">
                  <c:v>2132.5672000000004</c:v>
                </c:pt>
                <c:pt idx="374">
                  <c:v>2129.0202000000004</c:v>
                </c:pt>
                <c:pt idx="375">
                  <c:v>2125.6874000000003</c:v>
                </c:pt>
                <c:pt idx="376">
                  <c:v>2123.1068</c:v>
                </c:pt>
                <c:pt idx="377">
                  <c:v>2119.5216000000005</c:v>
                </c:pt>
                <c:pt idx="378">
                  <c:v>2114.4870000000005</c:v>
                </c:pt>
                <c:pt idx="379">
                  <c:v>2109.2798000000003</c:v>
                </c:pt>
                <c:pt idx="380">
                  <c:v>2103.7962000000007</c:v>
                </c:pt>
                <c:pt idx="381">
                  <c:v>2098.9112000000005</c:v>
                </c:pt>
                <c:pt idx="382">
                  <c:v>2094.6678000000006</c:v>
                </c:pt>
                <c:pt idx="383">
                  <c:v>2090.1828000000005</c:v>
                </c:pt>
                <c:pt idx="384">
                  <c:v>2085.6112000000003</c:v>
                </c:pt>
                <c:pt idx="385">
                  <c:v>2081.7975999999999</c:v>
                </c:pt>
                <c:pt idx="386">
                  <c:v>2076.9785999999999</c:v>
                </c:pt>
                <c:pt idx="387">
                  <c:v>2070.7479999999996</c:v>
                </c:pt>
                <c:pt idx="388">
                  <c:v>2065.0567999999998</c:v>
                </c:pt>
                <c:pt idx="389">
                  <c:v>2060.0231999999996</c:v>
                </c:pt>
                <c:pt idx="390">
                  <c:v>2055.7759999999998</c:v>
                </c:pt>
                <c:pt idx="391">
                  <c:v>2049.9857999999995</c:v>
                </c:pt>
                <c:pt idx="392">
                  <c:v>2044.5399999999997</c:v>
                </c:pt>
                <c:pt idx="393">
                  <c:v>2037.4911999999997</c:v>
                </c:pt>
                <c:pt idx="394">
                  <c:v>2029.3033999999993</c:v>
                </c:pt>
                <c:pt idx="395">
                  <c:v>2022.2217999999993</c:v>
                </c:pt>
                <c:pt idx="396">
                  <c:v>2016.0321999999994</c:v>
                </c:pt>
                <c:pt idx="397">
                  <c:v>2011.4785999999992</c:v>
                </c:pt>
                <c:pt idx="398">
                  <c:v>2006.7403999999995</c:v>
                </c:pt>
                <c:pt idx="399">
                  <c:v>2003.6339999999996</c:v>
                </c:pt>
                <c:pt idx="400">
                  <c:v>2000.7319999999995</c:v>
                </c:pt>
                <c:pt idx="401">
                  <c:v>1999.3543999999997</c:v>
                </c:pt>
                <c:pt idx="402">
                  <c:v>1997.6283999999994</c:v>
                </c:pt>
                <c:pt idx="403">
                  <c:v>1998.6641999999995</c:v>
                </c:pt>
                <c:pt idx="404">
                  <c:v>1998.9141999999993</c:v>
                </c:pt>
                <c:pt idx="405">
                  <c:v>2002.7133999999994</c:v>
                </c:pt>
                <c:pt idx="406">
                  <c:v>2004.1837999999991</c:v>
                </c:pt>
                <c:pt idx="407">
                  <c:v>2007.5881999999992</c:v>
                </c:pt>
                <c:pt idx="408">
                  <c:v>2010.0025999999991</c:v>
                </c:pt>
                <c:pt idx="409">
                  <c:v>2012.7517999999993</c:v>
                </c:pt>
                <c:pt idx="410">
                  <c:v>2013.7649999999994</c:v>
                </c:pt>
                <c:pt idx="411">
                  <c:v>2015.6129999999998</c:v>
                </c:pt>
                <c:pt idx="412">
                  <c:v>2018.8691999999999</c:v>
                </c:pt>
                <c:pt idx="413">
                  <c:v>2023.9533999999996</c:v>
                </c:pt>
                <c:pt idx="414">
                  <c:v>2028.5341999999996</c:v>
                </c:pt>
                <c:pt idx="415">
                  <c:v>2031.9081999999999</c:v>
                </c:pt>
                <c:pt idx="416">
                  <c:v>2034.6443999999997</c:v>
                </c:pt>
                <c:pt idx="417">
                  <c:v>2037.6591999999998</c:v>
                </c:pt>
                <c:pt idx="418">
                  <c:v>2041.0267999999999</c:v>
                </c:pt>
                <c:pt idx="419">
                  <c:v>2044.0645999999999</c:v>
                </c:pt>
                <c:pt idx="420">
                  <c:v>2046.4958000000001</c:v>
                </c:pt>
                <c:pt idx="421">
                  <c:v>2047.2228</c:v>
                </c:pt>
                <c:pt idx="422">
                  <c:v>2048.11</c:v>
                </c:pt>
                <c:pt idx="423">
                  <c:v>2050.3136</c:v>
                </c:pt>
                <c:pt idx="424">
                  <c:v>2053.1453999999999</c:v>
                </c:pt>
                <c:pt idx="425">
                  <c:v>2056.4879999999998</c:v>
                </c:pt>
                <c:pt idx="426">
                  <c:v>2057.9797999999996</c:v>
                </c:pt>
                <c:pt idx="427">
                  <c:v>2059.1934000000001</c:v>
                </c:pt>
                <c:pt idx="428">
                  <c:v>2061.4724000000001</c:v>
                </c:pt>
                <c:pt idx="429">
                  <c:v>2062.7006000000001</c:v>
                </c:pt>
                <c:pt idx="430">
                  <c:v>2063.3872000000001</c:v>
                </c:pt>
                <c:pt idx="431">
                  <c:v>2062.6371999999997</c:v>
                </c:pt>
                <c:pt idx="432">
                  <c:v>2061.0821999999998</c:v>
                </c:pt>
                <c:pt idx="433">
                  <c:v>2060.4569999999999</c:v>
                </c:pt>
                <c:pt idx="434">
                  <c:v>2060.3433999999997</c:v>
                </c:pt>
                <c:pt idx="435">
                  <c:v>2062.0772000000002</c:v>
                </c:pt>
                <c:pt idx="436">
                  <c:v>2064.9346</c:v>
                </c:pt>
                <c:pt idx="437">
                  <c:v>2069.0522000000001</c:v>
                </c:pt>
                <c:pt idx="438">
                  <c:v>2073.3712</c:v>
                </c:pt>
                <c:pt idx="439">
                  <c:v>2076.8337999999999</c:v>
                </c:pt>
                <c:pt idx="440">
                  <c:v>2079.9714000000004</c:v>
                </c:pt>
                <c:pt idx="441">
                  <c:v>2083.0156000000002</c:v>
                </c:pt>
                <c:pt idx="442">
                  <c:v>2086.4540000000006</c:v>
                </c:pt>
                <c:pt idx="443">
                  <c:v>2090.2412000000004</c:v>
                </c:pt>
                <c:pt idx="444">
                  <c:v>2094.7652000000003</c:v>
                </c:pt>
                <c:pt idx="445">
                  <c:v>2097.9675999999999</c:v>
                </c:pt>
                <c:pt idx="446">
                  <c:v>2100.6030000000001</c:v>
                </c:pt>
                <c:pt idx="447">
                  <c:v>2102.6543999999999</c:v>
                </c:pt>
                <c:pt idx="448">
                  <c:v>2104.5394000000001</c:v>
                </c:pt>
                <c:pt idx="449">
                  <c:v>2106.3176000000003</c:v>
                </c:pt>
                <c:pt idx="450">
                  <c:v>2108.1568000000002</c:v>
                </c:pt>
                <c:pt idx="451">
                  <c:v>2109.9531999999999</c:v>
                </c:pt>
                <c:pt idx="452">
                  <c:v>2112.2580000000003</c:v>
                </c:pt>
                <c:pt idx="453">
                  <c:v>2113.8523999999998</c:v>
                </c:pt>
                <c:pt idx="454">
                  <c:v>2115.7233999999999</c:v>
                </c:pt>
                <c:pt idx="455">
                  <c:v>2117.2171999999996</c:v>
                </c:pt>
                <c:pt idx="456">
                  <c:v>2119.0503999999996</c:v>
                </c:pt>
                <c:pt idx="457">
                  <c:v>2121.3633999999993</c:v>
                </c:pt>
                <c:pt idx="458">
                  <c:v>2122.9117999999994</c:v>
                </c:pt>
                <c:pt idx="459">
                  <c:v>2124.043799999999</c:v>
                </c:pt>
                <c:pt idx="460">
                  <c:v>2125.9399999999987</c:v>
                </c:pt>
                <c:pt idx="461">
                  <c:v>2127.4935999999989</c:v>
                </c:pt>
                <c:pt idx="462">
                  <c:v>2127.9807999999994</c:v>
                </c:pt>
                <c:pt idx="463">
                  <c:v>2128.4677999999994</c:v>
                </c:pt>
                <c:pt idx="464">
                  <c:v>2130.1463999999996</c:v>
                </c:pt>
                <c:pt idx="465">
                  <c:v>2132.8015999999993</c:v>
                </c:pt>
                <c:pt idx="466">
                  <c:v>2134.9393999999998</c:v>
                </c:pt>
                <c:pt idx="467">
                  <c:v>2136.7747999999997</c:v>
                </c:pt>
                <c:pt idx="468">
                  <c:v>2139.1039999999994</c:v>
                </c:pt>
                <c:pt idx="469">
                  <c:v>2141.1913999999997</c:v>
                </c:pt>
                <c:pt idx="470">
                  <c:v>2142.7685999999994</c:v>
                </c:pt>
                <c:pt idx="471">
                  <c:v>2145.8986</c:v>
                </c:pt>
                <c:pt idx="472">
                  <c:v>2149.0524</c:v>
                </c:pt>
                <c:pt idx="473">
                  <c:v>2151.1195999999995</c:v>
                </c:pt>
                <c:pt idx="474">
                  <c:v>2153.5247999999997</c:v>
                </c:pt>
                <c:pt idx="475">
                  <c:v>2155.6032</c:v>
                </c:pt>
                <c:pt idx="476">
                  <c:v>2158.3642</c:v>
                </c:pt>
                <c:pt idx="477">
                  <c:v>2162.2470000000003</c:v>
                </c:pt>
                <c:pt idx="478">
                  <c:v>2166.1970000000001</c:v>
                </c:pt>
                <c:pt idx="479">
                  <c:v>2171.5926000000004</c:v>
                </c:pt>
                <c:pt idx="480">
                  <c:v>2177.1354000000006</c:v>
                </c:pt>
                <c:pt idx="481">
                  <c:v>2183.6700000000005</c:v>
                </c:pt>
                <c:pt idx="482">
                  <c:v>2190.4222000000004</c:v>
                </c:pt>
                <c:pt idx="483">
                  <c:v>2196.0774000000006</c:v>
                </c:pt>
                <c:pt idx="484">
                  <c:v>2201.3082000000009</c:v>
                </c:pt>
                <c:pt idx="485">
                  <c:v>2205.082800000001</c:v>
                </c:pt>
                <c:pt idx="486">
                  <c:v>2208.9014000000011</c:v>
                </c:pt>
                <c:pt idx="487">
                  <c:v>2212.494200000001</c:v>
                </c:pt>
                <c:pt idx="488">
                  <c:v>2216.1630000000009</c:v>
                </c:pt>
                <c:pt idx="489">
                  <c:v>2219.8944000000006</c:v>
                </c:pt>
                <c:pt idx="490">
                  <c:v>2223.561200000001</c:v>
                </c:pt>
                <c:pt idx="491">
                  <c:v>2227.9864000000007</c:v>
                </c:pt>
                <c:pt idx="492">
                  <c:v>2231.905600000001</c:v>
                </c:pt>
                <c:pt idx="493">
                  <c:v>2236.5494000000008</c:v>
                </c:pt>
                <c:pt idx="494">
                  <c:v>2241.621200000001</c:v>
                </c:pt>
                <c:pt idx="495">
                  <c:v>2247.3316000000004</c:v>
                </c:pt>
                <c:pt idx="496">
                  <c:v>2252.6874000000007</c:v>
                </c:pt>
                <c:pt idx="497">
                  <c:v>2258.2012000000004</c:v>
                </c:pt>
                <c:pt idx="498">
                  <c:v>2264.0534000000002</c:v>
                </c:pt>
                <c:pt idx="499">
                  <c:v>2268.4856000000004</c:v>
                </c:pt>
                <c:pt idx="500">
                  <c:v>2272.1125999999999</c:v>
                </c:pt>
                <c:pt idx="501">
                  <c:v>2275.7096000000001</c:v>
                </c:pt>
                <c:pt idx="502">
                  <c:v>2279.3797999999997</c:v>
                </c:pt>
                <c:pt idx="503">
                  <c:v>2283.2168000000001</c:v>
                </c:pt>
                <c:pt idx="504">
                  <c:v>2287.5969999999998</c:v>
                </c:pt>
                <c:pt idx="505">
                  <c:v>2292.3903999999993</c:v>
                </c:pt>
                <c:pt idx="506">
                  <c:v>2297.3111999999992</c:v>
                </c:pt>
                <c:pt idx="507">
                  <c:v>2301.8505999999993</c:v>
                </c:pt>
                <c:pt idx="508">
                  <c:v>2306.4267999999993</c:v>
                </c:pt>
                <c:pt idx="509">
                  <c:v>2311.0667999999991</c:v>
                </c:pt>
                <c:pt idx="510">
                  <c:v>2315.6563999999994</c:v>
                </c:pt>
                <c:pt idx="511">
                  <c:v>2320.0567999999994</c:v>
                </c:pt>
                <c:pt idx="512">
                  <c:v>2323.7193999999995</c:v>
                </c:pt>
                <c:pt idx="513">
                  <c:v>2327.5129999999995</c:v>
                </c:pt>
                <c:pt idx="514">
                  <c:v>2331.8709999999996</c:v>
                </c:pt>
                <c:pt idx="515">
                  <c:v>2336.3165999999997</c:v>
                </c:pt>
                <c:pt idx="516">
                  <c:v>2340.3757999999998</c:v>
                </c:pt>
                <c:pt idx="517">
                  <c:v>2343.8569999999995</c:v>
                </c:pt>
                <c:pt idx="518">
                  <c:v>2347.2943999999993</c:v>
                </c:pt>
                <c:pt idx="519">
                  <c:v>2351.0686000000001</c:v>
                </c:pt>
                <c:pt idx="520">
                  <c:v>2354.6369999999997</c:v>
                </c:pt>
                <c:pt idx="521">
                  <c:v>2357.7536</c:v>
                </c:pt>
                <c:pt idx="522">
                  <c:v>2360.4649999999997</c:v>
                </c:pt>
                <c:pt idx="523">
                  <c:v>2362.8887999999993</c:v>
                </c:pt>
                <c:pt idx="524">
                  <c:v>2364.5672</c:v>
                </c:pt>
                <c:pt idx="525">
                  <c:v>2366.7145999999998</c:v>
                </c:pt>
                <c:pt idx="526">
                  <c:v>2369.5346</c:v>
                </c:pt>
                <c:pt idx="527">
                  <c:v>2371.3465999999999</c:v>
                </c:pt>
                <c:pt idx="528">
                  <c:v>2373.0812000000001</c:v>
                </c:pt>
                <c:pt idx="529">
                  <c:v>2374.8771999999999</c:v>
                </c:pt>
                <c:pt idx="530">
                  <c:v>2376.4976000000001</c:v>
                </c:pt>
                <c:pt idx="531">
                  <c:v>2377.7418000000002</c:v>
                </c:pt>
                <c:pt idx="532">
                  <c:v>2378.9259999999999</c:v>
                </c:pt>
                <c:pt idx="533">
                  <c:v>2379.6418000000003</c:v>
                </c:pt>
                <c:pt idx="534">
                  <c:v>2380.8505999999998</c:v>
                </c:pt>
                <c:pt idx="535">
                  <c:v>2382.3885999999998</c:v>
                </c:pt>
                <c:pt idx="536">
                  <c:v>2384.2864</c:v>
                </c:pt>
                <c:pt idx="537">
                  <c:v>2386.5364</c:v>
                </c:pt>
                <c:pt idx="538">
                  <c:v>2388.0823999999998</c:v>
                </c:pt>
                <c:pt idx="539">
                  <c:v>2389.7910000000002</c:v>
                </c:pt>
                <c:pt idx="540">
                  <c:v>2391.3486000000003</c:v>
                </c:pt>
                <c:pt idx="541">
                  <c:v>2392.6985999999997</c:v>
                </c:pt>
                <c:pt idx="542">
                  <c:v>2393.0642000000003</c:v>
                </c:pt>
                <c:pt idx="543">
                  <c:v>2393.3625999999999</c:v>
                </c:pt>
                <c:pt idx="544">
                  <c:v>2393.3968</c:v>
                </c:pt>
                <c:pt idx="545">
                  <c:v>2392.9623999999999</c:v>
                </c:pt>
                <c:pt idx="546">
                  <c:v>2392.8763999999996</c:v>
                </c:pt>
                <c:pt idx="547">
                  <c:v>2392.3435999999997</c:v>
                </c:pt>
                <c:pt idx="548">
                  <c:v>2391.4469999999997</c:v>
                </c:pt>
                <c:pt idx="549">
                  <c:v>2390.4725999999996</c:v>
                </c:pt>
                <c:pt idx="550">
                  <c:v>2390.0325999999995</c:v>
                </c:pt>
                <c:pt idx="551">
                  <c:v>2388.5733999999998</c:v>
                </c:pt>
                <c:pt idx="552">
                  <c:v>2386.3181999999997</c:v>
                </c:pt>
                <c:pt idx="553">
                  <c:v>2384.6117999999997</c:v>
                </c:pt>
                <c:pt idx="554">
                  <c:v>2382.9177999999997</c:v>
                </c:pt>
                <c:pt idx="555">
                  <c:v>2380.4291999999991</c:v>
                </c:pt>
                <c:pt idx="556">
                  <c:v>2378.0669999999991</c:v>
                </c:pt>
                <c:pt idx="557">
                  <c:v>2375.3179999999993</c:v>
                </c:pt>
                <c:pt idx="558">
                  <c:v>2373.0275999999994</c:v>
                </c:pt>
                <c:pt idx="559">
                  <c:v>2369.8967999999995</c:v>
                </c:pt>
                <c:pt idx="560">
                  <c:v>2366.8125999999993</c:v>
                </c:pt>
                <c:pt idx="561">
                  <c:v>2362.7003999999997</c:v>
                </c:pt>
                <c:pt idx="562">
                  <c:v>2358.9401999999995</c:v>
                </c:pt>
                <c:pt idx="563">
                  <c:v>2355.2859999999996</c:v>
                </c:pt>
                <c:pt idx="564">
                  <c:v>2352.0015999999996</c:v>
                </c:pt>
                <c:pt idx="565">
                  <c:v>2348.8469999999993</c:v>
                </c:pt>
                <c:pt idx="566">
                  <c:v>2346.2923999999998</c:v>
                </c:pt>
                <c:pt idx="567">
                  <c:v>2343.2371999999996</c:v>
                </c:pt>
                <c:pt idx="568">
                  <c:v>2340.5317999999997</c:v>
                </c:pt>
                <c:pt idx="569">
                  <c:v>2337.1527999999998</c:v>
                </c:pt>
                <c:pt idx="570">
                  <c:v>2334.4515999999999</c:v>
                </c:pt>
                <c:pt idx="571">
                  <c:v>2332.7238000000002</c:v>
                </c:pt>
                <c:pt idx="572">
                  <c:v>2331.0772000000002</c:v>
                </c:pt>
                <c:pt idx="573">
                  <c:v>2330.4367999999999</c:v>
                </c:pt>
                <c:pt idx="574">
                  <c:v>2330.5342000000001</c:v>
                </c:pt>
                <c:pt idx="575">
                  <c:v>2329.2356</c:v>
                </c:pt>
                <c:pt idx="576">
                  <c:v>2327.6147999999998</c:v>
                </c:pt>
                <c:pt idx="577">
                  <c:v>2325.8575999999998</c:v>
                </c:pt>
                <c:pt idx="578">
                  <c:v>2324.3418000000001</c:v>
                </c:pt>
                <c:pt idx="579">
                  <c:v>2322.5156000000002</c:v>
                </c:pt>
                <c:pt idx="580">
                  <c:v>2320.7885999999999</c:v>
                </c:pt>
                <c:pt idx="581">
                  <c:v>2320.4947999999999</c:v>
                </c:pt>
                <c:pt idx="582">
                  <c:v>2320.2633999999998</c:v>
                </c:pt>
                <c:pt idx="583">
                  <c:v>2320.7375999999999</c:v>
                </c:pt>
                <c:pt idx="584">
                  <c:v>2320.8150000000001</c:v>
                </c:pt>
                <c:pt idx="585">
                  <c:v>2319.8075999999996</c:v>
                </c:pt>
                <c:pt idx="586">
                  <c:v>2318.4002</c:v>
                </c:pt>
                <c:pt idx="587">
                  <c:v>2316.4938000000002</c:v>
                </c:pt>
                <c:pt idx="588">
                  <c:v>2314.7795999999998</c:v>
                </c:pt>
                <c:pt idx="589">
                  <c:v>2312.5594000000001</c:v>
                </c:pt>
                <c:pt idx="590">
                  <c:v>2311.2215999999999</c:v>
                </c:pt>
                <c:pt idx="591">
                  <c:v>2310.1369999999997</c:v>
                </c:pt>
                <c:pt idx="592">
                  <c:v>2310.1763999999998</c:v>
                </c:pt>
                <c:pt idx="593">
                  <c:v>2310.5219999999995</c:v>
                </c:pt>
                <c:pt idx="594">
                  <c:v>2311.1983999999998</c:v>
                </c:pt>
                <c:pt idx="595">
                  <c:v>2311.6973999999996</c:v>
                </c:pt>
                <c:pt idx="596">
                  <c:v>2311.6431999999995</c:v>
                </c:pt>
                <c:pt idx="597">
                  <c:v>2311.3189999999995</c:v>
                </c:pt>
                <c:pt idx="598">
                  <c:v>2311.4965999999999</c:v>
                </c:pt>
                <c:pt idx="599">
                  <c:v>2312.7024000000001</c:v>
                </c:pt>
                <c:pt idx="600">
                  <c:v>2314.9996000000006</c:v>
                </c:pt>
                <c:pt idx="601">
                  <c:v>2317.9608000000003</c:v>
                </c:pt>
                <c:pt idx="602">
                  <c:v>2321.0482000000006</c:v>
                </c:pt>
                <c:pt idx="603">
                  <c:v>2323.2780000000002</c:v>
                </c:pt>
                <c:pt idx="604">
                  <c:v>2325.1362000000004</c:v>
                </c:pt>
                <c:pt idx="605">
                  <c:v>2327.8244000000004</c:v>
                </c:pt>
                <c:pt idx="606">
                  <c:v>2330.5562000000009</c:v>
                </c:pt>
                <c:pt idx="607">
                  <c:v>2333.635400000001</c:v>
                </c:pt>
                <c:pt idx="608">
                  <c:v>2336.2472000000007</c:v>
                </c:pt>
                <c:pt idx="609">
                  <c:v>2339.5480000000007</c:v>
                </c:pt>
                <c:pt idx="610">
                  <c:v>2343.0558000000005</c:v>
                </c:pt>
                <c:pt idx="611">
                  <c:v>2347.6286000000005</c:v>
                </c:pt>
                <c:pt idx="612">
                  <c:v>2352.1978000000004</c:v>
                </c:pt>
                <c:pt idx="613">
                  <c:v>2356.5852000000009</c:v>
                </c:pt>
                <c:pt idx="614">
                  <c:v>2360.2844000000009</c:v>
                </c:pt>
                <c:pt idx="615">
                  <c:v>2364.0788000000011</c:v>
                </c:pt>
                <c:pt idx="616">
                  <c:v>2367.5022000000008</c:v>
                </c:pt>
                <c:pt idx="617">
                  <c:v>2371.3316000000013</c:v>
                </c:pt>
                <c:pt idx="618">
                  <c:v>2374.6460000000011</c:v>
                </c:pt>
                <c:pt idx="619">
                  <c:v>2377.8692000000005</c:v>
                </c:pt>
                <c:pt idx="620">
                  <c:v>2380.9206000000004</c:v>
                </c:pt>
                <c:pt idx="621">
                  <c:v>2383.4718000000007</c:v>
                </c:pt>
                <c:pt idx="622">
                  <c:v>2385.9182000000005</c:v>
                </c:pt>
                <c:pt idx="623">
                  <c:v>2387.9590000000003</c:v>
                </c:pt>
                <c:pt idx="624">
                  <c:v>2389.7002000000002</c:v>
                </c:pt>
                <c:pt idx="625">
                  <c:v>2392.7290000000007</c:v>
                </c:pt>
                <c:pt idx="626">
                  <c:v>2395.3720000000008</c:v>
                </c:pt>
                <c:pt idx="627">
                  <c:v>2398.7086000000004</c:v>
                </c:pt>
                <c:pt idx="628">
                  <c:v>2402.8338000000003</c:v>
                </c:pt>
                <c:pt idx="629">
                  <c:v>2406.7415999999998</c:v>
                </c:pt>
                <c:pt idx="630">
                  <c:v>2410.4394000000002</c:v>
                </c:pt>
                <c:pt idx="631">
                  <c:v>2413.1425999999997</c:v>
                </c:pt>
                <c:pt idx="632">
                  <c:v>2415.8444</c:v>
                </c:pt>
                <c:pt idx="633">
                  <c:v>2419.0637999999999</c:v>
                </c:pt>
                <c:pt idx="634">
                  <c:v>2422.7081999999996</c:v>
                </c:pt>
                <c:pt idx="635">
                  <c:v>2426.6265999999996</c:v>
                </c:pt>
                <c:pt idx="636">
                  <c:v>2430.5571999999993</c:v>
                </c:pt>
                <c:pt idx="637">
                  <c:v>2434.9301999999998</c:v>
                </c:pt>
                <c:pt idx="638">
                  <c:v>2439.2781999999993</c:v>
                </c:pt>
                <c:pt idx="639">
                  <c:v>2443.8547999999992</c:v>
                </c:pt>
                <c:pt idx="640">
                  <c:v>2447.5513999999989</c:v>
                </c:pt>
                <c:pt idx="641">
                  <c:v>2450.8291999999997</c:v>
                </c:pt>
                <c:pt idx="642">
                  <c:v>2453.4803999999995</c:v>
                </c:pt>
                <c:pt idx="643">
                  <c:v>2456.2941999999994</c:v>
                </c:pt>
                <c:pt idx="644">
                  <c:v>2458.7473999999997</c:v>
                </c:pt>
                <c:pt idx="645">
                  <c:v>2461.8163999999997</c:v>
                </c:pt>
                <c:pt idx="646">
                  <c:v>2465.3535999999999</c:v>
                </c:pt>
                <c:pt idx="647">
                  <c:v>2469.5089999999996</c:v>
                </c:pt>
                <c:pt idx="648">
                  <c:v>2474.0419999999995</c:v>
                </c:pt>
                <c:pt idx="649">
                  <c:v>2477.8055999999992</c:v>
                </c:pt>
                <c:pt idx="650">
                  <c:v>2480.4883999999993</c:v>
                </c:pt>
                <c:pt idx="651">
                  <c:v>2482.6913999999997</c:v>
                </c:pt>
                <c:pt idx="652">
                  <c:v>2484.7939999999999</c:v>
                </c:pt>
                <c:pt idx="653">
                  <c:v>2487.0526</c:v>
                </c:pt>
                <c:pt idx="654">
                  <c:v>2489.5119999999997</c:v>
                </c:pt>
                <c:pt idx="655">
                  <c:v>2491.4653999999996</c:v>
                </c:pt>
                <c:pt idx="656">
                  <c:v>2493.8217999999997</c:v>
                </c:pt>
                <c:pt idx="657">
                  <c:v>2496.1451999999999</c:v>
                </c:pt>
                <c:pt idx="658">
                  <c:v>2498.3009999999999</c:v>
                </c:pt>
                <c:pt idx="659">
                  <c:v>2499.5724</c:v>
                </c:pt>
                <c:pt idx="660">
                  <c:v>2500.7588000000001</c:v>
                </c:pt>
                <c:pt idx="661">
                  <c:v>2501.2734</c:v>
                </c:pt>
                <c:pt idx="662">
                  <c:v>2501.6338000000001</c:v>
                </c:pt>
                <c:pt idx="663">
                  <c:v>2502.0693999999999</c:v>
                </c:pt>
                <c:pt idx="664">
                  <c:v>2502.1178</c:v>
                </c:pt>
                <c:pt idx="665">
                  <c:v>2502.0880000000002</c:v>
                </c:pt>
                <c:pt idx="666">
                  <c:v>2502.6016</c:v>
                </c:pt>
                <c:pt idx="667">
                  <c:v>2502.8193999999999</c:v>
                </c:pt>
                <c:pt idx="668">
                  <c:v>2503.1358</c:v>
                </c:pt>
                <c:pt idx="669">
                  <c:v>2504.2392000000004</c:v>
                </c:pt>
                <c:pt idx="670">
                  <c:v>2503.8808000000004</c:v>
                </c:pt>
                <c:pt idx="671">
                  <c:v>2502.9508000000005</c:v>
                </c:pt>
                <c:pt idx="672">
                  <c:v>2502.1414000000009</c:v>
                </c:pt>
                <c:pt idx="673">
                  <c:v>2501.2852000000003</c:v>
                </c:pt>
                <c:pt idx="674">
                  <c:v>2500.6288000000004</c:v>
                </c:pt>
                <c:pt idx="675">
                  <c:v>2499.075600000001</c:v>
                </c:pt>
                <c:pt idx="676">
                  <c:v>2497.5060000000008</c:v>
                </c:pt>
                <c:pt idx="677">
                  <c:v>2496.2102000000009</c:v>
                </c:pt>
                <c:pt idx="678">
                  <c:v>2494.8572000000008</c:v>
                </c:pt>
                <c:pt idx="679">
                  <c:v>2493.3356000000003</c:v>
                </c:pt>
                <c:pt idx="680">
                  <c:v>2492.2328000000007</c:v>
                </c:pt>
                <c:pt idx="681">
                  <c:v>2491.6150000000007</c:v>
                </c:pt>
                <c:pt idx="682">
                  <c:v>2490.7806000000005</c:v>
                </c:pt>
                <c:pt idx="683">
                  <c:v>2488.8696</c:v>
                </c:pt>
                <c:pt idx="684">
                  <c:v>2487.1564000000003</c:v>
                </c:pt>
                <c:pt idx="685">
                  <c:v>2485.8196000000003</c:v>
                </c:pt>
                <c:pt idx="686">
                  <c:v>2484.5550000000007</c:v>
                </c:pt>
                <c:pt idx="687">
                  <c:v>2482.9942000000005</c:v>
                </c:pt>
                <c:pt idx="688">
                  <c:v>2481.3700000000008</c:v>
                </c:pt>
                <c:pt idx="689">
                  <c:v>2479.8434000000007</c:v>
                </c:pt>
                <c:pt idx="690">
                  <c:v>2478.6068</c:v>
                </c:pt>
                <c:pt idx="691">
                  <c:v>2478.047</c:v>
                </c:pt>
                <c:pt idx="692">
                  <c:v>2477.7842000000001</c:v>
                </c:pt>
                <c:pt idx="693">
                  <c:v>2477.3612000000003</c:v>
                </c:pt>
                <c:pt idx="694">
                  <c:v>2477.1977999999999</c:v>
                </c:pt>
                <c:pt idx="695">
                  <c:v>2476.5948000000003</c:v>
                </c:pt>
                <c:pt idx="696">
                  <c:v>2475.7404000000001</c:v>
                </c:pt>
                <c:pt idx="697">
                  <c:v>2475.2813999999998</c:v>
                </c:pt>
                <c:pt idx="698">
                  <c:v>2475.0361999999996</c:v>
                </c:pt>
                <c:pt idx="699">
                  <c:v>2474.4063999999994</c:v>
                </c:pt>
                <c:pt idx="700">
                  <c:v>2474.2403999999997</c:v>
                </c:pt>
                <c:pt idx="701">
                  <c:v>2474.1039999999994</c:v>
                </c:pt>
                <c:pt idx="702">
                  <c:v>2474.1591999999996</c:v>
                </c:pt>
                <c:pt idx="703">
                  <c:v>2473.9567999999995</c:v>
                </c:pt>
                <c:pt idx="704">
                  <c:v>2473.8505999999993</c:v>
                </c:pt>
                <c:pt idx="705">
                  <c:v>2472.7959999999994</c:v>
                </c:pt>
                <c:pt idx="706">
                  <c:v>2472.0591999999997</c:v>
                </c:pt>
                <c:pt idx="707">
                  <c:v>2472.3891999999996</c:v>
                </c:pt>
                <c:pt idx="708">
                  <c:v>2472.7339999999999</c:v>
                </c:pt>
                <c:pt idx="709">
                  <c:v>2474.1711999999998</c:v>
                </c:pt>
                <c:pt idx="710">
                  <c:v>2475.4245999999998</c:v>
                </c:pt>
                <c:pt idx="711">
                  <c:v>2477.2523999999999</c:v>
                </c:pt>
                <c:pt idx="712">
                  <c:v>2479.3692000000001</c:v>
                </c:pt>
                <c:pt idx="713">
                  <c:v>2481.7276000000002</c:v>
                </c:pt>
                <c:pt idx="714">
                  <c:v>2484.1254000000004</c:v>
                </c:pt>
                <c:pt idx="715">
                  <c:v>2486.4606000000003</c:v>
                </c:pt>
                <c:pt idx="716">
                  <c:v>2488.3112000000006</c:v>
                </c:pt>
                <c:pt idx="717">
                  <c:v>2490.6456000000007</c:v>
                </c:pt>
                <c:pt idx="718">
                  <c:v>2493.1596000000009</c:v>
                </c:pt>
                <c:pt idx="719">
                  <c:v>2495.4612000000006</c:v>
                </c:pt>
                <c:pt idx="720">
                  <c:v>2499.1360000000004</c:v>
                </c:pt>
                <c:pt idx="721">
                  <c:v>2503.4862000000007</c:v>
                </c:pt>
                <c:pt idx="722">
                  <c:v>2507.7544000000007</c:v>
                </c:pt>
                <c:pt idx="723">
                  <c:v>2512.3024000000009</c:v>
                </c:pt>
                <c:pt idx="724">
                  <c:v>2516.9314000000008</c:v>
                </c:pt>
                <c:pt idx="725">
                  <c:v>2522.4812000000006</c:v>
                </c:pt>
                <c:pt idx="726">
                  <c:v>2527.9102000000003</c:v>
                </c:pt>
                <c:pt idx="727">
                  <c:v>2532.9730000000004</c:v>
                </c:pt>
                <c:pt idx="728">
                  <c:v>2537.6176000000005</c:v>
                </c:pt>
                <c:pt idx="729">
                  <c:v>2541.6128000000008</c:v>
                </c:pt>
                <c:pt idx="730">
                  <c:v>2546.0486000000005</c:v>
                </c:pt>
                <c:pt idx="731">
                  <c:v>2549.8784000000005</c:v>
                </c:pt>
                <c:pt idx="732">
                  <c:v>2553.7328000000002</c:v>
                </c:pt>
                <c:pt idx="733">
                  <c:v>2558.1402000000003</c:v>
                </c:pt>
                <c:pt idx="734">
                  <c:v>2562.1182000000008</c:v>
                </c:pt>
                <c:pt idx="735">
                  <c:v>2565.9652000000006</c:v>
                </c:pt>
                <c:pt idx="736">
                  <c:v>2569.8608000000004</c:v>
                </c:pt>
                <c:pt idx="737">
                  <c:v>2574.0347999999999</c:v>
                </c:pt>
                <c:pt idx="738">
                  <c:v>2578.2410000000004</c:v>
                </c:pt>
                <c:pt idx="739">
                  <c:v>2582.7543999999998</c:v>
                </c:pt>
                <c:pt idx="740">
                  <c:v>2586.4252000000001</c:v>
                </c:pt>
                <c:pt idx="741">
                  <c:v>2589.6234000000004</c:v>
                </c:pt>
                <c:pt idx="742">
                  <c:v>2593.2750000000001</c:v>
                </c:pt>
                <c:pt idx="743">
                  <c:v>2595.6226000000001</c:v>
                </c:pt>
                <c:pt idx="744">
                  <c:v>2598.2652000000003</c:v>
                </c:pt>
                <c:pt idx="745">
                  <c:v>2601.8962000000001</c:v>
                </c:pt>
                <c:pt idx="746">
                  <c:v>2605.6873999999998</c:v>
                </c:pt>
                <c:pt idx="747">
                  <c:v>2609.0142000000001</c:v>
                </c:pt>
                <c:pt idx="748">
                  <c:v>2612.0106000000001</c:v>
                </c:pt>
                <c:pt idx="749">
                  <c:v>2615.9068000000002</c:v>
                </c:pt>
                <c:pt idx="750">
                  <c:v>2619.5900000000006</c:v>
                </c:pt>
                <c:pt idx="751">
                  <c:v>2623.8490000000002</c:v>
                </c:pt>
                <c:pt idx="752">
                  <c:v>2628.4722000000002</c:v>
                </c:pt>
                <c:pt idx="753">
                  <c:v>2633.5176000000006</c:v>
                </c:pt>
                <c:pt idx="754">
                  <c:v>2638.4852000000001</c:v>
                </c:pt>
                <c:pt idx="755">
                  <c:v>2644.088400000001</c:v>
                </c:pt>
                <c:pt idx="756">
                  <c:v>2649.1656000000007</c:v>
                </c:pt>
                <c:pt idx="757">
                  <c:v>2652.871000000001</c:v>
                </c:pt>
                <c:pt idx="758">
                  <c:v>2656.3808000000008</c:v>
                </c:pt>
                <c:pt idx="759">
                  <c:v>2659.5094000000008</c:v>
                </c:pt>
                <c:pt idx="760">
                  <c:v>2663.1652000000008</c:v>
                </c:pt>
                <c:pt idx="761">
                  <c:v>2666.5156000000002</c:v>
                </c:pt>
                <c:pt idx="762">
                  <c:v>2670.1202000000003</c:v>
                </c:pt>
                <c:pt idx="763">
                  <c:v>2673.1514000000002</c:v>
                </c:pt>
                <c:pt idx="764">
                  <c:v>2676.6240000000003</c:v>
                </c:pt>
                <c:pt idx="765">
                  <c:v>2680.1156000000001</c:v>
                </c:pt>
                <c:pt idx="766">
                  <c:v>2683.7726000000002</c:v>
                </c:pt>
                <c:pt idx="767">
                  <c:v>2687.1687999999999</c:v>
                </c:pt>
                <c:pt idx="768">
                  <c:v>2690.5581999999999</c:v>
                </c:pt>
                <c:pt idx="769">
                  <c:v>2693.1950000000006</c:v>
                </c:pt>
                <c:pt idx="770">
                  <c:v>2695.8240000000001</c:v>
                </c:pt>
                <c:pt idx="771">
                  <c:v>2698.1366000000003</c:v>
                </c:pt>
                <c:pt idx="772">
                  <c:v>2700.8109999999997</c:v>
                </c:pt>
                <c:pt idx="773">
                  <c:v>2703.3950000000004</c:v>
                </c:pt>
                <c:pt idx="774">
                  <c:v>2706.7546000000007</c:v>
                </c:pt>
                <c:pt idx="775">
                  <c:v>2710.0464000000006</c:v>
                </c:pt>
                <c:pt idx="776">
                  <c:v>2713.3730000000005</c:v>
                </c:pt>
                <c:pt idx="777">
                  <c:v>2715.5424000000003</c:v>
                </c:pt>
                <c:pt idx="778">
                  <c:v>2717.9656</c:v>
                </c:pt>
                <c:pt idx="779">
                  <c:v>2720.2048000000004</c:v>
                </c:pt>
                <c:pt idx="780">
                  <c:v>2721.5240000000008</c:v>
                </c:pt>
                <c:pt idx="781">
                  <c:v>2723.2918000000004</c:v>
                </c:pt>
                <c:pt idx="782">
                  <c:v>2725.3909999999996</c:v>
                </c:pt>
                <c:pt idx="783">
                  <c:v>2727.7652000000003</c:v>
                </c:pt>
                <c:pt idx="784">
                  <c:v>2730.1764000000007</c:v>
                </c:pt>
                <c:pt idx="785">
                  <c:v>2732.7266000000004</c:v>
                </c:pt>
                <c:pt idx="786">
                  <c:v>2735.1194000000005</c:v>
                </c:pt>
                <c:pt idx="787">
                  <c:v>2737.8718000000003</c:v>
                </c:pt>
                <c:pt idx="788">
                  <c:v>2740.8160000000007</c:v>
                </c:pt>
                <c:pt idx="789">
                  <c:v>2742.8364000000015</c:v>
                </c:pt>
                <c:pt idx="790">
                  <c:v>2746.054000000001</c:v>
                </c:pt>
                <c:pt idx="791">
                  <c:v>2750.1966000000011</c:v>
                </c:pt>
                <c:pt idx="792">
                  <c:v>2753.9762000000005</c:v>
                </c:pt>
                <c:pt idx="793">
                  <c:v>2759.0362</c:v>
                </c:pt>
                <c:pt idx="794">
                  <c:v>2764.0306</c:v>
                </c:pt>
                <c:pt idx="795">
                  <c:v>2768.1543999999999</c:v>
                </c:pt>
                <c:pt idx="796">
                  <c:v>2772.5714000000003</c:v>
                </c:pt>
                <c:pt idx="797">
                  <c:v>2776.8712</c:v>
                </c:pt>
                <c:pt idx="798">
                  <c:v>2781.5228000000002</c:v>
                </c:pt>
                <c:pt idx="799">
                  <c:v>2785.9754000000012</c:v>
                </c:pt>
                <c:pt idx="800">
                  <c:v>2790.0620000000008</c:v>
                </c:pt>
                <c:pt idx="801">
                  <c:v>2794.6478000000002</c:v>
                </c:pt>
                <c:pt idx="802">
                  <c:v>2798.9450000000002</c:v>
                </c:pt>
                <c:pt idx="803">
                  <c:v>2803.1626000000001</c:v>
                </c:pt>
                <c:pt idx="804">
                  <c:v>2807.0271999999995</c:v>
                </c:pt>
                <c:pt idx="805">
                  <c:v>2810.6383999999998</c:v>
                </c:pt>
                <c:pt idx="806">
                  <c:v>2813.9099999999994</c:v>
                </c:pt>
                <c:pt idx="807">
                  <c:v>2817.6426000000001</c:v>
                </c:pt>
                <c:pt idx="808">
                  <c:v>2821.2726000000002</c:v>
                </c:pt>
                <c:pt idx="809">
                  <c:v>2825.2586000000006</c:v>
                </c:pt>
                <c:pt idx="810">
                  <c:v>2828.0394000000001</c:v>
                </c:pt>
                <c:pt idx="811">
                  <c:v>2831.6237999999998</c:v>
                </c:pt>
                <c:pt idx="812">
                  <c:v>2834.4991999999997</c:v>
                </c:pt>
                <c:pt idx="813">
                  <c:v>2836.7754</c:v>
                </c:pt>
                <c:pt idx="814">
                  <c:v>2839.0990000000002</c:v>
                </c:pt>
                <c:pt idx="815">
                  <c:v>2842.1911999999998</c:v>
                </c:pt>
                <c:pt idx="816">
                  <c:v>2845.0428000000002</c:v>
                </c:pt>
                <c:pt idx="817">
                  <c:v>2847.5475999999999</c:v>
                </c:pt>
                <c:pt idx="818">
                  <c:v>2849.2978000000003</c:v>
                </c:pt>
                <c:pt idx="819">
                  <c:v>2852.4766000000004</c:v>
                </c:pt>
                <c:pt idx="820">
                  <c:v>2855.0879999999993</c:v>
                </c:pt>
                <c:pt idx="821">
                  <c:v>2858.3731999999995</c:v>
                </c:pt>
                <c:pt idx="822">
                  <c:v>2861.7483999999995</c:v>
                </c:pt>
                <c:pt idx="823">
                  <c:v>2864.1165999999998</c:v>
                </c:pt>
                <c:pt idx="824">
                  <c:v>2864.3691999999996</c:v>
                </c:pt>
                <c:pt idx="825">
                  <c:v>2864.5682000000006</c:v>
                </c:pt>
                <c:pt idx="826">
                  <c:v>2864.2394000000004</c:v>
                </c:pt>
                <c:pt idx="827">
                  <c:v>2865.7356000000004</c:v>
                </c:pt>
                <c:pt idx="828">
                  <c:v>2866.9992000000002</c:v>
                </c:pt>
                <c:pt idx="829">
                  <c:v>2869.4174000000003</c:v>
                </c:pt>
                <c:pt idx="830">
                  <c:v>2871.956200000001</c:v>
                </c:pt>
                <c:pt idx="831">
                  <c:v>2874.325600000001</c:v>
                </c:pt>
                <c:pt idx="832">
                  <c:v>2876.4192000000016</c:v>
                </c:pt>
                <c:pt idx="833">
                  <c:v>2877.985000000001</c:v>
                </c:pt>
                <c:pt idx="834">
                  <c:v>2880.1288000000004</c:v>
                </c:pt>
                <c:pt idx="835">
                  <c:v>2882.367200000001</c:v>
                </c:pt>
                <c:pt idx="836">
                  <c:v>2885.1286000000009</c:v>
                </c:pt>
                <c:pt idx="837">
                  <c:v>2887.5002000000009</c:v>
                </c:pt>
                <c:pt idx="838">
                  <c:v>2890.5330000000004</c:v>
                </c:pt>
                <c:pt idx="839">
                  <c:v>2894.2722000000003</c:v>
                </c:pt>
                <c:pt idx="840">
                  <c:v>2897.5628000000002</c:v>
                </c:pt>
                <c:pt idx="841">
                  <c:v>2900.0304000000006</c:v>
                </c:pt>
                <c:pt idx="842">
                  <c:v>2902.5606000000007</c:v>
                </c:pt>
                <c:pt idx="843">
                  <c:v>2905.0956000000001</c:v>
                </c:pt>
                <c:pt idx="844">
                  <c:v>2907.4659999999999</c:v>
                </c:pt>
                <c:pt idx="845">
                  <c:v>2910.1459999999997</c:v>
                </c:pt>
                <c:pt idx="846">
                  <c:v>2912.4649999999992</c:v>
                </c:pt>
                <c:pt idx="847">
                  <c:v>2914.5475999999994</c:v>
                </c:pt>
                <c:pt idx="848">
                  <c:v>2916.1853999999998</c:v>
                </c:pt>
                <c:pt idx="849">
                  <c:v>2917.5560000000005</c:v>
                </c:pt>
                <c:pt idx="850">
                  <c:v>2918.9970000000008</c:v>
                </c:pt>
                <c:pt idx="851">
                  <c:v>2919.8594000000007</c:v>
                </c:pt>
                <c:pt idx="852">
                  <c:v>2920.7632000000008</c:v>
                </c:pt>
                <c:pt idx="853">
                  <c:v>2922.3212000000003</c:v>
                </c:pt>
                <c:pt idx="854">
                  <c:v>2924.4622000000004</c:v>
                </c:pt>
                <c:pt idx="855">
                  <c:v>2926.6822000000002</c:v>
                </c:pt>
                <c:pt idx="856">
                  <c:v>2928.5878000000002</c:v>
                </c:pt>
                <c:pt idx="857">
                  <c:v>2929.9114</c:v>
                </c:pt>
                <c:pt idx="858">
                  <c:v>2931.8878000000004</c:v>
                </c:pt>
                <c:pt idx="859">
                  <c:v>2933.4358000000002</c:v>
                </c:pt>
                <c:pt idx="860">
                  <c:v>2935.7550000000006</c:v>
                </c:pt>
                <c:pt idx="861">
                  <c:v>2937.9054000000006</c:v>
                </c:pt>
                <c:pt idx="862">
                  <c:v>2940.0734000000007</c:v>
                </c:pt>
                <c:pt idx="863">
                  <c:v>2942.177200000001</c:v>
                </c:pt>
                <c:pt idx="864">
                  <c:v>2943.5964000000004</c:v>
                </c:pt>
                <c:pt idx="865">
                  <c:v>2943.9326000000001</c:v>
                </c:pt>
                <c:pt idx="866">
                  <c:v>2944.5115999999994</c:v>
                </c:pt>
                <c:pt idx="867">
                  <c:v>2945.3447999999994</c:v>
                </c:pt>
                <c:pt idx="868">
                  <c:v>2947.1515999999992</c:v>
                </c:pt>
                <c:pt idx="869">
                  <c:v>2948.346399999999</c:v>
                </c:pt>
                <c:pt idx="870">
                  <c:v>2949.6441999999993</c:v>
                </c:pt>
                <c:pt idx="871">
                  <c:v>2949.5675999999994</c:v>
                </c:pt>
                <c:pt idx="872">
                  <c:v>2949.2079999999992</c:v>
                </c:pt>
                <c:pt idx="873">
                  <c:v>2949.7821999999992</c:v>
                </c:pt>
                <c:pt idx="874">
                  <c:v>2951.6125999999995</c:v>
                </c:pt>
                <c:pt idx="875">
                  <c:v>2953.5377999999992</c:v>
                </c:pt>
                <c:pt idx="876">
                  <c:v>2956.6369999999997</c:v>
                </c:pt>
                <c:pt idx="877">
                  <c:v>2959.2735999999991</c:v>
                </c:pt>
                <c:pt idx="878">
                  <c:v>2961.3687999999993</c:v>
                </c:pt>
                <c:pt idx="879">
                  <c:v>2963.6994</c:v>
                </c:pt>
                <c:pt idx="880">
                  <c:v>2966.7134000000001</c:v>
                </c:pt>
                <c:pt idx="881">
                  <c:v>2969.6040000000003</c:v>
                </c:pt>
                <c:pt idx="882">
                  <c:v>2972.3267999999998</c:v>
                </c:pt>
                <c:pt idx="883">
                  <c:v>2975.1655999999998</c:v>
                </c:pt>
                <c:pt idx="884">
                  <c:v>2977.7620000000002</c:v>
                </c:pt>
                <c:pt idx="885">
                  <c:v>2980.2930000000006</c:v>
                </c:pt>
                <c:pt idx="886">
                  <c:v>2983.1430000000005</c:v>
                </c:pt>
                <c:pt idx="887">
                  <c:v>2985.8758000000003</c:v>
                </c:pt>
                <c:pt idx="888">
                  <c:v>2987.364</c:v>
                </c:pt>
                <c:pt idx="889">
                  <c:v>2988.3809999999999</c:v>
                </c:pt>
                <c:pt idx="890">
                  <c:v>2989.1643999999997</c:v>
                </c:pt>
                <c:pt idx="891">
                  <c:v>2990.0054</c:v>
                </c:pt>
                <c:pt idx="892">
                  <c:v>2990.8965999999996</c:v>
                </c:pt>
                <c:pt idx="893">
                  <c:v>2991.2371999999996</c:v>
                </c:pt>
                <c:pt idx="894">
                  <c:v>2991.118199999999</c:v>
                </c:pt>
                <c:pt idx="895">
                  <c:v>2991.3597999999997</c:v>
                </c:pt>
                <c:pt idx="896">
                  <c:v>2991.6844000000001</c:v>
                </c:pt>
                <c:pt idx="897">
                  <c:v>2991.6946000000003</c:v>
                </c:pt>
                <c:pt idx="898">
                  <c:v>2991.9753999999994</c:v>
                </c:pt>
                <c:pt idx="899">
                  <c:v>2991.6929999999998</c:v>
                </c:pt>
                <c:pt idx="900">
                  <c:v>2990.9122000000002</c:v>
                </c:pt>
                <c:pt idx="901">
                  <c:v>2990.1465999999996</c:v>
                </c:pt>
                <c:pt idx="902">
                  <c:v>2990.6807999999996</c:v>
                </c:pt>
                <c:pt idx="903">
                  <c:v>2990.8375999999994</c:v>
                </c:pt>
                <c:pt idx="904">
                  <c:v>2991.1417999999999</c:v>
                </c:pt>
                <c:pt idx="905">
                  <c:v>2991.0985999999994</c:v>
                </c:pt>
                <c:pt idx="906">
                  <c:v>2992.2461999999996</c:v>
                </c:pt>
                <c:pt idx="907">
                  <c:v>2994.0219999999995</c:v>
                </c:pt>
                <c:pt idx="908">
                  <c:v>2995.9573999999993</c:v>
                </c:pt>
                <c:pt idx="909">
                  <c:v>2998.1033999999995</c:v>
                </c:pt>
                <c:pt idx="910">
                  <c:v>3000.6746000000003</c:v>
                </c:pt>
                <c:pt idx="911">
                  <c:v>3002.7700000000004</c:v>
                </c:pt>
                <c:pt idx="912">
                  <c:v>3005.3698000000004</c:v>
                </c:pt>
                <c:pt idx="913">
                  <c:v>3009.0914000000002</c:v>
                </c:pt>
                <c:pt idx="914">
                  <c:v>3013.0893999999994</c:v>
                </c:pt>
                <c:pt idx="915">
                  <c:v>3017.7862</c:v>
                </c:pt>
                <c:pt idx="916">
                  <c:v>3021.9531999999995</c:v>
                </c:pt>
                <c:pt idx="917">
                  <c:v>3026.2203999999992</c:v>
                </c:pt>
                <c:pt idx="918">
                  <c:v>3030.1653999999985</c:v>
                </c:pt>
                <c:pt idx="919">
                  <c:v>3034.0935999999988</c:v>
                </c:pt>
                <c:pt idx="920">
                  <c:v>3038.0901999999983</c:v>
                </c:pt>
                <c:pt idx="921">
                  <c:v>3043.3269999999989</c:v>
                </c:pt>
                <c:pt idx="922">
                  <c:v>3047.572799999999</c:v>
                </c:pt>
                <c:pt idx="923">
                  <c:v>3052.5357999999983</c:v>
                </c:pt>
                <c:pt idx="924">
                  <c:v>3057.7247999999986</c:v>
                </c:pt>
                <c:pt idx="925">
                  <c:v>3062.522199999999</c:v>
                </c:pt>
                <c:pt idx="926">
                  <c:v>3067.362599999999</c:v>
                </c:pt>
                <c:pt idx="927">
                  <c:v>3072.4501999999998</c:v>
                </c:pt>
                <c:pt idx="928">
                  <c:v>3077.7981999999993</c:v>
                </c:pt>
                <c:pt idx="929">
                  <c:v>3082.3183999999997</c:v>
                </c:pt>
                <c:pt idx="930">
                  <c:v>3086.2814000000003</c:v>
                </c:pt>
                <c:pt idx="931">
                  <c:v>3089.8234000000002</c:v>
                </c:pt>
                <c:pt idx="932">
                  <c:v>3094.0742000000009</c:v>
                </c:pt>
                <c:pt idx="933">
                  <c:v>3098.4892000000009</c:v>
                </c:pt>
                <c:pt idx="934">
                  <c:v>3102.4810000000011</c:v>
                </c:pt>
                <c:pt idx="935">
                  <c:v>3106.2332000000006</c:v>
                </c:pt>
                <c:pt idx="936">
                  <c:v>3109.419800000001</c:v>
                </c:pt>
                <c:pt idx="937">
                  <c:v>3112.6620000000007</c:v>
                </c:pt>
                <c:pt idx="938">
                  <c:v>3116.1738000000005</c:v>
                </c:pt>
                <c:pt idx="939">
                  <c:v>3119.7710000000002</c:v>
                </c:pt>
                <c:pt idx="940">
                  <c:v>3123.4524000000001</c:v>
                </c:pt>
                <c:pt idx="941">
                  <c:v>3127.0214000000001</c:v>
                </c:pt>
                <c:pt idx="942">
                  <c:v>3131.0929999999998</c:v>
                </c:pt>
                <c:pt idx="943">
                  <c:v>3135.5279999999998</c:v>
                </c:pt>
                <c:pt idx="944">
                  <c:v>3140.1188000000002</c:v>
                </c:pt>
                <c:pt idx="945">
                  <c:v>3143.5015999999996</c:v>
                </c:pt>
                <c:pt idx="946">
                  <c:v>3146.6891999999998</c:v>
                </c:pt>
                <c:pt idx="947">
                  <c:v>3150.4143999999997</c:v>
                </c:pt>
                <c:pt idx="948">
                  <c:v>3154.1177999999995</c:v>
                </c:pt>
                <c:pt idx="949">
                  <c:v>3158.1365999999994</c:v>
                </c:pt>
                <c:pt idx="950">
                  <c:v>3163.9401999999991</c:v>
                </c:pt>
                <c:pt idx="951">
                  <c:v>3169.6751999999992</c:v>
                </c:pt>
                <c:pt idx="952">
                  <c:v>3174.4223999999995</c:v>
                </c:pt>
                <c:pt idx="953">
                  <c:v>3179.1461999999992</c:v>
                </c:pt>
                <c:pt idx="954">
                  <c:v>3183.8203999999992</c:v>
                </c:pt>
                <c:pt idx="955">
                  <c:v>3189.2379999999994</c:v>
                </c:pt>
                <c:pt idx="956">
                  <c:v>3193.8003999999992</c:v>
                </c:pt>
                <c:pt idx="957">
                  <c:v>3197.9379999999992</c:v>
                </c:pt>
                <c:pt idx="958">
                  <c:v>3201.9343999999996</c:v>
                </c:pt>
                <c:pt idx="959">
                  <c:v>3205.3463999999994</c:v>
                </c:pt>
                <c:pt idx="960">
                  <c:v>3208.3803999999991</c:v>
                </c:pt>
                <c:pt idx="961">
                  <c:v>3211.5459999999994</c:v>
                </c:pt>
                <c:pt idx="962">
                  <c:v>3214.9067999999993</c:v>
                </c:pt>
                <c:pt idx="963">
                  <c:v>3217.9983999999995</c:v>
                </c:pt>
                <c:pt idx="964">
                  <c:v>3221.0285999999996</c:v>
                </c:pt>
                <c:pt idx="965">
                  <c:v>3223.8561999999993</c:v>
                </c:pt>
                <c:pt idx="966">
                  <c:v>3226.1629999999991</c:v>
                </c:pt>
                <c:pt idx="967">
                  <c:v>3229.4133999999995</c:v>
                </c:pt>
                <c:pt idx="968">
                  <c:v>3232.8241999999991</c:v>
                </c:pt>
                <c:pt idx="969">
                  <c:v>3235.9219999999996</c:v>
                </c:pt>
                <c:pt idx="970">
                  <c:v>3238.9329999999991</c:v>
                </c:pt>
                <c:pt idx="971">
                  <c:v>3241.8251999999984</c:v>
                </c:pt>
                <c:pt idx="972">
                  <c:v>3245.5835999999986</c:v>
                </c:pt>
                <c:pt idx="973">
                  <c:v>3247.9141999999993</c:v>
                </c:pt>
                <c:pt idx="974">
                  <c:v>3248.8285999999994</c:v>
                </c:pt>
                <c:pt idx="975">
                  <c:v>3249.578</c:v>
                </c:pt>
                <c:pt idx="976">
                  <c:v>3250.1893999999993</c:v>
                </c:pt>
                <c:pt idx="977">
                  <c:v>3249.8303999999998</c:v>
                </c:pt>
                <c:pt idx="978">
                  <c:v>3249.922</c:v>
                </c:pt>
                <c:pt idx="979">
                  <c:v>3249.8318000000004</c:v>
                </c:pt>
                <c:pt idx="980">
                  <c:v>3248.3990000000003</c:v>
                </c:pt>
                <c:pt idx="981">
                  <c:v>3247.6770000000006</c:v>
                </c:pt>
                <c:pt idx="982">
                  <c:v>3246.3236000000006</c:v>
                </c:pt>
                <c:pt idx="983">
                  <c:v>3245.4577999999997</c:v>
                </c:pt>
                <c:pt idx="984">
                  <c:v>3245.5200000000004</c:v>
                </c:pt>
                <c:pt idx="985">
                  <c:v>3245.6686000000009</c:v>
                </c:pt>
                <c:pt idx="986">
                  <c:v>3246.3606000000004</c:v>
                </c:pt>
                <c:pt idx="987">
                  <c:v>3247.115600000001</c:v>
                </c:pt>
                <c:pt idx="988">
                  <c:v>3248.4308000000005</c:v>
                </c:pt>
                <c:pt idx="989">
                  <c:v>3250.2702000000008</c:v>
                </c:pt>
                <c:pt idx="990">
                  <c:v>3252.2638000000006</c:v>
                </c:pt>
                <c:pt idx="991">
                  <c:v>3254.1052000000009</c:v>
                </c:pt>
                <c:pt idx="992">
                  <c:v>3255.6308000000008</c:v>
                </c:pt>
                <c:pt idx="993">
                  <c:v>3256.9182000000001</c:v>
                </c:pt>
                <c:pt idx="994">
                  <c:v>3258.8205999999996</c:v>
                </c:pt>
                <c:pt idx="995">
                  <c:v>3261.3587999999995</c:v>
                </c:pt>
                <c:pt idx="996">
                  <c:v>3264.1351999999988</c:v>
                </c:pt>
                <c:pt idx="997">
                  <c:v>3267.2547999999988</c:v>
                </c:pt>
                <c:pt idx="998">
                  <c:v>3270.1579999999985</c:v>
                </c:pt>
                <c:pt idx="999">
                  <c:v>3272.768399999999</c:v>
                </c:pt>
                <c:pt idx="1000">
                  <c:v>3275.3293999999996</c:v>
                </c:pt>
                <c:pt idx="1001">
                  <c:v>3277.9283999999998</c:v>
                </c:pt>
                <c:pt idx="1002">
                  <c:v>3280.3424</c:v>
                </c:pt>
                <c:pt idx="1003">
                  <c:v>3282.4414000000006</c:v>
                </c:pt>
                <c:pt idx="1004">
                  <c:v>3284.3148000000006</c:v>
                </c:pt>
                <c:pt idx="1005">
                  <c:v>3285.5352000000007</c:v>
                </c:pt>
                <c:pt idx="1006">
                  <c:v>3286.8034000000007</c:v>
                </c:pt>
                <c:pt idx="1007">
                  <c:v>3287.2996000000003</c:v>
                </c:pt>
                <c:pt idx="1008">
                  <c:v>3287.3440000000001</c:v>
                </c:pt>
                <c:pt idx="1009">
                  <c:v>3288.6044000000002</c:v>
                </c:pt>
                <c:pt idx="1010">
                  <c:v>3290.3704000000002</c:v>
                </c:pt>
                <c:pt idx="1011">
                  <c:v>3291.8866000000007</c:v>
                </c:pt>
                <c:pt idx="1012">
                  <c:v>3293.4096000000009</c:v>
                </c:pt>
                <c:pt idx="1013">
                  <c:v>3294.7292000000011</c:v>
                </c:pt>
                <c:pt idx="1014">
                  <c:v>3295.6990000000001</c:v>
                </c:pt>
                <c:pt idx="1015">
                  <c:v>3296.8180000000007</c:v>
                </c:pt>
                <c:pt idx="1016">
                  <c:v>3298.2926000000002</c:v>
                </c:pt>
                <c:pt idx="1017">
                  <c:v>3298.9450000000006</c:v>
                </c:pt>
                <c:pt idx="1018">
                  <c:v>3299.566600000001</c:v>
                </c:pt>
                <c:pt idx="1019">
                  <c:v>3300.809600000001</c:v>
                </c:pt>
                <c:pt idx="1020">
                  <c:v>3302.789600000001</c:v>
                </c:pt>
                <c:pt idx="1021">
                  <c:v>3304.7908000000002</c:v>
                </c:pt>
                <c:pt idx="1022">
                  <c:v>3306.67</c:v>
                </c:pt>
                <c:pt idx="1023">
                  <c:v>3308.2854000000002</c:v>
                </c:pt>
                <c:pt idx="1024">
                  <c:v>3310.5482000000002</c:v>
                </c:pt>
                <c:pt idx="1025">
                  <c:v>3313.3936000000003</c:v>
                </c:pt>
                <c:pt idx="1026">
                  <c:v>3316.5816000000004</c:v>
                </c:pt>
                <c:pt idx="1027">
                  <c:v>3319.0092</c:v>
                </c:pt>
                <c:pt idx="1028">
                  <c:v>3320.0944</c:v>
                </c:pt>
                <c:pt idx="1029">
                  <c:v>3322.1350000000002</c:v>
                </c:pt>
                <c:pt idx="1030">
                  <c:v>3326.0835999999995</c:v>
                </c:pt>
                <c:pt idx="1031">
                  <c:v>3330.250199999999</c:v>
                </c:pt>
                <c:pt idx="1032">
                  <c:v>3334.6203999999993</c:v>
                </c:pt>
                <c:pt idx="1033">
                  <c:v>3338.4303999999993</c:v>
                </c:pt>
                <c:pt idx="1034">
                  <c:v>3341.6691999999985</c:v>
                </c:pt>
                <c:pt idx="1035">
                  <c:v>3344.663399999999</c:v>
                </c:pt>
                <c:pt idx="1036">
                  <c:v>3347.0563999999995</c:v>
                </c:pt>
                <c:pt idx="1037">
                  <c:v>3348.886</c:v>
                </c:pt>
                <c:pt idx="1038">
                  <c:v>3350.5504000000005</c:v>
                </c:pt>
                <c:pt idx="1039">
                  <c:v>3352.2151999999996</c:v>
                </c:pt>
                <c:pt idx="1040">
                  <c:v>3353.9989999999998</c:v>
                </c:pt>
                <c:pt idx="1041">
                  <c:v>3356.2064</c:v>
                </c:pt>
                <c:pt idx="1042">
                  <c:v>3357.9132000000009</c:v>
                </c:pt>
                <c:pt idx="1043">
                  <c:v>3359.8706000000002</c:v>
                </c:pt>
                <c:pt idx="1044">
                  <c:v>3360.8082000000009</c:v>
                </c:pt>
                <c:pt idx="1045">
                  <c:v>3362.2416000000007</c:v>
                </c:pt>
                <c:pt idx="1046">
                  <c:v>3363.5844000000006</c:v>
                </c:pt>
                <c:pt idx="1047">
                  <c:v>3364.7044000000005</c:v>
                </c:pt>
                <c:pt idx="1048">
                  <c:v>3366.297</c:v>
                </c:pt>
                <c:pt idx="1049">
                  <c:v>3368.4260000000004</c:v>
                </c:pt>
                <c:pt idx="1050">
                  <c:v>3369.2300000000005</c:v>
                </c:pt>
                <c:pt idx="1051">
                  <c:v>3369.3984</c:v>
                </c:pt>
                <c:pt idx="1052">
                  <c:v>3369.6928000000003</c:v>
                </c:pt>
                <c:pt idx="1053">
                  <c:v>3370.2118</c:v>
                </c:pt>
                <c:pt idx="1054">
                  <c:v>3370.317</c:v>
                </c:pt>
                <c:pt idx="1055">
                  <c:v>3371.3226</c:v>
                </c:pt>
                <c:pt idx="1056">
                  <c:v>3372.4609999999998</c:v>
                </c:pt>
                <c:pt idx="1057">
                  <c:v>3374.6703999999991</c:v>
                </c:pt>
                <c:pt idx="1058">
                  <c:v>3377.4779999999992</c:v>
                </c:pt>
                <c:pt idx="1059">
                  <c:v>3379.5813999999996</c:v>
                </c:pt>
                <c:pt idx="1060">
                  <c:v>3381.5789999999997</c:v>
                </c:pt>
                <c:pt idx="1061">
                  <c:v>3384.1189999999997</c:v>
                </c:pt>
                <c:pt idx="1062">
                  <c:v>3386.3098</c:v>
                </c:pt>
                <c:pt idx="1063">
                  <c:v>3388.6754000000005</c:v>
                </c:pt>
                <c:pt idx="1064">
                  <c:v>3391.5124000000001</c:v>
                </c:pt>
                <c:pt idx="1065">
                  <c:v>3394.5078000000003</c:v>
                </c:pt>
                <c:pt idx="1066">
                  <c:v>3398.3073999999997</c:v>
                </c:pt>
                <c:pt idx="1067">
                  <c:v>3402.2922000000003</c:v>
                </c:pt>
                <c:pt idx="1068">
                  <c:v>3405.9480000000003</c:v>
                </c:pt>
                <c:pt idx="1069">
                  <c:v>3408.8281999999999</c:v>
                </c:pt>
                <c:pt idx="1070">
                  <c:v>3410.7494000000002</c:v>
                </c:pt>
                <c:pt idx="1071">
                  <c:v>3412.6849999999999</c:v>
                </c:pt>
                <c:pt idx="1072">
                  <c:v>3414.7558000000004</c:v>
                </c:pt>
                <c:pt idx="1073">
                  <c:v>3417.8322000000003</c:v>
                </c:pt>
                <c:pt idx="1074">
                  <c:v>3422.1752000000001</c:v>
                </c:pt>
                <c:pt idx="1075">
                  <c:v>3426.3472000000002</c:v>
                </c:pt>
                <c:pt idx="1076">
                  <c:v>3429.9070000000006</c:v>
                </c:pt>
                <c:pt idx="1077">
                  <c:v>3434.8682000000013</c:v>
                </c:pt>
                <c:pt idx="1078">
                  <c:v>3439.9988000000012</c:v>
                </c:pt>
                <c:pt idx="1079">
                  <c:v>3444.9384000000014</c:v>
                </c:pt>
                <c:pt idx="1080">
                  <c:v>3449.3600000000019</c:v>
                </c:pt>
                <c:pt idx="1081">
                  <c:v>3453.2216000000017</c:v>
                </c:pt>
                <c:pt idx="1082">
                  <c:v>3456.9652000000015</c:v>
                </c:pt>
                <c:pt idx="1083">
                  <c:v>3460.9412000000011</c:v>
                </c:pt>
                <c:pt idx="1084">
                  <c:v>3464.6918000000005</c:v>
                </c:pt>
                <c:pt idx="1085">
                  <c:v>3468.9764000000009</c:v>
                </c:pt>
                <c:pt idx="1086">
                  <c:v>3472.8636000000006</c:v>
                </c:pt>
                <c:pt idx="1087">
                  <c:v>3476.8152</c:v>
                </c:pt>
                <c:pt idx="1088">
                  <c:v>3480.88</c:v>
                </c:pt>
                <c:pt idx="1089">
                  <c:v>3484.3265999999999</c:v>
                </c:pt>
                <c:pt idx="1090">
                  <c:v>3487.6789999999992</c:v>
                </c:pt>
                <c:pt idx="1091">
                  <c:v>3491.3823999999995</c:v>
                </c:pt>
                <c:pt idx="1092">
                  <c:v>3495.0393999999997</c:v>
                </c:pt>
                <c:pt idx="1093">
                  <c:v>3498.8729999999991</c:v>
                </c:pt>
                <c:pt idx="1094">
                  <c:v>3502.4731999999999</c:v>
                </c:pt>
                <c:pt idx="1095">
                  <c:v>3506.3953999999999</c:v>
                </c:pt>
                <c:pt idx="1096">
                  <c:v>3510.2294000000002</c:v>
                </c:pt>
                <c:pt idx="1097">
                  <c:v>3514.3073999999997</c:v>
                </c:pt>
                <c:pt idx="1098">
                  <c:v>3517.8531999999996</c:v>
                </c:pt>
                <c:pt idx="1099">
                  <c:v>3521.3891999999996</c:v>
                </c:pt>
                <c:pt idx="1100">
                  <c:v>3524.886</c:v>
                </c:pt>
                <c:pt idx="1101">
                  <c:v>3529.0302000000001</c:v>
                </c:pt>
                <c:pt idx="1102">
                  <c:v>3532.5990000000002</c:v>
                </c:pt>
                <c:pt idx="1103">
                  <c:v>3535.9176000000007</c:v>
                </c:pt>
                <c:pt idx="1104">
                  <c:v>3538.2518000000009</c:v>
                </c:pt>
                <c:pt idx="1105">
                  <c:v>3539.8264000000008</c:v>
                </c:pt>
                <c:pt idx="1106">
                  <c:v>3541.7328000000007</c:v>
                </c:pt>
                <c:pt idx="1107">
                  <c:v>3542.6724000000004</c:v>
                </c:pt>
                <c:pt idx="1108">
                  <c:v>3543.2220000000007</c:v>
                </c:pt>
                <c:pt idx="1109">
                  <c:v>3543.467200000001</c:v>
                </c:pt>
                <c:pt idx="1110">
                  <c:v>3544.1342000000009</c:v>
                </c:pt>
                <c:pt idx="1111">
                  <c:v>3544.8790000000008</c:v>
                </c:pt>
                <c:pt idx="1112">
                  <c:v>3545.4554000000003</c:v>
                </c:pt>
                <c:pt idx="1113">
                  <c:v>3546.5438000000008</c:v>
                </c:pt>
                <c:pt idx="1114">
                  <c:v>3547.7990000000009</c:v>
                </c:pt>
                <c:pt idx="1115">
                  <c:v>3548.5982000000008</c:v>
                </c:pt>
                <c:pt idx="1116">
                  <c:v>3549.6726000000012</c:v>
                </c:pt>
                <c:pt idx="1117">
                  <c:v>3551.0498000000002</c:v>
                </c:pt>
                <c:pt idx="1118">
                  <c:v>3552.6272000000008</c:v>
                </c:pt>
                <c:pt idx="1119">
                  <c:v>3554.6614000000009</c:v>
                </c:pt>
                <c:pt idx="1120">
                  <c:v>3557.0400000000004</c:v>
                </c:pt>
                <c:pt idx="1121">
                  <c:v>3559.5455999999999</c:v>
                </c:pt>
                <c:pt idx="1122">
                  <c:v>3562.0689999999995</c:v>
                </c:pt>
                <c:pt idx="1123">
                  <c:v>3564.4572000000003</c:v>
                </c:pt>
                <c:pt idx="1124">
                  <c:v>3566.1884000000005</c:v>
                </c:pt>
                <c:pt idx="1125">
                  <c:v>3568.0664000000002</c:v>
                </c:pt>
                <c:pt idx="1126">
                  <c:v>3569.7847999999999</c:v>
                </c:pt>
                <c:pt idx="1127">
                  <c:v>3571.4689999999996</c:v>
                </c:pt>
                <c:pt idx="1128">
                  <c:v>3573.4949999999999</c:v>
                </c:pt>
                <c:pt idx="1129">
                  <c:v>3575.5409999999993</c:v>
                </c:pt>
                <c:pt idx="1130">
                  <c:v>3577.4465999999998</c:v>
                </c:pt>
                <c:pt idx="1131">
                  <c:v>3578.7374</c:v>
                </c:pt>
                <c:pt idx="1132">
                  <c:v>3580.3228000000004</c:v>
                </c:pt>
                <c:pt idx="1133">
                  <c:v>3581.5050000000006</c:v>
                </c:pt>
                <c:pt idx="1134">
                  <c:v>3582.2040000000006</c:v>
                </c:pt>
                <c:pt idx="1135">
                  <c:v>3582.4598000000005</c:v>
                </c:pt>
                <c:pt idx="1136">
                  <c:v>3583.5368000000012</c:v>
                </c:pt>
                <c:pt idx="1137">
                  <c:v>3585.1942000000004</c:v>
                </c:pt>
                <c:pt idx="1138">
                  <c:v>3586.8832000000007</c:v>
                </c:pt>
                <c:pt idx="1139">
                  <c:v>3588.8340000000007</c:v>
                </c:pt>
                <c:pt idx="1140">
                  <c:v>3590.0864000000015</c:v>
                </c:pt>
                <c:pt idx="1141">
                  <c:v>3590.5810000000015</c:v>
                </c:pt>
                <c:pt idx="1142">
                  <c:v>3591.780600000001</c:v>
                </c:pt>
                <c:pt idx="1143">
                  <c:v>3591.4946</c:v>
                </c:pt>
                <c:pt idx="1144">
                  <c:v>3592.6796000000008</c:v>
                </c:pt>
                <c:pt idx="1145">
                  <c:v>3592.9572000000003</c:v>
                </c:pt>
                <c:pt idx="1146">
                  <c:v>3593.2024000000001</c:v>
                </c:pt>
                <c:pt idx="1147">
                  <c:v>3592.1430000000005</c:v>
                </c:pt>
                <c:pt idx="1148">
                  <c:v>3590.9630000000006</c:v>
                </c:pt>
                <c:pt idx="1149">
                  <c:v>3590.5398000000005</c:v>
                </c:pt>
                <c:pt idx="1150">
                  <c:v>3590.3546000000006</c:v>
                </c:pt>
                <c:pt idx="1151">
                  <c:v>3589.0658000000008</c:v>
                </c:pt>
                <c:pt idx="1152">
                  <c:v>3589.3542000000011</c:v>
                </c:pt>
                <c:pt idx="1153">
                  <c:v>3588.1476000000007</c:v>
                </c:pt>
                <c:pt idx="1154">
                  <c:v>3587.5684000000001</c:v>
                </c:pt>
                <c:pt idx="1155">
                  <c:v>3586.0450000000005</c:v>
                </c:pt>
                <c:pt idx="1156">
                  <c:v>3584.1274000000012</c:v>
                </c:pt>
                <c:pt idx="1157">
                  <c:v>3582.3368000000009</c:v>
                </c:pt>
                <c:pt idx="1158">
                  <c:v>3580.5362000000009</c:v>
                </c:pt>
                <c:pt idx="1159">
                  <c:v>3579.9812000000011</c:v>
                </c:pt>
                <c:pt idx="1160">
                  <c:v>3579.2548000000015</c:v>
                </c:pt>
                <c:pt idx="1161">
                  <c:v>3579.6822000000016</c:v>
                </c:pt>
                <c:pt idx="1162">
                  <c:v>3579.7124000000013</c:v>
                </c:pt>
                <c:pt idx="1163">
                  <c:v>3580.1180000000018</c:v>
                </c:pt>
                <c:pt idx="1164">
                  <c:v>3580.7150000000011</c:v>
                </c:pt>
                <c:pt idx="1165">
                  <c:v>3581.2010000000009</c:v>
                </c:pt>
                <c:pt idx="1166">
                  <c:v>3581.9302000000012</c:v>
                </c:pt>
                <c:pt idx="1167">
                  <c:v>3582.1942000000008</c:v>
                </c:pt>
                <c:pt idx="1168">
                  <c:v>3582.7304000000004</c:v>
                </c:pt>
                <c:pt idx="1169">
                  <c:v>3583.9056000000005</c:v>
                </c:pt>
                <c:pt idx="1170">
                  <c:v>3585.2072000000003</c:v>
                </c:pt>
                <c:pt idx="1171">
                  <c:v>3585.9535999999998</c:v>
                </c:pt>
                <c:pt idx="1172">
                  <c:v>3587.0669999999996</c:v>
                </c:pt>
                <c:pt idx="1173">
                  <c:v>3588.4631999999988</c:v>
                </c:pt>
                <c:pt idx="1174">
                  <c:v>3590.0127999999991</c:v>
                </c:pt>
                <c:pt idx="1175">
                  <c:v>3591.550999999999</c:v>
                </c:pt>
                <c:pt idx="1176">
                  <c:v>3593.1773999999991</c:v>
                </c:pt>
                <c:pt idx="1177">
                  <c:v>3594.8163999999983</c:v>
                </c:pt>
                <c:pt idx="1178">
                  <c:v>3596.6105999999982</c:v>
                </c:pt>
                <c:pt idx="1179">
                  <c:v>3598.0637999999981</c:v>
                </c:pt>
                <c:pt idx="1180">
                  <c:v>3599.7877999999987</c:v>
                </c:pt>
                <c:pt idx="1181">
                  <c:v>3602.3847999999984</c:v>
                </c:pt>
                <c:pt idx="1182">
                  <c:v>3604.6027999999992</c:v>
                </c:pt>
                <c:pt idx="1183">
                  <c:v>3606.8869999999988</c:v>
                </c:pt>
                <c:pt idx="1184">
                  <c:v>3610.0063999999998</c:v>
                </c:pt>
                <c:pt idx="1185">
                  <c:v>3613.3935999999994</c:v>
                </c:pt>
                <c:pt idx="1186">
                  <c:v>3616.1603999999998</c:v>
                </c:pt>
                <c:pt idx="1187">
                  <c:v>3619.0608000000002</c:v>
                </c:pt>
                <c:pt idx="1188">
                  <c:v>3621.4053999999996</c:v>
                </c:pt>
                <c:pt idx="1189">
                  <c:v>3623.2709999999997</c:v>
                </c:pt>
                <c:pt idx="1190">
                  <c:v>3626.2064</c:v>
                </c:pt>
                <c:pt idx="1191">
                  <c:v>3629.8582000000006</c:v>
                </c:pt>
                <c:pt idx="1192">
                  <c:v>3632.8562000000006</c:v>
                </c:pt>
                <c:pt idx="1193">
                  <c:v>3637.1576</c:v>
                </c:pt>
                <c:pt idx="1194">
                  <c:v>3640.2920000000008</c:v>
                </c:pt>
                <c:pt idx="1195">
                  <c:v>3643.5868000000005</c:v>
                </c:pt>
                <c:pt idx="1196">
                  <c:v>3645.8520000000008</c:v>
                </c:pt>
                <c:pt idx="1197">
                  <c:v>3649.4188000000008</c:v>
                </c:pt>
                <c:pt idx="1198">
                  <c:v>3651.7748000000006</c:v>
                </c:pt>
                <c:pt idx="1199">
                  <c:v>3652.8754000000004</c:v>
                </c:pt>
                <c:pt idx="1200">
                  <c:v>3653.4682000000007</c:v>
                </c:pt>
                <c:pt idx="1201">
                  <c:v>3656.6164000000008</c:v>
                </c:pt>
                <c:pt idx="1202">
                  <c:v>3660.289400000001</c:v>
                </c:pt>
                <c:pt idx="1203">
                  <c:v>3665.7864000000009</c:v>
                </c:pt>
                <c:pt idx="1204">
                  <c:v>3672.3806000000013</c:v>
                </c:pt>
                <c:pt idx="1205">
                  <c:v>3680.2560000000008</c:v>
                </c:pt>
                <c:pt idx="1206">
                  <c:v>3688.0152000000012</c:v>
                </c:pt>
                <c:pt idx="1207">
                  <c:v>3696.5746000000013</c:v>
                </c:pt>
                <c:pt idx="1208">
                  <c:v>3705.2008000000014</c:v>
                </c:pt>
                <c:pt idx="1209">
                  <c:v>3712.5868000000009</c:v>
                </c:pt>
                <c:pt idx="1210">
                  <c:v>3718.5578000000014</c:v>
                </c:pt>
                <c:pt idx="1211">
                  <c:v>3723.1534000000011</c:v>
                </c:pt>
                <c:pt idx="1212">
                  <c:v>3726.8846000000008</c:v>
                </c:pt>
                <c:pt idx="1213">
                  <c:v>3729.0934000000016</c:v>
                </c:pt>
                <c:pt idx="1214">
                  <c:v>3731.6758000000013</c:v>
                </c:pt>
                <c:pt idx="1215">
                  <c:v>3735.6944000000012</c:v>
                </c:pt>
                <c:pt idx="1216">
                  <c:v>3738.2246000000009</c:v>
                </c:pt>
                <c:pt idx="1217">
                  <c:v>3740.2412000000004</c:v>
                </c:pt>
                <c:pt idx="1218">
                  <c:v>3741.6181999999999</c:v>
                </c:pt>
                <c:pt idx="1219">
                  <c:v>3741.7128000000007</c:v>
                </c:pt>
                <c:pt idx="1220">
                  <c:v>3741.136</c:v>
                </c:pt>
                <c:pt idx="1221">
                  <c:v>3741.7482</c:v>
                </c:pt>
                <c:pt idx="1222">
                  <c:v>3742.0334000000003</c:v>
                </c:pt>
                <c:pt idx="1223">
                  <c:v>3742.3768</c:v>
                </c:pt>
                <c:pt idx="1224">
                  <c:v>3743.8178000000003</c:v>
                </c:pt>
                <c:pt idx="1225">
                  <c:v>3744.6080000000006</c:v>
                </c:pt>
                <c:pt idx="1226">
                  <c:v>3745.5402000000013</c:v>
                </c:pt>
                <c:pt idx="1227">
                  <c:v>3745.4940000000006</c:v>
                </c:pt>
                <c:pt idx="1228">
                  <c:v>3744.4044000000008</c:v>
                </c:pt>
                <c:pt idx="1229">
                  <c:v>3743.9930000000004</c:v>
                </c:pt>
                <c:pt idx="1230">
                  <c:v>3742.5614000000005</c:v>
                </c:pt>
                <c:pt idx="1231">
                  <c:v>3741.6820000000002</c:v>
                </c:pt>
                <c:pt idx="1232">
                  <c:v>3741.9818</c:v>
                </c:pt>
                <c:pt idx="1233">
                  <c:v>3741.8412000000008</c:v>
                </c:pt>
                <c:pt idx="1234">
                  <c:v>3742.0827999999997</c:v>
                </c:pt>
                <c:pt idx="1235">
                  <c:v>3741.8691999999996</c:v>
                </c:pt>
                <c:pt idx="1236">
                  <c:v>3741.4176000000002</c:v>
                </c:pt>
                <c:pt idx="1237">
                  <c:v>3741.5415999999996</c:v>
                </c:pt>
                <c:pt idx="1238">
                  <c:v>3741.8787999999995</c:v>
                </c:pt>
                <c:pt idx="1239">
                  <c:v>3743.4795999999992</c:v>
                </c:pt>
                <c:pt idx="1240">
                  <c:v>3744.9159999999993</c:v>
                </c:pt>
                <c:pt idx="1241">
                  <c:v>3746.1829999999991</c:v>
                </c:pt>
                <c:pt idx="1242">
                  <c:v>3747.5161999999996</c:v>
                </c:pt>
                <c:pt idx="1243">
                  <c:v>3748.6531999999993</c:v>
                </c:pt>
                <c:pt idx="1244">
                  <c:v>3750.8112000000001</c:v>
                </c:pt>
                <c:pt idx="1245">
                  <c:v>3752.9637999999995</c:v>
                </c:pt>
                <c:pt idx="1246">
                  <c:v>3756.5589999999997</c:v>
                </c:pt>
                <c:pt idx="1247">
                  <c:v>3759.7515999999996</c:v>
                </c:pt>
                <c:pt idx="1248">
                  <c:v>3764.0466000000001</c:v>
                </c:pt>
                <c:pt idx="1249">
                  <c:v>3768.5756000000006</c:v>
                </c:pt>
                <c:pt idx="1250">
                  <c:v>3774.2008000000005</c:v>
                </c:pt>
                <c:pt idx="1251">
                  <c:v>3778.0010000000011</c:v>
                </c:pt>
                <c:pt idx="1252">
                  <c:v>3779.6968000000006</c:v>
                </c:pt>
                <c:pt idx="1253">
                  <c:v>3781.1432000000004</c:v>
                </c:pt>
                <c:pt idx="1254">
                  <c:v>3781.2052000000012</c:v>
                </c:pt>
                <c:pt idx="1255">
                  <c:v>3781.4380000000015</c:v>
                </c:pt>
                <c:pt idx="1256">
                  <c:v>3780.3868000000011</c:v>
                </c:pt>
                <c:pt idx="1257">
                  <c:v>3778.9508000000014</c:v>
                </c:pt>
                <c:pt idx="1258">
                  <c:v>3778.4004000000014</c:v>
                </c:pt>
                <c:pt idx="1259">
                  <c:v>3777.7554000000009</c:v>
                </c:pt>
                <c:pt idx="1260">
                  <c:v>3778.9190000000008</c:v>
                </c:pt>
                <c:pt idx="1261">
                  <c:v>3779.8436000000011</c:v>
                </c:pt>
                <c:pt idx="1262">
                  <c:v>3783.0708000000013</c:v>
                </c:pt>
                <c:pt idx="1263">
                  <c:v>3786.5804000000007</c:v>
                </c:pt>
                <c:pt idx="1264">
                  <c:v>3789.9068000000011</c:v>
                </c:pt>
                <c:pt idx="1265">
                  <c:v>3791.7686000000003</c:v>
                </c:pt>
                <c:pt idx="1266">
                  <c:v>3793.7962000000007</c:v>
                </c:pt>
                <c:pt idx="1267">
                  <c:v>3795.3116000000009</c:v>
                </c:pt>
                <c:pt idx="1268">
                  <c:v>3796.8328000000001</c:v>
                </c:pt>
                <c:pt idx="1269">
                  <c:v>3798.9764</c:v>
                </c:pt>
                <c:pt idx="1270">
                  <c:v>3802.7345999999998</c:v>
                </c:pt>
                <c:pt idx="1271">
                  <c:v>3804.8441999999991</c:v>
                </c:pt>
                <c:pt idx="1272">
                  <c:v>3806.5445999999997</c:v>
                </c:pt>
                <c:pt idx="1273">
                  <c:v>3808.1550000000002</c:v>
                </c:pt>
                <c:pt idx="1274">
                  <c:v>3809.1309999999999</c:v>
                </c:pt>
                <c:pt idx="1275">
                  <c:v>3810.3656000000001</c:v>
                </c:pt>
                <c:pt idx="1276">
                  <c:v>3811.6406000000002</c:v>
                </c:pt>
                <c:pt idx="1277">
                  <c:v>3814.2665999999999</c:v>
                </c:pt>
                <c:pt idx="1278">
                  <c:v>3818.2907999999998</c:v>
                </c:pt>
                <c:pt idx="1279">
                  <c:v>3821.2623999999992</c:v>
                </c:pt>
                <c:pt idx="1280">
                  <c:v>3825.321199999999</c:v>
                </c:pt>
                <c:pt idx="1281">
                  <c:v>3828.8277999999991</c:v>
                </c:pt>
                <c:pt idx="1282">
                  <c:v>3831.2043999999996</c:v>
                </c:pt>
                <c:pt idx="1283">
                  <c:v>3832.9941999999992</c:v>
                </c:pt>
                <c:pt idx="1284">
                  <c:v>3834.7083999999995</c:v>
                </c:pt>
                <c:pt idx="1285">
                  <c:v>3836.5473999999999</c:v>
                </c:pt>
                <c:pt idx="1286">
                  <c:v>3839.0987999999993</c:v>
                </c:pt>
                <c:pt idx="1287">
                  <c:v>3841.0355999999992</c:v>
                </c:pt>
                <c:pt idx="1288">
                  <c:v>3843.1239999999998</c:v>
                </c:pt>
                <c:pt idx="1289">
                  <c:v>3844.1389999999997</c:v>
                </c:pt>
                <c:pt idx="1290">
                  <c:v>3845.0573999999997</c:v>
                </c:pt>
                <c:pt idx="1291">
                  <c:v>3845.5545999999995</c:v>
                </c:pt>
                <c:pt idx="1292">
                  <c:v>3845.2901999999995</c:v>
                </c:pt>
                <c:pt idx="1293">
                  <c:v>3845.9345999999996</c:v>
                </c:pt>
                <c:pt idx="1294">
                  <c:v>3846.3257999999996</c:v>
                </c:pt>
                <c:pt idx="1295">
                  <c:v>3845.8247999999994</c:v>
                </c:pt>
                <c:pt idx="1296">
                  <c:v>3844.7933999999996</c:v>
                </c:pt>
                <c:pt idx="1297">
                  <c:v>3844.1170000000002</c:v>
                </c:pt>
                <c:pt idx="1298">
                  <c:v>3844.5801999999994</c:v>
                </c:pt>
                <c:pt idx="1299">
                  <c:v>3844.8903999999998</c:v>
                </c:pt>
                <c:pt idx="1300">
                  <c:v>3844.4978000000001</c:v>
                </c:pt>
                <c:pt idx="1301">
                  <c:v>3844.4507999999996</c:v>
                </c:pt>
                <c:pt idx="1302">
                  <c:v>3845.570999999999</c:v>
                </c:pt>
                <c:pt idx="1303">
                  <c:v>3846.6649999999995</c:v>
                </c:pt>
                <c:pt idx="1304">
                  <c:v>3849.087199999999</c:v>
                </c:pt>
                <c:pt idx="1305">
                  <c:v>3851.1669999999995</c:v>
                </c:pt>
                <c:pt idx="1306">
                  <c:v>3854.4739999999997</c:v>
                </c:pt>
                <c:pt idx="1307">
                  <c:v>3858.1079999999997</c:v>
                </c:pt>
                <c:pt idx="1308">
                  <c:v>3860.6025999999997</c:v>
                </c:pt>
                <c:pt idx="1309">
                  <c:v>3862.7513999999996</c:v>
                </c:pt>
                <c:pt idx="1310">
                  <c:v>3864.6011999999992</c:v>
                </c:pt>
                <c:pt idx="1311">
                  <c:v>3866.6193999999996</c:v>
                </c:pt>
                <c:pt idx="1312">
                  <c:v>3867.2151999999992</c:v>
                </c:pt>
                <c:pt idx="1313">
                  <c:v>3868.3545999999992</c:v>
                </c:pt>
                <c:pt idx="1314">
                  <c:v>3868.7263999999996</c:v>
                </c:pt>
                <c:pt idx="1315">
                  <c:v>3869.4131999999981</c:v>
                </c:pt>
                <c:pt idx="1316">
                  <c:v>3869.8967999999995</c:v>
                </c:pt>
                <c:pt idx="1317">
                  <c:v>3871.3907999999992</c:v>
                </c:pt>
                <c:pt idx="1318">
                  <c:v>3872.5755999999992</c:v>
                </c:pt>
                <c:pt idx="1319">
                  <c:v>3873.6008000000002</c:v>
                </c:pt>
                <c:pt idx="1320">
                  <c:v>3874.6218000000003</c:v>
                </c:pt>
                <c:pt idx="1321">
                  <c:v>3876.4682000000003</c:v>
                </c:pt>
                <c:pt idx="1322">
                  <c:v>3878.0661999999998</c:v>
                </c:pt>
                <c:pt idx="1323">
                  <c:v>3879.0384000000004</c:v>
                </c:pt>
                <c:pt idx="1324">
                  <c:v>3879.9467999999997</c:v>
                </c:pt>
                <c:pt idx="1325">
                  <c:v>3881.1668</c:v>
                </c:pt>
                <c:pt idx="1326">
                  <c:v>3882.9313999999999</c:v>
                </c:pt>
                <c:pt idx="1327">
                  <c:v>3883.9384000000005</c:v>
                </c:pt>
                <c:pt idx="1328">
                  <c:v>3885.0204000000003</c:v>
                </c:pt>
                <c:pt idx="1329">
                  <c:v>3886.5064000000007</c:v>
                </c:pt>
                <c:pt idx="1330">
                  <c:v>3887.2914000000001</c:v>
                </c:pt>
                <c:pt idx="1331">
                  <c:v>3887.4502000000007</c:v>
                </c:pt>
                <c:pt idx="1332">
                  <c:v>3887.6510000000007</c:v>
                </c:pt>
                <c:pt idx="1333">
                  <c:v>3887.1144000000004</c:v>
                </c:pt>
                <c:pt idx="1334">
                  <c:v>3886.0750000000012</c:v>
                </c:pt>
                <c:pt idx="1335">
                  <c:v>3885.697200000001</c:v>
                </c:pt>
                <c:pt idx="1336">
                  <c:v>3884.8998000000006</c:v>
                </c:pt>
                <c:pt idx="1337">
                  <c:v>3883.6176000000005</c:v>
                </c:pt>
                <c:pt idx="1338">
                  <c:v>3882.6260000000011</c:v>
                </c:pt>
                <c:pt idx="1339">
                  <c:v>3880.6974000000009</c:v>
                </c:pt>
                <c:pt idx="1340">
                  <c:v>3878.7184000000016</c:v>
                </c:pt>
                <c:pt idx="1341">
                  <c:v>3877.9624000000017</c:v>
                </c:pt>
                <c:pt idx="1342">
                  <c:v>3878.8462000000018</c:v>
                </c:pt>
                <c:pt idx="1343">
                  <c:v>3879.2374000000009</c:v>
                </c:pt>
                <c:pt idx="1344">
                  <c:v>3879.3442000000009</c:v>
                </c:pt>
                <c:pt idx="1345">
                  <c:v>3880.9930000000008</c:v>
                </c:pt>
                <c:pt idx="1346">
                  <c:v>3883.0434000000009</c:v>
                </c:pt>
                <c:pt idx="1347">
                  <c:v>3884.8478000000009</c:v>
                </c:pt>
                <c:pt idx="1348">
                  <c:v>3885.2816000000007</c:v>
                </c:pt>
                <c:pt idx="1349">
                  <c:v>3885.918000000001</c:v>
                </c:pt>
                <c:pt idx="1350">
                  <c:v>3886.3400000000011</c:v>
                </c:pt>
                <c:pt idx="1351">
                  <c:v>3885.9358000000011</c:v>
                </c:pt>
                <c:pt idx="1352">
                  <c:v>3884.2440000000015</c:v>
                </c:pt>
                <c:pt idx="1353">
                  <c:v>3883.4316000000008</c:v>
                </c:pt>
                <c:pt idx="1354">
                  <c:v>3882.9528000000005</c:v>
                </c:pt>
                <c:pt idx="1355">
                  <c:v>3882.5174000000006</c:v>
                </c:pt>
                <c:pt idx="1356">
                  <c:v>3881.9698000000003</c:v>
                </c:pt>
                <c:pt idx="1357">
                  <c:v>3881.0131999999999</c:v>
                </c:pt>
                <c:pt idx="1358">
                  <c:v>3880.0588000000002</c:v>
                </c:pt>
                <c:pt idx="1359">
                  <c:v>3880.1809999999996</c:v>
                </c:pt>
                <c:pt idx="1360">
                  <c:v>3878.9972000000002</c:v>
                </c:pt>
                <c:pt idx="1361">
                  <c:v>3877.68</c:v>
                </c:pt>
                <c:pt idx="1362">
                  <c:v>3877.8435999999997</c:v>
                </c:pt>
                <c:pt idx="1363">
                  <c:v>3877.1079999999997</c:v>
                </c:pt>
                <c:pt idx="1364">
                  <c:v>3876.5384000000004</c:v>
                </c:pt>
                <c:pt idx="1365">
                  <c:v>3875.7024000000001</c:v>
                </c:pt>
                <c:pt idx="1366">
                  <c:v>3875.8409999999999</c:v>
                </c:pt>
                <c:pt idx="1367">
                  <c:v>3876.5063999999998</c:v>
                </c:pt>
                <c:pt idx="1368">
                  <c:v>3877.4694</c:v>
                </c:pt>
                <c:pt idx="1369">
                  <c:v>3877.761</c:v>
                </c:pt>
                <c:pt idx="1370">
                  <c:v>3875.4941999999992</c:v>
                </c:pt>
                <c:pt idx="1371">
                  <c:v>3870.6757999999995</c:v>
                </c:pt>
                <c:pt idx="1372">
                  <c:v>3863.5175999999997</c:v>
                </c:pt>
                <c:pt idx="1373">
                  <c:v>3855.7663999999995</c:v>
                </c:pt>
                <c:pt idx="1374">
                  <c:v>3850.2863999999995</c:v>
                </c:pt>
                <c:pt idx="1375">
                  <c:v>3846.4085999999998</c:v>
                </c:pt>
                <c:pt idx="1376">
                  <c:v>3841.8059999999996</c:v>
                </c:pt>
                <c:pt idx="1377">
                  <c:v>3837.0081999999993</c:v>
                </c:pt>
                <c:pt idx="1378">
                  <c:v>3829.5729999999999</c:v>
                </c:pt>
                <c:pt idx="1379">
                  <c:v>3823.3934000000004</c:v>
                </c:pt>
                <c:pt idx="1380">
                  <c:v>3817.8772000000004</c:v>
                </c:pt>
                <c:pt idx="1381">
                  <c:v>3811.4846000000002</c:v>
                </c:pt>
                <c:pt idx="1382">
                  <c:v>3806.9067999999997</c:v>
                </c:pt>
                <c:pt idx="1383">
                  <c:v>3802.9327999999996</c:v>
                </c:pt>
                <c:pt idx="1384">
                  <c:v>3799.1386000000002</c:v>
                </c:pt>
                <c:pt idx="1385">
                  <c:v>3795.1442000000011</c:v>
                </c:pt>
                <c:pt idx="1386">
                  <c:v>3790.8804000000014</c:v>
                </c:pt>
                <c:pt idx="1387">
                  <c:v>3787.8430000000017</c:v>
                </c:pt>
                <c:pt idx="1388">
                  <c:v>3784.9822000000013</c:v>
                </c:pt>
                <c:pt idx="1389">
                  <c:v>3783.2036000000003</c:v>
                </c:pt>
                <c:pt idx="1390">
                  <c:v>3780.0581999999999</c:v>
                </c:pt>
                <c:pt idx="1391">
                  <c:v>3776.3090000000007</c:v>
                </c:pt>
                <c:pt idx="1392">
                  <c:v>3770.8036000000011</c:v>
                </c:pt>
                <c:pt idx="1393">
                  <c:v>3764.8072000000011</c:v>
                </c:pt>
                <c:pt idx="1394">
                  <c:v>3758.624600000001</c:v>
                </c:pt>
                <c:pt idx="1395">
                  <c:v>3751.7817999999997</c:v>
                </c:pt>
                <c:pt idx="1396">
                  <c:v>3743.0296000000003</c:v>
                </c:pt>
                <c:pt idx="1397">
                  <c:v>3734.3052000000002</c:v>
                </c:pt>
                <c:pt idx="1398">
                  <c:v>3727.2546000000007</c:v>
                </c:pt>
                <c:pt idx="1399">
                  <c:v>3720.5290000000009</c:v>
                </c:pt>
                <c:pt idx="1400">
                  <c:v>3715.2740000000003</c:v>
                </c:pt>
                <c:pt idx="1401">
                  <c:v>3712.1831999999999</c:v>
                </c:pt>
                <c:pt idx="1402">
                  <c:v>3709.2711999999992</c:v>
                </c:pt>
                <c:pt idx="1403">
                  <c:v>3706.0309999999986</c:v>
                </c:pt>
                <c:pt idx="1404">
                  <c:v>3702.8691999999992</c:v>
                </c:pt>
                <c:pt idx="1405">
                  <c:v>3699.7555999999995</c:v>
                </c:pt>
                <c:pt idx="1406">
                  <c:v>3696.9141999999993</c:v>
                </c:pt>
                <c:pt idx="1407">
                  <c:v>3693.7823999999991</c:v>
                </c:pt>
                <c:pt idx="1408">
                  <c:v>3690.4757999999988</c:v>
                </c:pt>
                <c:pt idx="1409">
                  <c:v>3688.0045999999988</c:v>
                </c:pt>
                <c:pt idx="1410">
                  <c:v>3686.4589999999998</c:v>
                </c:pt>
                <c:pt idx="1411">
                  <c:v>3685.1541999999999</c:v>
                </c:pt>
                <c:pt idx="1412">
                  <c:v>3682.7558000000004</c:v>
                </c:pt>
                <c:pt idx="1413">
                  <c:v>3680.6577999999995</c:v>
                </c:pt>
                <c:pt idx="1414">
                  <c:v>3679.7201999999997</c:v>
                </c:pt>
                <c:pt idx="1415">
                  <c:v>3679.7125999999989</c:v>
                </c:pt>
                <c:pt idx="1416">
                  <c:v>3679.2551999999996</c:v>
                </c:pt>
                <c:pt idx="1417">
                  <c:v>3678.1822000000002</c:v>
                </c:pt>
                <c:pt idx="1418">
                  <c:v>3678.2170000000006</c:v>
                </c:pt>
                <c:pt idx="1419">
                  <c:v>3678.8630000000012</c:v>
                </c:pt>
                <c:pt idx="1420">
                  <c:v>3680.7624000000005</c:v>
                </c:pt>
                <c:pt idx="1421">
                  <c:v>3685.9749999999999</c:v>
                </c:pt>
                <c:pt idx="1422">
                  <c:v>3694.2829999999999</c:v>
                </c:pt>
                <c:pt idx="1423">
                  <c:v>3703.2895999999996</c:v>
                </c:pt>
                <c:pt idx="1424">
                  <c:v>3709.5127999999995</c:v>
                </c:pt>
                <c:pt idx="1425">
                  <c:v>3713.9603999999999</c:v>
                </c:pt>
                <c:pt idx="1426">
                  <c:v>3717.6017999999995</c:v>
                </c:pt>
                <c:pt idx="1427">
                  <c:v>3721.9913999999994</c:v>
                </c:pt>
                <c:pt idx="1428">
                  <c:v>3728.2925999999993</c:v>
                </c:pt>
                <c:pt idx="1429">
                  <c:v>3732.2133999999996</c:v>
                </c:pt>
                <c:pt idx="1430">
                  <c:v>3735.1919999999996</c:v>
                </c:pt>
                <c:pt idx="1431">
                  <c:v>3740.4129999999991</c:v>
                </c:pt>
                <c:pt idx="1432">
                  <c:v>3743.7493999999992</c:v>
                </c:pt>
                <c:pt idx="1433">
                  <c:v>3749.3385999999991</c:v>
                </c:pt>
                <c:pt idx="1434">
                  <c:v>3754.4569999999994</c:v>
                </c:pt>
                <c:pt idx="1435">
                  <c:v>3759.5352000000003</c:v>
                </c:pt>
                <c:pt idx="1436">
                  <c:v>3764.8137999999999</c:v>
                </c:pt>
                <c:pt idx="1437">
                  <c:v>3769.2576000000008</c:v>
                </c:pt>
                <c:pt idx="1438">
                  <c:v>3773.0566000000008</c:v>
                </c:pt>
                <c:pt idx="1439">
                  <c:v>3777.0966000000003</c:v>
                </c:pt>
                <c:pt idx="1440">
                  <c:v>3781.9736000000003</c:v>
                </c:pt>
                <c:pt idx="1441">
                  <c:v>3787.3534000000009</c:v>
                </c:pt>
                <c:pt idx="1442">
                  <c:v>3792.7870000000007</c:v>
                </c:pt>
                <c:pt idx="1443">
                  <c:v>3797.252</c:v>
                </c:pt>
                <c:pt idx="1444">
                  <c:v>3803.5308</c:v>
                </c:pt>
                <c:pt idx="1445">
                  <c:v>3809.3028000000004</c:v>
                </c:pt>
                <c:pt idx="1446">
                  <c:v>3816.4002</c:v>
                </c:pt>
                <c:pt idx="1447">
                  <c:v>3822.8155999999999</c:v>
                </c:pt>
                <c:pt idx="1448">
                  <c:v>3828.0707999999995</c:v>
                </c:pt>
                <c:pt idx="1449">
                  <c:v>3831.7031999999999</c:v>
                </c:pt>
                <c:pt idx="1450">
                  <c:v>3834.6667999999995</c:v>
                </c:pt>
                <c:pt idx="1451">
                  <c:v>3837.1017999999995</c:v>
                </c:pt>
                <c:pt idx="1452">
                  <c:v>3840.9175999999989</c:v>
                </c:pt>
                <c:pt idx="1453">
                  <c:v>3842.9595999999983</c:v>
                </c:pt>
                <c:pt idx="1454">
                  <c:v>3842.9883999999993</c:v>
                </c:pt>
                <c:pt idx="1455">
                  <c:v>3843.5521999999992</c:v>
                </c:pt>
                <c:pt idx="1456">
                  <c:v>3844.6945999999989</c:v>
                </c:pt>
                <c:pt idx="1457">
                  <c:v>3847.2943999999989</c:v>
                </c:pt>
                <c:pt idx="1458">
                  <c:v>3850.1183999999989</c:v>
                </c:pt>
                <c:pt idx="1459">
                  <c:v>3851.6685999999991</c:v>
                </c:pt>
                <c:pt idx="1460">
                  <c:v>3853.7067999999999</c:v>
                </c:pt>
                <c:pt idx="1461">
                  <c:v>3855.1704</c:v>
                </c:pt>
                <c:pt idx="1462">
                  <c:v>3856.0135999999993</c:v>
                </c:pt>
                <c:pt idx="1463">
                  <c:v>3856.1351999999988</c:v>
                </c:pt>
                <c:pt idx="1464">
                  <c:v>3855.1567999999993</c:v>
                </c:pt>
                <c:pt idx="1465">
                  <c:v>3852.3725999999997</c:v>
                </c:pt>
                <c:pt idx="1466">
                  <c:v>3847.9725999999996</c:v>
                </c:pt>
                <c:pt idx="1467">
                  <c:v>3842.9817999999996</c:v>
                </c:pt>
                <c:pt idx="1468">
                  <c:v>3837.1343999999999</c:v>
                </c:pt>
                <c:pt idx="1469">
                  <c:v>3831.8747999999996</c:v>
                </c:pt>
                <c:pt idx="1470">
                  <c:v>3825.1866000000005</c:v>
                </c:pt>
                <c:pt idx="1471">
                  <c:v>3818.7611999999999</c:v>
                </c:pt>
                <c:pt idx="1472">
                  <c:v>3810.5703999999996</c:v>
                </c:pt>
                <c:pt idx="1473">
                  <c:v>3802.6680000000006</c:v>
                </c:pt>
                <c:pt idx="1474">
                  <c:v>3794.0251999999996</c:v>
                </c:pt>
                <c:pt idx="1475">
                  <c:v>3785.7644</c:v>
                </c:pt>
                <c:pt idx="1476">
                  <c:v>3779.6750000000002</c:v>
                </c:pt>
                <c:pt idx="1477">
                  <c:v>3772.3325999999997</c:v>
                </c:pt>
                <c:pt idx="1478">
                  <c:v>3766.2345999999998</c:v>
                </c:pt>
                <c:pt idx="1479">
                  <c:v>3760.4353999999998</c:v>
                </c:pt>
                <c:pt idx="1480">
                  <c:v>3755.8861999999995</c:v>
                </c:pt>
                <c:pt idx="1481">
                  <c:v>3751.9562000000001</c:v>
                </c:pt>
                <c:pt idx="1482">
                  <c:v>3748.0825999999997</c:v>
                </c:pt>
                <c:pt idx="1483">
                  <c:v>3741.6077999999993</c:v>
                </c:pt>
                <c:pt idx="1484">
                  <c:v>3735.5971999999997</c:v>
                </c:pt>
                <c:pt idx="1485">
                  <c:v>3729.4023999999995</c:v>
                </c:pt>
                <c:pt idx="1486">
                  <c:v>3721.9783999999995</c:v>
                </c:pt>
                <c:pt idx="1487">
                  <c:v>3713.4665999999993</c:v>
                </c:pt>
                <c:pt idx="1488">
                  <c:v>3704.9251999999992</c:v>
                </c:pt>
                <c:pt idx="1489">
                  <c:v>3696.3311999999987</c:v>
                </c:pt>
                <c:pt idx="1490">
                  <c:v>3687.2541999999985</c:v>
                </c:pt>
                <c:pt idx="1491">
                  <c:v>3678.6871999999985</c:v>
                </c:pt>
                <c:pt idx="1492">
                  <c:v>3672.1435999999994</c:v>
                </c:pt>
                <c:pt idx="1493">
                  <c:v>3667.8919999999994</c:v>
                </c:pt>
                <c:pt idx="1494">
                  <c:v>3661.7355999999995</c:v>
                </c:pt>
                <c:pt idx="1495">
                  <c:v>3656.1277999999998</c:v>
                </c:pt>
                <c:pt idx="1496">
                  <c:v>3652.0565999999999</c:v>
                </c:pt>
                <c:pt idx="1497">
                  <c:v>3647.6722000000004</c:v>
                </c:pt>
                <c:pt idx="1498">
                  <c:v>3643.4310000000005</c:v>
                </c:pt>
                <c:pt idx="1499">
                  <c:v>3641.5060000000003</c:v>
                </c:pt>
                <c:pt idx="1500">
                  <c:v>3639.0900000000006</c:v>
                </c:pt>
                <c:pt idx="1501">
                  <c:v>3635.284000000001</c:v>
                </c:pt>
                <c:pt idx="1502">
                  <c:v>3632.095600000001</c:v>
                </c:pt>
                <c:pt idx="1503">
                  <c:v>3630.3782000000006</c:v>
                </c:pt>
                <c:pt idx="1504">
                  <c:v>3630.2874000000011</c:v>
                </c:pt>
                <c:pt idx="1505">
                  <c:v>3629.8538000000012</c:v>
                </c:pt>
                <c:pt idx="1506">
                  <c:v>3628.8178000000003</c:v>
                </c:pt>
                <c:pt idx="1507">
                  <c:v>3625.9982000000005</c:v>
                </c:pt>
                <c:pt idx="1508">
                  <c:v>3623.6904000000009</c:v>
                </c:pt>
                <c:pt idx="1509">
                  <c:v>3621.5664000000006</c:v>
                </c:pt>
                <c:pt idx="1510">
                  <c:v>3619.8568000000005</c:v>
                </c:pt>
                <c:pt idx="1511">
                  <c:v>3618.6094000000007</c:v>
                </c:pt>
                <c:pt idx="1512">
                  <c:v>3617.9498000000003</c:v>
                </c:pt>
                <c:pt idx="1513">
                  <c:v>3618.8717999999999</c:v>
                </c:pt>
                <c:pt idx="1514">
                  <c:v>3620.1455999999998</c:v>
                </c:pt>
                <c:pt idx="1515">
                  <c:v>3622.7197999999994</c:v>
                </c:pt>
                <c:pt idx="1516">
                  <c:v>3627.1333999999993</c:v>
                </c:pt>
                <c:pt idx="1517">
                  <c:v>3632.2787999999987</c:v>
                </c:pt>
                <c:pt idx="1518">
                  <c:v>3636.8709999999987</c:v>
                </c:pt>
                <c:pt idx="1519">
                  <c:v>3640.8725999999997</c:v>
                </c:pt>
                <c:pt idx="1520">
                  <c:v>3646.7194</c:v>
                </c:pt>
                <c:pt idx="1521">
                  <c:v>3652.0747999999999</c:v>
                </c:pt>
                <c:pt idx="1522">
                  <c:v>3659.3247999999999</c:v>
                </c:pt>
                <c:pt idx="1523">
                  <c:v>3666.3789999999995</c:v>
                </c:pt>
                <c:pt idx="1524">
                  <c:v>3674.7371999999996</c:v>
                </c:pt>
                <c:pt idx="1525">
                  <c:v>3682.4983999999995</c:v>
                </c:pt>
                <c:pt idx="1526">
                  <c:v>3688.0521999999996</c:v>
                </c:pt>
                <c:pt idx="1527">
                  <c:v>3695.5581999999995</c:v>
                </c:pt>
                <c:pt idx="1528">
                  <c:v>3701.1415999999999</c:v>
                </c:pt>
                <c:pt idx="1529">
                  <c:v>3707.7093999999993</c:v>
                </c:pt>
                <c:pt idx="1530">
                  <c:v>3713.6702</c:v>
                </c:pt>
                <c:pt idx="1531">
                  <c:v>3718.6194000000005</c:v>
                </c:pt>
                <c:pt idx="1532">
                  <c:v>3724.389200000001</c:v>
                </c:pt>
                <c:pt idx="1533">
                  <c:v>3731.5394000000006</c:v>
                </c:pt>
                <c:pt idx="1534">
                  <c:v>3738.2322000000008</c:v>
                </c:pt>
                <c:pt idx="1535">
                  <c:v>3745.3152</c:v>
                </c:pt>
                <c:pt idx="1536">
                  <c:v>3753.9634000000001</c:v>
                </c:pt>
                <c:pt idx="1537">
                  <c:v>3763.6668000000004</c:v>
                </c:pt>
                <c:pt idx="1538">
                  <c:v>3772.9928000000004</c:v>
                </c:pt>
                <c:pt idx="1539">
                  <c:v>3782.3120000000008</c:v>
                </c:pt>
                <c:pt idx="1540">
                  <c:v>3792.3298000000004</c:v>
                </c:pt>
                <c:pt idx="1541">
                  <c:v>3801.1488000000008</c:v>
                </c:pt>
                <c:pt idx="1542">
                  <c:v>3808.9252000000001</c:v>
                </c:pt>
                <c:pt idx="1543">
                  <c:v>3814.7996000000003</c:v>
                </c:pt>
                <c:pt idx="1544">
                  <c:v>3820.6124</c:v>
                </c:pt>
                <c:pt idx="1545">
                  <c:v>3827.0246000000002</c:v>
                </c:pt>
                <c:pt idx="1546">
                  <c:v>3831.7188000000001</c:v>
                </c:pt>
                <c:pt idx="1547">
                  <c:v>3836.8732</c:v>
                </c:pt>
                <c:pt idx="1548">
                  <c:v>3841.7038000000002</c:v>
                </c:pt>
                <c:pt idx="1549">
                  <c:v>3845.9505999999992</c:v>
                </c:pt>
                <c:pt idx="1550">
                  <c:v>3850.3849999999993</c:v>
                </c:pt>
                <c:pt idx="1551">
                  <c:v>3856.3764000000001</c:v>
                </c:pt>
                <c:pt idx="1552">
                  <c:v>3859.9250000000002</c:v>
                </c:pt>
                <c:pt idx="1553">
                  <c:v>3863.1502</c:v>
                </c:pt>
                <c:pt idx="1554">
                  <c:v>3865.4532000000008</c:v>
                </c:pt>
                <c:pt idx="1555">
                  <c:v>3868.2710000000002</c:v>
                </c:pt>
                <c:pt idx="1556">
                  <c:v>3870.3076000000005</c:v>
                </c:pt>
                <c:pt idx="1557">
                  <c:v>3873.2028000000005</c:v>
                </c:pt>
                <c:pt idx="1558">
                  <c:v>3875.4238000000005</c:v>
                </c:pt>
                <c:pt idx="1559">
                  <c:v>3878.1040000000003</c:v>
                </c:pt>
                <c:pt idx="1560">
                  <c:v>3879.3790000000008</c:v>
                </c:pt>
                <c:pt idx="1561">
                  <c:v>3881.8038000000006</c:v>
                </c:pt>
                <c:pt idx="1562">
                  <c:v>3884.9180000000006</c:v>
                </c:pt>
                <c:pt idx="1563">
                  <c:v>3887.5972000000002</c:v>
                </c:pt>
                <c:pt idx="1564">
                  <c:v>3890.1254000000004</c:v>
                </c:pt>
                <c:pt idx="1565">
                  <c:v>3892.2414000000008</c:v>
                </c:pt>
                <c:pt idx="1566">
                  <c:v>3894.3840000000009</c:v>
                </c:pt>
                <c:pt idx="1567">
                  <c:v>3896.8156000000004</c:v>
                </c:pt>
                <c:pt idx="1568">
                  <c:v>3899.5086000000006</c:v>
                </c:pt>
                <c:pt idx="1569">
                  <c:v>3902.6206000000006</c:v>
                </c:pt>
                <c:pt idx="1570">
                  <c:v>3905.7946000000002</c:v>
                </c:pt>
                <c:pt idx="1571">
                  <c:v>3908.5582000000009</c:v>
                </c:pt>
                <c:pt idx="1572">
                  <c:v>3910.8436000000006</c:v>
                </c:pt>
                <c:pt idx="1573">
                  <c:v>3912.5550000000007</c:v>
                </c:pt>
                <c:pt idx="1574">
                  <c:v>3913.1564000000008</c:v>
                </c:pt>
                <c:pt idx="1575">
                  <c:v>3913.8550000000005</c:v>
                </c:pt>
                <c:pt idx="1576">
                  <c:v>3915.2035999999998</c:v>
                </c:pt>
                <c:pt idx="1577">
                  <c:v>3915.9740000000002</c:v>
                </c:pt>
                <c:pt idx="1578">
                  <c:v>3917.4174000000003</c:v>
                </c:pt>
                <c:pt idx="1579">
                  <c:v>3919.1012000000005</c:v>
                </c:pt>
                <c:pt idx="1580">
                  <c:v>3921.2166000000002</c:v>
                </c:pt>
                <c:pt idx="1581">
                  <c:v>3922.4572000000003</c:v>
                </c:pt>
                <c:pt idx="1582">
                  <c:v>3923.9618000000005</c:v>
                </c:pt>
                <c:pt idx="1583">
                  <c:v>3922.5752000000007</c:v>
                </c:pt>
                <c:pt idx="1584">
                  <c:v>3919.8722000000002</c:v>
                </c:pt>
                <c:pt idx="1585">
                  <c:v>3918.0159999999996</c:v>
                </c:pt>
                <c:pt idx="1586">
                  <c:v>3917.2378000000003</c:v>
                </c:pt>
                <c:pt idx="1587">
                  <c:v>3917.4570000000003</c:v>
                </c:pt>
                <c:pt idx="1588">
                  <c:v>3918.2545999999998</c:v>
                </c:pt>
                <c:pt idx="1589">
                  <c:v>3918.5089999999996</c:v>
                </c:pt>
                <c:pt idx="1590">
                  <c:v>3919.3565999999996</c:v>
                </c:pt>
                <c:pt idx="1591">
                  <c:v>3919.9957999999997</c:v>
                </c:pt>
                <c:pt idx="1592">
                  <c:v>3921.7103999999999</c:v>
                </c:pt>
                <c:pt idx="1593">
                  <c:v>3924.4225999999994</c:v>
                </c:pt>
                <c:pt idx="1594">
                  <c:v>3928.0969999999998</c:v>
                </c:pt>
                <c:pt idx="1595">
                  <c:v>3931.1817999999989</c:v>
                </c:pt>
                <c:pt idx="1596">
                  <c:v>3935.3747999999991</c:v>
                </c:pt>
                <c:pt idx="1597">
                  <c:v>3939.9365999999991</c:v>
                </c:pt>
                <c:pt idx="1598">
                  <c:v>3944.6965999999984</c:v>
                </c:pt>
                <c:pt idx="1599">
                  <c:v>3949.0851999999986</c:v>
                </c:pt>
                <c:pt idx="1600">
                  <c:v>3953.7745999999979</c:v>
                </c:pt>
                <c:pt idx="1601">
                  <c:v>3957.1983999999984</c:v>
                </c:pt>
                <c:pt idx="1602">
                  <c:v>3961.7057999999984</c:v>
                </c:pt>
                <c:pt idx="1603">
                  <c:v>3965.971399999999</c:v>
                </c:pt>
                <c:pt idx="1604">
                  <c:v>3970.9193999999989</c:v>
                </c:pt>
                <c:pt idx="1605">
                  <c:v>3975.0083999999993</c:v>
                </c:pt>
                <c:pt idx="1606">
                  <c:v>3979.9457999999991</c:v>
                </c:pt>
                <c:pt idx="1607">
                  <c:v>3984.9909999999991</c:v>
                </c:pt>
                <c:pt idx="1608">
                  <c:v>3990.2171999999991</c:v>
                </c:pt>
                <c:pt idx="1609">
                  <c:v>3994.4471999999992</c:v>
                </c:pt>
                <c:pt idx="1610">
                  <c:v>3999.1167999999993</c:v>
                </c:pt>
                <c:pt idx="1611">
                  <c:v>4002.7655999999993</c:v>
                </c:pt>
                <c:pt idx="1612">
                  <c:v>4006.5701999999997</c:v>
                </c:pt>
                <c:pt idx="1613">
                  <c:v>4010.3130000000001</c:v>
                </c:pt>
                <c:pt idx="1614">
                  <c:v>4013.7387999999996</c:v>
                </c:pt>
                <c:pt idx="1615">
                  <c:v>4017.0327999999995</c:v>
                </c:pt>
                <c:pt idx="1616">
                  <c:v>4020.6251999999995</c:v>
                </c:pt>
                <c:pt idx="1617">
                  <c:v>4023.9225999999999</c:v>
                </c:pt>
                <c:pt idx="1618">
                  <c:v>4027.6918000000001</c:v>
                </c:pt>
                <c:pt idx="1619">
                  <c:v>4030.6306</c:v>
                </c:pt>
                <c:pt idx="1620">
                  <c:v>4033.6397999999999</c:v>
                </c:pt>
                <c:pt idx="1621">
                  <c:v>4036.5530000000003</c:v>
                </c:pt>
                <c:pt idx="1622">
                  <c:v>4039.4920000000006</c:v>
                </c:pt>
                <c:pt idx="1623">
                  <c:v>4043.1178000000009</c:v>
                </c:pt>
                <c:pt idx="1624">
                  <c:v>4047.5264000000006</c:v>
                </c:pt>
                <c:pt idx="1625">
                  <c:v>4051.6408000000006</c:v>
                </c:pt>
                <c:pt idx="1626">
                  <c:v>4055.782200000001</c:v>
                </c:pt>
                <c:pt idx="1627">
                  <c:v>4059.5372000000002</c:v>
                </c:pt>
                <c:pt idx="1628">
                  <c:v>4063.9892000000004</c:v>
                </c:pt>
                <c:pt idx="1629">
                  <c:v>4067.8378000000007</c:v>
                </c:pt>
                <c:pt idx="1630">
                  <c:v>4071.2847999999999</c:v>
                </c:pt>
                <c:pt idx="1631">
                  <c:v>4074.8592000000008</c:v>
                </c:pt>
                <c:pt idx="1632">
                  <c:v>4077.7296000000015</c:v>
                </c:pt>
                <c:pt idx="1633">
                  <c:v>4083.7178000000008</c:v>
                </c:pt>
                <c:pt idx="1634">
                  <c:v>4091.1076000000012</c:v>
                </c:pt>
                <c:pt idx="1635">
                  <c:v>4096.9558000000006</c:v>
                </c:pt>
                <c:pt idx="1636">
                  <c:v>4099.4528000000009</c:v>
                </c:pt>
                <c:pt idx="1637">
                  <c:v>4102.0780000000013</c:v>
                </c:pt>
                <c:pt idx="1638">
                  <c:v>4103.3428000000013</c:v>
                </c:pt>
                <c:pt idx="1639">
                  <c:v>4105.1050000000005</c:v>
                </c:pt>
                <c:pt idx="1640">
                  <c:v>4107.2462000000014</c:v>
                </c:pt>
                <c:pt idx="1641">
                  <c:v>4109.1418000000003</c:v>
                </c:pt>
                <c:pt idx="1642">
                  <c:v>4109.8256000000001</c:v>
                </c:pt>
                <c:pt idx="1643">
                  <c:v>4110.2598000000016</c:v>
                </c:pt>
                <c:pt idx="1644">
                  <c:v>4111.0154000000011</c:v>
                </c:pt>
                <c:pt idx="1645">
                  <c:v>4112.2882000000009</c:v>
                </c:pt>
                <c:pt idx="1646">
                  <c:v>4112.6564000000017</c:v>
                </c:pt>
                <c:pt idx="1647">
                  <c:v>4112.4008000000013</c:v>
                </c:pt>
                <c:pt idx="1648">
                  <c:v>4112.4764000000014</c:v>
                </c:pt>
                <c:pt idx="1649">
                  <c:v>4113.1208000000006</c:v>
                </c:pt>
                <c:pt idx="1650">
                  <c:v>4112.6380000000008</c:v>
                </c:pt>
                <c:pt idx="1651">
                  <c:v>4113.1028000000006</c:v>
                </c:pt>
                <c:pt idx="1652">
                  <c:v>4112.9354000000003</c:v>
                </c:pt>
                <c:pt idx="1653">
                  <c:v>4112.6162000000004</c:v>
                </c:pt>
                <c:pt idx="1654">
                  <c:v>4112.6527999999998</c:v>
                </c:pt>
                <c:pt idx="1655">
                  <c:v>4112.8263999999999</c:v>
                </c:pt>
                <c:pt idx="1656">
                  <c:v>4112.5963999999994</c:v>
                </c:pt>
                <c:pt idx="1657">
                  <c:v>4112.6085999999996</c:v>
                </c:pt>
                <c:pt idx="1658">
                  <c:v>4111.7013999999999</c:v>
                </c:pt>
                <c:pt idx="1659">
                  <c:v>4111.4147999999996</c:v>
                </c:pt>
                <c:pt idx="1660">
                  <c:v>4110.5978000000005</c:v>
                </c:pt>
                <c:pt idx="1661">
                  <c:v>4109.7592000000004</c:v>
                </c:pt>
                <c:pt idx="1662">
                  <c:v>4107.9694000000009</c:v>
                </c:pt>
                <c:pt idx="1663">
                  <c:v>4106.7454000000007</c:v>
                </c:pt>
                <c:pt idx="1664">
                  <c:v>4105.6762000000008</c:v>
                </c:pt>
                <c:pt idx="1665">
                  <c:v>4104.7068000000008</c:v>
                </c:pt>
                <c:pt idx="1666">
                  <c:v>4103.3294000000014</c:v>
                </c:pt>
                <c:pt idx="1667">
                  <c:v>4102.4012000000002</c:v>
                </c:pt>
                <c:pt idx="1668">
                  <c:v>4100.9234000000006</c:v>
                </c:pt>
                <c:pt idx="1669">
                  <c:v>4099.7450000000008</c:v>
                </c:pt>
                <c:pt idx="1670">
                  <c:v>4098.1516000000011</c:v>
                </c:pt>
                <c:pt idx="1671">
                  <c:v>4096.1260000000002</c:v>
                </c:pt>
                <c:pt idx="1672">
                  <c:v>4094.1992000000009</c:v>
                </c:pt>
                <c:pt idx="1673">
                  <c:v>4091.7692000000011</c:v>
                </c:pt>
                <c:pt idx="1674">
                  <c:v>4088.6612000000009</c:v>
                </c:pt>
                <c:pt idx="1675">
                  <c:v>4085.6594000000014</c:v>
                </c:pt>
                <c:pt idx="1676">
                  <c:v>4082.6380000000004</c:v>
                </c:pt>
                <c:pt idx="1677">
                  <c:v>4081.5104000000006</c:v>
                </c:pt>
                <c:pt idx="1678">
                  <c:v>4080.2875999999997</c:v>
                </c:pt>
                <c:pt idx="1679">
                  <c:v>4080.1213999999991</c:v>
                </c:pt>
                <c:pt idx="1680">
                  <c:v>4080.3047999999994</c:v>
                </c:pt>
                <c:pt idx="1681">
                  <c:v>4080.375199999999</c:v>
                </c:pt>
                <c:pt idx="1682">
                  <c:v>4080.0973999999992</c:v>
                </c:pt>
                <c:pt idx="1683">
                  <c:v>4080.2075999999988</c:v>
                </c:pt>
                <c:pt idx="1684">
                  <c:v>4080.2015999999985</c:v>
                </c:pt>
                <c:pt idx="1685">
                  <c:v>4080.7697999999991</c:v>
                </c:pt>
                <c:pt idx="1686">
                  <c:v>4083.1823999999988</c:v>
                </c:pt>
                <c:pt idx="1687">
                  <c:v>4085.0265999999988</c:v>
                </c:pt>
                <c:pt idx="1688">
                  <c:v>4088.2471999999984</c:v>
                </c:pt>
                <c:pt idx="1689">
                  <c:v>4091.5803999999985</c:v>
                </c:pt>
                <c:pt idx="1690">
                  <c:v>4094.4143999999983</c:v>
                </c:pt>
                <c:pt idx="1691">
                  <c:v>4097.1227999999983</c:v>
                </c:pt>
                <c:pt idx="1692">
                  <c:v>4099.9637999999986</c:v>
                </c:pt>
                <c:pt idx="1693">
                  <c:v>4102.5743999999986</c:v>
                </c:pt>
                <c:pt idx="1694">
                  <c:v>4104.0047999999988</c:v>
                </c:pt>
                <c:pt idx="1695">
                  <c:v>4104.9327999999987</c:v>
                </c:pt>
                <c:pt idx="1696">
                  <c:v>4106.8303999999989</c:v>
                </c:pt>
                <c:pt idx="1697">
                  <c:v>4109.7169999999996</c:v>
                </c:pt>
                <c:pt idx="1698">
                  <c:v>4113.2021999999997</c:v>
                </c:pt>
                <c:pt idx="1699">
                  <c:v>4116.4276</c:v>
                </c:pt>
                <c:pt idx="1700">
                  <c:v>4120.9303999999993</c:v>
                </c:pt>
                <c:pt idx="1701">
                  <c:v>4124.6879999999992</c:v>
                </c:pt>
                <c:pt idx="1702">
                  <c:v>4129.2825999999995</c:v>
                </c:pt>
                <c:pt idx="1703">
                  <c:v>4133.5778</c:v>
                </c:pt>
                <c:pt idx="1704">
                  <c:v>4137.8265999999994</c:v>
                </c:pt>
                <c:pt idx="1705">
                  <c:v>4141.8847999999998</c:v>
                </c:pt>
                <c:pt idx="1706">
                  <c:v>4146.3801999999996</c:v>
                </c:pt>
                <c:pt idx="1707">
                  <c:v>4150.8249999999998</c:v>
                </c:pt>
                <c:pt idx="1708">
                  <c:v>4156.0835999999999</c:v>
                </c:pt>
                <c:pt idx="1709">
                  <c:v>4161.0917999999992</c:v>
                </c:pt>
                <c:pt idx="1710">
                  <c:v>4166.4661999999989</c:v>
                </c:pt>
                <c:pt idx="1711">
                  <c:v>4172.0191999999988</c:v>
                </c:pt>
                <c:pt idx="1712">
                  <c:v>4177.1067999999996</c:v>
                </c:pt>
                <c:pt idx="1713">
                  <c:v>4181.6747999999998</c:v>
                </c:pt>
                <c:pt idx="1714">
                  <c:v>4185.6579999999994</c:v>
                </c:pt>
                <c:pt idx="1715">
                  <c:v>4190.4759999999987</c:v>
                </c:pt>
                <c:pt idx="1716">
                  <c:v>4195.8139999999994</c:v>
                </c:pt>
                <c:pt idx="1717">
                  <c:v>4200.6985999999997</c:v>
                </c:pt>
                <c:pt idx="1718">
                  <c:v>4206.2235999999994</c:v>
                </c:pt>
                <c:pt idx="1719">
                  <c:v>4211.5807999999997</c:v>
                </c:pt>
                <c:pt idx="1720">
                  <c:v>4217.1786000000002</c:v>
                </c:pt>
                <c:pt idx="1721">
                  <c:v>4223.2777999999998</c:v>
                </c:pt>
                <c:pt idx="1722">
                  <c:v>4229.2018000000007</c:v>
                </c:pt>
                <c:pt idx="1723">
                  <c:v>4235.8345999999992</c:v>
                </c:pt>
                <c:pt idx="1724">
                  <c:v>4242.7233999999999</c:v>
                </c:pt>
                <c:pt idx="1725">
                  <c:v>4250.1036000000004</c:v>
                </c:pt>
                <c:pt idx="1726">
                  <c:v>4257.3024000000005</c:v>
                </c:pt>
                <c:pt idx="1727">
                  <c:v>4263.0298000000003</c:v>
                </c:pt>
                <c:pt idx="1728">
                  <c:v>4268.1796000000004</c:v>
                </c:pt>
                <c:pt idx="1729">
                  <c:v>4272.9902000000011</c:v>
                </c:pt>
                <c:pt idx="1730">
                  <c:v>4278.3324000000011</c:v>
                </c:pt>
                <c:pt idx="1731">
                  <c:v>4283.7272000000012</c:v>
                </c:pt>
                <c:pt idx="1732">
                  <c:v>4289.0480000000007</c:v>
                </c:pt>
                <c:pt idx="1733">
                  <c:v>4293.2090000000007</c:v>
                </c:pt>
                <c:pt idx="1734">
                  <c:v>4297.4010000000007</c:v>
                </c:pt>
                <c:pt idx="1735">
                  <c:v>4301.2456000000011</c:v>
                </c:pt>
                <c:pt idx="1736">
                  <c:v>4305.3310000000001</c:v>
                </c:pt>
                <c:pt idx="1737">
                  <c:v>4309.4364000000005</c:v>
                </c:pt>
                <c:pt idx="1738">
                  <c:v>4313.1708000000017</c:v>
                </c:pt>
                <c:pt idx="1739">
                  <c:v>4316.858400000001</c:v>
                </c:pt>
                <c:pt idx="1740">
                  <c:v>4320.3042000000014</c:v>
                </c:pt>
                <c:pt idx="1741">
                  <c:v>4324.7044000000014</c:v>
                </c:pt>
                <c:pt idx="1742">
                  <c:v>4329.2930000000015</c:v>
                </c:pt>
                <c:pt idx="1743">
                  <c:v>4334.5750000000007</c:v>
                </c:pt>
                <c:pt idx="1744">
                  <c:v>4340.5316000000012</c:v>
                </c:pt>
                <c:pt idx="1745">
                  <c:v>4346.9152000000004</c:v>
                </c:pt>
                <c:pt idx="1746">
                  <c:v>4352.7350000000006</c:v>
                </c:pt>
                <c:pt idx="1747">
                  <c:v>4358.418200000001</c:v>
                </c:pt>
                <c:pt idx="1748">
                  <c:v>4363.5186000000012</c:v>
                </c:pt>
                <c:pt idx="1749">
                  <c:v>4368.3360000000011</c:v>
                </c:pt>
                <c:pt idx="1750">
                  <c:v>4372.6916000000019</c:v>
                </c:pt>
                <c:pt idx="1751">
                  <c:v>4377.2978000000012</c:v>
                </c:pt>
                <c:pt idx="1752">
                  <c:v>4381.430800000001</c:v>
                </c:pt>
                <c:pt idx="1753">
                  <c:v>4386.0308000000014</c:v>
                </c:pt>
                <c:pt idx="1754">
                  <c:v>4391.548600000001</c:v>
                </c:pt>
                <c:pt idx="1755">
                  <c:v>4396.6840000000011</c:v>
                </c:pt>
                <c:pt idx="1756">
                  <c:v>4401.6956000000009</c:v>
                </c:pt>
                <c:pt idx="1757">
                  <c:v>4406.082800000001</c:v>
                </c:pt>
                <c:pt idx="1758">
                  <c:v>4410.4208000000017</c:v>
                </c:pt>
                <c:pt idx="1759">
                  <c:v>4414.7278000000015</c:v>
                </c:pt>
                <c:pt idx="1760">
                  <c:v>4418.9916000000012</c:v>
                </c:pt>
                <c:pt idx="1761">
                  <c:v>4423.3585999999996</c:v>
                </c:pt>
                <c:pt idx="1762">
                  <c:v>4428.4984000000004</c:v>
                </c:pt>
                <c:pt idx="1763">
                  <c:v>4433.3558000000003</c:v>
                </c:pt>
                <c:pt idx="1764">
                  <c:v>4439.3714</c:v>
                </c:pt>
                <c:pt idx="1765">
                  <c:v>4444.5130000000008</c:v>
                </c:pt>
                <c:pt idx="1766">
                  <c:v>4449.0214000000005</c:v>
                </c:pt>
                <c:pt idx="1767">
                  <c:v>4453.4148000000014</c:v>
                </c:pt>
                <c:pt idx="1768">
                  <c:v>4456.3534000000009</c:v>
                </c:pt>
                <c:pt idx="1769">
                  <c:v>4459.7740000000013</c:v>
                </c:pt>
                <c:pt idx="1770">
                  <c:v>4463.0996000000005</c:v>
                </c:pt>
                <c:pt idx="1771">
                  <c:v>4466.0954000000002</c:v>
                </c:pt>
                <c:pt idx="1772">
                  <c:v>4469.1842000000006</c:v>
                </c:pt>
                <c:pt idx="1773">
                  <c:v>4472.7654000000002</c:v>
                </c:pt>
                <c:pt idx="1774">
                  <c:v>4476.7216000000008</c:v>
                </c:pt>
                <c:pt idx="1775">
                  <c:v>4480.7794000000004</c:v>
                </c:pt>
                <c:pt idx="1776">
                  <c:v>4484.9444000000003</c:v>
                </c:pt>
                <c:pt idx="1777">
                  <c:v>4488.6706000000004</c:v>
                </c:pt>
                <c:pt idx="1778">
                  <c:v>4492.6936000000005</c:v>
                </c:pt>
                <c:pt idx="1779">
                  <c:v>4495.8796000000002</c:v>
                </c:pt>
                <c:pt idx="1780">
                  <c:v>4498.5667999999996</c:v>
                </c:pt>
                <c:pt idx="1781">
                  <c:v>4501.2422000000006</c:v>
                </c:pt>
                <c:pt idx="1782">
                  <c:v>4504.0565999999999</c:v>
                </c:pt>
                <c:pt idx="1783">
                  <c:v>4507.2773999999999</c:v>
                </c:pt>
                <c:pt idx="1784">
                  <c:v>4510.2363999999998</c:v>
                </c:pt>
                <c:pt idx="1785">
                  <c:v>4512.5358000000006</c:v>
                </c:pt>
                <c:pt idx="1786">
                  <c:v>4515.5518000000002</c:v>
                </c:pt>
                <c:pt idx="1787">
                  <c:v>4517.6660000000002</c:v>
                </c:pt>
                <c:pt idx="1788">
                  <c:v>4519.823800000001</c:v>
                </c:pt>
                <c:pt idx="1789">
                  <c:v>4522.6394</c:v>
                </c:pt>
                <c:pt idx="1790">
                  <c:v>4525.0911999999998</c:v>
                </c:pt>
                <c:pt idx="1791">
                  <c:v>4528.0018</c:v>
                </c:pt>
                <c:pt idx="1792">
                  <c:v>4531.1481999999996</c:v>
                </c:pt>
                <c:pt idx="1793">
                  <c:v>4533.7627999999995</c:v>
                </c:pt>
                <c:pt idx="1794">
                  <c:v>4536.0545999999995</c:v>
                </c:pt>
                <c:pt idx="1795">
                  <c:v>4537.7111999999997</c:v>
                </c:pt>
                <c:pt idx="1796">
                  <c:v>4539.5955999999996</c:v>
                </c:pt>
                <c:pt idx="1797">
                  <c:v>4541.4363999999996</c:v>
                </c:pt>
                <c:pt idx="1798">
                  <c:v>4542.6336000000001</c:v>
                </c:pt>
                <c:pt idx="1799">
                  <c:v>4543.9789999999994</c:v>
                </c:pt>
                <c:pt idx="1800">
                  <c:v>4545.6529999999993</c:v>
                </c:pt>
                <c:pt idx="1801">
                  <c:v>4547.1826000000001</c:v>
                </c:pt>
                <c:pt idx="1802">
                  <c:v>4548.5165999999999</c:v>
                </c:pt>
                <c:pt idx="1803">
                  <c:v>4550.2217999999993</c:v>
                </c:pt>
                <c:pt idx="1804">
                  <c:v>4550.5009999999993</c:v>
                </c:pt>
                <c:pt idx="1805">
                  <c:v>4551.1767999999993</c:v>
                </c:pt>
                <c:pt idx="1806">
                  <c:v>4552.2549999999992</c:v>
                </c:pt>
                <c:pt idx="1807">
                  <c:v>4553.5857999999998</c:v>
                </c:pt>
                <c:pt idx="1808">
                  <c:v>4553.5223999999989</c:v>
                </c:pt>
                <c:pt idx="1809">
                  <c:v>4553.9769999999999</c:v>
                </c:pt>
                <c:pt idx="1810">
                  <c:v>4554.9767999999995</c:v>
                </c:pt>
                <c:pt idx="1811">
                  <c:v>4556.1535999999996</c:v>
                </c:pt>
                <c:pt idx="1812">
                  <c:v>4557.4387999999999</c:v>
                </c:pt>
                <c:pt idx="1813">
                  <c:v>4559.2609999999995</c:v>
                </c:pt>
                <c:pt idx="1814">
                  <c:v>4560.7440000000006</c:v>
                </c:pt>
                <c:pt idx="1815">
                  <c:v>4562.4137999999994</c:v>
                </c:pt>
                <c:pt idx="1816">
                  <c:v>4564.1055999999999</c:v>
                </c:pt>
                <c:pt idx="1817">
                  <c:v>4565.95</c:v>
                </c:pt>
                <c:pt idx="1818">
                  <c:v>4569.632599999999</c:v>
                </c:pt>
                <c:pt idx="1819">
                  <c:v>4573.4907999999987</c:v>
                </c:pt>
                <c:pt idx="1820">
                  <c:v>4577.3323999999993</c:v>
                </c:pt>
                <c:pt idx="1821">
                  <c:v>4580.9894000000004</c:v>
                </c:pt>
                <c:pt idx="1822">
                  <c:v>4584.9045999999989</c:v>
                </c:pt>
                <c:pt idx="1823">
                  <c:v>4588.1945999999998</c:v>
                </c:pt>
                <c:pt idx="1824">
                  <c:v>4591.2902000000004</c:v>
                </c:pt>
                <c:pt idx="1825">
                  <c:v>4594.0318000000007</c:v>
                </c:pt>
                <c:pt idx="1826">
                  <c:v>4597.4252000000006</c:v>
                </c:pt>
                <c:pt idx="1827">
                  <c:v>4600.8762000000015</c:v>
                </c:pt>
                <c:pt idx="1828">
                  <c:v>4604.0684000000001</c:v>
                </c:pt>
                <c:pt idx="1829">
                  <c:v>4607.5558000000001</c:v>
                </c:pt>
                <c:pt idx="1830">
                  <c:v>4611.6268000000009</c:v>
                </c:pt>
                <c:pt idx="1831">
                  <c:v>4615.1392000000014</c:v>
                </c:pt>
                <c:pt idx="1832">
                  <c:v>4618.5378000000019</c:v>
                </c:pt>
                <c:pt idx="1833">
                  <c:v>4622.0116000000007</c:v>
                </c:pt>
                <c:pt idx="1834">
                  <c:v>4625.9710000000005</c:v>
                </c:pt>
                <c:pt idx="1835">
                  <c:v>4630.5750000000007</c:v>
                </c:pt>
                <c:pt idx="1836">
                  <c:v>4633.6474000000007</c:v>
                </c:pt>
                <c:pt idx="1837">
                  <c:v>4637.8207999999995</c:v>
                </c:pt>
                <c:pt idx="1838">
                  <c:v>4641.3287999999993</c:v>
                </c:pt>
                <c:pt idx="1839">
                  <c:v>4644.302999999999</c:v>
                </c:pt>
                <c:pt idx="1840">
                  <c:v>4647.7771999999995</c:v>
                </c:pt>
                <c:pt idx="1841">
                  <c:v>4650.4253999999983</c:v>
                </c:pt>
                <c:pt idx="1842">
                  <c:v>4651.6709999999994</c:v>
                </c:pt>
                <c:pt idx="1843">
                  <c:v>4653.5573999999997</c:v>
                </c:pt>
                <c:pt idx="1844">
                  <c:v>4655.4709999999986</c:v>
                </c:pt>
                <c:pt idx="1845">
                  <c:v>4657.4873999999991</c:v>
                </c:pt>
                <c:pt idx="1846">
                  <c:v>4660.0373999999983</c:v>
                </c:pt>
                <c:pt idx="1847">
                  <c:v>4662.6575999999986</c:v>
                </c:pt>
                <c:pt idx="1848">
                  <c:v>4665.8197999999984</c:v>
                </c:pt>
                <c:pt idx="1849">
                  <c:v>4668.9215999999988</c:v>
                </c:pt>
                <c:pt idx="1850">
                  <c:v>4671.7051999999976</c:v>
                </c:pt>
                <c:pt idx="1851">
                  <c:v>4674.9955999999984</c:v>
                </c:pt>
                <c:pt idx="1852">
                  <c:v>4678.3681999999981</c:v>
                </c:pt>
                <c:pt idx="1853">
                  <c:v>4681.5657999999976</c:v>
                </c:pt>
                <c:pt idx="1854">
                  <c:v>4684.833999999998</c:v>
                </c:pt>
                <c:pt idx="1855">
                  <c:v>4688.5155999999979</c:v>
                </c:pt>
                <c:pt idx="1856">
                  <c:v>4691.7735999999977</c:v>
                </c:pt>
                <c:pt idx="1857">
                  <c:v>4694.993599999998</c:v>
                </c:pt>
                <c:pt idx="1858">
                  <c:v>4699.7423999999992</c:v>
                </c:pt>
                <c:pt idx="1859">
                  <c:v>4704.085399999999</c:v>
                </c:pt>
                <c:pt idx="1860">
                  <c:v>4708.0437999999986</c:v>
                </c:pt>
                <c:pt idx="1861">
                  <c:v>4711.5922</c:v>
                </c:pt>
                <c:pt idx="1862">
                  <c:v>4714.7779999999993</c:v>
                </c:pt>
                <c:pt idx="1863">
                  <c:v>4717.9128000000001</c:v>
                </c:pt>
                <c:pt idx="1864">
                  <c:v>4720.7835999999988</c:v>
                </c:pt>
                <c:pt idx="1865">
                  <c:v>4723.393</c:v>
                </c:pt>
                <c:pt idx="1866">
                  <c:v>4726.0765999999994</c:v>
                </c:pt>
                <c:pt idx="1867">
                  <c:v>4727.4377999999997</c:v>
                </c:pt>
                <c:pt idx="1868">
                  <c:v>4728.2101999999995</c:v>
                </c:pt>
                <c:pt idx="1869">
                  <c:v>4729.5875999999998</c:v>
                </c:pt>
                <c:pt idx="1870">
                  <c:v>4731.0505999999996</c:v>
                </c:pt>
                <c:pt idx="1871">
                  <c:v>4732.9369999999999</c:v>
                </c:pt>
                <c:pt idx="1872">
                  <c:v>4733.1858000000002</c:v>
                </c:pt>
                <c:pt idx="1873">
                  <c:v>4733.2368000000006</c:v>
                </c:pt>
                <c:pt idx="1874">
                  <c:v>4733.4774000000007</c:v>
                </c:pt>
                <c:pt idx="1875">
                  <c:v>4734.7412000000004</c:v>
                </c:pt>
                <c:pt idx="1876">
                  <c:v>4735.238800000001</c:v>
                </c:pt>
                <c:pt idx="1877">
                  <c:v>4735.6288000000013</c:v>
                </c:pt>
                <c:pt idx="1878">
                  <c:v>4736.3807999999999</c:v>
                </c:pt>
                <c:pt idx="1879">
                  <c:v>4737.1556</c:v>
                </c:pt>
                <c:pt idx="1880">
                  <c:v>4737.2383999999993</c:v>
                </c:pt>
                <c:pt idx="1881">
                  <c:v>4738.416400000001</c:v>
                </c:pt>
                <c:pt idx="1882">
                  <c:v>4740.1900000000005</c:v>
                </c:pt>
                <c:pt idx="1883">
                  <c:v>4742.2017999999998</c:v>
                </c:pt>
                <c:pt idx="1884">
                  <c:v>4743.3422</c:v>
                </c:pt>
                <c:pt idx="1885">
                  <c:v>4744.7506000000003</c:v>
                </c:pt>
                <c:pt idx="1886">
                  <c:v>4746.9237999999996</c:v>
                </c:pt>
                <c:pt idx="1887">
                  <c:v>4748.1176000000005</c:v>
                </c:pt>
                <c:pt idx="1888">
                  <c:v>4751.1543999999994</c:v>
                </c:pt>
                <c:pt idx="1889">
                  <c:v>4754.3733999999995</c:v>
                </c:pt>
                <c:pt idx="1890">
                  <c:v>4757.4419999999991</c:v>
                </c:pt>
                <c:pt idx="1891">
                  <c:v>4760.2809999999999</c:v>
                </c:pt>
                <c:pt idx="1892">
                  <c:v>4764.1573999999991</c:v>
                </c:pt>
                <c:pt idx="1893">
                  <c:v>4767.5813999999991</c:v>
                </c:pt>
                <c:pt idx="1894">
                  <c:v>4771.0267999999987</c:v>
                </c:pt>
                <c:pt idx="1895">
                  <c:v>4774.6061999999984</c:v>
                </c:pt>
                <c:pt idx="1896">
                  <c:v>4777.1995999999981</c:v>
                </c:pt>
                <c:pt idx="1897">
                  <c:v>4779.6785999999984</c:v>
                </c:pt>
                <c:pt idx="1898">
                  <c:v>4781.4981999999982</c:v>
                </c:pt>
                <c:pt idx="1899">
                  <c:v>4783.3343999999979</c:v>
                </c:pt>
                <c:pt idx="1900">
                  <c:v>4785.5075999999981</c:v>
                </c:pt>
                <c:pt idx="1901">
                  <c:v>4787.2987999999987</c:v>
                </c:pt>
                <c:pt idx="1902">
                  <c:v>4789.4613999999992</c:v>
                </c:pt>
                <c:pt idx="1903">
                  <c:v>4792.0383999999985</c:v>
                </c:pt>
                <c:pt idx="1904">
                  <c:v>4794.9309999999996</c:v>
                </c:pt>
                <c:pt idx="1905">
                  <c:v>4797.674</c:v>
                </c:pt>
                <c:pt idx="1906">
                  <c:v>4800.9628000000012</c:v>
                </c:pt>
                <c:pt idx="1907">
                  <c:v>4804.2593999999999</c:v>
                </c:pt>
                <c:pt idx="1908">
                  <c:v>4807.5022000000008</c:v>
                </c:pt>
                <c:pt idx="1909">
                  <c:v>4811.0464000000002</c:v>
                </c:pt>
                <c:pt idx="1910">
                  <c:v>4814.5368000000008</c:v>
                </c:pt>
                <c:pt idx="1911">
                  <c:v>4817.8030000000008</c:v>
                </c:pt>
                <c:pt idx="1912">
                  <c:v>4821.3486000000012</c:v>
                </c:pt>
                <c:pt idx="1913">
                  <c:v>4824.8874000000005</c:v>
                </c:pt>
                <c:pt idx="1914">
                  <c:v>4828.3324000000002</c:v>
                </c:pt>
                <c:pt idx="1915">
                  <c:v>4832.0756000000001</c:v>
                </c:pt>
                <c:pt idx="1916">
                  <c:v>4835.8832000000002</c:v>
                </c:pt>
                <c:pt idx="1917">
                  <c:v>4841.5574000000006</c:v>
                </c:pt>
                <c:pt idx="1918">
                  <c:v>4846.7102000000004</c:v>
                </c:pt>
                <c:pt idx="1919">
                  <c:v>4851.0727999999999</c:v>
                </c:pt>
                <c:pt idx="1920">
                  <c:v>4854.9956000000002</c:v>
                </c:pt>
                <c:pt idx="1921">
                  <c:v>4858.8820000000005</c:v>
                </c:pt>
                <c:pt idx="1922">
                  <c:v>4865.0424000000003</c:v>
                </c:pt>
                <c:pt idx="1923">
                  <c:v>4871.0609999999997</c:v>
                </c:pt>
                <c:pt idx="1924">
                  <c:v>4877.0652</c:v>
                </c:pt>
                <c:pt idx="1925">
                  <c:v>4882.2903999999999</c:v>
                </c:pt>
                <c:pt idx="1926">
                  <c:v>4887.8647999999994</c:v>
                </c:pt>
                <c:pt idx="1927">
                  <c:v>4893.9539999999997</c:v>
                </c:pt>
                <c:pt idx="1928">
                  <c:v>4900.0108</c:v>
                </c:pt>
                <c:pt idx="1929">
                  <c:v>4905.9989999999998</c:v>
                </c:pt>
                <c:pt idx="1930">
                  <c:v>4912.0413999999992</c:v>
                </c:pt>
                <c:pt idx="1931">
                  <c:v>4917.2671999999993</c:v>
                </c:pt>
                <c:pt idx="1932">
                  <c:v>4921.889799999999</c:v>
                </c:pt>
                <c:pt idx="1933">
                  <c:v>4926.417199999999</c:v>
                </c:pt>
                <c:pt idx="1934">
                  <c:v>4931.4527999999991</c:v>
                </c:pt>
                <c:pt idx="1935">
                  <c:v>4935.6581999999989</c:v>
                </c:pt>
                <c:pt idx="1936">
                  <c:v>4940.7092000000002</c:v>
                </c:pt>
                <c:pt idx="1937">
                  <c:v>4945.6377999999995</c:v>
                </c:pt>
                <c:pt idx="1938">
                  <c:v>4949.6619999999994</c:v>
                </c:pt>
                <c:pt idx="1939">
                  <c:v>4954.0148000000008</c:v>
                </c:pt>
                <c:pt idx="1940">
                  <c:v>4958.2260000000006</c:v>
                </c:pt>
                <c:pt idx="1941">
                  <c:v>4962.7248000000009</c:v>
                </c:pt>
                <c:pt idx="1942">
                  <c:v>4967.005000000001</c:v>
                </c:pt>
                <c:pt idx="1943">
                  <c:v>4972.1416000000008</c:v>
                </c:pt>
                <c:pt idx="1944">
                  <c:v>4977.1448</c:v>
                </c:pt>
                <c:pt idx="1945">
                  <c:v>4982.961400000001</c:v>
                </c:pt>
                <c:pt idx="1946">
                  <c:v>4988.8666000000003</c:v>
                </c:pt>
                <c:pt idx="1947">
                  <c:v>4994.6008000000011</c:v>
                </c:pt>
                <c:pt idx="1948">
                  <c:v>5000.1710000000012</c:v>
                </c:pt>
                <c:pt idx="1949">
                  <c:v>5005.7174000000005</c:v>
                </c:pt>
                <c:pt idx="1950">
                  <c:v>5011.1862000000001</c:v>
                </c:pt>
                <c:pt idx="1951">
                  <c:v>5017.0938000000006</c:v>
                </c:pt>
                <c:pt idx="1952">
                  <c:v>5022.9694000000009</c:v>
                </c:pt>
                <c:pt idx="1953">
                  <c:v>5028.6302000000005</c:v>
                </c:pt>
                <c:pt idx="1954">
                  <c:v>5034.0292000000009</c:v>
                </c:pt>
                <c:pt idx="1955">
                  <c:v>5038.894400000001</c:v>
                </c:pt>
                <c:pt idx="1956">
                  <c:v>5044.1194000000014</c:v>
                </c:pt>
                <c:pt idx="1957">
                  <c:v>5049.9832000000015</c:v>
                </c:pt>
                <c:pt idx="1958">
                  <c:v>5055.6886000000013</c:v>
                </c:pt>
                <c:pt idx="1959">
                  <c:v>5061.0890000000018</c:v>
                </c:pt>
                <c:pt idx="1960">
                  <c:v>5066.5164000000013</c:v>
                </c:pt>
                <c:pt idx="1961">
                  <c:v>5072.0552000000007</c:v>
                </c:pt>
                <c:pt idx="1962">
                  <c:v>5077.4000000000015</c:v>
                </c:pt>
                <c:pt idx="1963">
                  <c:v>5082.659200000001</c:v>
                </c:pt>
                <c:pt idx="1964">
                  <c:v>5088.0634</c:v>
                </c:pt>
                <c:pt idx="1965">
                  <c:v>5092.8530000000001</c:v>
                </c:pt>
                <c:pt idx="1966">
                  <c:v>5098.4722000000002</c:v>
                </c:pt>
                <c:pt idx="1967">
                  <c:v>5104.2484000000004</c:v>
                </c:pt>
                <c:pt idx="1968">
                  <c:v>5110.8676000000005</c:v>
                </c:pt>
                <c:pt idx="1969">
                  <c:v>5118.070200000001</c:v>
                </c:pt>
                <c:pt idx="1970">
                  <c:v>5125.9180000000006</c:v>
                </c:pt>
                <c:pt idx="1971">
                  <c:v>5133.8112000000001</c:v>
                </c:pt>
                <c:pt idx="1972">
                  <c:v>5140.7828</c:v>
                </c:pt>
                <c:pt idx="1973">
                  <c:v>5148.8290000000006</c:v>
                </c:pt>
                <c:pt idx="1974">
                  <c:v>5157.506800000001</c:v>
                </c:pt>
                <c:pt idx="1975">
                  <c:v>5165.6442000000006</c:v>
                </c:pt>
                <c:pt idx="1976">
                  <c:v>5174.7716</c:v>
                </c:pt>
                <c:pt idx="1977">
                  <c:v>5183.4118000000008</c:v>
                </c:pt>
                <c:pt idx="1978">
                  <c:v>5192.3972000000012</c:v>
                </c:pt>
                <c:pt idx="1979">
                  <c:v>5202.2874000000011</c:v>
                </c:pt>
                <c:pt idx="1980">
                  <c:v>5212.275200000001</c:v>
                </c:pt>
                <c:pt idx="1981">
                  <c:v>5222.5556000000015</c:v>
                </c:pt>
                <c:pt idx="1982">
                  <c:v>5232.9570000000012</c:v>
                </c:pt>
                <c:pt idx="1983">
                  <c:v>5244.5714000000016</c:v>
                </c:pt>
                <c:pt idx="1984">
                  <c:v>5255.6542000000009</c:v>
                </c:pt>
                <c:pt idx="1985">
                  <c:v>5266.0622000000012</c:v>
                </c:pt>
                <c:pt idx="1986">
                  <c:v>5275.6768000000002</c:v>
                </c:pt>
                <c:pt idx="1987">
                  <c:v>5285.5017999999991</c:v>
                </c:pt>
                <c:pt idx="1988">
                  <c:v>5292.8658000000005</c:v>
                </c:pt>
                <c:pt idx="1989">
                  <c:v>5295.1519999999991</c:v>
                </c:pt>
                <c:pt idx="1990">
                  <c:v>5299.3204000000005</c:v>
                </c:pt>
                <c:pt idx="1991">
                  <c:v>5302.7525999999989</c:v>
                </c:pt>
                <c:pt idx="1992">
                  <c:v>5302.2967999999992</c:v>
                </c:pt>
                <c:pt idx="1993">
                  <c:v>5302.3783999999987</c:v>
                </c:pt>
                <c:pt idx="1994">
                  <c:v>5303.9121999999998</c:v>
                </c:pt>
                <c:pt idx="1995">
                  <c:v>5304.8477999999996</c:v>
                </c:pt>
                <c:pt idx="1996">
                  <c:v>5307.4121999999998</c:v>
                </c:pt>
                <c:pt idx="1997">
                  <c:v>5311.3809999999985</c:v>
                </c:pt>
                <c:pt idx="1998">
                  <c:v>5315.7789999999986</c:v>
                </c:pt>
                <c:pt idx="1999">
                  <c:v>5319.5695999999998</c:v>
                </c:pt>
                <c:pt idx="2000">
                  <c:v>5322.460399999999</c:v>
                </c:pt>
                <c:pt idx="2001">
                  <c:v>5324.8865999999989</c:v>
                </c:pt>
                <c:pt idx="2002">
                  <c:v>5328.6828000000005</c:v>
                </c:pt>
                <c:pt idx="2003">
                  <c:v>5333.5911999999998</c:v>
                </c:pt>
                <c:pt idx="2004">
                  <c:v>5337.1794000000009</c:v>
                </c:pt>
                <c:pt idx="2005">
                  <c:v>5339.9921999999997</c:v>
                </c:pt>
                <c:pt idx="2006">
                  <c:v>5340.4737999999998</c:v>
                </c:pt>
                <c:pt idx="2007">
                  <c:v>5340.9329999999991</c:v>
                </c:pt>
                <c:pt idx="2008">
                  <c:v>5342.891599999999</c:v>
                </c:pt>
                <c:pt idx="2009">
                  <c:v>5345.2095999999983</c:v>
                </c:pt>
                <c:pt idx="2010">
                  <c:v>5347.2757999999994</c:v>
                </c:pt>
                <c:pt idx="2011">
                  <c:v>5349.8945999999996</c:v>
                </c:pt>
                <c:pt idx="2012">
                  <c:v>5354.4849999999997</c:v>
                </c:pt>
                <c:pt idx="2013">
                  <c:v>5358.8467999999993</c:v>
                </c:pt>
                <c:pt idx="2014">
                  <c:v>5362.3099999999986</c:v>
                </c:pt>
                <c:pt idx="2015">
                  <c:v>5365.7201999999997</c:v>
                </c:pt>
                <c:pt idx="2016">
                  <c:v>5368.1823999999997</c:v>
                </c:pt>
                <c:pt idx="2017">
                  <c:v>5370.1587999999992</c:v>
                </c:pt>
                <c:pt idx="2018">
                  <c:v>5370.1567999999997</c:v>
                </c:pt>
                <c:pt idx="2019">
                  <c:v>5369.5669999999991</c:v>
                </c:pt>
                <c:pt idx="2020">
                  <c:v>5368.6126000000004</c:v>
                </c:pt>
                <c:pt idx="2021">
                  <c:v>5364.8178000000007</c:v>
                </c:pt>
                <c:pt idx="2022">
                  <c:v>5358.9718000000003</c:v>
                </c:pt>
                <c:pt idx="2023">
                  <c:v>5355.1163999999999</c:v>
                </c:pt>
                <c:pt idx="2024">
                  <c:v>5348.7329999999993</c:v>
                </c:pt>
                <c:pt idx="2025">
                  <c:v>5342.4495999999999</c:v>
                </c:pt>
                <c:pt idx="2026">
                  <c:v>5336.5563999999986</c:v>
                </c:pt>
                <c:pt idx="2027">
                  <c:v>5328.5201999999999</c:v>
                </c:pt>
                <c:pt idx="2028">
                  <c:v>5321.2828</c:v>
                </c:pt>
                <c:pt idx="2029">
                  <c:v>5314.351200000001</c:v>
                </c:pt>
                <c:pt idx="2030">
                  <c:v>5307.9010000000007</c:v>
                </c:pt>
                <c:pt idx="2031">
                  <c:v>5299.2273999999998</c:v>
                </c:pt>
                <c:pt idx="2032">
                  <c:v>5290.8578000000016</c:v>
                </c:pt>
                <c:pt idx="2033">
                  <c:v>5282.890800000001</c:v>
                </c:pt>
                <c:pt idx="2034">
                  <c:v>5275.101200000001</c:v>
                </c:pt>
                <c:pt idx="2035">
                  <c:v>5269.3850000000011</c:v>
                </c:pt>
                <c:pt idx="2036">
                  <c:v>5263.3122000000012</c:v>
                </c:pt>
                <c:pt idx="2037">
                  <c:v>5258.1370000000006</c:v>
                </c:pt>
                <c:pt idx="2038">
                  <c:v>5256.4108000000006</c:v>
                </c:pt>
                <c:pt idx="2039">
                  <c:v>5259.1919999999991</c:v>
                </c:pt>
                <c:pt idx="2040">
                  <c:v>5259.5630000000001</c:v>
                </c:pt>
                <c:pt idx="2041">
                  <c:v>5259.561200000001</c:v>
                </c:pt>
                <c:pt idx="2042">
                  <c:v>5263.4808000000012</c:v>
                </c:pt>
                <c:pt idx="2043">
                  <c:v>5264.4630000000006</c:v>
                </c:pt>
                <c:pt idx="2044">
                  <c:v>5264.2074000000011</c:v>
                </c:pt>
                <c:pt idx="2045">
                  <c:v>5264.7552000000005</c:v>
                </c:pt>
                <c:pt idx="2046">
                  <c:v>5264.0012000000015</c:v>
                </c:pt>
                <c:pt idx="2047">
                  <c:v>5261.0950000000012</c:v>
                </c:pt>
                <c:pt idx="2048">
                  <c:v>5258.4048000000012</c:v>
                </c:pt>
                <c:pt idx="2049">
                  <c:v>5255.5808000000015</c:v>
                </c:pt>
                <c:pt idx="2050">
                  <c:v>5253.1166000000012</c:v>
                </c:pt>
                <c:pt idx="2051">
                  <c:v>5251.8808000000017</c:v>
                </c:pt>
                <c:pt idx="2052">
                  <c:v>5249.3070000000016</c:v>
                </c:pt>
                <c:pt idx="2053">
                  <c:v>5245.4300000000012</c:v>
                </c:pt>
                <c:pt idx="2054">
                  <c:v>5243.9462000000012</c:v>
                </c:pt>
                <c:pt idx="2055">
                  <c:v>5244.6584000000012</c:v>
                </c:pt>
                <c:pt idx="2056">
                  <c:v>5246.9886000000006</c:v>
                </c:pt>
                <c:pt idx="2057">
                  <c:v>5248.8770000000004</c:v>
                </c:pt>
                <c:pt idx="2058">
                  <c:v>5248.8744000000006</c:v>
                </c:pt>
                <c:pt idx="2059">
                  <c:v>5249.0472000000009</c:v>
                </c:pt>
                <c:pt idx="2060">
                  <c:v>5249.2036000000007</c:v>
                </c:pt>
                <c:pt idx="2061">
                  <c:v>5248.5822000000007</c:v>
                </c:pt>
                <c:pt idx="2062">
                  <c:v>5246.8854000000001</c:v>
                </c:pt>
                <c:pt idx="2063">
                  <c:v>5244.992400000001</c:v>
                </c:pt>
                <c:pt idx="2064">
                  <c:v>5244.137200000001</c:v>
                </c:pt>
                <c:pt idx="2065">
                  <c:v>5243.6582000000008</c:v>
                </c:pt>
                <c:pt idx="2066">
                  <c:v>5243.0166000000017</c:v>
                </c:pt>
                <c:pt idx="2067">
                  <c:v>5240.9558000000006</c:v>
                </c:pt>
                <c:pt idx="2068">
                  <c:v>5241.7864000000009</c:v>
                </c:pt>
                <c:pt idx="2069">
                  <c:v>5241.7444000000014</c:v>
                </c:pt>
                <c:pt idx="2070">
                  <c:v>5243.0510000000022</c:v>
                </c:pt>
                <c:pt idx="2071">
                  <c:v>5247.5106000000005</c:v>
                </c:pt>
                <c:pt idx="2072">
                  <c:v>5254.2224000000015</c:v>
                </c:pt>
                <c:pt idx="2073">
                  <c:v>5259.1104000000014</c:v>
                </c:pt>
                <c:pt idx="2074">
                  <c:v>5265.7390000000005</c:v>
                </c:pt>
                <c:pt idx="2075">
                  <c:v>5272.9936000000007</c:v>
                </c:pt>
                <c:pt idx="2076">
                  <c:v>5278.9556000000021</c:v>
                </c:pt>
                <c:pt idx="2077">
                  <c:v>5287.4232000000011</c:v>
                </c:pt>
                <c:pt idx="2078">
                  <c:v>5294.1734000000024</c:v>
                </c:pt>
                <c:pt idx="2079">
                  <c:v>5300.0346000000009</c:v>
                </c:pt>
                <c:pt idx="2080">
                  <c:v>5305.0696000000007</c:v>
                </c:pt>
                <c:pt idx="2081">
                  <c:v>5312.1592000000001</c:v>
                </c:pt>
                <c:pt idx="2082">
                  <c:v>5318.4438</c:v>
                </c:pt>
                <c:pt idx="2083">
                  <c:v>5323.1977999999999</c:v>
                </c:pt>
                <c:pt idx="2084">
                  <c:v>5327.8420000000006</c:v>
                </c:pt>
                <c:pt idx="2085">
                  <c:v>5331.8235999999997</c:v>
                </c:pt>
                <c:pt idx="2086">
                  <c:v>5334.6168000000007</c:v>
                </c:pt>
                <c:pt idx="2087">
                  <c:v>5336.7982000000011</c:v>
                </c:pt>
                <c:pt idx="2088">
                  <c:v>5336.9380000000001</c:v>
                </c:pt>
                <c:pt idx="2089">
                  <c:v>5337.6604000000007</c:v>
                </c:pt>
                <c:pt idx="2090">
                  <c:v>5339.0656000000008</c:v>
                </c:pt>
                <c:pt idx="2091">
                  <c:v>5341.7004000000006</c:v>
                </c:pt>
                <c:pt idx="2092">
                  <c:v>5343.7982000000011</c:v>
                </c:pt>
                <c:pt idx="2093">
                  <c:v>5348.2418000000007</c:v>
                </c:pt>
                <c:pt idx="2094">
                  <c:v>5353.4171999999999</c:v>
                </c:pt>
                <c:pt idx="2095">
                  <c:v>5358.5028000000002</c:v>
                </c:pt>
                <c:pt idx="2096">
                  <c:v>5363.8491999999978</c:v>
                </c:pt>
                <c:pt idx="2097">
                  <c:v>5369.2685999999994</c:v>
                </c:pt>
                <c:pt idx="2098">
                  <c:v>5375.3895999999995</c:v>
                </c:pt>
                <c:pt idx="2099">
                  <c:v>5382.3804</c:v>
                </c:pt>
                <c:pt idx="2100">
                  <c:v>5389.4847999999984</c:v>
                </c:pt>
                <c:pt idx="2101">
                  <c:v>5395.6887999999981</c:v>
                </c:pt>
                <c:pt idx="2102">
                  <c:v>5401.7685999999985</c:v>
                </c:pt>
                <c:pt idx="2103">
                  <c:v>5407.448199999998</c:v>
                </c:pt>
                <c:pt idx="2104">
                  <c:v>5412.0001999999986</c:v>
                </c:pt>
                <c:pt idx="2105">
                  <c:v>5415.7393999999986</c:v>
                </c:pt>
                <c:pt idx="2106">
                  <c:v>5419.7929999999997</c:v>
                </c:pt>
                <c:pt idx="2107">
                  <c:v>5424.7595999999994</c:v>
                </c:pt>
                <c:pt idx="2108">
                  <c:v>5430.1147999999985</c:v>
                </c:pt>
                <c:pt idx="2109">
                  <c:v>5434.2743999999993</c:v>
                </c:pt>
                <c:pt idx="2110">
                  <c:v>5437.8647999999994</c:v>
                </c:pt>
                <c:pt idx="2111">
                  <c:v>5442.2707999999993</c:v>
                </c:pt>
                <c:pt idx="2112">
                  <c:v>5445.7707999999984</c:v>
                </c:pt>
                <c:pt idx="2113">
                  <c:v>5450.1633999999985</c:v>
                </c:pt>
                <c:pt idx="2114">
                  <c:v>5454.7377999999981</c:v>
                </c:pt>
                <c:pt idx="2115">
                  <c:v>5459.9323999999988</c:v>
                </c:pt>
                <c:pt idx="2116">
                  <c:v>5465.6857999999975</c:v>
                </c:pt>
                <c:pt idx="2117">
                  <c:v>5472.6451999999981</c:v>
                </c:pt>
                <c:pt idx="2118">
                  <c:v>5478.1099999999979</c:v>
                </c:pt>
                <c:pt idx="2119">
                  <c:v>5483.5211999999992</c:v>
                </c:pt>
                <c:pt idx="2120">
                  <c:v>5487.3225999999986</c:v>
                </c:pt>
                <c:pt idx="2121">
                  <c:v>5491.3607999999986</c:v>
                </c:pt>
                <c:pt idx="2122">
                  <c:v>5494.4853999999978</c:v>
                </c:pt>
                <c:pt idx="2123">
                  <c:v>5497.5947999999971</c:v>
                </c:pt>
                <c:pt idx="2124">
                  <c:v>5501.1443999999983</c:v>
                </c:pt>
                <c:pt idx="2125">
                  <c:v>5504.6266000000005</c:v>
                </c:pt>
                <c:pt idx="2126">
                  <c:v>5508.2285999999995</c:v>
                </c:pt>
                <c:pt idx="2127">
                  <c:v>5511.5933999999997</c:v>
                </c:pt>
                <c:pt idx="2128">
                  <c:v>5515.2111999999988</c:v>
                </c:pt>
                <c:pt idx="2129">
                  <c:v>5519.2262000000001</c:v>
                </c:pt>
                <c:pt idx="2130">
                  <c:v>5524.224799999999</c:v>
                </c:pt>
                <c:pt idx="2131">
                  <c:v>5529.4859999999999</c:v>
                </c:pt>
                <c:pt idx="2132">
                  <c:v>5535.8433999999997</c:v>
                </c:pt>
                <c:pt idx="2133">
                  <c:v>5541.5237999999999</c:v>
                </c:pt>
                <c:pt idx="2134">
                  <c:v>5547.9117999999989</c:v>
                </c:pt>
                <c:pt idx="2135">
                  <c:v>5553.9164000000001</c:v>
                </c:pt>
                <c:pt idx="2136">
                  <c:v>5561.0889999999999</c:v>
                </c:pt>
                <c:pt idx="2137">
                  <c:v>5567.6428000000005</c:v>
                </c:pt>
                <c:pt idx="2138">
                  <c:v>5574.8766000000005</c:v>
                </c:pt>
                <c:pt idx="2139">
                  <c:v>5581.6546000000008</c:v>
                </c:pt>
                <c:pt idx="2140">
                  <c:v>5588.7777999999998</c:v>
                </c:pt>
                <c:pt idx="2141">
                  <c:v>5595.6096000000007</c:v>
                </c:pt>
                <c:pt idx="2142">
                  <c:v>5603.6060000000007</c:v>
                </c:pt>
                <c:pt idx="2143">
                  <c:v>5610.7042000000001</c:v>
                </c:pt>
                <c:pt idx="2144">
                  <c:v>5616.2427999999991</c:v>
                </c:pt>
                <c:pt idx="2145">
                  <c:v>5621.4085999999988</c:v>
                </c:pt>
                <c:pt idx="2146">
                  <c:v>5626.335399999999</c:v>
                </c:pt>
                <c:pt idx="2147">
                  <c:v>5632.9495999999999</c:v>
                </c:pt>
                <c:pt idx="2148">
                  <c:v>5638.5567999999994</c:v>
                </c:pt>
                <c:pt idx="2149">
                  <c:v>5643.6373999999987</c:v>
                </c:pt>
                <c:pt idx="2150">
                  <c:v>5648.6839999999975</c:v>
                </c:pt>
                <c:pt idx="2151">
                  <c:v>5652.9111999999996</c:v>
                </c:pt>
                <c:pt idx="2152">
                  <c:v>5657.2383999999993</c:v>
                </c:pt>
                <c:pt idx="2153">
                  <c:v>5661.9965999999977</c:v>
                </c:pt>
                <c:pt idx="2154">
                  <c:v>5667.2755999999981</c:v>
                </c:pt>
                <c:pt idx="2155">
                  <c:v>5672.3097999999991</c:v>
                </c:pt>
                <c:pt idx="2156">
                  <c:v>5676.8919999999998</c:v>
                </c:pt>
                <c:pt idx="2157">
                  <c:v>5679.5433999999987</c:v>
                </c:pt>
                <c:pt idx="2158">
                  <c:v>5681.9016000000001</c:v>
                </c:pt>
                <c:pt idx="2159">
                  <c:v>5684.9485999999988</c:v>
                </c:pt>
                <c:pt idx="2160">
                  <c:v>5688.4969999999994</c:v>
                </c:pt>
                <c:pt idx="2161">
                  <c:v>5687.7565999999988</c:v>
                </c:pt>
                <c:pt idx="2162">
                  <c:v>5684.8635999999988</c:v>
                </c:pt>
                <c:pt idx="2163">
                  <c:v>5682.9585999999999</c:v>
                </c:pt>
                <c:pt idx="2164">
                  <c:v>5679.8765999999996</c:v>
                </c:pt>
                <c:pt idx="2165">
                  <c:v>5678.7316000000001</c:v>
                </c:pt>
                <c:pt idx="2166">
                  <c:v>5677.2443999999996</c:v>
                </c:pt>
                <c:pt idx="2167">
                  <c:v>5674.1935999999996</c:v>
                </c:pt>
                <c:pt idx="2168">
                  <c:v>5671.2395999999999</c:v>
                </c:pt>
                <c:pt idx="2169">
                  <c:v>5668.5839999999998</c:v>
                </c:pt>
                <c:pt idx="2170">
                  <c:v>5665.7783999999992</c:v>
                </c:pt>
                <c:pt idx="2171">
                  <c:v>5658.9023999999999</c:v>
                </c:pt>
                <c:pt idx="2172">
                  <c:v>5654.8161999999984</c:v>
                </c:pt>
                <c:pt idx="2173">
                  <c:v>5647.9597999999987</c:v>
                </c:pt>
                <c:pt idx="2174">
                  <c:v>5640.0321999999987</c:v>
                </c:pt>
                <c:pt idx="2175">
                  <c:v>5633.4749999999985</c:v>
                </c:pt>
                <c:pt idx="2176">
                  <c:v>5627.8369999999995</c:v>
                </c:pt>
                <c:pt idx="2177">
                  <c:v>5623.3774000000003</c:v>
                </c:pt>
                <c:pt idx="2178">
                  <c:v>5618.4259999999995</c:v>
                </c:pt>
                <c:pt idx="2179">
                  <c:v>5613.3811999999998</c:v>
                </c:pt>
                <c:pt idx="2180">
                  <c:v>5608.1401999999998</c:v>
                </c:pt>
                <c:pt idx="2181">
                  <c:v>5605.1835999999985</c:v>
                </c:pt>
                <c:pt idx="2182">
                  <c:v>5601.3435999999983</c:v>
                </c:pt>
                <c:pt idx="2183">
                  <c:v>5596.9903999999979</c:v>
                </c:pt>
                <c:pt idx="2184">
                  <c:v>5590.4381999999987</c:v>
                </c:pt>
                <c:pt idx="2185">
                  <c:v>5583.9083999999984</c:v>
                </c:pt>
                <c:pt idx="2186">
                  <c:v>5576.9099999999989</c:v>
                </c:pt>
                <c:pt idx="2187">
                  <c:v>5571.4645999999984</c:v>
                </c:pt>
                <c:pt idx="2188">
                  <c:v>5566.5101999999979</c:v>
                </c:pt>
                <c:pt idx="2189">
                  <c:v>5559.5373999999983</c:v>
                </c:pt>
                <c:pt idx="2190">
                  <c:v>5550.2021999999988</c:v>
                </c:pt>
                <c:pt idx="2191">
                  <c:v>5541.1527999999971</c:v>
                </c:pt>
                <c:pt idx="2192">
                  <c:v>5530.7863999999981</c:v>
                </c:pt>
                <c:pt idx="2193">
                  <c:v>5522.0059999999985</c:v>
                </c:pt>
                <c:pt idx="2194">
                  <c:v>5514.2105999999994</c:v>
                </c:pt>
                <c:pt idx="2195">
                  <c:v>5508.2493999999997</c:v>
                </c:pt>
                <c:pt idx="2196">
                  <c:v>5501.9313999999986</c:v>
                </c:pt>
                <c:pt idx="2197">
                  <c:v>5495.6151999999993</c:v>
                </c:pt>
                <c:pt idx="2198">
                  <c:v>5490.5379999999996</c:v>
                </c:pt>
                <c:pt idx="2199">
                  <c:v>5482.2889999999979</c:v>
                </c:pt>
                <c:pt idx="2200">
                  <c:v>5474.0525999999991</c:v>
                </c:pt>
                <c:pt idx="2201">
                  <c:v>5463.7159999999985</c:v>
                </c:pt>
                <c:pt idx="2202">
                  <c:v>5453.2255999999998</c:v>
                </c:pt>
                <c:pt idx="2203">
                  <c:v>5442.6991999999991</c:v>
                </c:pt>
                <c:pt idx="2204">
                  <c:v>5432.3208000000004</c:v>
                </c:pt>
                <c:pt idx="2205">
                  <c:v>5421.9826000000012</c:v>
                </c:pt>
                <c:pt idx="2206">
                  <c:v>5409.5649999999996</c:v>
                </c:pt>
                <c:pt idx="2207">
                  <c:v>5395.9254000000001</c:v>
                </c:pt>
                <c:pt idx="2208">
                  <c:v>5382.9342000000006</c:v>
                </c:pt>
                <c:pt idx="2209">
                  <c:v>5368.4393999999993</c:v>
                </c:pt>
                <c:pt idx="2210">
                  <c:v>5352.503999999999</c:v>
                </c:pt>
                <c:pt idx="2211">
                  <c:v>5338.2953999999991</c:v>
                </c:pt>
                <c:pt idx="2212">
                  <c:v>5323.7577999999994</c:v>
                </c:pt>
                <c:pt idx="2213">
                  <c:v>5312.3109999999997</c:v>
                </c:pt>
                <c:pt idx="2214">
                  <c:v>5302.3575999999994</c:v>
                </c:pt>
                <c:pt idx="2215">
                  <c:v>5289.9537999999993</c:v>
                </c:pt>
                <c:pt idx="2216">
                  <c:v>5278.4257999999982</c:v>
                </c:pt>
                <c:pt idx="2217">
                  <c:v>5268.6143999999995</c:v>
                </c:pt>
                <c:pt idx="2218">
                  <c:v>5256.3943999999992</c:v>
                </c:pt>
                <c:pt idx="2219">
                  <c:v>5247.9857999999986</c:v>
                </c:pt>
                <c:pt idx="2220">
                  <c:v>5240.8793999999989</c:v>
                </c:pt>
                <c:pt idx="2221">
                  <c:v>5238.1079999999993</c:v>
                </c:pt>
                <c:pt idx="2222">
                  <c:v>5233.8303999999998</c:v>
                </c:pt>
                <c:pt idx="2223">
                  <c:v>5231.8734000000004</c:v>
                </c:pt>
                <c:pt idx="2224">
                  <c:v>5230.5908000000009</c:v>
                </c:pt>
                <c:pt idx="2225">
                  <c:v>5227.1289999999999</c:v>
                </c:pt>
                <c:pt idx="2226">
                  <c:v>5223.6148000000003</c:v>
                </c:pt>
                <c:pt idx="2227">
                  <c:v>5219.1972000000005</c:v>
                </c:pt>
                <c:pt idx="2228">
                  <c:v>5216.2562000000007</c:v>
                </c:pt>
                <c:pt idx="2229">
                  <c:v>5214.0942000000014</c:v>
                </c:pt>
                <c:pt idx="2230">
                  <c:v>5209.744200000001</c:v>
                </c:pt>
                <c:pt idx="2231">
                  <c:v>5203.3088000000007</c:v>
                </c:pt>
                <c:pt idx="2232">
                  <c:v>5197.2426000000005</c:v>
                </c:pt>
                <c:pt idx="2233">
                  <c:v>5193.077000000002</c:v>
                </c:pt>
                <c:pt idx="2234">
                  <c:v>5190.2508000000016</c:v>
                </c:pt>
                <c:pt idx="2235">
                  <c:v>5187.4296000000013</c:v>
                </c:pt>
                <c:pt idx="2236">
                  <c:v>5187.0428000000011</c:v>
                </c:pt>
                <c:pt idx="2237">
                  <c:v>5186.426800000002</c:v>
                </c:pt>
                <c:pt idx="2238">
                  <c:v>5185.6734000000015</c:v>
                </c:pt>
                <c:pt idx="2239">
                  <c:v>5187.4554000000016</c:v>
                </c:pt>
                <c:pt idx="2240">
                  <c:v>5191.6788000000015</c:v>
                </c:pt>
                <c:pt idx="2241">
                  <c:v>5195.3426000000009</c:v>
                </c:pt>
                <c:pt idx="2242">
                  <c:v>5198.6878000000015</c:v>
                </c:pt>
                <c:pt idx="2243">
                  <c:v>5200.506800000001</c:v>
                </c:pt>
                <c:pt idx="2244">
                  <c:v>5202.0564000000004</c:v>
                </c:pt>
                <c:pt idx="2245">
                  <c:v>5202.5536000000002</c:v>
                </c:pt>
                <c:pt idx="2246">
                  <c:v>5203.6032000000005</c:v>
                </c:pt>
                <c:pt idx="2247">
                  <c:v>5203.4916000000003</c:v>
                </c:pt>
                <c:pt idx="2248">
                  <c:v>5203.3797999999997</c:v>
                </c:pt>
                <c:pt idx="2249">
                  <c:v>5207.0212000000001</c:v>
                </c:pt>
                <c:pt idx="2250">
                  <c:v>5211.0106000000005</c:v>
                </c:pt>
                <c:pt idx="2251">
                  <c:v>5217.0977999999996</c:v>
                </c:pt>
                <c:pt idx="2252">
                  <c:v>5223.7127999999993</c:v>
                </c:pt>
                <c:pt idx="2253">
                  <c:v>5230.5125999999991</c:v>
                </c:pt>
                <c:pt idx="2254">
                  <c:v>5236.6567999999997</c:v>
                </c:pt>
                <c:pt idx="2255">
                  <c:v>5242.759</c:v>
                </c:pt>
                <c:pt idx="2256">
                  <c:v>5250.5767999999989</c:v>
                </c:pt>
                <c:pt idx="2257">
                  <c:v>5261.3073999999988</c:v>
                </c:pt>
                <c:pt idx="2258">
                  <c:v>5271.5911999999989</c:v>
                </c:pt>
                <c:pt idx="2259">
                  <c:v>5283.3007999999982</c:v>
                </c:pt>
                <c:pt idx="2260">
                  <c:v>5295.8583999999983</c:v>
                </c:pt>
                <c:pt idx="2261">
                  <c:v>5309.5593999999983</c:v>
                </c:pt>
                <c:pt idx="2262">
                  <c:v>5325.6339999999982</c:v>
                </c:pt>
                <c:pt idx="2263">
                  <c:v>5338.6795999999995</c:v>
                </c:pt>
                <c:pt idx="2264">
                  <c:v>5351.2095999999983</c:v>
                </c:pt>
                <c:pt idx="2265">
                  <c:v>5364.6285999999991</c:v>
                </c:pt>
                <c:pt idx="2266">
                  <c:v>5377.1359999999995</c:v>
                </c:pt>
                <c:pt idx="2267">
                  <c:v>5390.0802000000003</c:v>
                </c:pt>
                <c:pt idx="2268">
                  <c:v>5405.8887999999988</c:v>
                </c:pt>
                <c:pt idx="2269">
                  <c:v>5418.3427999999994</c:v>
                </c:pt>
                <c:pt idx="2270">
                  <c:v>5429.7623999999987</c:v>
                </c:pt>
                <c:pt idx="2271">
                  <c:v>5441.4272000000001</c:v>
                </c:pt>
                <c:pt idx="2272">
                  <c:v>5450.4839999999995</c:v>
                </c:pt>
                <c:pt idx="2273">
                  <c:v>5458.9907999999987</c:v>
                </c:pt>
                <c:pt idx="2274">
                  <c:v>5468.3155999999981</c:v>
                </c:pt>
                <c:pt idx="2275">
                  <c:v>5477.6503999999995</c:v>
                </c:pt>
                <c:pt idx="2276">
                  <c:v>5486.301199999999</c:v>
                </c:pt>
                <c:pt idx="2277">
                  <c:v>5495.4814000000006</c:v>
                </c:pt>
                <c:pt idx="2278">
                  <c:v>5505.172599999999</c:v>
                </c:pt>
                <c:pt idx="2279">
                  <c:v>5513.4839999999995</c:v>
                </c:pt>
                <c:pt idx="2280">
                  <c:v>5523.5423999999985</c:v>
                </c:pt>
                <c:pt idx="2281">
                  <c:v>5533.6358</c:v>
                </c:pt>
                <c:pt idx="2282">
                  <c:v>5544.1160000000009</c:v>
                </c:pt>
                <c:pt idx="2283">
                  <c:v>5553.8230000000003</c:v>
                </c:pt>
                <c:pt idx="2284">
                  <c:v>5563.6952000000001</c:v>
                </c:pt>
                <c:pt idx="2285">
                  <c:v>5574.1288000000004</c:v>
                </c:pt>
                <c:pt idx="2286">
                  <c:v>5582.9224000000013</c:v>
                </c:pt>
                <c:pt idx="2287">
                  <c:v>5591.5506000000005</c:v>
                </c:pt>
                <c:pt idx="2288">
                  <c:v>5599.9970000000003</c:v>
                </c:pt>
                <c:pt idx="2289">
                  <c:v>5607.7701999999999</c:v>
                </c:pt>
                <c:pt idx="2290">
                  <c:v>5614.778800000001</c:v>
                </c:pt>
                <c:pt idx="2291">
                  <c:v>5622.2054000000016</c:v>
                </c:pt>
                <c:pt idx="2292">
                  <c:v>5630.7548000000006</c:v>
                </c:pt>
                <c:pt idx="2293">
                  <c:v>5640.23</c:v>
                </c:pt>
                <c:pt idx="2294">
                  <c:v>5649.3706000000002</c:v>
                </c:pt>
                <c:pt idx="2295">
                  <c:v>5657.0684000000001</c:v>
                </c:pt>
                <c:pt idx="2296">
                  <c:v>5664.9785999999995</c:v>
                </c:pt>
                <c:pt idx="2297">
                  <c:v>5673.2730000000001</c:v>
                </c:pt>
                <c:pt idx="2298">
                  <c:v>5680.4838</c:v>
                </c:pt>
                <c:pt idx="2299">
                  <c:v>5686.637200000001</c:v>
                </c:pt>
                <c:pt idx="2300">
                  <c:v>5692.3284000000012</c:v>
                </c:pt>
                <c:pt idx="2301">
                  <c:v>5699.5384000000013</c:v>
                </c:pt>
                <c:pt idx="2302">
                  <c:v>5705.5184000000008</c:v>
                </c:pt>
                <c:pt idx="2303">
                  <c:v>5709.4083999999993</c:v>
                </c:pt>
                <c:pt idx="2304">
                  <c:v>5713.2031999999999</c:v>
                </c:pt>
                <c:pt idx="2305">
                  <c:v>5716.7334000000001</c:v>
                </c:pt>
                <c:pt idx="2306">
                  <c:v>5721.0123999999996</c:v>
                </c:pt>
                <c:pt idx="2307">
                  <c:v>5721.7383999999993</c:v>
                </c:pt>
                <c:pt idx="2308">
                  <c:v>5723.8117999999995</c:v>
                </c:pt>
                <c:pt idx="2309">
                  <c:v>5726.6935999999987</c:v>
                </c:pt>
                <c:pt idx="2310">
                  <c:v>5731.3457999999982</c:v>
                </c:pt>
                <c:pt idx="2311">
                  <c:v>5736.2124000000003</c:v>
                </c:pt>
                <c:pt idx="2312">
                  <c:v>5740.530600000001</c:v>
                </c:pt>
                <c:pt idx="2313">
                  <c:v>5744.2114000000001</c:v>
                </c:pt>
                <c:pt idx="2314">
                  <c:v>5747.2368000000006</c:v>
                </c:pt>
                <c:pt idx="2315">
                  <c:v>5748.1275999999989</c:v>
                </c:pt>
                <c:pt idx="2316">
                  <c:v>5749.2477999999992</c:v>
                </c:pt>
                <c:pt idx="2317">
                  <c:v>5748.8559999999998</c:v>
                </c:pt>
                <c:pt idx="2318">
                  <c:v>5747.2715999999991</c:v>
                </c:pt>
                <c:pt idx="2319">
                  <c:v>5745.9479999999985</c:v>
                </c:pt>
                <c:pt idx="2320">
                  <c:v>5743.4985999999999</c:v>
                </c:pt>
                <c:pt idx="2321">
                  <c:v>5739.5140000000001</c:v>
                </c:pt>
                <c:pt idx="2322">
                  <c:v>5740.0501999999988</c:v>
                </c:pt>
                <c:pt idx="2323">
                  <c:v>5741.6034</c:v>
                </c:pt>
                <c:pt idx="2324">
                  <c:v>5743.079999999999</c:v>
                </c:pt>
                <c:pt idx="2325">
                  <c:v>5746.2867999999989</c:v>
                </c:pt>
                <c:pt idx="2326">
                  <c:v>5749.6115999999993</c:v>
                </c:pt>
                <c:pt idx="2327">
                  <c:v>5752.1389999999992</c:v>
                </c:pt>
                <c:pt idx="2328">
                  <c:v>5753.1205999999993</c:v>
                </c:pt>
                <c:pt idx="2329">
                  <c:v>5754.6042000000007</c:v>
                </c:pt>
                <c:pt idx="2330">
                  <c:v>5755.6700000000019</c:v>
                </c:pt>
                <c:pt idx="2331">
                  <c:v>5756.5788000000011</c:v>
                </c:pt>
                <c:pt idx="2332">
                  <c:v>5758.0838000000012</c:v>
                </c:pt>
                <c:pt idx="2333">
                  <c:v>5759.8156000000017</c:v>
                </c:pt>
                <c:pt idx="2334">
                  <c:v>5763.3389999999999</c:v>
                </c:pt>
                <c:pt idx="2335">
                  <c:v>5766.3099999999986</c:v>
                </c:pt>
                <c:pt idx="2336">
                  <c:v>5769.0701999999983</c:v>
                </c:pt>
                <c:pt idx="2337">
                  <c:v>5769.931999999998</c:v>
                </c:pt>
                <c:pt idx="2338">
                  <c:v>5770.7197999999999</c:v>
                </c:pt>
                <c:pt idx="2339">
                  <c:v>5771.9135999999999</c:v>
                </c:pt>
                <c:pt idx="2340">
                  <c:v>5774.0420000000004</c:v>
                </c:pt>
                <c:pt idx="2341">
                  <c:v>5776.8920000000007</c:v>
                </c:pt>
                <c:pt idx="2342">
                  <c:v>5779.9746000000005</c:v>
                </c:pt>
                <c:pt idx="2343">
                  <c:v>5782.9678000000004</c:v>
                </c:pt>
                <c:pt idx="2344">
                  <c:v>5786.0133999999998</c:v>
                </c:pt>
                <c:pt idx="2345">
                  <c:v>5788.5228000000006</c:v>
                </c:pt>
                <c:pt idx="2346">
                  <c:v>5790.6627999999992</c:v>
                </c:pt>
                <c:pt idx="2347">
                  <c:v>5793.2130000000006</c:v>
                </c:pt>
                <c:pt idx="2348">
                  <c:v>5795.9234000000024</c:v>
                </c:pt>
                <c:pt idx="2349">
                  <c:v>5800.0858000000017</c:v>
                </c:pt>
                <c:pt idx="2350">
                  <c:v>5804.5132000000021</c:v>
                </c:pt>
                <c:pt idx="2351">
                  <c:v>5807.3952000000027</c:v>
                </c:pt>
                <c:pt idx="2352">
                  <c:v>5810.0072000000018</c:v>
                </c:pt>
                <c:pt idx="2353">
                  <c:v>5814.9984000000022</c:v>
                </c:pt>
                <c:pt idx="2354">
                  <c:v>5819.4328000000014</c:v>
                </c:pt>
                <c:pt idx="2355">
                  <c:v>5824.5168000000012</c:v>
                </c:pt>
                <c:pt idx="2356">
                  <c:v>5829.9576000000015</c:v>
                </c:pt>
                <c:pt idx="2357">
                  <c:v>5838.7504000000008</c:v>
                </c:pt>
                <c:pt idx="2358">
                  <c:v>5845.9890000000005</c:v>
                </c:pt>
                <c:pt idx="2359">
                  <c:v>5853.4356000000007</c:v>
                </c:pt>
                <c:pt idx="2360">
                  <c:v>5859.6367999999993</c:v>
                </c:pt>
                <c:pt idx="2361">
                  <c:v>5866.1981999999998</c:v>
                </c:pt>
                <c:pt idx="2362">
                  <c:v>5872.2156000000004</c:v>
                </c:pt>
                <c:pt idx="2363">
                  <c:v>5876.1959999999999</c:v>
                </c:pt>
                <c:pt idx="2364">
                  <c:v>5879.6437999999989</c:v>
                </c:pt>
                <c:pt idx="2365">
                  <c:v>5880.9377999999988</c:v>
                </c:pt>
                <c:pt idx="2366">
                  <c:v>5883.5601999999981</c:v>
                </c:pt>
                <c:pt idx="2367">
                  <c:v>5887.2229999999981</c:v>
                </c:pt>
                <c:pt idx="2368">
                  <c:v>5893.8659999999973</c:v>
                </c:pt>
                <c:pt idx="2369">
                  <c:v>5899.4959999999974</c:v>
                </c:pt>
                <c:pt idx="2370">
                  <c:v>5905.1955999999982</c:v>
                </c:pt>
                <c:pt idx="2371">
                  <c:v>5912.9177999999965</c:v>
                </c:pt>
                <c:pt idx="2372">
                  <c:v>5914.8575999999966</c:v>
                </c:pt>
                <c:pt idx="2373">
                  <c:v>5916.1695999999974</c:v>
                </c:pt>
                <c:pt idx="2374">
                  <c:v>5918.4285999999975</c:v>
                </c:pt>
                <c:pt idx="2375">
                  <c:v>5920.8939999999966</c:v>
                </c:pt>
                <c:pt idx="2376">
                  <c:v>5921.8979999999983</c:v>
                </c:pt>
                <c:pt idx="2377">
                  <c:v>5923.9051999999992</c:v>
                </c:pt>
                <c:pt idx="2378">
                  <c:v>5926.0901999999987</c:v>
                </c:pt>
                <c:pt idx="2379">
                  <c:v>5924.7121999999999</c:v>
                </c:pt>
                <c:pt idx="2380">
                  <c:v>5924.7798000000012</c:v>
                </c:pt>
                <c:pt idx="2381">
                  <c:v>5924.3676000000005</c:v>
                </c:pt>
                <c:pt idx="2382">
                  <c:v>5923.5853999999999</c:v>
                </c:pt>
                <c:pt idx="2383">
                  <c:v>5923.9494000000013</c:v>
                </c:pt>
                <c:pt idx="2384">
                  <c:v>5923.2808000000005</c:v>
                </c:pt>
                <c:pt idx="2385">
                  <c:v>5921.9490000000005</c:v>
                </c:pt>
                <c:pt idx="2386">
                  <c:v>5922.1024000000007</c:v>
                </c:pt>
                <c:pt idx="2387">
                  <c:v>5924.9474000000009</c:v>
                </c:pt>
                <c:pt idx="2388">
                  <c:v>5928.0508000000009</c:v>
                </c:pt>
                <c:pt idx="2389">
                  <c:v>5930.6876000000002</c:v>
                </c:pt>
                <c:pt idx="2390">
                  <c:v>5932.6850000000004</c:v>
                </c:pt>
                <c:pt idx="2391">
                  <c:v>5934.6498000000001</c:v>
                </c:pt>
                <c:pt idx="2392">
                  <c:v>5936.6286</c:v>
                </c:pt>
                <c:pt idx="2393">
                  <c:v>5937.6078000000007</c:v>
                </c:pt>
                <c:pt idx="2394">
                  <c:v>5938.415</c:v>
                </c:pt>
                <c:pt idx="2395">
                  <c:v>5940.1143999999995</c:v>
                </c:pt>
                <c:pt idx="2396">
                  <c:v>5941.6731999999993</c:v>
                </c:pt>
                <c:pt idx="2397">
                  <c:v>5942.7</c:v>
                </c:pt>
                <c:pt idx="2398">
                  <c:v>5942.8633999999993</c:v>
                </c:pt>
                <c:pt idx="2399">
                  <c:v>5942.4460000000008</c:v>
                </c:pt>
                <c:pt idx="2400">
                  <c:v>5941.001000000002</c:v>
                </c:pt>
                <c:pt idx="2401">
                  <c:v>5940.7022000000034</c:v>
                </c:pt>
                <c:pt idx="2402">
                  <c:v>5940.9050000000025</c:v>
                </c:pt>
                <c:pt idx="2403">
                  <c:v>5940.044200000003</c:v>
                </c:pt>
                <c:pt idx="2404">
                  <c:v>5940.532000000002</c:v>
                </c:pt>
                <c:pt idx="2405">
                  <c:v>5939.2104000000018</c:v>
                </c:pt>
                <c:pt idx="2406">
                  <c:v>5934.9394000000002</c:v>
                </c:pt>
                <c:pt idx="2407">
                  <c:v>5931.0556000000006</c:v>
                </c:pt>
                <c:pt idx="2408">
                  <c:v>5929.4816000000001</c:v>
                </c:pt>
                <c:pt idx="2409">
                  <c:v>5926.4804000000004</c:v>
                </c:pt>
                <c:pt idx="2410">
                  <c:v>5921.8315999999995</c:v>
                </c:pt>
                <c:pt idx="2411">
                  <c:v>5918.5843999999997</c:v>
                </c:pt>
                <c:pt idx="2412">
                  <c:v>5917.4121999999988</c:v>
                </c:pt>
                <c:pt idx="2413">
                  <c:v>5918.6163999999981</c:v>
                </c:pt>
                <c:pt idx="2414">
                  <c:v>5920.5087999999978</c:v>
                </c:pt>
                <c:pt idx="2415">
                  <c:v>5927.100599999997</c:v>
                </c:pt>
                <c:pt idx="2416">
                  <c:v>5931.9599999999991</c:v>
                </c:pt>
                <c:pt idx="2417">
                  <c:v>5937.0704000000005</c:v>
                </c:pt>
                <c:pt idx="2418">
                  <c:v>5939.5024000000003</c:v>
                </c:pt>
                <c:pt idx="2419">
                  <c:v>5943.5310000000009</c:v>
                </c:pt>
                <c:pt idx="2420">
                  <c:v>5948.5144000000009</c:v>
                </c:pt>
                <c:pt idx="2421">
                  <c:v>5952.1286000000009</c:v>
                </c:pt>
                <c:pt idx="2422">
                  <c:v>5959.3933999999999</c:v>
                </c:pt>
                <c:pt idx="2423">
                  <c:v>5966.851999999998</c:v>
                </c:pt>
                <c:pt idx="2424">
                  <c:v>5973.3187999999991</c:v>
                </c:pt>
                <c:pt idx="2425">
                  <c:v>5978.2695999999987</c:v>
                </c:pt>
                <c:pt idx="2426">
                  <c:v>5984.5529999999981</c:v>
                </c:pt>
                <c:pt idx="2427">
                  <c:v>5989.5037999999977</c:v>
                </c:pt>
                <c:pt idx="2428">
                  <c:v>5995.7081999999982</c:v>
                </c:pt>
                <c:pt idx="2429">
                  <c:v>6005.4281999999994</c:v>
                </c:pt>
                <c:pt idx="2430">
                  <c:v>6013.7270000000008</c:v>
                </c:pt>
                <c:pt idx="2431">
                  <c:v>6022.4932000000008</c:v>
                </c:pt>
                <c:pt idx="2432">
                  <c:v>6030.896200000001</c:v>
                </c:pt>
                <c:pt idx="2433">
                  <c:v>6038.1454000000012</c:v>
                </c:pt>
                <c:pt idx="2434">
                  <c:v>6045.0570000000007</c:v>
                </c:pt>
                <c:pt idx="2435">
                  <c:v>6052.9762000000001</c:v>
                </c:pt>
                <c:pt idx="2436">
                  <c:v>6059.7086000000008</c:v>
                </c:pt>
                <c:pt idx="2437">
                  <c:v>6065.0094000000008</c:v>
                </c:pt>
                <c:pt idx="2438">
                  <c:v>6071.1828000000005</c:v>
                </c:pt>
                <c:pt idx="2439">
                  <c:v>6077.4234000000006</c:v>
                </c:pt>
                <c:pt idx="2440">
                  <c:v>6083.5542000000005</c:v>
                </c:pt>
                <c:pt idx="2441">
                  <c:v>6088.3602000000001</c:v>
                </c:pt>
                <c:pt idx="2442">
                  <c:v>6092.6073999999999</c:v>
                </c:pt>
                <c:pt idx="2443">
                  <c:v>6097.1842000000006</c:v>
                </c:pt>
                <c:pt idx="2444">
                  <c:v>6103.0980000000009</c:v>
                </c:pt>
                <c:pt idx="2445">
                  <c:v>6108.9810000000007</c:v>
                </c:pt>
                <c:pt idx="2446">
                  <c:v>6115.3678</c:v>
                </c:pt>
                <c:pt idx="2447">
                  <c:v>6121.2610000000013</c:v>
                </c:pt>
                <c:pt idx="2448">
                  <c:v>6126.6486000000014</c:v>
                </c:pt>
                <c:pt idx="2449">
                  <c:v>6131.2150000000001</c:v>
                </c:pt>
                <c:pt idx="2450">
                  <c:v>6137.5931999999993</c:v>
                </c:pt>
                <c:pt idx="2451">
                  <c:v>6143.4577999999992</c:v>
                </c:pt>
                <c:pt idx="2452">
                  <c:v>6150.7679999999982</c:v>
                </c:pt>
                <c:pt idx="2453">
                  <c:v>6158.3071999999984</c:v>
                </c:pt>
                <c:pt idx="2454">
                  <c:v>6165.1015999999991</c:v>
                </c:pt>
                <c:pt idx="2455">
                  <c:v>6173.7343999999985</c:v>
                </c:pt>
                <c:pt idx="2456">
                  <c:v>6185.6027999999988</c:v>
                </c:pt>
                <c:pt idx="2457">
                  <c:v>6196.5441999999994</c:v>
                </c:pt>
                <c:pt idx="2458">
                  <c:v>6206.7362000000003</c:v>
                </c:pt>
                <c:pt idx="2459">
                  <c:v>6217.5057999999981</c:v>
                </c:pt>
                <c:pt idx="2460">
                  <c:v>6230.0743999999995</c:v>
                </c:pt>
                <c:pt idx="2461">
                  <c:v>6242.1275999999998</c:v>
                </c:pt>
                <c:pt idx="2462">
                  <c:v>6254.0713999999998</c:v>
                </c:pt>
                <c:pt idx="2463">
                  <c:v>6264.8185999999996</c:v>
                </c:pt>
                <c:pt idx="2464">
                  <c:v>6275.7158000000018</c:v>
                </c:pt>
                <c:pt idx="2465">
                  <c:v>6286.1022000000021</c:v>
                </c:pt>
                <c:pt idx="2466">
                  <c:v>6296.729000000003</c:v>
                </c:pt>
                <c:pt idx="2467">
                  <c:v>6306.2704000000012</c:v>
                </c:pt>
                <c:pt idx="2468">
                  <c:v>6316.6766000000016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00-420E-965D-ECA3C9E53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3344256"/>
        <c:axId val="1211542896"/>
      </c:lineChart>
      <c:dateAx>
        <c:axId val="1343344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1542896"/>
        <c:crosses val="autoZero"/>
        <c:auto val="1"/>
        <c:lblOffset val="100"/>
        <c:baseTimeUnit val="days"/>
      </c:dateAx>
      <c:valAx>
        <c:axId val="1211542896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34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Backtest!$T$50</c:f>
              <c:strCache>
                <c:ptCount val="1"/>
                <c:pt idx="0">
                  <c:v> Perf Acumulada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Backtest!$T$51:$T$2519</c:f>
              <c:numCache>
                <c:formatCode>_(* #,##0.00_);_(* \(#,##0.00\);_(* "-"??_);_(@_)</c:formatCode>
                <c:ptCount val="2469"/>
                <c:pt idx="0">
                  <c:v>100</c:v>
                </c:pt>
                <c:pt idx="1">
                  <c:v>100.04728654067432</c:v>
                </c:pt>
                <c:pt idx="2">
                  <c:v>100.8264636497854</c:v>
                </c:pt>
                <c:pt idx="3">
                  <c:v>101.41491837817676</c:v>
                </c:pt>
                <c:pt idx="4">
                  <c:v>101.38391942373472</c:v>
                </c:pt>
                <c:pt idx="5">
                  <c:v>100.86744531836979</c:v>
                </c:pt>
                <c:pt idx="6">
                  <c:v>101.38444482974222</c:v>
                </c:pt>
                <c:pt idx="7">
                  <c:v>102.12316567627639</c:v>
                </c:pt>
                <c:pt idx="8">
                  <c:v>101.5630828722896</c:v>
                </c:pt>
                <c:pt idx="9">
                  <c:v>101.39022429582464</c:v>
                </c:pt>
                <c:pt idx="10">
                  <c:v>101.46535735489604</c:v>
                </c:pt>
                <c:pt idx="11">
                  <c:v>102.06064236138479</c:v>
                </c:pt>
                <c:pt idx="12">
                  <c:v>102.07640454160956</c:v>
                </c:pt>
                <c:pt idx="13">
                  <c:v>101.74382253886695</c:v>
                </c:pt>
                <c:pt idx="14">
                  <c:v>102.50198340767832</c:v>
                </c:pt>
                <c:pt idx="15">
                  <c:v>103.31793893731385</c:v>
                </c:pt>
                <c:pt idx="16">
                  <c:v>103.49237373180129</c:v>
                </c:pt>
                <c:pt idx="17">
                  <c:v>102.92913849176956</c:v>
                </c:pt>
                <c:pt idx="18">
                  <c:v>103.28010970477443</c:v>
                </c:pt>
                <c:pt idx="19">
                  <c:v>103.97049319861931</c:v>
                </c:pt>
                <c:pt idx="20">
                  <c:v>104.15648692527159</c:v>
                </c:pt>
                <c:pt idx="21">
                  <c:v>104.23582323240292</c:v>
                </c:pt>
                <c:pt idx="22">
                  <c:v>105.39959753899832</c:v>
                </c:pt>
                <c:pt idx="23">
                  <c:v>105.48786574825702</c:v>
                </c:pt>
                <c:pt idx="24">
                  <c:v>103.78660109599699</c:v>
                </c:pt>
                <c:pt idx="25">
                  <c:v>104.25736487871008</c:v>
                </c:pt>
                <c:pt idx="26">
                  <c:v>105.09853989670523</c:v>
                </c:pt>
                <c:pt idx="27">
                  <c:v>104.99240788319179</c:v>
                </c:pt>
                <c:pt idx="28">
                  <c:v>105.23514545865324</c:v>
                </c:pt>
                <c:pt idx="29">
                  <c:v>105.98437442533724</c:v>
                </c:pt>
                <c:pt idx="30">
                  <c:v>105.53042363486389</c:v>
                </c:pt>
                <c:pt idx="31">
                  <c:v>103.06364242968759</c:v>
                </c:pt>
                <c:pt idx="32">
                  <c:v>103.74824645745005</c:v>
                </c:pt>
                <c:pt idx="33">
                  <c:v>105.09906530271272</c:v>
                </c:pt>
                <c:pt idx="34">
                  <c:v>103.34998870377088</c:v>
                </c:pt>
                <c:pt idx="35">
                  <c:v>104.70658701511596</c:v>
                </c:pt>
                <c:pt idx="36">
                  <c:v>102.21090847952759</c:v>
                </c:pt>
                <c:pt idx="37">
                  <c:v>101.57411639844695</c:v>
                </c:pt>
                <c:pt idx="38">
                  <c:v>98.300836971769982</c:v>
                </c:pt>
                <c:pt idx="39">
                  <c:v>96.79659957231955</c:v>
                </c:pt>
                <c:pt idx="40">
                  <c:v>101.05606607505955</c:v>
                </c:pt>
                <c:pt idx="41">
                  <c:v>100.73346678645927</c:v>
                </c:pt>
                <c:pt idx="42">
                  <c:v>102.15206300668845</c:v>
                </c:pt>
                <c:pt idx="43">
                  <c:v>100.91788429508905</c:v>
                </c:pt>
                <c:pt idx="44">
                  <c:v>99.021694014049388</c:v>
                </c:pt>
                <c:pt idx="45">
                  <c:v>99.149893079877486</c:v>
                </c:pt>
                <c:pt idx="46">
                  <c:v>97.759668784052892</c:v>
                </c:pt>
                <c:pt idx="47">
                  <c:v>97.267363355032614</c:v>
                </c:pt>
                <c:pt idx="48">
                  <c:v>93.485490913103106</c:v>
                </c:pt>
                <c:pt idx="49">
                  <c:v>92.080029843061226</c:v>
                </c:pt>
                <c:pt idx="50">
                  <c:v>93.266942217993517</c:v>
                </c:pt>
                <c:pt idx="51">
                  <c:v>93.233983298111909</c:v>
                </c:pt>
                <c:pt idx="52">
                  <c:v>93.743701441633604</c:v>
                </c:pt>
                <c:pt idx="53">
                  <c:v>90.627456051055589</c:v>
                </c:pt>
                <c:pt idx="54">
                  <c:v>91.746569954414937</c:v>
                </c:pt>
                <c:pt idx="55">
                  <c:v>93.317430518005324</c:v>
                </c:pt>
                <c:pt idx="56">
                  <c:v>90.890848954442319</c:v>
                </c:pt>
                <c:pt idx="57">
                  <c:v>90.518869969815711</c:v>
                </c:pt>
                <c:pt idx="58">
                  <c:v>87.407271466990181</c:v>
                </c:pt>
                <c:pt idx="59">
                  <c:v>88.585233757345577</c:v>
                </c:pt>
                <c:pt idx="60">
                  <c:v>87.59986529373279</c:v>
                </c:pt>
                <c:pt idx="61">
                  <c:v>88.114957205967556</c:v>
                </c:pt>
                <c:pt idx="62">
                  <c:v>85.515056080482495</c:v>
                </c:pt>
                <c:pt idx="63">
                  <c:v>85.109417021977876</c:v>
                </c:pt>
                <c:pt idx="64">
                  <c:v>84.957507922922531</c:v>
                </c:pt>
                <c:pt idx="65">
                  <c:v>86.954362407109926</c:v>
                </c:pt>
                <c:pt idx="66">
                  <c:v>86.907945737954122</c:v>
                </c:pt>
                <c:pt idx="67">
                  <c:v>87.031254667125594</c:v>
                </c:pt>
                <c:pt idx="68">
                  <c:v>87.14612420190511</c:v>
                </c:pt>
                <c:pt idx="69">
                  <c:v>86.810892702446552</c:v>
                </c:pt>
                <c:pt idx="70">
                  <c:v>85.427769732652507</c:v>
                </c:pt>
                <c:pt idx="71">
                  <c:v>85.174587900893599</c:v>
                </c:pt>
                <c:pt idx="72">
                  <c:v>83.743641696211753</c:v>
                </c:pt>
                <c:pt idx="73">
                  <c:v>83.983226725894724</c:v>
                </c:pt>
                <c:pt idx="74">
                  <c:v>83.828504495375384</c:v>
                </c:pt>
                <c:pt idx="75">
                  <c:v>81.231515298870548</c:v>
                </c:pt>
                <c:pt idx="76">
                  <c:v>82.043572581475047</c:v>
                </c:pt>
                <c:pt idx="77">
                  <c:v>82.30473750180343</c:v>
                </c:pt>
                <c:pt idx="78">
                  <c:v>82.685508291815708</c:v>
                </c:pt>
                <c:pt idx="79">
                  <c:v>82.242895514890193</c:v>
                </c:pt>
                <c:pt idx="80">
                  <c:v>79.625593247295924</c:v>
                </c:pt>
                <c:pt idx="81">
                  <c:v>80.37790991719028</c:v>
                </c:pt>
                <c:pt idx="82">
                  <c:v>80.957031382504638</c:v>
                </c:pt>
                <c:pt idx="83">
                  <c:v>81.018371350793387</c:v>
                </c:pt>
                <c:pt idx="84">
                  <c:v>82.270879379748209</c:v>
                </c:pt>
                <c:pt idx="85">
                  <c:v>82.259603650283367</c:v>
                </c:pt>
                <c:pt idx="86">
                  <c:v>82.357928011216799</c:v>
                </c:pt>
                <c:pt idx="87">
                  <c:v>79.986867619349511</c:v>
                </c:pt>
                <c:pt idx="88">
                  <c:v>80.466311636194646</c:v>
                </c:pt>
                <c:pt idx="89">
                  <c:v>81.387313218883065</c:v>
                </c:pt>
                <c:pt idx="90">
                  <c:v>80.355358458260582</c:v>
                </c:pt>
                <c:pt idx="91">
                  <c:v>82.166691639493038</c:v>
                </c:pt>
                <c:pt idx="92">
                  <c:v>82.842784378205053</c:v>
                </c:pt>
                <c:pt idx="93">
                  <c:v>83.771453456929549</c:v>
                </c:pt>
                <c:pt idx="94">
                  <c:v>83.683502767103775</c:v>
                </c:pt>
                <c:pt idx="95">
                  <c:v>83.109342622753942</c:v>
                </c:pt>
                <c:pt idx="96">
                  <c:v>82.776934118130356</c:v>
                </c:pt>
                <c:pt idx="97">
                  <c:v>82.781895439094896</c:v>
                </c:pt>
                <c:pt idx="98">
                  <c:v>84.606308466506562</c:v>
                </c:pt>
                <c:pt idx="99">
                  <c:v>84.201284264129384</c:v>
                </c:pt>
                <c:pt idx="100">
                  <c:v>84.739813103370309</c:v>
                </c:pt>
                <c:pt idx="101">
                  <c:v>84.636076392293759</c:v>
                </c:pt>
                <c:pt idx="102">
                  <c:v>84.33208272592158</c:v>
                </c:pt>
                <c:pt idx="103">
                  <c:v>84.796191750694533</c:v>
                </c:pt>
                <c:pt idx="104">
                  <c:v>84.291941129026739</c:v>
                </c:pt>
                <c:pt idx="105">
                  <c:v>81.957865129804134</c:v>
                </c:pt>
                <c:pt idx="106">
                  <c:v>81.528485351782876</c:v>
                </c:pt>
                <c:pt idx="107">
                  <c:v>81.202842284838198</c:v>
                </c:pt>
                <c:pt idx="108">
                  <c:v>81.216824189374606</c:v>
                </c:pt>
                <c:pt idx="109">
                  <c:v>82.230737782853325</c:v>
                </c:pt>
                <c:pt idx="110">
                  <c:v>82.364242419717087</c:v>
                </c:pt>
                <c:pt idx="111">
                  <c:v>80.970562257862426</c:v>
                </c:pt>
                <c:pt idx="112">
                  <c:v>80.674236087526353</c:v>
                </c:pt>
                <c:pt idx="113">
                  <c:v>80.349495078938858</c:v>
                </c:pt>
                <c:pt idx="114">
                  <c:v>79.184937739809826</c:v>
                </c:pt>
                <c:pt idx="115">
                  <c:v>79.454202159430267</c:v>
                </c:pt>
                <c:pt idx="116">
                  <c:v>78.846214826685909</c:v>
                </c:pt>
                <c:pt idx="117">
                  <c:v>80.174946786823057</c:v>
                </c:pt>
                <c:pt idx="118">
                  <c:v>79.010840476872616</c:v>
                </c:pt>
                <c:pt idx="119">
                  <c:v>79.045118694445733</c:v>
                </c:pt>
                <c:pt idx="120">
                  <c:v>81.386411160525839</c:v>
                </c:pt>
                <c:pt idx="121">
                  <c:v>82.131511363562694</c:v>
                </c:pt>
                <c:pt idx="122">
                  <c:v>83.21939374233078</c:v>
                </c:pt>
                <c:pt idx="123">
                  <c:v>82.269977321390968</c:v>
                </c:pt>
                <c:pt idx="124">
                  <c:v>82.818428802560959</c:v>
                </c:pt>
                <c:pt idx="125">
                  <c:v>83.218942713152202</c:v>
                </c:pt>
                <c:pt idx="126">
                  <c:v>83.625320003065156</c:v>
                </c:pt>
                <c:pt idx="127">
                  <c:v>84.586463182648416</c:v>
                </c:pt>
                <c:pt idx="128">
                  <c:v>84.526025272716851</c:v>
                </c:pt>
                <c:pt idx="129">
                  <c:v>84.826861734838872</c:v>
                </c:pt>
                <c:pt idx="130">
                  <c:v>84.810173655230898</c:v>
                </c:pt>
                <c:pt idx="131">
                  <c:v>84.880534207091543</c:v>
                </c:pt>
                <c:pt idx="132">
                  <c:v>86.173634862119798</c:v>
                </c:pt>
                <c:pt idx="133">
                  <c:v>85.954434681323249</c:v>
                </c:pt>
                <c:pt idx="134">
                  <c:v>85.549861508124664</c:v>
                </c:pt>
                <c:pt idx="135">
                  <c:v>84.837235405946558</c:v>
                </c:pt>
                <c:pt idx="136">
                  <c:v>86.63548874099979</c:v>
                </c:pt>
                <c:pt idx="137">
                  <c:v>86.145671053046996</c:v>
                </c:pt>
                <c:pt idx="138">
                  <c:v>86.579110093675581</c:v>
                </c:pt>
                <c:pt idx="139">
                  <c:v>86.364871233843559</c:v>
                </c:pt>
                <c:pt idx="140">
                  <c:v>86.099215047651853</c:v>
                </c:pt>
                <c:pt idx="141">
                  <c:v>86.481236761920755</c:v>
                </c:pt>
                <c:pt idx="142">
                  <c:v>85.792515206208108</c:v>
                </c:pt>
                <c:pt idx="143">
                  <c:v>87.581747957689458</c:v>
                </c:pt>
                <c:pt idx="144">
                  <c:v>87.567315023974459</c:v>
                </c:pt>
                <c:pt idx="145">
                  <c:v>87.423436716003053</c:v>
                </c:pt>
                <c:pt idx="146">
                  <c:v>87.95880835099382</c:v>
                </c:pt>
                <c:pt idx="147">
                  <c:v>87.971888197173044</c:v>
                </c:pt>
                <c:pt idx="148">
                  <c:v>88.30790493522538</c:v>
                </c:pt>
                <c:pt idx="149">
                  <c:v>88.946562252114106</c:v>
                </c:pt>
                <c:pt idx="150">
                  <c:v>88.622723301883809</c:v>
                </c:pt>
                <c:pt idx="151">
                  <c:v>88.801781885785502</c:v>
                </c:pt>
                <c:pt idx="152">
                  <c:v>89.446753611174557</c:v>
                </c:pt>
                <c:pt idx="153">
                  <c:v>88.026011698604279</c:v>
                </c:pt>
                <c:pt idx="154">
                  <c:v>88.965956506793617</c:v>
                </c:pt>
                <c:pt idx="155">
                  <c:v>89.128778040265956</c:v>
                </c:pt>
                <c:pt idx="156">
                  <c:v>89.341212783383597</c:v>
                </c:pt>
                <c:pt idx="157">
                  <c:v>89.534253271821726</c:v>
                </c:pt>
                <c:pt idx="158">
                  <c:v>89.535155330178924</c:v>
                </c:pt>
                <c:pt idx="159">
                  <c:v>89.306032507453295</c:v>
                </c:pt>
                <c:pt idx="160">
                  <c:v>89.414279510315794</c:v>
                </c:pt>
                <c:pt idx="161">
                  <c:v>89.375491000956728</c:v>
                </c:pt>
                <c:pt idx="162">
                  <c:v>89.460284486532359</c:v>
                </c:pt>
                <c:pt idx="163">
                  <c:v>90.154418392388123</c:v>
                </c:pt>
                <c:pt idx="164">
                  <c:v>90.5026129182625</c:v>
                </c:pt>
                <c:pt idx="165">
                  <c:v>92.263430831492457</c:v>
                </c:pt>
                <c:pt idx="166">
                  <c:v>92.631019612046359</c:v>
                </c:pt>
                <c:pt idx="167">
                  <c:v>92.446999707180112</c:v>
                </c:pt>
                <c:pt idx="168">
                  <c:v>91.732569488287623</c:v>
                </c:pt>
                <c:pt idx="169">
                  <c:v>92.152477653558407</c:v>
                </c:pt>
                <c:pt idx="170">
                  <c:v>91.760984326539045</c:v>
                </c:pt>
                <c:pt idx="171">
                  <c:v>90.682573560521419</c:v>
                </c:pt>
                <c:pt idx="172">
                  <c:v>90.577934791087671</c:v>
                </c:pt>
                <c:pt idx="173">
                  <c:v>89.135092448766301</c:v>
                </c:pt>
                <c:pt idx="174">
                  <c:v>89.168468607982234</c:v>
                </c:pt>
                <c:pt idx="175">
                  <c:v>90.538695252550028</c:v>
                </c:pt>
                <c:pt idx="176">
                  <c:v>90.773681454597352</c:v>
                </c:pt>
                <c:pt idx="177">
                  <c:v>90.635215496769078</c:v>
                </c:pt>
                <c:pt idx="178">
                  <c:v>89.343918958455205</c:v>
                </c:pt>
                <c:pt idx="179">
                  <c:v>90.682122531342827</c:v>
                </c:pt>
                <c:pt idx="180">
                  <c:v>90.026777134846128</c:v>
                </c:pt>
                <c:pt idx="181">
                  <c:v>89.927550715555512</c:v>
                </c:pt>
                <c:pt idx="182">
                  <c:v>89.386766730421613</c:v>
                </c:pt>
                <c:pt idx="183">
                  <c:v>91.332055577696408</c:v>
                </c:pt>
                <c:pt idx="184">
                  <c:v>92.504280412861533</c:v>
                </c:pt>
                <c:pt idx="185">
                  <c:v>92.749640286016543</c:v>
                </c:pt>
                <c:pt idx="186">
                  <c:v>92.632372699582177</c:v>
                </c:pt>
                <c:pt idx="187">
                  <c:v>92.681534880048886</c:v>
                </c:pt>
                <c:pt idx="188">
                  <c:v>93.048672631424196</c:v>
                </c:pt>
                <c:pt idx="189">
                  <c:v>93.413555236906518</c:v>
                </c:pt>
                <c:pt idx="190">
                  <c:v>93.975086564255747</c:v>
                </c:pt>
                <c:pt idx="191">
                  <c:v>93.994480818935273</c:v>
                </c:pt>
                <c:pt idx="192">
                  <c:v>94.081529450403849</c:v>
                </c:pt>
                <c:pt idx="193">
                  <c:v>93.601634404380107</c:v>
                </c:pt>
                <c:pt idx="194">
                  <c:v>94.183462044766031</c:v>
                </c:pt>
                <c:pt idx="195">
                  <c:v>94.262843180198516</c:v>
                </c:pt>
                <c:pt idx="196">
                  <c:v>94.505045849103382</c:v>
                </c:pt>
                <c:pt idx="197">
                  <c:v>95.088677606203674</c:v>
                </c:pt>
                <c:pt idx="198">
                  <c:v>95.423792285898813</c:v>
                </c:pt>
                <c:pt idx="199">
                  <c:v>95.274050598605683</c:v>
                </c:pt>
                <c:pt idx="200">
                  <c:v>95.33268439182288</c:v>
                </c:pt>
                <c:pt idx="201">
                  <c:v>95.407104206290853</c:v>
                </c:pt>
                <c:pt idx="202">
                  <c:v>95.520312530117877</c:v>
                </c:pt>
                <c:pt idx="203">
                  <c:v>95.379140397218038</c:v>
                </c:pt>
                <c:pt idx="204">
                  <c:v>95.36064820089571</c:v>
                </c:pt>
                <c:pt idx="205">
                  <c:v>96.443569258699299</c:v>
                </c:pt>
                <c:pt idx="206">
                  <c:v>96.318634176228827</c:v>
                </c:pt>
                <c:pt idx="207">
                  <c:v>96.813413185146146</c:v>
                </c:pt>
                <c:pt idx="208">
                  <c:v>96.644728272352097</c:v>
                </c:pt>
                <c:pt idx="209">
                  <c:v>96.46657174680756</c:v>
                </c:pt>
                <c:pt idx="210">
                  <c:v>96.333518139122418</c:v>
                </c:pt>
                <c:pt idx="211">
                  <c:v>96.692537365283044</c:v>
                </c:pt>
                <c:pt idx="212">
                  <c:v>97.5738483802552</c:v>
                </c:pt>
                <c:pt idx="213">
                  <c:v>97.406967584175504</c:v>
                </c:pt>
                <c:pt idx="214">
                  <c:v>98.129516328282662</c:v>
                </c:pt>
                <c:pt idx="215">
                  <c:v>98.26662919857516</c:v>
                </c:pt>
                <c:pt idx="216">
                  <c:v>97.285640735133782</c:v>
                </c:pt>
                <c:pt idx="217">
                  <c:v>97.159803594306126</c:v>
                </c:pt>
                <c:pt idx="218">
                  <c:v>97.396593913067846</c:v>
                </c:pt>
                <c:pt idx="219">
                  <c:v>97.964890678095983</c:v>
                </c:pt>
                <c:pt idx="220">
                  <c:v>97.993756545525969</c:v>
                </c:pt>
                <c:pt idx="221">
                  <c:v>98.410958535725172</c:v>
                </c:pt>
                <c:pt idx="222">
                  <c:v>98.636924154200628</c:v>
                </c:pt>
                <c:pt idx="223">
                  <c:v>96.878812416042237</c:v>
                </c:pt>
                <c:pt idx="224">
                  <c:v>97.620755414828935</c:v>
                </c:pt>
                <c:pt idx="225">
                  <c:v>99.250774866266696</c:v>
                </c:pt>
                <c:pt idx="226">
                  <c:v>98.9981985262542</c:v>
                </c:pt>
                <c:pt idx="227">
                  <c:v>99.245362516123564</c:v>
                </c:pt>
                <c:pt idx="228">
                  <c:v>99.533119132066375</c:v>
                </c:pt>
                <c:pt idx="229">
                  <c:v>100.15553939852573</c:v>
                </c:pt>
                <c:pt idx="230">
                  <c:v>100.6061175479409</c:v>
                </c:pt>
                <c:pt idx="231">
                  <c:v>100.33775518667761</c:v>
                </c:pt>
                <c:pt idx="232">
                  <c:v>100.42209764307466</c:v>
                </c:pt>
                <c:pt idx="233">
                  <c:v>100.989041320567</c:v>
                </c:pt>
                <c:pt idx="234">
                  <c:v>101.25108927332995</c:v>
                </c:pt>
                <c:pt idx="235">
                  <c:v>100.93581987749293</c:v>
                </c:pt>
                <c:pt idx="236">
                  <c:v>101.58530189466794</c:v>
                </c:pt>
                <c:pt idx="237">
                  <c:v>101.90643466982667</c:v>
                </c:pt>
                <c:pt idx="238">
                  <c:v>102.10353442087212</c:v>
                </c:pt>
                <c:pt idx="239">
                  <c:v>100.00895491548279</c:v>
                </c:pt>
                <c:pt idx="240">
                  <c:v>99.401869641095615</c:v>
                </c:pt>
                <c:pt idx="241">
                  <c:v>99.326998797449065</c:v>
                </c:pt>
                <c:pt idx="242">
                  <c:v>100.40135030085935</c:v>
                </c:pt>
                <c:pt idx="243">
                  <c:v>100.96513677410152</c:v>
                </c:pt>
                <c:pt idx="244">
                  <c:v>99.376160977915774</c:v>
                </c:pt>
                <c:pt idx="245">
                  <c:v>99.552964415924492</c:v>
                </c:pt>
                <c:pt idx="246">
                  <c:v>101.27093455718806</c:v>
                </c:pt>
                <c:pt idx="247">
                  <c:v>100.52448126661542</c:v>
                </c:pt>
                <c:pt idx="248">
                  <c:v>99.68917522785982</c:v>
                </c:pt>
                <c:pt idx="249">
                  <c:v>100.59754799354761</c:v>
                </c:pt>
                <c:pt idx="250">
                  <c:v>100.47577011532728</c:v>
                </c:pt>
                <c:pt idx="251">
                  <c:v>98.579192419340629</c:v>
                </c:pt>
                <c:pt idx="252">
                  <c:v>99.308055571948103</c:v>
                </c:pt>
                <c:pt idx="253">
                  <c:v>98.710441910311403</c:v>
                </c:pt>
                <c:pt idx="254">
                  <c:v>97.605420422756737</c:v>
                </c:pt>
                <c:pt idx="255">
                  <c:v>95.705685522519914</c:v>
                </c:pt>
                <c:pt idx="256">
                  <c:v>96.990667652333471</c:v>
                </c:pt>
                <c:pt idx="257">
                  <c:v>97.40832067171128</c:v>
                </c:pt>
                <c:pt idx="258">
                  <c:v>98.869655210355006</c:v>
                </c:pt>
                <c:pt idx="259">
                  <c:v>98.530481268052512</c:v>
                </c:pt>
                <c:pt idx="260">
                  <c:v>98.818688913173901</c:v>
                </c:pt>
                <c:pt idx="261">
                  <c:v>99.741494612576702</c:v>
                </c:pt>
                <c:pt idx="262">
                  <c:v>100.05721503759233</c:v>
                </c:pt>
                <c:pt idx="263">
                  <c:v>99.782087238650149</c:v>
                </c:pt>
                <c:pt idx="264">
                  <c:v>100.50779318700745</c:v>
                </c:pt>
                <c:pt idx="265">
                  <c:v>101.19065136339837</c:v>
                </c:pt>
                <c:pt idx="266">
                  <c:v>101.00527837099635</c:v>
                </c:pt>
                <c:pt idx="267">
                  <c:v>101.50772487594978</c:v>
                </c:pt>
                <c:pt idx="268">
                  <c:v>101.55553396888071</c:v>
                </c:pt>
                <c:pt idx="269">
                  <c:v>101.53839486009416</c:v>
                </c:pt>
                <c:pt idx="270">
                  <c:v>101.80224692957148</c:v>
                </c:pt>
                <c:pt idx="271">
                  <c:v>101.65115215474259</c:v>
                </c:pt>
                <c:pt idx="272">
                  <c:v>101.24432383565102</c:v>
                </c:pt>
                <c:pt idx="273">
                  <c:v>100.96333265738714</c:v>
                </c:pt>
                <c:pt idx="274">
                  <c:v>100.17899291581261</c:v>
                </c:pt>
                <c:pt idx="275">
                  <c:v>100.20830981242121</c:v>
                </c:pt>
                <c:pt idx="276">
                  <c:v>100.21823245435026</c:v>
                </c:pt>
                <c:pt idx="277">
                  <c:v>100.61152989808402</c:v>
                </c:pt>
                <c:pt idx="278">
                  <c:v>99.503802235457798</c:v>
                </c:pt>
                <c:pt idx="279">
                  <c:v>100.07706032145045</c:v>
                </c:pt>
                <c:pt idx="280">
                  <c:v>101.43195197394603</c:v>
                </c:pt>
                <c:pt idx="281">
                  <c:v>101.97048081318695</c:v>
                </c:pt>
                <c:pt idx="282">
                  <c:v>101.80811030889319</c:v>
                </c:pt>
                <c:pt idx="283">
                  <c:v>102.72234645390272</c:v>
                </c:pt>
                <c:pt idx="284">
                  <c:v>103.38175111300676</c:v>
                </c:pt>
                <c:pt idx="285">
                  <c:v>103.75745841877534</c:v>
                </c:pt>
                <c:pt idx="286">
                  <c:v>103.99650388343004</c:v>
                </c:pt>
                <c:pt idx="287">
                  <c:v>103.81428809527814</c:v>
                </c:pt>
                <c:pt idx="288">
                  <c:v>103.46383842351081</c:v>
                </c:pt>
                <c:pt idx="289">
                  <c:v>102.77286172190522</c:v>
                </c:pt>
                <c:pt idx="290">
                  <c:v>101.84599675989507</c:v>
                </c:pt>
                <c:pt idx="291">
                  <c:v>102.24696169966489</c:v>
                </c:pt>
                <c:pt idx="292">
                  <c:v>102.71287484115224</c:v>
                </c:pt>
                <c:pt idx="293">
                  <c:v>103.5436705881219</c:v>
                </c:pt>
                <c:pt idx="294">
                  <c:v>102.44992483003207</c:v>
                </c:pt>
                <c:pt idx="295">
                  <c:v>102.96274500609317</c:v>
                </c:pt>
                <c:pt idx="296">
                  <c:v>102.13645955090944</c:v>
                </c:pt>
                <c:pt idx="297">
                  <c:v>101.50907796348555</c:v>
                </c:pt>
                <c:pt idx="298">
                  <c:v>101.4973512048421</c:v>
                </c:pt>
                <c:pt idx="299">
                  <c:v>102.40933220395866</c:v>
                </c:pt>
                <c:pt idx="300">
                  <c:v>102.64116120175582</c:v>
                </c:pt>
                <c:pt idx="301">
                  <c:v>101.85186013921677</c:v>
                </c:pt>
                <c:pt idx="302">
                  <c:v>100.6385916487996</c:v>
                </c:pt>
                <c:pt idx="303">
                  <c:v>100.55650433829554</c:v>
                </c:pt>
                <c:pt idx="304">
                  <c:v>100.88395152195461</c:v>
                </c:pt>
                <c:pt idx="305">
                  <c:v>101.30701689147554</c:v>
                </c:pt>
                <c:pt idx="306">
                  <c:v>101.7404559321041</c:v>
                </c:pt>
                <c:pt idx="307">
                  <c:v>102.81931772730033</c:v>
                </c:pt>
                <c:pt idx="308">
                  <c:v>100.48749687397071</c:v>
                </c:pt>
                <c:pt idx="309">
                  <c:v>100.37022928753635</c:v>
                </c:pt>
                <c:pt idx="310">
                  <c:v>99.398261407666837</c:v>
                </c:pt>
                <c:pt idx="311">
                  <c:v>98.330675341935446</c:v>
                </c:pt>
                <c:pt idx="312">
                  <c:v>98.240920535395304</c:v>
                </c:pt>
                <c:pt idx="313">
                  <c:v>97.850780295911719</c:v>
                </c:pt>
                <c:pt idx="314">
                  <c:v>98.573329040018891</c:v>
                </c:pt>
                <c:pt idx="315">
                  <c:v>97.19678798695081</c:v>
                </c:pt>
                <c:pt idx="316">
                  <c:v>97.293759260348466</c:v>
                </c:pt>
                <c:pt idx="317">
                  <c:v>98.526422005445156</c:v>
                </c:pt>
                <c:pt idx="318">
                  <c:v>96.811158039253158</c:v>
                </c:pt>
                <c:pt idx="319">
                  <c:v>96.997433090012365</c:v>
                </c:pt>
                <c:pt idx="320">
                  <c:v>97.293308231169846</c:v>
                </c:pt>
                <c:pt idx="321">
                  <c:v>97.819208253410153</c:v>
                </c:pt>
                <c:pt idx="322">
                  <c:v>99.142978892582775</c:v>
                </c:pt>
                <c:pt idx="323">
                  <c:v>98.506125692408418</c:v>
                </c:pt>
                <c:pt idx="324">
                  <c:v>98.227389660037474</c:v>
                </c:pt>
                <c:pt idx="325">
                  <c:v>97.075461137909073</c:v>
                </c:pt>
                <c:pt idx="326">
                  <c:v>97.967145823988886</c:v>
                </c:pt>
                <c:pt idx="327">
                  <c:v>99.257089274766969</c:v>
                </c:pt>
                <c:pt idx="328">
                  <c:v>100.09239531352257</c:v>
                </c:pt>
                <c:pt idx="329">
                  <c:v>101.10540684864411</c:v>
                </c:pt>
                <c:pt idx="330">
                  <c:v>102.57576197085972</c:v>
                </c:pt>
                <c:pt idx="331">
                  <c:v>102.44180630481736</c:v>
                </c:pt>
                <c:pt idx="332">
                  <c:v>102.58297843771722</c:v>
                </c:pt>
                <c:pt idx="333">
                  <c:v>103.66048714537766</c:v>
                </c:pt>
                <c:pt idx="334">
                  <c:v>102.93929148880628</c:v>
                </c:pt>
                <c:pt idx="335">
                  <c:v>101.07879612710711</c:v>
                </c:pt>
                <c:pt idx="336">
                  <c:v>100.63137518194212</c:v>
                </c:pt>
                <c:pt idx="337">
                  <c:v>100.95341001545805</c:v>
                </c:pt>
                <c:pt idx="338">
                  <c:v>100.27686624756744</c:v>
                </c:pt>
                <c:pt idx="339">
                  <c:v>100.83433831230931</c:v>
                </c:pt>
                <c:pt idx="340">
                  <c:v>100.01797549905466</c:v>
                </c:pt>
                <c:pt idx="341">
                  <c:v>101.6488970088496</c:v>
                </c:pt>
                <c:pt idx="342">
                  <c:v>101.59522453659694</c:v>
                </c:pt>
                <c:pt idx="343">
                  <c:v>102.98033514405832</c:v>
                </c:pt>
                <c:pt idx="344">
                  <c:v>103.07550230074159</c:v>
                </c:pt>
                <c:pt idx="345">
                  <c:v>102.49502774789143</c:v>
                </c:pt>
                <c:pt idx="346">
                  <c:v>102.07466855344208</c:v>
                </c:pt>
                <c:pt idx="347">
                  <c:v>100.00624874041118</c:v>
                </c:pt>
                <c:pt idx="348">
                  <c:v>99.692332432109936</c:v>
                </c:pt>
                <c:pt idx="349">
                  <c:v>99.049615852613854</c:v>
                </c:pt>
                <c:pt idx="350">
                  <c:v>98.640081358450743</c:v>
                </c:pt>
                <c:pt idx="351">
                  <c:v>96.118828250111733</c:v>
                </c:pt>
                <c:pt idx="352">
                  <c:v>96.635707688780158</c:v>
                </c:pt>
                <c:pt idx="353">
                  <c:v>92.018973016694645</c:v>
                </c:pt>
                <c:pt idx="354">
                  <c:v>92.071292401411526</c:v>
                </c:pt>
                <c:pt idx="355">
                  <c:v>98.192852111304092</c:v>
                </c:pt>
                <c:pt idx="356">
                  <c:v>93.535130887891256</c:v>
                </c:pt>
                <c:pt idx="357">
                  <c:v>97.627433606047276</c:v>
                </c:pt>
                <c:pt idx="358">
                  <c:v>93.089992867201374</c:v>
                </c:pt>
                <c:pt idx="359">
                  <c:v>92.598680164888933</c:v>
                </c:pt>
                <c:pt idx="360">
                  <c:v>90.574655206431785</c:v>
                </c:pt>
                <c:pt idx="361">
                  <c:v>91.440402382827116</c:v>
                </c:pt>
                <c:pt idx="362">
                  <c:v>91.328237074867573</c:v>
                </c:pt>
                <c:pt idx="363">
                  <c:v>95.394489540120546</c:v>
                </c:pt>
                <c:pt idx="364">
                  <c:v>96.826448307780652</c:v>
                </c:pt>
                <c:pt idx="365">
                  <c:v>96.801137776899324</c:v>
                </c:pt>
                <c:pt idx="366">
                  <c:v>93.481119869902329</c:v>
                </c:pt>
                <c:pt idx="367">
                  <c:v>92.241564065695812</c:v>
                </c:pt>
                <c:pt idx="368">
                  <c:v>93.675470870704828</c:v>
                </c:pt>
                <c:pt idx="369">
                  <c:v>92.244684306259884</c:v>
                </c:pt>
                <c:pt idx="370">
                  <c:v>89.623863929934004</c:v>
                </c:pt>
                <c:pt idx="371">
                  <c:v>89.855201818926133</c:v>
                </c:pt>
                <c:pt idx="372">
                  <c:v>90.307876146822423</c:v>
                </c:pt>
                <c:pt idx="373">
                  <c:v>89.243373980933782</c:v>
                </c:pt>
                <c:pt idx="374">
                  <c:v>86.990873482852422</c:v>
                </c:pt>
                <c:pt idx="375">
                  <c:v>87.635749590700811</c:v>
                </c:pt>
                <c:pt idx="376">
                  <c:v>85.103335185732007</c:v>
                </c:pt>
                <c:pt idx="377">
                  <c:v>84.202336610040092</c:v>
                </c:pt>
                <c:pt idx="378">
                  <c:v>81.955047051159866</c:v>
                </c:pt>
                <c:pt idx="379">
                  <c:v>81.378957809281957</c:v>
                </c:pt>
                <c:pt idx="380">
                  <c:v>80.607597173508324</c:v>
                </c:pt>
                <c:pt idx="381">
                  <c:v>81.694144121529291</c:v>
                </c:pt>
                <c:pt idx="382">
                  <c:v>83.113184108169449</c:v>
                </c:pt>
                <c:pt idx="383">
                  <c:v>83.589152930726115</c:v>
                </c:pt>
                <c:pt idx="384">
                  <c:v>82.770212501060456</c:v>
                </c:pt>
                <c:pt idx="385">
                  <c:v>82.635200176287825</c:v>
                </c:pt>
                <c:pt idx="386">
                  <c:v>80.209411570895313</c:v>
                </c:pt>
                <c:pt idx="387">
                  <c:v>77.652640859380085</c:v>
                </c:pt>
                <c:pt idx="388">
                  <c:v>77.170223686983519</c:v>
                </c:pt>
                <c:pt idx="389">
                  <c:v>75.369467047534428</c:v>
                </c:pt>
                <c:pt idx="390">
                  <c:v>76.175598234371279</c:v>
                </c:pt>
                <c:pt idx="391">
                  <c:v>74.61842022549088</c:v>
                </c:pt>
                <c:pt idx="392">
                  <c:v>75.227387375584883</c:v>
                </c:pt>
                <c:pt idx="393">
                  <c:v>73.349200482219501</c:v>
                </c:pt>
                <c:pt idx="394">
                  <c:v>75.432529147918473</c:v>
                </c:pt>
                <c:pt idx="395">
                  <c:v>73.726003634425211</c:v>
                </c:pt>
                <c:pt idx="396">
                  <c:v>72.370151379032649</c:v>
                </c:pt>
                <c:pt idx="397">
                  <c:v>73.701483303340439</c:v>
                </c:pt>
                <c:pt idx="398">
                  <c:v>73.101754203325328</c:v>
                </c:pt>
                <c:pt idx="399">
                  <c:v>75.596242010306057</c:v>
                </c:pt>
                <c:pt idx="400">
                  <c:v>75.638471236619665</c:v>
                </c:pt>
                <c:pt idx="401">
                  <c:v>76.391188674069141</c:v>
                </c:pt>
                <c:pt idx="402">
                  <c:v>76.170411315447168</c:v>
                </c:pt>
                <c:pt idx="403">
                  <c:v>77.493964171749823</c:v>
                </c:pt>
                <c:pt idx="404">
                  <c:v>75.995567501236451</c:v>
                </c:pt>
                <c:pt idx="405">
                  <c:v>77.547306352356486</c:v>
                </c:pt>
                <c:pt idx="406">
                  <c:v>76.578627169812009</c:v>
                </c:pt>
                <c:pt idx="407">
                  <c:v>76.929426093662727</c:v>
                </c:pt>
                <c:pt idx="408">
                  <c:v>78.378184901667126</c:v>
                </c:pt>
                <c:pt idx="409">
                  <c:v>79.388352446905685</c:v>
                </c:pt>
                <c:pt idx="410">
                  <c:v>77.796977392140434</c:v>
                </c:pt>
                <c:pt idx="411">
                  <c:v>78.61748385077756</c:v>
                </c:pt>
                <c:pt idx="412">
                  <c:v>81.317931743989547</c:v>
                </c:pt>
                <c:pt idx="413">
                  <c:v>81.35164103867848</c:v>
                </c:pt>
                <c:pt idx="414">
                  <c:v>79.339455448016253</c:v>
                </c:pt>
                <c:pt idx="415">
                  <c:v>77.122791498361849</c:v>
                </c:pt>
                <c:pt idx="416">
                  <c:v>78.372257992710828</c:v>
                </c:pt>
                <c:pt idx="417">
                  <c:v>79.860282572550702</c:v>
                </c:pt>
                <c:pt idx="418">
                  <c:v>79.359088333933997</c:v>
                </c:pt>
                <c:pt idx="419">
                  <c:v>79.865098186077702</c:v>
                </c:pt>
                <c:pt idx="420">
                  <c:v>80.850817231871559</c:v>
                </c:pt>
                <c:pt idx="421">
                  <c:v>77.891437503631408</c:v>
                </c:pt>
                <c:pt idx="422">
                  <c:v>78.573772897224899</c:v>
                </c:pt>
                <c:pt idx="423">
                  <c:v>80.105137998807677</c:v>
                </c:pt>
                <c:pt idx="424">
                  <c:v>79.349827538689809</c:v>
                </c:pt>
                <c:pt idx="425">
                  <c:v>79.746560006951825</c:v>
                </c:pt>
                <c:pt idx="426">
                  <c:v>78.444121763805953</c:v>
                </c:pt>
                <c:pt idx="427">
                  <c:v>77.127607111888892</c:v>
                </c:pt>
                <c:pt idx="428">
                  <c:v>77.102417748824649</c:v>
                </c:pt>
                <c:pt idx="429">
                  <c:v>75.66847621321098</c:v>
                </c:pt>
                <c:pt idx="430">
                  <c:v>75.361017811103167</c:v>
                </c:pt>
                <c:pt idx="431">
                  <c:v>73.698890280672131</c:v>
                </c:pt>
                <c:pt idx="432">
                  <c:v>73.512192648548833</c:v>
                </c:pt>
                <c:pt idx="433">
                  <c:v>75.671810099498899</c:v>
                </c:pt>
                <c:pt idx="434">
                  <c:v>75.866657231437117</c:v>
                </c:pt>
                <c:pt idx="435">
                  <c:v>79.16424120199585</c:v>
                </c:pt>
                <c:pt idx="436">
                  <c:v>79.015698046278715</c:v>
                </c:pt>
                <c:pt idx="437">
                  <c:v>78.99976947845866</c:v>
                </c:pt>
                <c:pt idx="438">
                  <c:v>79.816201187188327</c:v>
                </c:pt>
                <c:pt idx="439">
                  <c:v>79.9058456851523</c:v>
                </c:pt>
                <c:pt idx="440">
                  <c:v>80.089950294607235</c:v>
                </c:pt>
                <c:pt idx="441">
                  <c:v>78.398558651204482</c:v>
                </c:pt>
                <c:pt idx="442">
                  <c:v>79.722481939316921</c:v>
                </c:pt>
                <c:pt idx="443">
                  <c:v>78.537100148057888</c:v>
                </c:pt>
                <c:pt idx="444">
                  <c:v>77.870322890474682</c:v>
                </c:pt>
                <c:pt idx="445">
                  <c:v>76.99462209218207</c:v>
                </c:pt>
                <c:pt idx="446">
                  <c:v>77.251331336351598</c:v>
                </c:pt>
                <c:pt idx="447">
                  <c:v>77.501002376135531</c:v>
                </c:pt>
                <c:pt idx="448">
                  <c:v>76.593074010393067</c:v>
                </c:pt>
                <c:pt idx="449">
                  <c:v>78.889751230957458</c:v>
                </c:pt>
                <c:pt idx="450">
                  <c:v>79.044962159250431</c:v>
                </c:pt>
                <c:pt idx="451">
                  <c:v>79.718407189409461</c:v>
                </c:pt>
                <c:pt idx="452">
                  <c:v>80.439267491218871</c:v>
                </c:pt>
                <c:pt idx="453">
                  <c:v>80.44704655922402</c:v>
                </c:pt>
                <c:pt idx="454">
                  <c:v>79.460957081620407</c:v>
                </c:pt>
                <c:pt idx="455">
                  <c:v>80.314061539517141</c:v>
                </c:pt>
                <c:pt idx="456">
                  <c:v>79.974005138149707</c:v>
                </c:pt>
                <c:pt idx="457">
                  <c:v>81.213469973634929</c:v>
                </c:pt>
                <c:pt idx="458">
                  <c:v>81.246067972894565</c:v>
                </c:pt>
                <c:pt idx="459">
                  <c:v>81.484996490195201</c:v>
                </c:pt>
                <c:pt idx="460">
                  <c:v>81.309041380555186</c:v>
                </c:pt>
                <c:pt idx="461">
                  <c:v>81.494998149058944</c:v>
                </c:pt>
                <c:pt idx="462">
                  <c:v>82.220303632585555</c:v>
                </c:pt>
                <c:pt idx="463">
                  <c:v>82.253642495464717</c:v>
                </c:pt>
                <c:pt idx="464">
                  <c:v>82.448489627402907</c:v>
                </c:pt>
                <c:pt idx="465">
                  <c:v>82.040644204847851</c:v>
                </c:pt>
                <c:pt idx="466">
                  <c:v>82.331803607325853</c:v>
                </c:pt>
                <c:pt idx="467">
                  <c:v>83.259735290795803</c:v>
                </c:pt>
                <c:pt idx="468">
                  <c:v>83.673137190497414</c:v>
                </c:pt>
                <c:pt idx="469">
                  <c:v>83.731294984631049</c:v>
                </c:pt>
                <c:pt idx="470">
                  <c:v>83.772042483705562</c:v>
                </c:pt>
                <c:pt idx="471">
                  <c:v>83.68869532650767</c:v>
                </c:pt>
                <c:pt idx="472">
                  <c:v>84.415112105463606</c:v>
                </c:pt>
                <c:pt idx="473">
                  <c:v>83.933921184574402</c:v>
                </c:pt>
                <c:pt idx="474">
                  <c:v>83.804640482965212</c:v>
                </c:pt>
                <c:pt idx="475">
                  <c:v>83.596087374065576</c:v>
                </c:pt>
                <c:pt idx="476">
                  <c:v>83.557932897659441</c:v>
                </c:pt>
                <c:pt idx="477">
                  <c:v>84.319170266733593</c:v>
                </c:pt>
                <c:pt idx="478">
                  <c:v>84.418445991751554</c:v>
                </c:pt>
                <c:pt idx="479">
                  <c:v>85.661985577144222</c:v>
                </c:pt>
                <c:pt idx="480">
                  <c:v>85.627164987025992</c:v>
                </c:pt>
                <c:pt idx="481">
                  <c:v>85.802008801236695</c:v>
                </c:pt>
                <c:pt idx="482">
                  <c:v>86.018340978141481</c:v>
                </c:pt>
                <c:pt idx="483">
                  <c:v>86.146139952511589</c:v>
                </c:pt>
                <c:pt idx="484">
                  <c:v>85.55493078412114</c:v>
                </c:pt>
                <c:pt idx="485">
                  <c:v>86.155400747755806</c:v>
                </c:pt>
                <c:pt idx="486">
                  <c:v>86.088352590187725</c:v>
                </c:pt>
                <c:pt idx="487">
                  <c:v>85.654206509139115</c:v>
                </c:pt>
                <c:pt idx="488">
                  <c:v>86.611402305580782</c:v>
                </c:pt>
                <c:pt idx="489">
                  <c:v>86.816991960002269</c:v>
                </c:pt>
                <c:pt idx="490">
                  <c:v>86.881447094901972</c:v>
                </c:pt>
                <c:pt idx="491">
                  <c:v>86.594732874141201</c:v>
                </c:pt>
                <c:pt idx="492">
                  <c:v>86.981463683539459</c:v>
                </c:pt>
                <c:pt idx="493">
                  <c:v>87.138156339071514</c:v>
                </c:pt>
                <c:pt idx="494">
                  <c:v>87.264103154392771</c:v>
                </c:pt>
                <c:pt idx="495">
                  <c:v>87.571191124690827</c:v>
                </c:pt>
                <c:pt idx="496">
                  <c:v>87.171124770140892</c:v>
                </c:pt>
                <c:pt idx="497">
                  <c:v>87.713436939641895</c:v>
                </c:pt>
                <c:pt idx="498">
                  <c:v>87.43227919602765</c:v>
                </c:pt>
                <c:pt idx="499">
                  <c:v>87.098890567236054</c:v>
                </c:pt>
                <c:pt idx="500">
                  <c:v>85.76274302940125</c:v>
                </c:pt>
                <c:pt idx="501">
                  <c:v>86.380623288095023</c:v>
                </c:pt>
                <c:pt idx="502">
                  <c:v>87.237061632279691</c:v>
                </c:pt>
                <c:pt idx="503">
                  <c:v>87.553780829631705</c:v>
                </c:pt>
                <c:pt idx="504">
                  <c:v>87.573784147359206</c:v>
                </c:pt>
                <c:pt idx="505">
                  <c:v>89.192200724237566</c:v>
                </c:pt>
                <c:pt idx="506">
                  <c:v>89.088109385692633</c:v>
                </c:pt>
                <c:pt idx="507">
                  <c:v>89.621160759949433</c:v>
                </c:pt>
                <c:pt idx="508">
                  <c:v>89.721918212206475</c:v>
                </c:pt>
                <c:pt idx="509">
                  <c:v>90.079014476823261</c:v>
                </c:pt>
                <c:pt idx="510">
                  <c:v>89.809710551121597</c:v>
                </c:pt>
                <c:pt idx="511">
                  <c:v>89.645238827584407</c:v>
                </c:pt>
                <c:pt idx="512">
                  <c:v>89.004021364875229</c:v>
                </c:pt>
                <c:pt idx="513">
                  <c:v>89.279993063152702</c:v>
                </c:pt>
                <c:pt idx="514">
                  <c:v>90.520198762257465</c:v>
                </c:pt>
                <c:pt idx="515">
                  <c:v>90.274602472381005</c:v>
                </c:pt>
                <c:pt idx="516">
                  <c:v>89.850087618386354</c:v>
                </c:pt>
                <c:pt idx="517">
                  <c:v>89.707471371625488</c:v>
                </c:pt>
                <c:pt idx="518">
                  <c:v>90.039748704987787</c:v>
                </c:pt>
                <c:pt idx="519">
                  <c:v>90.721713666771507</c:v>
                </c:pt>
                <c:pt idx="520">
                  <c:v>90.381286833594302</c:v>
                </c:pt>
                <c:pt idx="521">
                  <c:v>89.461134218129487</c:v>
                </c:pt>
                <c:pt idx="522">
                  <c:v>89.437056150494541</c:v>
                </c:pt>
                <c:pt idx="523">
                  <c:v>88.423184287158293</c:v>
                </c:pt>
                <c:pt idx="524">
                  <c:v>86.913304230542082</c:v>
                </c:pt>
                <c:pt idx="525">
                  <c:v>87.573413715549464</c:v>
                </c:pt>
                <c:pt idx="526">
                  <c:v>88.781021415394605</c:v>
                </c:pt>
                <c:pt idx="527">
                  <c:v>87.675282463235789</c:v>
                </c:pt>
                <c:pt idx="528">
                  <c:v>87.631201077873342</c:v>
                </c:pt>
                <c:pt idx="529">
                  <c:v>88.988463228864944</c:v>
                </c:pt>
                <c:pt idx="530">
                  <c:v>88.62840350977001</c:v>
                </c:pt>
                <c:pt idx="531">
                  <c:v>88.106465089806264</c:v>
                </c:pt>
                <c:pt idx="532">
                  <c:v>88.211667723780508</c:v>
                </c:pt>
                <c:pt idx="533">
                  <c:v>87.471915399672895</c:v>
                </c:pt>
                <c:pt idx="534">
                  <c:v>87.79382064236168</c:v>
                </c:pt>
                <c:pt idx="535">
                  <c:v>89.004021364875214</c:v>
                </c:pt>
                <c:pt idx="536">
                  <c:v>89.603380033080555</c:v>
                </c:pt>
                <c:pt idx="537">
                  <c:v>89.821564369034192</c:v>
                </c:pt>
                <c:pt idx="538">
                  <c:v>89.47484019509092</c:v>
                </c:pt>
                <c:pt idx="539">
                  <c:v>89.981590910854152</c:v>
                </c:pt>
                <c:pt idx="540">
                  <c:v>89.766370029378692</c:v>
                </c:pt>
                <c:pt idx="541">
                  <c:v>89.09514759007827</c:v>
                </c:pt>
                <c:pt idx="542">
                  <c:v>87.658613031796207</c:v>
                </c:pt>
                <c:pt idx="543">
                  <c:v>87.690840599246073</c:v>
                </c:pt>
                <c:pt idx="544">
                  <c:v>87.327446993863205</c:v>
                </c:pt>
                <c:pt idx="545">
                  <c:v>86.766613233873784</c:v>
                </c:pt>
                <c:pt idx="546">
                  <c:v>87.011839091940502</c:v>
                </c:pt>
                <c:pt idx="547">
                  <c:v>86.726606598418797</c:v>
                </c:pt>
                <c:pt idx="548">
                  <c:v>85.771633392835724</c:v>
                </c:pt>
                <c:pt idx="549">
                  <c:v>85.294146790044195</c:v>
                </c:pt>
                <c:pt idx="550">
                  <c:v>84.947793047910707</c:v>
                </c:pt>
                <c:pt idx="551">
                  <c:v>83.677952804024457</c:v>
                </c:pt>
                <c:pt idx="552">
                  <c:v>84.295833062718231</c:v>
                </c:pt>
                <c:pt idx="553">
                  <c:v>82.942813982808673</c:v>
                </c:pt>
                <c:pt idx="554">
                  <c:v>82.985045558156344</c:v>
                </c:pt>
                <c:pt idx="555">
                  <c:v>83.129215418825936</c:v>
                </c:pt>
                <c:pt idx="556">
                  <c:v>83.257002340783075</c:v>
                </c:pt>
                <c:pt idx="557">
                  <c:v>83.07679001494607</c:v>
                </c:pt>
                <c:pt idx="558">
                  <c:v>84.010617521556028</c:v>
                </c:pt>
                <c:pt idx="559">
                  <c:v>82.831774064868696</c:v>
                </c:pt>
                <c:pt idx="560">
                  <c:v>82.651925804336415</c:v>
                </c:pt>
                <c:pt idx="561">
                  <c:v>80.618985142773084</c:v>
                </c:pt>
                <c:pt idx="562">
                  <c:v>80.608427248936181</c:v>
                </c:pt>
                <c:pt idx="563">
                  <c:v>80.14436554874024</c:v>
                </c:pt>
                <c:pt idx="564">
                  <c:v>78.27446827716598</c:v>
                </c:pt>
                <c:pt idx="565">
                  <c:v>78.269660727193269</c:v>
                </c:pt>
                <c:pt idx="566">
                  <c:v>78.906317702151213</c:v>
                </c:pt>
                <c:pt idx="567">
                  <c:v>77.914588822065681</c:v>
                </c:pt>
                <c:pt idx="568">
                  <c:v>78.823215766908589</c:v>
                </c:pt>
                <c:pt idx="569">
                  <c:v>78.298849423456161</c:v>
                </c:pt>
                <c:pt idx="570">
                  <c:v>79.147038597213523</c:v>
                </c:pt>
                <c:pt idx="571">
                  <c:v>79.96535228185472</c:v>
                </c:pt>
                <c:pt idx="572">
                  <c:v>80.082450463332975</c:v>
                </c:pt>
                <c:pt idx="573">
                  <c:v>80.870201866004791</c:v>
                </c:pt>
                <c:pt idx="574">
                  <c:v>80.737307448901902</c:v>
                </c:pt>
                <c:pt idx="575">
                  <c:v>78.952332823318599</c:v>
                </c:pt>
                <c:pt idx="576">
                  <c:v>79.518593530818961</c:v>
                </c:pt>
                <c:pt idx="577">
                  <c:v>78.259358834394575</c:v>
                </c:pt>
                <c:pt idx="578">
                  <c:v>78.632974146559775</c:v>
                </c:pt>
                <c:pt idx="579">
                  <c:v>79.358227399586312</c:v>
                </c:pt>
                <c:pt idx="580">
                  <c:v>79.194770700514027</c:v>
                </c:pt>
                <c:pt idx="581">
                  <c:v>81.171703928579262</c:v>
                </c:pt>
                <c:pt idx="582">
                  <c:v>81.376368198846222</c:v>
                </c:pt>
                <c:pt idx="583">
                  <c:v>81.902108128005125</c:v>
                </c:pt>
                <c:pt idx="584">
                  <c:v>81.519221112321134</c:v>
                </c:pt>
                <c:pt idx="585">
                  <c:v>80.778515020096606</c:v>
                </c:pt>
                <c:pt idx="586">
                  <c:v>80.647337585126849</c:v>
                </c:pt>
                <c:pt idx="587">
                  <c:v>79.992823995984537</c:v>
                </c:pt>
                <c:pt idx="588">
                  <c:v>80.001408906650099</c:v>
                </c:pt>
                <c:pt idx="589">
                  <c:v>79.602382258914858</c:v>
                </c:pt>
                <c:pt idx="590">
                  <c:v>80.917933969305309</c:v>
                </c:pt>
                <c:pt idx="591">
                  <c:v>80.730439520369472</c:v>
                </c:pt>
                <c:pt idx="592">
                  <c:v>81.328636095545718</c:v>
                </c:pt>
                <c:pt idx="593">
                  <c:v>81.884251513820772</c:v>
                </c:pt>
                <c:pt idx="594">
                  <c:v>82.115357308937661</c:v>
                </c:pt>
                <c:pt idx="595">
                  <c:v>81.290862488617265</c:v>
                </c:pt>
                <c:pt idx="596">
                  <c:v>80.568356407003691</c:v>
                </c:pt>
                <c:pt idx="597">
                  <c:v>79.840355982564176</c:v>
                </c:pt>
                <c:pt idx="598">
                  <c:v>79.816661629127225</c:v>
                </c:pt>
                <c:pt idx="599">
                  <c:v>81.139424664476763</c:v>
                </c:pt>
                <c:pt idx="600">
                  <c:v>82.692263305663332</c:v>
                </c:pt>
                <c:pt idx="601">
                  <c:v>82.655176491588094</c:v>
                </c:pt>
                <c:pt idx="602">
                  <c:v>82.299074397180647</c:v>
                </c:pt>
                <c:pt idx="603">
                  <c:v>82.062474259237817</c:v>
                </c:pt>
                <c:pt idx="604">
                  <c:v>81.464277684061571</c:v>
                </c:pt>
                <c:pt idx="605">
                  <c:v>83.025357839487057</c:v>
                </c:pt>
                <c:pt idx="606">
                  <c:v>83.220750406235211</c:v>
                </c:pt>
                <c:pt idx="607">
                  <c:v>83.647248768100255</c:v>
                </c:pt>
                <c:pt idx="608">
                  <c:v>83.725543153370168</c:v>
                </c:pt>
                <c:pt idx="609">
                  <c:v>83.796626213681023</c:v>
                </c:pt>
                <c:pt idx="610">
                  <c:v>83.982403680483742</c:v>
                </c:pt>
                <c:pt idx="611">
                  <c:v>83.893464005988548</c:v>
                </c:pt>
                <c:pt idx="612">
                  <c:v>83.897241366681385</c:v>
                </c:pt>
                <c:pt idx="613">
                  <c:v>84.022924458825202</c:v>
                </c:pt>
                <c:pt idx="614">
                  <c:v>84.625928583974158</c:v>
                </c:pt>
                <c:pt idx="615">
                  <c:v>84.784577733073718</c:v>
                </c:pt>
                <c:pt idx="616">
                  <c:v>84.784234336647089</c:v>
                </c:pt>
                <c:pt idx="617">
                  <c:v>84.489600202605061</c:v>
                </c:pt>
                <c:pt idx="618">
                  <c:v>84.513981348895243</c:v>
                </c:pt>
                <c:pt idx="619">
                  <c:v>83.833026234903002</c:v>
                </c:pt>
                <c:pt idx="620">
                  <c:v>84.386237878191707</c:v>
                </c:pt>
                <c:pt idx="621">
                  <c:v>84.345717099850248</c:v>
                </c:pt>
                <c:pt idx="622">
                  <c:v>84.282875553778354</c:v>
                </c:pt>
                <c:pt idx="623">
                  <c:v>84.374219003259924</c:v>
                </c:pt>
                <c:pt idx="624">
                  <c:v>83.726916739076657</c:v>
                </c:pt>
                <c:pt idx="625">
                  <c:v>84.152728308088456</c:v>
                </c:pt>
                <c:pt idx="626">
                  <c:v>84.056577308634189</c:v>
                </c:pt>
                <c:pt idx="627">
                  <c:v>83.988241419736326</c:v>
                </c:pt>
                <c:pt idx="628">
                  <c:v>85.715868842073689</c:v>
                </c:pt>
                <c:pt idx="629">
                  <c:v>86.06785017936167</c:v>
                </c:pt>
                <c:pt idx="630">
                  <c:v>85.543827232335872</c:v>
                </c:pt>
                <c:pt idx="631">
                  <c:v>85.81305003080783</c:v>
                </c:pt>
                <c:pt idx="632">
                  <c:v>86.015310526088442</c:v>
                </c:pt>
                <c:pt idx="633">
                  <c:v>87.429760407346166</c:v>
                </c:pt>
                <c:pt idx="634">
                  <c:v>87.776590798234793</c:v>
                </c:pt>
                <c:pt idx="635">
                  <c:v>87.506337810482961</c:v>
                </c:pt>
                <c:pt idx="636">
                  <c:v>87.396107557537164</c:v>
                </c:pt>
                <c:pt idx="637">
                  <c:v>87.501186864083607</c:v>
                </c:pt>
                <c:pt idx="638">
                  <c:v>87.466847221421375</c:v>
                </c:pt>
                <c:pt idx="639">
                  <c:v>87.460322689315547</c:v>
                </c:pt>
                <c:pt idx="640">
                  <c:v>87.264930122567392</c:v>
                </c:pt>
                <c:pt idx="641">
                  <c:v>86.358363556284218</c:v>
                </c:pt>
                <c:pt idx="642">
                  <c:v>85.880699126852448</c:v>
                </c:pt>
                <c:pt idx="643">
                  <c:v>86.715495839971538</c:v>
                </c:pt>
                <c:pt idx="644">
                  <c:v>86.327457877888207</c:v>
                </c:pt>
                <c:pt idx="645">
                  <c:v>86.560280655138214</c:v>
                </c:pt>
                <c:pt idx="646">
                  <c:v>86.641665608247735</c:v>
                </c:pt>
                <c:pt idx="647">
                  <c:v>86.975103538498104</c:v>
                </c:pt>
                <c:pt idx="648">
                  <c:v>87.599741638524279</c:v>
                </c:pt>
                <c:pt idx="649">
                  <c:v>87.601458620657382</c:v>
                </c:pt>
                <c:pt idx="650">
                  <c:v>87.298582972376408</c:v>
                </c:pt>
                <c:pt idx="651">
                  <c:v>86.437688130834019</c:v>
                </c:pt>
                <c:pt idx="652">
                  <c:v>85.909201030262125</c:v>
                </c:pt>
                <c:pt idx="653">
                  <c:v>85.940450105084764</c:v>
                </c:pt>
                <c:pt idx="654">
                  <c:v>85.687023542237441</c:v>
                </c:pt>
                <c:pt idx="655">
                  <c:v>86.37931073830822</c:v>
                </c:pt>
                <c:pt idx="656">
                  <c:v>87.266647104700539</c:v>
                </c:pt>
                <c:pt idx="657">
                  <c:v>87.636485056172873</c:v>
                </c:pt>
                <c:pt idx="658">
                  <c:v>87.427013235933188</c:v>
                </c:pt>
                <c:pt idx="659">
                  <c:v>85.979597297719735</c:v>
                </c:pt>
                <c:pt idx="660">
                  <c:v>86.019431283207922</c:v>
                </c:pt>
                <c:pt idx="661">
                  <c:v>84.777023011688044</c:v>
                </c:pt>
                <c:pt idx="662">
                  <c:v>84.516041727455004</c:v>
                </c:pt>
                <c:pt idx="663">
                  <c:v>84.770841876008831</c:v>
                </c:pt>
                <c:pt idx="664">
                  <c:v>84.70903051921681</c:v>
                </c:pt>
                <c:pt idx="665">
                  <c:v>84.733411665507006</c:v>
                </c:pt>
                <c:pt idx="666">
                  <c:v>85.666076360213481</c:v>
                </c:pt>
                <c:pt idx="667">
                  <c:v>84.863558911196904</c:v>
                </c:pt>
                <c:pt idx="668">
                  <c:v>85.05723449581194</c:v>
                </c:pt>
                <c:pt idx="669">
                  <c:v>85.7275443205789</c:v>
                </c:pt>
                <c:pt idx="670">
                  <c:v>83.770871481684395</c:v>
                </c:pt>
                <c:pt idx="671">
                  <c:v>82.748923716056083</c:v>
                </c:pt>
                <c:pt idx="672">
                  <c:v>82.893150215237512</c:v>
                </c:pt>
                <c:pt idx="673">
                  <c:v>82.904138900889421</c:v>
                </c:pt>
                <c:pt idx="674">
                  <c:v>82.599889666901973</c:v>
                </c:pt>
                <c:pt idx="675">
                  <c:v>81.485911658938861</c:v>
                </c:pt>
                <c:pt idx="676">
                  <c:v>81.61022116537616</c:v>
                </c:pt>
                <c:pt idx="677">
                  <c:v>81.207219634289231</c:v>
                </c:pt>
                <c:pt idx="678">
                  <c:v>82.825552353731752</c:v>
                </c:pt>
                <c:pt idx="679">
                  <c:v>82.887625389545988</c:v>
                </c:pt>
                <c:pt idx="680">
                  <c:v>83.081347830988207</c:v>
                </c:pt>
                <c:pt idx="681">
                  <c:v>84.175811413009512</c:v>
                </c:pt>
                <c:pt idx="682">
                  <c:v>84.00732745865659</c:v>
                </c:pt>
                <c:pt idx="683">
                  <c:v>83.576226814320378</c:v>
                </c:pt>
                <c:pt idx="684">
                  <c:v>84.258007026367906</c:v>
                </c:pt>
                <c:pt idx="685">
                  <c:v>84.631468423162332</c:v>
                </c:pt>
                <c:pt idx="686">
                  <c:v>84.645110848616</c:v>
                </c:pt>
                <c:pt idx="687">
                  <c:v>84.24436460091421</c:v>
                </c:pt>
                <c:pt idx="688">
                  <c:v>84.102142315559618</c:v>
                </c:pt>
                <c:pt idx="689">
                  <c:v>84.262099754003998</c:v>
                </c:pt>
                <c:pt idx="690">
                  <c:v>84.562574174621247</c:v>
                </c:pt>
                <c:pt idx="691">
                  <c:v>84.816323288059664</c:v>
                </c:pt>
                <c:pt idx="692">
                  <c:v>84.848382987875809</c:v>
                </c:pt>
                <c:pt idx="693">
                  <c:v>85.404311825113169</c:v>
                </c:pt>
                <c:pt idx="694">
                  <c:v>85.461610012018625</c:v>
                </c:pt>
                <c:pt idx="695">
                  <c:v>84.943197844778865</c:v>
                </c:pt>
                <c:pt idx="696">
                  <c:v>84.595315995710081</c:v>
                </c:pt>
                <c:pt idx="697">
                  <c:v>85.60076275164613</c:v>
                </c:pt>
                <c:pt idx="698">
                  <c:v>86.585745869401649</c:v>
                </c:pt>
                <c:pt idx="699">
                  <c:v>85.931591568897815</c:v>
                </c:pt>
                <c:pt idx="700">
                  <c:v>86.421695703321191</c:v>
                </c:pt>
                <c:pt idx="701">
                  <c:v>85.617133662190568</c:v>
                </c:pt>
                <c:pt idx="702">
                  <c:v>85.418977432475899</c:v>
                </c:pt>
                <c:pt idx="703">
                  <c:v>85.010727850774586</c:v>
                </c:pt>
                <c:pt idx="704">
                  <c:v>84.923075267234708</c:v>
                </c:pt>
                <c:pt idx="705">
                  <c:v>83.993343972566578</c:v>
                </c:pt>
                <c:pt idx="706">
                  <c:v>85.416590008021501</c:v>
                </c:pt>
                <c:pt idx="707">
                  <c:v>87.603129747609714</c:v>
                </c:pt>
                <c:pt idx="708">
                  <c:v>87.42032124653042</c:v>
                </c:pt>
                <c:pt idx="709">
                  <c:v>87.845623860048818</c:v>
                </c:pt>
                <c:pt idx="710">
                  <c:v>87.571752169066244</c:v>
                </c:pt>
                <c:pt idx="711">
                  <c:v>87.317320934355152</c:v>
                </c:pt>
                <c:pt idx="712">
                  <c:v>87.550947470249383</c:v>
                </c:pt>
                <c:pt idx="713">
                  <c:v>88.216015711116185</c:v>
                </c:pt>
                <c:pt idx="714">
                  <c:v>88.221813741934</c:v>
                </c:pt>
                <c:pt idx="715">
                  <c:v>88.139277067939247</c:v>
                </c:pt>
                <c:pt idx="716">
                  <c:v>88.239207834387429</c:v>
                </c:pt>
                <c:pt idx="717">
                  <c:v>88.267174806567468</c:v>
                </c:pt>
                <c:pt idx="718">
                  <c:v>88.765805456899386</c:v>
                </c:pt>
                <c:pt idx="719">
                  <c:v>89.069349423243722</c:v>
                </c:pt>
                <c:pt idx="720">
                  <c:v>89.467708246491114</c:v>
                </c:pt>
                <c:pt idx="721">
                  <c:v>89.604473561664236</c:v>
                </c:pt>
                <c:pt idx="722">
                  <c:v>89.607884168027653</c:v>
                </c:pt>
                <c:pt idx="723">
                  <c:v>90.095941938632961</c:v>
                </c:pt>
                <c:pt idx="724">
                  <c:v>89.93189177255249</c:v>
                </c:pt>
                <c:pt idx="725">
                  <c:v>90.395734237977535</c:v>
                </c:pt>
                <c:pt idx="726">
                  <c:v>90.066269663271214</c:v>
                </c:pt>
                <c:pt idx="727">
                  <c:v>89.840828582649181</c:v>
                </c:pt>
                <c:pt idx="728">
                  <c:v>90.746003511500689</c:v>
                </c:pt>
                <c:pt idx="729">
                  <c:v>89.700652661112642</c:v>
                </c:pt>
                <c:pt idx="730">
                  <c:v>90.645731684416177</c:v>
                </c:pt>
                <c:pt idx="731">
                  <c:v>90.70678153832138</c:v>
                </c:pt>
                <c:pt idx="732">
                  <c:v>90.580248042238509</c:v>
                </c:pt>
                <c:pt idx="733">
                  <c:v>91.09218005738775</c:v>
                </c:pt>
                <c:pt idx="734">
                  <c:v>91.041703083209143</c:v>
                </c:pt>
                <c:pt idx="735">
                  <c:v>91.191769763199602</c:v>
                </c:pt>
                <c:pt idx="736">
                  <c:v>91.288289923284367</c:v>
                </c:pt>
                <c:pt idx="737">
                  <c:v>91.362300081370577</c:v>
                </c:pt>
                <c:pt idx="738">
                  <c:v>91.274988558467044</c:v>
                </c:pt>
                <c:pt idx="739">
                  <c:v>91.958815134332639</c:v>
                </c:pt>
                <c:pt idx="740">
                  <c:v>90.822401094041282</c:v>
                </c:pt>
                <c:pt idx="741">
                  <c:v>90.270223923803684</c:v>
                </c:pt>
                <c:pt idx="742">
                  <c:v>91.075468086207024</c:v>
                </c:pt>
                <c:pt idx="743">
                  <c:v>89.407681574494916</c:v>
                </c:pt>
                <c:pt idx="744">
                  <c:v>89.968044200004726</c:v>
                </c:pt>
                <c:pt idx="745">
                  <c:v>91.135153697566864</c:v>
                </c:pt>
                <c:pt idx="746">
                  <c:v>91.060461418207979</c:v>
                </c:pt>
                <c:pt idx="747">
                  <c:v>91.273965376558039</c:v>
                </c:pt>
                <c:pt idx="748">
                  <c:v>91.695516323076689</c:v>
                </c:pt>
                <c:pt idx="749">
                  <c:v>92.575793825475245</c:v>
                </c:pt>
                <c:pt idx="750">
                  <c:v>92.702668382194446</c:v>
                </c:pt>
                <c:pt idx="751">
                  <c:v>92.880019913092255</c:v>
                </c:pt>
                <c:pt idx="752">
                  <c:v>93.302935102156283</c:v>
                </c:pt>
                <c:pt idx="753">
                  <c:v>93.614664523772817</c:v>
                </c:pt>
                <c:pt idx="754">
                  <c:v>93.394339352695923</c:v>
                </c:pt>
                <c:pt idx="755">
                  <c:v>93.548498760322474</c:v>
                </c:pt>
                <c:pt idx="756">
                  <c:v>94.074755322198101</c:v>
                </c:pt>
                <c:pt idx="757">
                  <c:v>93.921960157116914</c:v>
                </c:pt>
                <c:pt idx="758">
                  <c:v>93.405594353695193</c:v>
                </c:pt>
                <c:pt idx="759">
                  <c:v>93.180835394345863</c:v>
                </c:pt>
                <c:pt idx="760">
                  <c:v>93.805999540760638</c:v>
                </c:pt>
                <c:pt idx="761">
                  <c:v>93.030768714355403</c:v>
                </c:pt>
                <c:pt idx="762">
                  <c:v>93.697883319040244</c:v>
                </c:pt>
                <c:pt idx="763">
                  <c:v>93.385130715514691</c:v>
                </c:pt>
                <c:pt idx="764">
                  <c:v>94.143649570739171</c:v>
                </c:pt>
                <c:pt idx="765">
                  <c:v>94.093513657196908</c:v>
                </c:pt>
                <c:pt idx="766">
                  <c:v>94.47550156989989</c:v>
                </c:pt>
                <c:pt idx="767">
                  <c:v>94.058725472290021</c:v>
                </c:pt>
                <c:pt idx="768">
                  <c:v>94.545760060986325</c:v>
                </c:pt>
                <c:pt idx="769">
                  <c:v>93.565892852775931</c:v>
                </c:pt>
                <c:pt idx="770">
                  <c:v>93.950950311205972</c:v>
                </c:pt>
                <c:pt idx="771">
                  <c:v>93.548157699686143</c:v>
                </c:pt>
                <c:pt idx="772">
                  <c:v>94.168546997192152</c:v>
                </c:pt>
                <c:pt idx="773">
                  <c:v>94.50244536017091</c:v>
                </c:pt>
                <c:pt idx="774">
                  <c:v>95.66102834182449</c:v>
                </c:pt>
                <c:pt idx="775">
                  <c:v>96.009251251529619</c:v>
                </c:pt>
                <c:pt idx="776">
                  <c:v>95.739131227546793</c:v>
                </c:pt>
                <c:pt idx="777">
                  <c:v>93.54031330505029</c:v>
                </c:pt>
                <c:pt idx="778">
                  <c:v>94.878294181419733</c:v>
                </c:pt>
                <c:pt idx="779">
                  <c:v>93.519167545597099</c:v>
                </c:pt>
                <c:pt idx="780">
                  <c:v>92.895367641727674</c:v>
                </c:pt>
                <c:pt idx="781">
                  <c:v>93.721416502947875</c:v>
                </c:pt>
                <c:pt idx="782">
                  <c:v>94.160020481283624</c:v>
                </c:pt>
                <c:pt idx="783">
                  <c:v>95.140910871403037</c:v>
                </c:pt>
                <c:pt idx="784">
                  <c:v>95.153530114947685</c:v>
                </c:pt>
                <c:pt idx="785">
                  <c:v>95.540633937195807</c:v>
                </c:pt>
                <c:pt idx="786">
                  <c:v>95.368739376479454</c:v>
                </c:pt>
                <c:pt idx="787">
                  <c:v>96.055976558708466</c:v>
                </c:pt>
                <c:pt idx="788">
                  <c:v>96.295742186056856</c:v>
                </c:pt>
                <c:pt idx="789">
                  <c:v>95.404209682659015</c:v>
                </c:pt>
                <c:pt idx="790">
                  <c:v>96.309384611510538</c:v>
                </c:pt>
                <c:pt idx="791">
                  <c:v>97.334612884354414</c:v>
                </c:pt>
                <c:pt idx="792">
                  <c:v>97.52083199179711</c:v>
                </c:pt>
                <c:pt idx="793">
                  <c:v>98.036515673946127</c:v>
                </c:pt>
                <c:pt idx="794">
                  <c:v>98.485010410735782</c:v>
                </c:pt>
                <c:pt idx="795">
                  <c:v>98.167482958301434</c:v>
                </c:pt>
                <c:pt idx="796">
                  <c:v>98.592785571819832</c:v>
                </c:pt>
                <c:pt idx="797">
                  <c:v>98.606427997273514</c:v>
                </c:pt>
                <c:pt idx="798">
                  <c:v>99.627904603117628</c:v>
                </c:pt>
                <c:pt idx="799">
                  <c:v>100.16882677235596</c:v>
                </c:pt>
                <c:pt idx="800">
                  <c:v>99.671560364569402</c:v>
                </c:pt>
                <c:pt idx="801">
                  <c:v>100.70019924377669</c:v>
                </c:pt>
                <c:pt idx="802">
                  <c:v>100.63096393459928</c:v>
                </c:pt>
                <c:pt idx="803">
                  <c:v>100.80695122295171</c:v>
                </c:pt>
                <c:pt idx="804">
                  <c:v>99.984654028731285</c:v>
                </c:pt>
                <c:pt idx="805">
                  <c:v>99.706689610112605</c:v>
                </c:pt>
                <c:pt idx="806">
                  <c:v>99.653825211479614</c:v>
                </c:pt>
                <c:pt idx="807">
                  <c:v>100.28717481316659</c:v>
                </c:pt>
                <c:pt idx="808">
                  <c:v>99.595844903301469</c:v>
                </c:pt>
                <c:pt idx="809">
                  <c:v>99.978173876640781</c:v>
                </c:pt>
                <c:pt idx="810">
                  <c:v>98.548106628459024</c:v>
                </c:pt>
                <c:pt idx="811">
                  <c:v>99.143257438875708</c:v>
                </c:pt>
                <c:pt idx="812">
                  <c:v>98.60131208772836</c:v>
                </c:pt>
                <c:pt idx="813">
                  <c:v>97.266741817722334</c:v>
                </c:pt>
                <c:pt idx="814">
                  <c:v>98.106092043759858</c:v>
                </c:pt>
                <c:pt idx="815">
                  <c:v>99.366652155679674</c:v>
                </c:pt>
                <c:pt idx="816">
                  <c:v>99.33834412286329</c:v>
                </c:pt>
                <c:pt idx="817">
                  <c:v>98.330168881836499</c:v>
                </c:pt>
                <c:pt idx="818">
                  <c:v>97.530381689614629</c:v>
                </c:pt>
                <c:pt idx="819">
                  <c:v>98.98671060679473</c:v>
                </c:pt>
                <c:pt idx="820">
                  <c:v>98.404179039922681</c:v>
                </c:pt>
                <c:pt idx="821">
                  <c:v>99.150419712238858</c:v>
                </c:pt>
                <c:pt idx="822">
                  <c:v>99.924286296098728</c:v>
                </c:pt>
                <c:pt idx="823">
                  <c:v>98.540944355095817</c:v>
                </c:pt>
                <c:pt idx="824">
                  <c:v>96.091787925524329</c:v>
                </c:pt>
                <c:pt idx="825">
                  <c:v>96.34860658468979</c:v>
                </c:pt>
                <c:pt idx="826">
                  <c:v>95.17842754140058</c:v>
                </c:pt>
                <c:pt idx="827">
                  <c:v>96.091787925524301</c:v>
                </c:pt>
                <c:pt idx="828">
                  <c:v>97.03311528182806</c:v>
                </c:pt>
                <c:pt idx="829">
                  <c:v>97.642931699607445</c:v>
                </c:pt>
                <c:pt idx="830">
                  <c:v>97.224791359452226</c:v>
                </c:pt>
                <c:pt idx="831">
                  <c:v>97.761961861690793</c:v>
                </c:pt>
                <c:pt idx="832">
                  <c:v>97.730243222511007</c:v>
                </c:pt>
                <c:pt idx="833">
                  <c:v>97.811074593324037</c:v>
                </c:pt>
                <c:pt idx="834">
                  <c:v>98.809359075896907</c:v>
                </c:pt>
                <c:pt idx="835">
                  <c:v>99.357784579134744</c:v>
                </c:pt>
                <c:pt idx="836">
                  <c:v>100.07776358245258</c:v>
                </c:pt>
                <c:pt idx="837">
                  <c:v>100.10027358445113</c:v>
                </c:pt>
                <c:pt idx="838">
                  <c:v>101.46758567554599</c:v>
                </c:pt>
                <c:pt idx="839">
                  <c:v>101.78067933970787</c:v>
                </c:pt>
                <c:pt idx="840">
                  <c:v>101.92085526124443</c:v>
                </c:pt>
                <c:pt idx="841">
                  <c:v>101.54261901554122</c:v>
                </c:pt>
                <c:pt idx="842">
                  <c:v>101.83559010215893</c:v>
                </c:pt>
                <c:pt idx="843">
                  <c:v>102.35945923958016</c:v>
                </c:pt>
                <c:pt idx="844">
                  <c:v>102.52726107266039</c:v>
                </c:pt>
                <c:pt idx="845">
                  <c:v>102.73769548528338</c:v>
                </c:pt>
                <c:pt idx="846">
                  <c:v>102.54738365020457</c:v>
                </c:pt>
                <c:pt idx="847">
                  <c:v>102.15789240350207</c:v>
                </c:pt>
                <c:pt idx="848">
                  <c:v>102.42085015412171</c:v>
                </c:pt>
                <c:pt idx="849">
                  <c:v>102.5061153132072</c:v>
                </c:pt>
                <c:pt idx="850">
                  <c:v>102.128902249413</c:v>
                </c:pt>
                <c:pt idx="851">
                  <c:v>102.17085270768307</c:v>
                </c:pt>
                <c:pt idx="852">
                  <c:v>102.17221695022842</c:v>
                </c:pt>
                <c:pt idx="853">
                  <c:v>103.46381358005537</c:v>
                </c:pt>
                <c:pt idx="854">
                  <c:v>103.63570814077171</c:v>
                </c:pt>
                <c:pt idx="855">
                  <c:v>103.49246267350809</c:v>
                </c:pt>
                <c:pt idx="856">
                  <c:v>102.90345095454556</c:v>
                </c:pt>
                <c:pt idx="857">
                  <c:v>102.54431410447751</c:v>
                </c:pt>
                <c:pt idx="858">
                  <c:v>102.96620611163249</c:v>
                </c:pt>
                <c:pt idx="859">
                  <c:v>102.61798320192736</c:v>
                </c:pt>
                <c:pt idx="860">
                  <c:v>102.50304576748013</c:v>
                </c:pt>
                <c:pt idx="861">
                  <c:v>102.8103414008242</c:v>
                </c:pt>
                <c:pt idx="862">
                  <c:v>102.29840938567494</c:v>
                </c:pt>
                <c:pt idx="863">
                  <c:v>100.85435865140316</c:v>
                </c:pt>
                <c:pt idx="864">
                  <c:v>100.52625831924222</c:v>
                </c:pt>
                <c:pt idx="865">
                  <c:v>99.939975085370421</c:v>
                </c:pt>
                <c:pt idx="866">
                  <c:v>100.32571466507315</c:v>
                </c:pt>
                <c:pt idx="867">
                  <c:v>99.751027492836982</c:v>
                </c:pt>
                <c:pt idx="868">
                  <c:v>100.6115234783277</c:v>
                </c:pt>
                <c:pt idx="869">
                  <c:v>101.02420684830143</c:v>
                </c:pt>
                <c:pt idx="870">
                  <c:v>100.6173215091455</c:v>
                </c:pt>
                <c:pt idx="871">
                  <c:v>99.019793488519824</c:v>
                </c:pt>
                <c:pt idx="872">
                  <c:v>99.311059271955841</c:v>
                </c:pt>
                <c:pt idx="873">
                  <c:v>99.520129442033465</c:v>
                </c:pt>
                <c:pt idx="874">
                  <c:v>99.213174869325726</c:v>
                </c:pt>
                <c:pt idx="875">
                  <c:v>99.63165627011729</c:v>
                </c:pt>
                <c:pt idx="876">
                  <c:v>100.46350316215529</c:v>
                </c:pt>
                <c:pt idx="877">
                  <c:v>100.58799029442011</c:v>
                </c:pt>
                <c:pt idx="878">
                  <c:v>100.60606650814624</c:v>
                </c:pt>
                <c:pt idx="879">
                  <c:v>101.61731129490008</c:v>
                </c:pt>
                <c:pt idx="880">
                  <c:v>102.36457514912529</c:v>
                </c:pt>
                <c:pt idx="881">
                  <c:v>102.69131123874087</c:v>
                </c:pt>
                <c:pt idx="882">
                  <c:v>102.37344272567017</c:v>
                </c:pt>
                <c:pt idx="883">
                  <c:v>102.65208926556154</c:v>
                </c:pt>
                <c:pt idx="884">
                  <c:v>103.23700825688798</c:v>
                </c:pt>
                <c:pt idx="885">
                  <c:v>103.673906932042</c:v>
                </c:pt>
                <c:pt idx="886">
                  <c:v>104.93787765032523</c:v>
                </c:pt>
                <c:pt idx="887">
                  <c:v>104.76052611942742</c:v>
                </c:pt>
                <c:pt idx="888">
                  <c:v>104.00541787056636</c:v>
                </c:pt>
                <c:pt idx="889">
                  <c:v>103.51497267550667</c:v>
                </c:pt>
                <c:pt idx="890">
                  <c:v>103.25678977379582</c:v>
                </c:pt>
                <c:pt idx="891">
                  <c:v>102.97677899135907</c:v>
                </c:pt>
                <c:pt idx="892">
                  <c:v>103.35535629769862</c:v>
                </c:pt>
                <c:pt idx="893">
                  <c:v>102.94028550327047</c:v>
                </c:pt>
                <c:pt idx="894">
                  <c:v>102.32432999403693</c:v>
                </c:pt>
                <c:pt idx="895">
                  <c:v>103.14969673398443</c:v>
                </c:pt>
                <c:pt idx="896">
                  <c:v>103.10092506298751</c:v>
                </c:pt>
                <c:pt idx="897">
                  <c:v>102.17528649595549</c:v>
                </c:pt>
                <c:pt idx="898">
                  <c:v>102.89969928754577</c:v>
                </c:pt>
                <c:pt idx="899">
                  <c:v>102.02453769469234</c:v>
                </c:pt>
                <c:pt idx="900">
                  <c:v>100.79740152513402</c:v>
                </c:pt>
                <c:pt idx="901">
                  <c:v>100.86527259176607</c:v>
                </c:pt>
                <c:pt idx="902">
                  <c:v>103.08318990989771</c:v>
                </c:pt>
                <c:pt idx="903">
                  <c:v>103.7312051189474</c:v>
                </c:pt>
                <c:pt idx="904">
                  <c:v>104.15446136864776</c:v>
                </c:pt>
                <c:pt idx="905">
                  <c:v>103.41879357605819</c:v>
                </c:pt>
                <c:pt idx="906">
                  <c:v>104.86045688587558</c:v>
                </c:pt>
                <c:pt idx="907">
                  <c:v>105.57259149455756</c:v>
                </c:pt>
                <c:pt idx="908">
                  <c:v>106.2666498895134</c:v>
                </c:pt>
                <c:pt idx="909">
                  <c:v>106.27756382987634</c:v>
                </c:pt>
                <c:pt idx="910">
                  <c:v>106.88772130829209</c:v>
                </c:pt>
                <c:pt idx="911">
                  <c:v>106.3836336877787</c:v>
                </c:pt>
                <c:pt idx="912">
                  <c:v>106.73185659748383</c:v>
                </c:pt>
                <c:pt idx="913">
                  <c:v>107.200814972454</c:v>
                </c:pt>
                <c:pt idx="914">
                  <c:v>107.34406043971762</c:v>
                </c:pt>
                <c:pt idx="915">
                  <c:v>107.94944306922457</c:v>
                </c:pt>
                <c:pt idx="916">
                  <c:v>107.43171302325749</c:v>
                </c:pt>
                <c:pt idx="917">
                  <c:v>107.02789722982864</c:v>
                </c:pt>
                <c:pt idx="918">
                  <c:v>107.33894453017248</c:v>
                </c:pt>
                <c:pt idx="919">
                  <c:v>107.7229788066935</c:v>
                </c:pt>
                <c:pt idx="920">
                  <c:v>107.43273620516652</c:v>
                </c:pt>
                <c:pt idx="921">
                  <c:v>107.95012519049725</c:v>
                </c:pt>
                <c:pt idx="922">
                  <c:v>106.55143552085893</c:v>
                </c:pt>
                <c:pt idx="923">
                  <c:v>107.98354913285876</c:v>
                </c:pt>
                <c:pt idx="924">
                  <c:v>108.06199307921739</c:v>
                </c:pt>
                <c:pt idx="925">
                  <c:v>107.81267775405142</c:v>
                </c:pt>
                <c:pt idx="926">
                  <c:v>108.71785268290294</c:v>
                </c:pt>
                <c:pt idx="927">
                  <c:v>109.26389076168641</c:v>
                </c:pt>
                <c:pt idx="928">
                  <c:v>109.72602792392973</c:v>
                </c:pt>
                <c:pt idx="929">
                  <c:v>109.3256227368643</c:v>
                </c:pt>
                <c:pt idx="930">
                  <c:v>109.12269165824085</c:v>
                </c:pt>
                <c:pt idx="931">
                  <c:v>108.73149510835664</c:v>
                </c:pt>
                <c:pt idx="932">
                  <c:v>109.62234549048181</c:v>
                </c:pt>
                <c:pt idx="933">
                  <c:v>110.18100281280992</c:v>
                </c:pt>
                <c:pt idx="934">
                  <c:v>110.04423749763681</c:v>
                </c:pt>
                <c:pt idx="935">
                  <c:v>110.0725455304532</c:v>
                </c:pt>
                <c:pt idx="936">
                  <c:v>110.37199676916143</c:v>
                </c:pt>
                <c:pt idx="937">
                  <c:v>110.28946009516667</c:v>
                </c:pt>
                <c:pt idx="938">
                  <c:v>109.99410158409455</c:v>
                </c:pt>
                <c:pt idx="939">
                  <c:v>109.64928928075284</c:v>
                </c:pt>
                <c:pt idx="940">
                  <c:v>109.53469290694197</c:v>
                </c:pt>
                <c:pt idx="941">
                  <c:v>109.06300604688107</c:v>
                </c:pt>
                <c:pt idx="942">
                  <c:v>110.29866873234791</c:v>
                </c:pt>
                <c:pt idx="943">
                  <c:v>110.50330511415306</c:v>
                </c:pt>
                <c:pt idx="944">
                  <c:v>110.1530358406299</c:v>
                </c:pt>
                <c:pt idx="945">
                  <c:v>108.91839633707207</c:v>
                </c:pt>
                <c:pt idx="946">
                  <c:v>108.53674948500543</c:v>
                </c:pt>
                <c:pt idx="947">
                  <c:v>108.52788190846054</c:v>
                </c:pt>
                <c:pt idx="948">
                  <c:v>109.21511909068956</c:v>
                </c:pt>
                <c:pt idx="949">
                  <c:v>108.87781012134738</c:v>
                </c:pt>
                <c:pt idx="950">
                  <c:v>110.69429907050458</c:v>
                </c:pt>
                <c:pt idx="951">
                  <c:v>110.64518633887134</c:v>
                </c:pt>
                <c:pt idx="952">
                  <c:v>111.17860517411013</c:v>
                </c:pt>
                <c:pt idx="953">
                  <c:v>111.78671628870782</c:v>
                </c:pt>
                <c:pt idx="954">
                  <c:v>112.12538950059538</c:v>
                </c:pt>
                <c:pt idx="955">
                  <c:v>112.65744409328882</c:v>
                </c:pt>
                <c:pt idx="956">
                  <c:v>112.64073212210805</c:v>
                </c:pt>
                <c:pt idx="957">
                  <c:v>112.62845393919974</c:v>
                </c:pt>
                <c:pt idx="958">
                  <c:v>113.08172352489818</c:v>
                </c:pt>
                <c:pt idx="959">
                  <c:v>112.09605828586997</c:v>
                </c:pt>
                <c:pt idx="960">
                  <c:v>112.06161116159943</c:v>
                </c:pt>
                <c:pt idx="961">
                  <c:v>111.78194143979904</c:v>
                </c:pt>
                <c:pt idx="962">
                  <c:v>112.46303953057388</c:v>
                </c:pt>
                <c:pt idx="963">
                  <c:v>112.4729302890278</c:v>
                </c:pt>
                <c:pt idx="964">
                  <c:v>112.51147014093445</c:v>
                </c:pt>
                <c:pt idx="965">
                  <c:v>112.771358345827</c:v>
                </c:pt>
                <c:pt idx="966">
                  <c:v>111.36550640282552</c:v>
                </c:pt>
                <c:pt idx="967">
                  <c:v>112.57081469165794</c:v>
                </c:pt>
                <c:pt idx="968">
                  <c:v>113.15539262234802</c:v>
                </c:pt>
                <c:pt idx="969">
                  <c:v>113.0056670029939</c:v>
                </c:pt>
                <c:pt idx="970">
                  <c:v>112.56740408529451</c:v>
                </c:pt>
                <c:pt idx="971">
                  <c:v>112.88220305263812</c:v>
                </c:pt>
                <c:pt idx="972">
                  <c:v>112.96064699899676</c:v>
                </c:pt>
                <c:pt idx="973">
                  <c:v>111.95792872815144</c:v>
                </c:pt>
                <c:pt idx="974">
                  <c:v>109.62132230857281</c:v>
                </c:pt>
                <c:pt idx="975">
                  <c:v>109.09063195842475</c:v>
                </c:pt>
                <c:pt idx="976">
                  <c:v>109.76047504820032</c:v>
                </c:pt>
                <c:pt idx="977">
                  <c:v>108.65168691945266</c:v>
                </c:pt>
                <c:pt idx="978">
                  <c:v>109.88223369537441</c:v>
                </c:pt>
                <c:pt idx="979">
                  <c:v>109.17180438987413</c:v>
                </c:pt>
                <c:pt idx="980">
                  <c:v>106.67933325948721</c:v>
                </c:pt>
                <c:pt idx="981">
                  <c:v>107.50026621116228</c:v>
                </c:pt>
                <c:pt idx="982">
                  <c:v>107.31438816435592</c:v>
                </c:pt>
                <c:pt idx="983">
                  <c:v>108.70455131808569</c:v>
                </c:pt>
                <c:pt idx="984">
                  <c:v>110.15030735553918</c:v>
                </c:pt>
                <c:pt idx="985">
                  <c:v>110.32595358325528</c:v>
                </c:pt>
                <c:pt idx="986">
                  <c:v>111.55206657090457</c:v>
                </c:pt>
                <c:pt idx="987">
                  <c:v>111.57696399735754</c:v>
                </c:pt>
                <c:pt idx="988">
                  <c:v>112.2369163286792</c:v>
                </c:pt>
                <c:pt idx="989">
                  <c:v>112.78602395318973</c:v>
                </c:pt>
                <c:pt idx="990">
                  <c:v>112.93438532999848</c:v>
                </c:pt>
                <c:pt idx="991">
                  <c:v>112.20315132568135</c:v>
                </c:pt>
                <c:pt idx="992">
                  <c:v>112.90027926636427</c:v>
                </c:pt>
                <c:pt idx="993">
                  <c:v>112.69871243028618</c:v>
                </c:pt>
                <c:pt idx="994">
                  <c:v>113.39720461351449</c:v>
                </c:pt>
                <c:pt idx="995">
                  <c:v>113.24679687288769</c:v>
                </c:pt>
                <c:pt idx="996">
                  <c:v>113.27135323870431</c:v>
                </c:pt>
                <c:pt idx="997">
                  <c:v>113.8477457141222</c:v>
                </c:pt>
                <c:pt idx="998">
                  <c:v>114.16595528782923</c:v>
                </c:pt>
                <c:pt idx="999">
                  <c:v>113.32933354688244</c:v>
                </c:pt>
                <c:pt idx="1000">
                  <c:v>115.06158051886317</c:v>
                </c:pt>
                <c:pt idx="1001">
                  <c:v>115.0772693081349</c:v>
                </c:pt>
                <c:pt idx="1002">
                  <c:v>115.2952070547574</c:v>
                </c:pt>
                <c:pt idx="1003">
                  <c:v>115.36614766711654</c:v>
                </c:pt>
                <c:pt idx="1004">
                  <c:v>115.32010448121035</c:v>
                </c:pt>
                <c:pt idx="1005">
                  <c:v>114.73859609624735</c:v>
                </c:pt>
                <c:pt idx="1006">
                  <c:v>114.80339761715233</c:v>
                </c:pt>
                <c:pt idx="1007">
                  <c:v>113.47462537796412</c:v>
                </c:pt>
                <c:pt idx="1008">
                  <c:v>113.1574389861661</c:v>
                </c:pt>
                <c:pt idx="1009">
                  <c:v>114.2454224160969</c:v>
                </c:pt>
                <c:pt idx="1010">
                  <c:v>115.07317658049878</c:v>
                </c:pt>
                <c:pt idx="1011">
                  <c:v>114.36752212390729</c:v>
                </c:pt>
                <c:pt idx="1012">
                  <c:v>115.06021627631777</c:v>
                </c:pt>
                <c:pt idx="1013">
                  <c:v>114.72324836761193</c:v>
                </c:pt>
                <c:pt idx="1014">
                  <c:v>114.16527316655653</c:v>
                </c:pt>
                <c:pt idx="1015">
                  <c:v>114.67959260616017</c:v>
                </c:pt>
                <c:pt idx="1016">
                  <c:v>113.88014647457466</c:v>
                </c:pt>
                <c:pt idx="1017">
                  <c:v>113.68335448740535</c:v>
                </c:pt>
                <c:pt idx="1018">
                  <c:v>114.21540908009878</c:v>
                </c:pt>
                <c:pt idx="1019">
                  <c:v>115.1253588578591</c:v>
                </c:pt>
                <c:pt idx="1020">
                  <c:v>115.94390438507976</c:v>
                </c:pt>
                <c:pt idx="1021">
                  <c:v>116.29485577987562</c:v>
                </c:pt>
                <c:pt idx="1022">
                  <c:v>116.16525273806567</c:v>
                </c:pt>
                <c:pt idx="1023">
                  <c:v>114.71267548788533</c:v>
                </c:pt>
                <c:pt idx="1024">
                  <c:v>113.48008234814556</c:v>
                </c:pt>
                <c:pt idx="1025">
                  <c:v>113.94290163166157</c:v>
                </c:pt>
                <c:pt idx="1026">
                  <c:v>115.19698159149088</c:v>
                </c:pt>
                <c:pt idx="1027">
                  <c:v>112.79148092337115</c:v>
                </c:pt>
                <c:pt idx="1028">
                  <c:v>111.73282870816577</c:v>
                </c:pt>
                <c:pt idx="1029">
                  <c:v>112.65164606247096</c:v>
                </c:pt>
                <c:pt idx="1030">
                  <c:v>113.41289340278617</c:v>
                </c:pt>
                <c:pt idx="1031">
                  <c:v>114.60558244807395</c:v>
                </c:pt>
                <c:pt idx="1032">
                  <c:v>114.76690412906369</c:v>
                </c:pt>
                <c:pt idx="1033">
                  <c:v>115.20175644039966</c:v>
                </c:pt>
                <c:pt idx="1034">
                  <c:v>115.67344330046056</c:v>
                </c:pt>
                <c:pt idx="1035">
                  <c:v>115.43197236993046</c:v>
                </c:pt>
                <c:pt idx="1036">
                  <c:v>115.63285708473586</c:v>
                </c:pt>
                <c:pt idx="1037">
                  <c:v>114.69698669861357</c:v>
                </c:pt>
                <c:pt idx="1038">
                  <c:v>115.07522294431679</c:v>
                </c:pt>
                <c:pt idx="1039">
                  <c:v>115.62501269009999</c:v>
                </c:pt>
                <c:pt idx="1040">
                  <c:v>115.97630514553219</c:v>
                </c:pt>
                <c:pt idx="1041">
                  <c:v>115.96743756898729</c:v>
                </c:pt>
                <c:pt idx="1042">
                  <c:v>115.81089073690636</c:v>
                </c:pt>
                <c:pt idx="1043">
                  <c:v>116.03667287816472</c:v>
                </c:pt>
                <c:pt idx="1044">
                  <c:v>114.99609687668546</c:v>
                </c:pt>
                <c:pt idx="1045">
                  <c:v>115.69117845355035</c:v>
                </c:pt>
                <c:pt idx="1046">
                  <c:v>115.56123435110406</c:v>
                </c:pt>
                <c:pt idx="1047">
                  <c:v>115.75768527763704</c:v>
                </c:pt>
                <c:pt idx="1048">
                  <c:v>116.88182113502009</c:v>
                </c:pt>
                <c:pt idx="1049">
                  <c:v>116.95992402074239</c:v>
                </c:pt>
                <c:pt idx="1050">
                  <c:v>116.43264427695775</c:v>
                </c:pt>
                <c:pt idx="1051">
                  <c:v>115.36444236393478</c:v>
                </c:pt>
                <c:pt idx="1052">
                  <c:v>115.79724831145271</c:v>
                </c:pt>
                <c:pt idx="1053">
                  <c:v>116.25120001842382</c:v>
                </c:pt>
                <c:pt idx="1054">
                  <c:v>115.49950237592617</c:v>
                </c:pt>
                <c:pt idx="1055">
                  <c:v>116.45344897577458</c:v>
                </c:pt>
                <c:pt idx="1056">
                  <c:v>116.74471475921059</c:v>
                </c:pt>
                <c:pt idx="1057">
                  <c:v>117.24232222763349</c:v>
                </c:pt>
                <c:pt idx="1058">
                  <c:v>117.94524819913423</c:v>
                </c:pt>
                <c:pt idx="1059">
                  <c:v>117.83235712850504</c:v>
                </c:pt>
                <c:pt idx="1060">
                  <c:v>118.47969021628204</c:v>
                </c:pt>
                <c:pt idx="1061">
                  <c:v>118.69899220544991</c:v>
                </c:pt>
                <c:pt idx="1062">
                  <c:v>118.79619448680735</c:v>
                </c:pt>
                <c:pt idx="1063">
                  <c:v>118.75731357426437</c:v>
                </c:pt>
                <c:pt idx="1064">
                  <c:v>119.00321829306692</c:v>
                </c:pt>
                <c:pt idx="1065">
                  <c:v>119.78765775665339</c:v>
                </c:pt>
                <c:pt idx="1066">
                  <c:v>120.35961644379881</c:v>
                </c:pt>
                <c:pt idx="1067">
                  <c:v>120.47864660588213</c:v>
                </c:pt>
                <c:pt idx="1068">
                  <c:v>120.44965645179308</c:v>
                </c:pt>
                <c:pt idx="1069">
                  <c:v>120.03697308181933</c:v>
                </c:pt>
                <c:pt idx="1070">
                  <c:v>119.22013285778037</c:v>
                </c:pt>
                <c:pt idx="1071">
                  <c:v>119.59564061839285</c:v>
                </c:pt>
                <c:pt idx="1072">
                  <c:v>119.69659456675008</c:v>
                </c:pt>
                <c:pt idx="1073">
                  <c:v>119.95887019609702</c:v>
                </c:pt>
                <c:pt idx="1074">
                  <c:v>120.88621406631076</c:v>
                </c:pt>
                <c:pt idx="1075">
                  <c:v>121.05742650575441</c:v>
                </c:pt>
                <c:pt idx="1076">
                  <c:v>121.26751985774102</c:v>
                </c:pt>
                <c:pt idx="1077">
                  <c:v>121.2518310684693</c:v>
                </c:pt>
                <c:pt idx="1078">
                  <c:v>120.48205721224555</c:v>
                </c:pt>
                <c:pt idx="1079">
                  <c:v>121.07516165884418</c:v>
                </c:pt>
                <c:pt idx="1080">
                  <c:v>120.95306195103377</c:v>
                </c:pt>
                <c:pt idx="1081">
                  <c:v>121.1907812145641</c:v>
                </c:pt>
                <c:pt idx="1082">
                  <c:v>121.15087712011209</c:v>
                </c:pt>
                <c:pt idx="1083">
                  <c:v>121.98204189087741</c:v>
                </c:pt>
                <c:pt idx="1084">
                  <c:v>122.06935341378095</c:v>
                </c:pt>
                <c:pt idx="1085">
                  <c:v>122.73851438228384</c:v>
                </c:pt>
                <c:pt idx="1086">
                  <c:v>122.26171161267781</c:v>
                </c:pt>
                <c:pt idx="1087">
                  <c:v>121.43566275145763</c:v>
                </c:pt>
                <c:pt idx="1088">
                  <c:v>122.00693931733036</c:v>
                </c:pt>
                <c:pt idx="1089">
                  <c:v>121.50251063618062</c:v>
                </c:pt>
                <c:pt idx="1090">
                  <c:v>121.69316353189576</c:v>
                </c:pt>
                <c:pt idx="1091">
                  <c:v>122.28285737213099</c:v>
                </c:pt>
                <c:pt idx="1092">
                  <c:v>122.04718447241872</c:v>
                </c:pt>
                <c:pt idx="1093">
                  <c:v>122.57412315556701</c:v>
                </c:pt>
                <c:pt idx="1094">
                  <c:v>121.13552939147671</c:v>
                </c:pt>
                <c:pt idx="1095">
                  <c:v>122.37971859285211</c:v>
                </c:pt>
                <c:pt idx="1096">
                  <c:v>122.09936674977902</c:v>
                </c:pt>
                <c:pt idx="1097">
                  <c:v>122.71191165264916</c:v>
                </c:pt>
                <c:pt idx="1098">
                  <c:v>122.92848515672631</c:v>
                </c:pt>
                <c:pt idx="1099">
                  <c:v>122.98987607126786</c:v>
                </c:pt>
                <c:pt idx="1100">
                  <c:v>122.39574844276019</c:v>
                </c:pt>
                <c:pt idx="1101">
                  <c:v>122.4315598095761</c:v>
                </c:pt>
                <c:pt idx="1102">
                  <c:v>121.88313430633826</c:v>
                </c:pt>
                <c:pt idx="1103">
                  <c:v>121.9104191572456</c:v>
                </c:pt>
                <c:pt idx="1104">
                  <c:v>119.48002106267293</c:v>
                </c:pt>
                <c:pt idx="1105">
                  <c:v>119.13861936569464</c:v>
                </c:pt>
                <c:pt idx="1106">
                  <c:v>119.99570474482194</c:v>
                </c:pt>
                <c:pt idx="1107">
                  <c:v>118.84462509716788</c:v>
                </c:pt>
                <c:pt idx="1108">
                  <c:v>118.88248282780184</c:v>
                </c:pt>
                <c:pt idx="1109">
                  <c:v>118.25049746866021</c:v>
                </c:pt>
                <c:pt idx="1110">
                  <c:v>119.61712743848237</c:v>
                </c:pt>
                <c:pt idx="1111">
                  <c:v>119.96910201518725</c:v>
                </c:pt>
                <c:pt idx="1112">
                  <c:v>119.77913124074479</c:v>
                </c:pt>
                <c:pt idx="1113">
                  <c:v>120.61336555723719</c:v>
                </c:pt>
                <c:pt idx="1114">
                  <c:v>121.14371484674889</c:v>
                </c:pt>
                <c:pt idx="1115">
                  <c:v>121.15053605947574</c:v>
                </c:pt>
                <c:pt idx="1116">
                  <c:v>122.19179418222768</c:v>
                </c:pt>
                <c:pt idx="1117">
                  <c:v>122.82719014773274</c:v>
                </c:pt>
                <c:pt idx="1118">
                  <c:v>123.13960169062196</c:v>
                </c:pt>
                <c:pt idx="1119">
                  <c:v>123.50590081405322</c:v>
                </c:pt>
                <c:pt idx="1120">
                  <c:v>123.27636700579509</c:v>
                </c:pt>
                <c:pt idx="1121">
                  <c:v>123.86844827048471</c:v>
                </c:pt>
                <c:pt idx="1122">
                  <c:v>123.99975661547634</c:v>
                </c:pt>
                <c:pt idx="1123">
                  <c:v>124.03147525465614</c:v>
                </c:pt>
                <c:pt idx="1124">
                  <c:v>123.83843493448661</c:v>
                </c:pt>
                <c:pt idx="1125">
                  <c:v>124.25998588100525</c:v>
                </c:pt>
                <c:pt idx="1126">
                  <c:v>124.19791284519101</c:v>
                </c:pt>
                <c:pt idx="1127">
                  <c:v>124.12390268710482</c:v>
                </c:pt>
                <c:pt idx="1128">
                  <c:v>123.93700145838943</c:v>
                </c:pt>
                <c:pt idx="1129">
                  <c:v>124.56421196862229</c:v>
                </c:pt>
                <c:pt idx="1130">
                  <c:v>124.20268769409982</c:v>
                </c:pt>
                <c:pt idx="1131">
                  <c:v>123.39198656151503</c:v>
                </c:pt>
                <c:pt idx="1132">
                  <c:v>123.85446478439469</c:v>
                </c:pt>
                <c:pt idx="1133">
                  <c:v>123.99805131229463</c:v>
                </c:pt>
                <c:pt idx="1134">
                  <c:v>123.26136033779605</c:v>
                </c:pt>
                <c:pt idx="1135">
                  <c:v>123.1747309361652</c:v>
                </c:pt>
                <c:pt idx="1136">
                  <c:v>124.09832313937919</c:v>
                </c:pt>
                <c:pt idx="1137">
                  <c:v>124.26203224482332</c:v>
                </c:pt>
                <c:pt idx="1138">
                  <c:v>124.88719639123809</c:v>
                </c:pt>
                <c:pt idx="1139">
                  <c:v>124.82921608305996</c:v>
                </c:pt>
                <c:pt idx="1140">
                  <c:v>123.82888523666902</c:v>
                </c:pt>
                <c:pt idx="1141">
                  <c:v>123.12630032580462</c:v>
                </c:pt>
                <c:pt idx="1142">
                  <c:v>124.09286616919768</c:v>
                </c:pt>
                <c:pt idx="1143">
                  <c:v>122.08640644559803</c:v>
                </c:pt>
                <c:pt idx="1144">
                  <c:v>123.15631366180268</c:v>
                </c:pt>
                <c:pt idx="1145">
                  <c:v>122.85311075609471</c:v>
                </c:pt>
                <c:pt idx="1146">
                  <c:v>122.51750708993424</c:v>
                </c:pt>
                <c:pt idx="1147">
                  <c:v>120.90531346194588</c:v>
                </c:pt>
                <c:pt idx="1148">
                  <c:v>120.91622740230882</c:v>
                </c:pt>
                <c:pt idx="1149">
                  <c:v>122.26819176476826</c:v>
                </c:pt>
                <c:pt idx="1150">
                  <c:v>122.07992629350751</c:v>
                </c:pt>
                <c:pt idx="1151">
                  <c:v>120.23376506898857</c:v>
                </c:pt>
                <c:pt idx="1152">
                  <c:v>122.37494374394329</c:v>
                </c:pt>
                <c:pt idx="1153">
                  <c:v>119.85280033819461</c:v>
                </c:pt>
                <c:pt idx="1154">
                  <c:v>118.4923094598266</c:v>
                </c:pt>
                <c:pt idx="1155">
                  <c:v>116.54076049867801</c:v>
                </c:pt>
                <c:pt idx="1156">
                  <c:v>116.72561536357533</c:v>
                </c:pt>
                <c:pt idx="1157">
                  <c:v>115.79110921999842</c:v>
                </c:pt>
                <c:pt idx="1158">
                  <c:v>115.77030452118159</c:v>
                </c:pt>
                <c:pt idx="1159">
                  <c:v>114.27870033970132</c:v>
                </c:pt>
                <c:pt idx="1160">
                  <c:v>115.32533333587233</c:v>
                </c:pt>
                <c:pt idx="1161">
                  <c:v>117.585063814272</c:v>
                </c:pt>
                <c:pt idx="1162">
                  <c:v>116.74011533514093</c:v>
                </c:pt>
                <c:pt idx="1163">
                  <c:v>118.17649452321943</c:v>
                </c:pt>
                <c:pt idx="1164">
                  <c:v>119.01114280461042</c:v>
                </c:pt>
                <c:pt idx="1165">
                  <c:v>118.83338132748295</c:v>
                </c:pt>
                <c:pt idx="1166">
                  <c:v>120.2518182356271</c:v>
                </c:pt>
                <c:pt idx="1167">
                  <c:v>120.09797979841213</c:v>
                </c:pt>
                <c:pt idx="1168">
                  <c:v>120.85454593564431</c:v>
                </c:pt>
                <c:pt idx="1169">
                  <c:v>122.27298284378843</c:v>
                </c:pt>
                <c:pt idx="1170">
                  <c:v>122.25936000161605</c:v>
                </c:pt>
                <c:pt idx="1171">
                  <c:v>121.913804980658</c:v>
                </c:pt>
                <c:pt idx="1172">
                  <c:v>122.65143204462616</c:v>
                </c:pt>
                <c:pt idx="1173">
                  <c:v>123.15215456057209</c:v>
                </c:pt>
                <c:pt idx="1174">
                  <c:v>123.21893971366111</c:v>
                </c:pt>
                <c:pt idx="1175">
                  <c:v>123.61067949222799</c:v>
                </c:pt>
                <c:pt idx="1176">
                  <c:v>123.69673598302428</c:v>
                </c:pt>
                <c:pt idx="1177">
                  <c:v>123.64556725876703</c:v>
                </c:pt>
                <c:pt idx="1178">
                  <c:v>123.7213235518232</c:v>
                </c:pt>
                <c:pt idx="1179">
                  <c:v>123.76584698721588</c:v>
                </c:pt>
                <c:pt idx="1180">
                  <c:v>123.86353273352518</c:v>
                </c:pt>
                <c:pt idx="1181">
                  <c:v>124.52407444666419</c:v>
                </c:pt>
                <c:pt idx="1182">
                  <c:v>124.34498391176382</c:v>
                </c:pt>
                <c:pt idx="1183">
                  <c:v>124.59484677307195</c:v>
                </c:pt>
                <c:pt idx="1184">
                  <c:v>125.26469189062139</c:v>
                </c:pt>
                <c:pt idx="1185">
                  <c:v>125.62519881152474</c:v>
                </c:pt>
                <c:pt idx="1186">
                  <c:v>125.49428662089255</c:v>
                </c:pt>
                <c:pt idx="1187">
                  <c:v>125.87572620171933</c:v>
                </c:pt>
                <c:pt idx="1188">
                  <c:v>125.5614040384248</c:v>
                </c:pt>
                <c:pt idx="1189">
                  <c:v>124.7091457415427</c:v>
                </c:pt>
                <c:pt idx="1190">
                  <c:v>125.51189663638368</c:v>
                </c:pt>
                <c:pt idx="1191">
                  <c:v>126.01760311897807</c:v>
                </c:pt>
                <c:pt idx="1192">
                  <c:v>125.8730680861735</c:v>
                </c:pt>
                <c:pt idx="1193">
                  <c:v>126.08372374318061</c:v>
                </c:pt>
                <c:pt idx="1194">
                  <c:v>125.18727427534907</c:v>
                </c:pt>
                <c:pt idx="1195">
                  <c:v>125.15836726878815</c:v>
                </c:pt>
                <c:pt idx="1196">
                  <c:v>123.1209217029086</c:v>
                </c:pt>
                <c:pt idx="1197">
                  <c:v>123.71268467629925</c:v>
                </c:pt>
                <c:pt idx="1198">
                  <c:v>121.71178819917486</c:v>
                </c:pt>
                <c:pt idx="1199">
                  <c:v>120.94326054198643</c:v>
                </c:pt>
                <c:pt idx="1200">
                  <c:v>119.91623114796595</c:v>
                </c:pt>
                <c:pt idx="1201">
                  <c:v>122.36302650790348</c:v>
                </c:pt>
                <c:pt idx="1202">
                  <c:v>125.32084458152707</c:v>
                </c:pt>
                <c:pt idx="1203">
                  <c:v>125.89400074609689</c:v>
                </c:pt>
                <c:pt idx="1204">
                  <c:v>126.39140061761054</c:v>
                </c:pt>
                <c:pt idx="1205">
                  <c:v>126.61866949677912</c:v>
                </c:pt>
                <c:pt idx="1206">
                  <c:v>126.60571118349318</c:v>
                </c:pt>
                <c:pt idx="1207">
                  <c:v>127.02469664640481</c:v>
                </c:pt>
                <c:pt idx="1208">
                  <c:v>127.15594110148021</c:v>
                </c:pt>
                <c:pt idx="1209">
                  <c:v>126.54922622814426</c:v>
                </c:pt>
                <c:pt idx="1210">
                  <c:v>125.24508828847087</c:v>
                </c:pt>
                <c:pt idx="1211">
                  <c:v>125.21983619078546</c:v>
                </c:pt>
                <c:pt idx="1212">
                  <c:v>122.93884078801915</c:v>
                </c:pt>
                <c:pt idx="1213">
                  <c:v>121.84602303423931</c:v>
                </c:pt>
                <c:pt idx="1214">
                  <c:v>123.30134129558186</c:v>
                </c:pt>
                <c:pt idx="1215">
                  <c:v>125.50957078528106</c:v>
                </c:pt>
                <c:pt idx="1216">
                  <c:v>124.45529570691579</c:v>
                </c:pt>
                <c:pt idx="1217">
                  <c:v>123.44820217948903</c:v>
                </c:pt>
                <c:pt idx="1218">
                  <c:v>123.14218662727522</c:v>
                </c:pt>
                <c:pt idx="1219">
                  <c:v>122.4301439254357</c:v>
                </c:pt>
                <c:pt idx="1220">
                  <c:v>121.30110934734394</c:v>
                </c:pt>
                <c:pt idx="1221">
                  <c:v>122.93086644138165</c:v>
                </c:pt>
                <c:pt idx="1222">
                  <c:v>123.12524114067057</c:v>
                </c:pt>
                <c:pt idx="1223">
                  <c:v>123.72265260959611</c:v>
                </c:pt>
                <c:pt idx="1224">
                  <c:v>125.61290502712529</c:v>
                </c:pt>
                <c:pt idx="1225">
                  <c:v>124.92345630742535</c:v>
                </c:pt>
                <c:pt idx="1226">
                  <c:v>125.24542055291414</c:v>
                </c:pt>
                <c:pt idx="1227">
                  <c:v>123.56881417238117</c:v>
                </c:pt>
                <c:pt idx="1228">
                  <c:v>121.91114686511224</c:v>
                </c:pt>
                <c:pt idx="1229">
                  <c:v>123.08237902749408</c:v>
                </c:pt>
                <c:pt idx="1230">
                  <c:v>121.48518384889282</c:v>
                </c:pt>
                <c:pt idx="1231">
                  <c:v>123.06310768978682</c:v>
                </c:pt>
                <c:pt idx="1232">
                  <c:v>124.84304831216399</c:v>
                </c:pt>
                <c:pt idx="1233">
                  <c:v>124.36126486948208</c:v>
                </c:pt>
                <c:pt idx="1234">
                  <c:v>125.66606733804196</c:v>
                </c:pt>
                <c:pt idx="1235">
                  <c:v>125.27034038615635</c:v>
                </c:pt>
                <c:pt idx="1236">
                  <c:v>124.7440335080818</c:v>
                </c:pt>
                <c:pt idx="1237">
                  <c:v>126.0817301565213</c:v>
                </c:pt>
                <c:pt idx="1238">
                  <c:v>126.12160188970877</c:v>
                </c:pt>
                <c:pt idx="1239">
                  <c:v>127.3685903451468</c:v>
                </c:pt>
                <c:pt idx="1240">
                  <c:v>127.89821986765364</c:v>
                </c:pt>
                <c:pt idx="1241">
                  <c:v>128.12249836683313</c:v>
                </c:pt>
                <c:pt idx="1242">
                  <c:v>128.08794286473733</c:v>
                </c:pt>
                <c:pt idx="1243">
                  <c:v>127.9726471029369</c:v>
                </c:pt>
                <c:pt idx="1244">
                  <c:v>128.77240761778882</c:v>
                </c:pt>
                <c:pt idx="1245">
                  <c:v>128.73452947126071</c:v>
                </c:pt>
                <c:pt idx="1246">
                  <c:v>129.09370733439113</c:v>
                </c:pt>
                <c:pt idx="1247">
                  <c:v>129.016621983562</c:v>
                </c:pt>
                <c:pt idx="1248">
                  <c:v>128.84716711751526</c:v>
                </c:pt>
                <c:pt idx="1249">
                  <c:v>128.46738885890463</c:v>
                </c:pt>
                <c:pt idx="1250">
                  <c:v>129.26150087822168</c:v>
                </c:pt>
                <c:pt idx="1251">
                  <c:v>128.67638319369561</c:v>
                </c:pt>
                <c:pt idx="1252">
                  <c:v>128.13811479566482</c:v>
                </c:pt>
                <c:pt idx="1253">
                  <c:v>128.29693719952823</c:v>
                </c:pt>
                <c:pt idx="1254">
                  <c:v>126.49440259501151</c:v>
                </c:pt>
                <c:pt idx="1255">
                  <c:v>127.00542530869755</c:v>
                </c:pt>
                <c:pt idx="1256">
                  <c:v>124.85932926988214</c:v>
                </c:pt>
                <c:pt idx="1257">
                  <c:v>124.63903794402138</c:v>
                </c:pt>
                <c:pt idx="1258">
                  <c:v>126.24154935371432</c:v>
                </c:pt>
                <c:pt idx="1259">
                  <c:v>125.47767339873111</c:v>
                </c:pt>
                <c:pt idx="1260">
                  <c:v>127.17820281917656</c:v>
                </c:pt>
                <c:pt idx="1261">
                  <c:v>126.75589471183264</c:v>
                </c:pt>
                <c:pt idx="1262">
                  <c:v>128.3002598439605</c:v>
                </c:pt>
                <c:pt idx="1263">
                  <c:v>127.67659948401987</c:v>
                </c:pt>
                <c:pt idx="1264">
                  <c:v>128.82756351536474</c:v>
                </c:pt>
                <c:pt idx="1265">
                  <c:v>128.60262048729876</c:v>
                </c:pt>
                <c:pt idx="1266">
                  <c:v>127.82379263237026</c:v>
                </c:pt>
                <c:pt idx="1267">
                  <c:v>125.9657698658343</c:v>
                </c:pt>
                <c:pt idx="1268">
                  <c:v>125.66938998247413</c:v>
                </c:pt>
                <c:pt idx="1269">
                  <c:v>125.99135422796293</c:v>
                </c:pt>
                <c:pt idx="1270">
                  <c:v>127.544690500058</c:v>
                </c:pt>
                <c:pt idx="1271">
                  <c:v>126.43559178855996</c:v>
                </c:pt>
                <c:pt idx="1272">
                  <c:v>125.95015343700254</c:v>
                </c:pt>
                <c:pt idx="1273">
                  <c:v>126.39804590647508</c:v>
                </c:pt>
                <c:pt idx="1274">
                  <c:v>127.23435551008221</c:v>
                </c:pt>
                <c:pt idx="1275">
                  <c:v>126.97452471547722</c:v>
                </c:pt>
                <c:pt idx="1276">
                  <c:v>127.36360637849825</c:v>
                </c:pt>
                <c:pt idx="1277">
                  <c:v>127.93144631197642</c:v>
                </c:pt>
                <c:pt idx="1278">
                  <c:v>128.59663972732065</c:v>
                </c:pt>
                <c:pt idx="1279">
                  <c:v>128.01916412498883</c:v>
                </c:pt>
                <c:pt idx="1280">
                  <c:v>128.22815845977979</c:v>
                </c:pt>
                <c:pt idx="1281">
                  <c:v>128.88870017291882</c:v>
                </c:pt>
                <c:pt idx="1282">
                  <c:v>128.79134669105275</c:v>
                </c:pt>
                <c:pt idx="1283">
                  <c:v>127.33469937193729</c:v>
                </c:pt>
                <c:pt idx="1284">
                  <c:v>128.51390588095663</c:v>
                </c:pt>
                <c:pt idx="1285">
                  <c:v>128.32551194164586</c:v>
                </c:pt>
                <c:pt idx="1286">
                  <c:v>128.98273101035258</c:v>
                </c:pt>
                <c:pt idx="1287">
                  <c:v>129.29937902474973</c:v>
                </c:pt>
                <c:pt idx="1288">
                  <c:v>129.59110720590471</c:v>
                </c:pt>
                <c:pt idx="1289">
                  <c:v>129.05483239453329</c:v>
                </c:pt>
                <c:pt idx="1290">
                  <c:v>129.42397819096058</c:v>
                </c:pt>
                <c:pt idx="1291">
                  <c:v>128.94850777270005</c:v>
                </c:pt>
                <c:pt idx="1292">
                  <c:v>127.64868927078865</c:v>
                </c:pt>
                <c:pt idx="1293">
                  <c:v>129.04320313902028</c:v>
                </c:pt>
                <c:pt idx="1294">
                  <c:v>129.42231686874445</c:v>
                </c:pt>
                <c:pt idx="1295">
                  <c:v>127.90220704097227</c:v>
                </c:pt>
                <c:pt idx="1296">
                  <c:v>127.38021960065969</c:v>
                </c:pt>
                <c:pt idx="1297">
                  <c:v>127.89290363656188</c:v>
                </c:pt>
                <c:pt idx="1298">
                  <c:v>129.61669156803336</c:v>
                </c:pt>
                <c:pt idx="1299">
                  <c:v>128.98273101035264</c:v>
                </c:pt>
                <c:pt idx="1300">
                  <c:v>128.60926577616337</c:v>
                </c:pt>
                <c:pt idx="1301">
                  <c:v>128.59830104953681</c:v>
                </c:pt>
                <c:pt idx="1302">
                  <c:v>129.9991279421898</c:v>
                </c:pt>
                <c:pt idx="1303">
                  <c:v>130.11442370399021</c:v>
                </c:pt>
                <c:pt idx="1304">
                  <c:v>130.51845726695655</c:v>
                </c:pt>
                <c:pt idx="1305">
                  <c:v>130.46064325383472</c:v>
                </c:pt>
                <c:pt idx="1306">
                  <c:v>130.3533218386718</c:v>
                </c:pt>
                <c:pt idx="1307">
                  <c:v>130.67628287749031</c:v>
                </c:pt>
                <c:pt idx="1308">
                  <c:v>130.38588375410825</c:v>
                </c:pt>
                <c:pt idx="1309">
                  <c:v>129.04752257678228</c:v>
                </c:pt>
                <c:pt idx="1310">
                  <c:v>130.25131665460054</c:v>
                </c:pt>
                <c:pt idx="1311">
                  <c:v>130.10877520845534</c:v>
                </c:pt>
                <c:pt idx="1312">
                  <c:v>129.29007562033937</c:v>
                </c:pt>
                <c:pt idx="1313">
                  <c:v>129.56951001709487</c:v>
                </c:pt>
                <c:pt idx="1314">
                  <c:v>129.44524311532726</c:v>
                </c:pt>
                <c:pt idx="1315">
                  <c:v>129.74361658534681</c:v>
                </c:pt>
                <c:pt idx="1316">
                  <c:v>128.62720805609774</c:v>
                </c:pt>
                <c:pt idx="1317">
                  <c:v>128.44778525675414</c:v>
                </c:pt>
                <c:pt idx="1318">
                  <c:v>127.63772454416211</c:v>
                </c:pt>
                <c:pt idx="1319">
                  <c:v>127.69454176395425</c:v>
                </c:pt>
                <c:pt idx="1320">
                  <c:v>129.24090048274149</c:v>
                </c:pt>
                <c:pt idx="1321">
                  <c:v>129.50305712844911</c:v>
                </c:pt>
                <c:pt idx="1322">
                  <c:v>128.60494633840142</c:v>
                </c:pt>
                <c:pt idx="1323">
                  <c:v>128.01318336501078</c:v>
                </c:pt>
                <c:pt idx="1324">
                  <c:v>128.74350061122789</c:v>
                </c:pt>
                <c:pt idx="1325">
                  <c:v>129.00133781917347</c:v>
                </c:pt>
                <c:pt idx="1326">
                  <c:v>130.29517556110676</c:v>
                </c:pt>
                <c:pt idx="1327">
                  <c:v>129.60439778363389</c:v>
                </c:pt>
                <c:pt idx="1328">
                  <c:v>130.39419036518896</c:v>
                </c:pt>
                <c:pt idx="1329">
                  <c:v>130.48788893817951</c:v>
                </c:pt>
                <c:pt idx="1330">
                  <c:v>129.53229639945323</c:v>
                </c:pt>
                <c:pt idx="1331">
                  <c:v>129.15251814084263</c:v>
                </c:pt>
                <c:pt idx="1332">
                  <c:v>129.12494019205462</c:v>
                </c:pt>
                <c:pt idx="1333">
                  <c:v>126.44323387075424</c:v>
                </c:pt>
                <c:pt idx="1334">
                  <c:v>126.78712756949614</c:v>
                </c:pt>
                <c:pt idx="1335">
                  <c:v>127.69786440838652</c:v>
                </c:pt>
                <c:pt idx="1336">
                  <c:v>127.65799267519904</c:v>
                </c:pt>
                <c:pt idx="1337">
                  <c:v>127.16923167920933</c:v>
                </c:pt>
                <c:pt idx="1338">
                  <c:v>127.94374009637589</c:v>
                </c:pt>
                <c:pt idx="1339">
                  <c:v>125.85080636847712</c:v>
                </c:pt>
                <c:pt idx="1340">
                  <c:v>126.13622152521074</c:v>
                </c:pt>
                <c:pt idx="1341">
                  <c:v>127.69254817729485</c:v>
                </c:pt>
                <c:pt idx="1342">
                  <c:v>129.1169658454171</c:v>
                </c:pt>
                <c:pt idx="1343">
                  <c:v>129.69311238997599</c:v>
                </c:pt>
                <c:pt idx="1344">
                  <c:v>129.59974608142869</c:v>
                </c:pt>
                <c:pt idx="1345">
                  <c:v>130.64139511095127</c:v>
                </c:pt>
                <c:pt idx="1346">
                  <c:v>130.78659467264228</c:v>
                </c:pt>
                <c:pt idx="1347">
                  <c:v>130.89059344337292</c:v>
                </c:pt>
                <c:pt idx="1348">
                  <c:v>130.33737314539681</c:v>
                </c:pt>
                <c:pt idx="1349">
                  <c:v>130.03999646870696</c:v>
                </c:pt>
                <c:pt idx="1350">
                  <c:v>129.31034375137631</c:v>
                </c:pt>
                <c:pt idx="1351">
                  <c:v>127.92679460977121</c:v>
                </c:pt>
                <c:pt idx="1352">
                  <c:v>127.1885030169166</c:v>
                </c:pt>
                <c:pt idx="1353">
                  <c:v>128.76476553559445</c:v>
                </c:pt>
                <c:pt idx="1354">
                  <c:v>129.72301618986657</c:v>
                </c:pt>
                <c:pt idx="1355">
                  <c:v>129.73730356092543</c:v>
                </c:pt>
                <c:pt idx="1356">
                  <c:v>129.44358179311109</c:v>
                </c:pt>
                <c:pt idx="1357">
                  <c:v>129.08706204552649</c:v>
                </c:pt>
                <c:pt idx="1358">
                  <c:v>128.80031783101995</c:v>
                </c:pt>
                <c:pt idx="1359">
                  <c:v>129.25053615159507</c:v>
                </c:pt>
                <c:pt idx="1360">
                  <c:v>128.2846434151287</c:v>
                </c:pt>
                <c:pt idx="1361">
                  <c:v>127.92048158534983</c:v>
                </c:pt>
                <c:pt idx="1362">
                  <c:v>129.56186793490056</c:v>
                </c:pt>
                <c:pt idx="1363">
                  <c:v>128.34744139489896</c:v>
                </c:pt>
                <c:pt idx="1364">
                  <c:v>128.49895398101134</c:v>
                </c:pt>
                <c:pt idx="1365">
                  <c:v>128.35475121265003</c:v>
                </c:pt>
                <c:pt idx="1366">
                  <c:v>128.85746731525535</c:v>
                </c:pt>
                <c:pt idx="1367">
                  <c:v>129.55322905937663</c:v>
                </c:pt>
                <c:pt idx="1368">
                  <c:v>129.23757783830919</c:v>
                </c:pt>
                <c:pt idx="1369">
                  <c:v>128.17898332218195</c:v>
                </c:pt>
                <c:pt idx="1370">
                  <c:v>125.47501528318524</c:v>
                </c:pt>
                <c:pt idx="1371">
                  <c:v>121.49814216217865</c:v>
                </c:pt>
                <c:pt idx="1372">
                  <c:v>126.28341467356114</c:v>
                </c:pt>
                <c:pt idx="1373">
                  <c:v>127.9896509511314</c:v>
                </c:pt>
                <c:pt idx="1374">
                  <c:v>122.98336924943065</c:v>
                </c:pt>
                <c:pt idx="1375">
                  <c:v>119.9821587571284</c:v>
                </c:pt>
                <c:pt idx="1376">
                  <c:v>120.06998390180235</c:v>
                </c:pt>
                <c:pt idx="1377">
                  <c:v>119.07625865373254</c:v>
                </c:pt>
                <c:pt idx="1378">
                  <c:v>115.56000008363939</c:v>
                </c:pt>
                <c:pt idx="1379">
                  <c:v>113.42617434637658</c:v>
                </c:pt>
                <c:pt idx="1380">
                  <c:v>113.28792811439496</c:v>
                </c:pt>
                <c:pt idx="1381">
                  <c:v>115.01570770958753</c:v>
                </c:pt>
                <c:pt idx="1382">
                  <c:v>112.11694858737587</c:v>
                </c:pt>
                <c:pt idx="1383">
                  <c:v>110.56823306818853</c:v>
                </c:pt>
                <c:pt idx="1384">
                  <c:v>109.975355828658</c:v>
                </c:pt>
                <c:pt idx="1385">
                  <c:v>110.50307157913059</c:v>
                </c:pt>
                <c:pt idx="1386">
                  <c:v>110.05815261019767</c:v>
                </c:pt>
                <c:pt idx="1387">
                  <c:v>111.47176359465325</c:v>
                </c:pt>
                <c:pt idx="1388">
                  <c:v>112.44652130845721</c:v>
                </c:pt>
                <c:pt idx="1389">
                  <c:v>112.17720430476774</c:v>
                </c:pt>
                <c:pt idx="1390">
                  <c:v>110.36507694323114</c:v>
                </c:pt>
                <c:pt idx="1391">
                  <c:v>110.87004632514888</c:v>
                </c:pt>
                <c:pt idx="1392">
                  <c:v>109.5070839213421</c:v>
                </c:pt>
                <c:pt idx="1393">
                  <c:v>109.28841549830145</c:v>
                </c:pt>
                <c:pt idx="1394">
                  <c:v>108.92083418245504</c:v>
                </c:pt>
                <c:pt idx="1395">
                  <c:v>108.87048888672031</c:v>
                </c:pt>
                <c:pt idx="1396">
                  <c:v>106.10756331959087</c:v>
                </c:pt>
                <c:pt idx="1397">
                  <c:v>105.97047853843362</c:v>
                </c:pt>
                <c:pt idx="1398">
                  <c:v>103.9425033045095</c:v>
                </c:pt>
                <c:pt idx="1399">
                  <c:v>104.15503667802474</c:v>
                </c:pt>
                <c:pt idx="1400">
                  <c:v>105.65645394818654</c:v>
                </c:pt>
                <c:pt idx="1401">
                  <c:v>107.59458362968104</c:v>
                </c:pt>
                <c:pt idx="1402">
                  <c:v>107.20794757484782</c:v>
                </c:pt>
                <c:pt idx="1403">
                  <c:v>108.11135998309139</c:v>
                </c:pt>
                <c:pt idx="1404">
                  <c:v>109.06513988944199</c:v>
                </c:pt>
                <c:pt idx="1405">
                  <c:v>109.14782410598764</c:v>
                </c:pt>
                <c:pt idx="1406">
                  <c:v>109.28669865279143</c:v>
                </c:pt>
                <c:pt idx="1407">
                  <c:v>108.55156609371473</c:v>
                </c:pt>
                <c:pt idx="1408">
                  <c:v>108.04585312139147</c:v>
                </c:pt>
                <c:pt idx="1409">
                  <c:v>109.65644849438642</c:v>
                </c:pt>
                <c:pt idx="1410">
                  <c:v>110.15750320098881</c:v>
                </c:pt>
                <c:pt idx="1411">
                  <c:v>110.18894649460476</c:v>
                </c:pt>
                <c:pt idx="1412">
                  <c:v>110.03522372581567</c:v>
                </c:pt>
                <c:pt idx="1413">
                  <c:v>109.40839584474946</c:v>
                </c:pt>
                <c:pt idx="1414">
                  <c:v>111.23036002482947</c:v>
                </c:pt>
                <c:pt idx="1415">
                  <c:v>112.45781304228191</c:v>
                </c:pt>
                <c:pt idx="1416">
                  <c:v>112.24353281912134</c:v>
                </c:pt>
                <c:pt idx="1417">
                  <c:v>111.9570494772871</c:v>
                </c:pt>
                <c:pt idx="1418">
                  <c:v>113.29309831435759</c:v>
                </c:pt>
                <c:pt idx="1419">
                  <c:v>113.25524990537542</c:v>
                </c:pt>
                <c:pt idx="1420">
                  <c:v>112.71052395763978</c:v>
                </c:pt>
                <c:pt idx="1421">
                  <c:v>114.04890192757071</c:v>
                </c:pt>
                <c:pt idx="1422">
                  <c:v>114.36187915569248</c:v>
                </c:pt>
                <c:pt idx="1423">
                  <c:v>113.99707872142589</c:v>
                </c:pt>
                <c:pt idx="1424">
                  <c:v>113.89139431788338</c:v>
                </c:pt>
                <c:pt idx="1425">
                  <c:v>113.86490043159587</c:v>
                </c:pt>
                <c:pt idx="1426">
                  <c:v>112.76991684558104</c:v>
                </c:pt>
                <c:pt idx="1427">
                  <c:v>112.96963998836387</c:v>
                </c:pt>
                <c:pt idx="1428">
                  <c:v>112.60513069570484</c:v>
                </c:pt>
                <c:pt idx="1429">
                  <c:v>111.04985222814534</c:v>
                </c:pt>
                <c:pt idx="1430">
                  <c:v>109.80667756388495</c:v>
                </c:pt>
                <c:pt idx="1431">
                  <c:v>111.46239988605096</c:v>
                </c:pt>
                <c:pt idx="1432">
                  <c:v>111.33662671158713</c:v>
                </c:pt>
                <c:pt idx="1433">
                  <c:v>113.14519837771959</c:v>
                </c:pt>
                <c:pt idx="1434">
                  <c:v>113.02291890254642</c:v>
                </c:pt>
                <c:pt idx="1435">
                  <c:v>113.47098583657377</c:v>
                </c:pt>
                <c:pt idx="1436">
                  <c:v>113.33560498906066</c:v>
                </c:pt>
                <c:pt idx="1437">
                  <c:v>113.47739095194</c:v>
                </c:pt>
                <c:pt idx="1438">
                  <c:v>113.47447953586445</c:v>
                </c:pt>
                <c:pt idx="1439">
                  <c:v>113.56677142545941</c:v>
                </c:pt>
                <c:pt idx="1440">
                  <c:v>113.04562794793574</c:v>
                </c:pt>
                <c:pt idx="1441">
                  <c:v>114.26230872590862</c:v>
                </c:pt>
                <c:pt idx="1442">
                  <c:v>113.03223543398821</c:v>
                </c:pt>
                <c:pt idx="1443">
                  <c:v>111.41232352955146</c:v>
                </c:pt>
                <c:pt idx="1444">
                  <c:v>113.6998231401121</c:v>
                </c:pt>
                <c:pt idx="1445">
                  <c:v>112.91374079971325</c:v>
                </c:pt>
                <c:pt idx="1446">
                  <c:v>112.19083618815387</c:v>
                </c:pt>
                <c:pt idx="1447">
                  <c:v>111.3296393130058</c:v>
                </c:pt>
                <c:pt idx="1448">
                  <c:v>111.59254018462806</c:v>
                </c:pt>
                <c:pt idx="1449">
                  <c:v>109.44275055444101</c:v>
                </c:pt>
                <c:pt idx="1450">
                  <c:v>109.97059028893845</c:v>
                </c:pt>
                <c:pt idx="1451">
                  <c:v>111.13923270166474</c:v>
                </c:pt>
                <c:pt idx="1452">
                  <c:v>112.76263830539213</c:v>
                </c:pt>
                <c:pt idx="1453">
                  <c:v>111.08391579622926</c:v>
                </c:pt>
                <c:pt idx="1454">
                  <c:v>109.10706428092993</c:v>
                </c:pt>
                <c:pt idx="1455">
                  <c:v>109.96855229768558</c:v>
                </c:pt>
                <c:pt idx="1456">
                  <c:v>110.94969951514636</c:v>
                </c:pt>
                <c:pt idx="1457">
                  <c:v>112.33611585032388</c:v>
                </c:pt>
                <c:pt idx="1458">
                  <c:v>112.15677262006992</c:v>
                </c:pt>
                <c:pt idx="1459">
                  <c:v>111.91308709454627</c:v>
                </c:pt>
                <c:pt idx="1460">
                  <c:v>113.12452732358315</c:v>
                </c:pt>
                <c:pt idx="1461">
                  <c:v>112.31952077869322</c:v>
                </c:pt>
                <c:pt idx="1462">
                  <c:v>111.26267674326809</c:v>
                </c:pt>
                <c:pt idx="1463">
                  <c:v>109.58540994214299</c:v>
                </c:pt>
                <c:pt idx="1464">
                  <c:v>109.80609528066979</c:v>
                </c:pt>
                <c:pt idx="1465">
                  <c:v>108.40483072350696</c:v>
                </c:pt>
                <c:pt idx="1466">
                  <c:v>105.8384174529085</c:v>
                </c:pt>
                <c:pt idx="1467">
                  <c:v>106.98493310346061</c:v>
                </c:pt>
                <c:pt idx="1468">
                  <c:v>106.89389247805659</c:v>
                </c:pt>
                <c:pt idx="1469">
                  <c:v>106.05958448446157</c:v>
                </c:pt>
                <c:pt idx="1470">
                  <c:v>108.69538619312627</c:v>
                </c:pt>
                <c:pt idx="1471">
                  <c:v>106.87883838376791</c:v>
                </c:pt>
                <c:pt idx="1472">
                  <c:v>109.18283683525738</c:v>
                </c:pt>
                <c:pt idx="1473">
                  <c:v>109.12418827049029</c:v>
                </c:pt>
                <c:pt idx="1474">
                  <c:v>110.38424344978679</c:v>
                </c:pt>
                <c:pt idx="1475">
                  <c:v>109.80722228782066</c:v>
                </c:pt>
                <c:pt idx="1476">
                  <c:v>107.57964820320409</c:v>
                </c:pt>
                <c:pt idx="1477">
                  <c:v>109.26136205712454</c:v>
                </c:pt>
                <c:pt idx="1478">
                  <c:v>107.71564054705539</c:v>
                </c:pt>
                <c:pt idx="1479">
                  <c:v>108.8790194104387</c:v>
                </c:pt>
                <c:pt idx="1480">
                  <c:v>108.26732737696662</c:v>
                </c:pt>
                <c:pt idx="1481">
                  <c:v>105.58426570498536</c:v>
                </c:pt>
                <c:pt idx="1482">
                  <c:v>105.54065938813234</c:v>
                </c:pt>
                <c:pt idx="1483">
                  <c:v>103.56558394346976</c:v>
                </c:pt>
                <c:pt idx="1484">
                  <c:v>104.11822133238699</c:v>
                </c:pt>
                <c:pt idx="1485">
                  <c:v>104.2978793578214</c:v>
                </c:pt>
                <c:pt idx="1486">
                  <c:v>102.3760036197195</c:v>
                </c:pt>
                <c:pt idx="1487">
                  <c:v>103.81559349342704</c:v>
                </c:pt>
                <c:pt idx="1488">
                  <c:v>103.86283567613009</c:v>
                </c:pt>
                <c:pt idx="1489">
                  <c:v>103.84667491218683</c:v>
                </c:pt>
                <c:pt idx="1490">
                  <c:v>105.10472802596756</c:v>
                </c:pt>
                <c:pt idx="1491">
                  <c:v>103.04216816173134</c:v>
                </c:pt>
                <c:pt idx="1492">
                  <c:v>104.77865509872986</c:v>
                </c:pt>
                <c:pt idx="1493">
                  <c:v>106.51632091348601</c:v>
                </c:pt>
                <c:pt idx="1494">
                  <c:v>106.025023607991</c:v>
                </c:pt>
                <c:pt idx="1495">
                  <c:v>106.0376965438856</c:v>
                </c:pt>
                <c:pt idx="1496">
                  <c:v>107.57023762881302</c:v>
                </c:pt>
                <c:pt idx="1497">
                  <c:v>106.23692688492616</c:v>
                </c:pt>
                <c:pt idx="1498">
                  <c:v>106.71407765732954</c:v>
                </c:pt>
                <c:pt idx="1499">
                  <c:v>107.95101514452963</c:v>
                </c:pt>
                <c:pt idx="1500">
                  <c:v>107.76180526442899</c:v>
                </c:pt>
                <c:pt idx="1501">
                  <c:v>106.89650899032381</c:v>
                </c:pt>
                <c:pt idx="1502">
                  <c:v>109.44995821336443</c:v>
                </c:pt>
                <c:pt idx="1503">
                  <c:v>109.91826740258551</c:v>
                </c:pt>
                <c:pt idx="1504">
                  <c:v>110.31407560971196</c:v>
                </c:pt>
                <c:pt idx="1505">
                  <c:v>110.68100131177631</c:v>
                </c:pt>
                <c:pt idx="1506">
                  <c:v>110.7865108710848</c:v>
                </c:pt>
                <c:pt idx="1507">
                  <c:v>109.56165688090049</c:v>
                </c:pt>
                <c:pt idx="1508">
                  <c:v>110.13429675167242</c:v>
                </c:pt>
                <c:pt idx="1509">
                  <c:v>110.15846374570397</c:v>
                </c:pt>
                <c:pt idx="1510">
                  <c:v>111.99545001154101</c:v>
                </c:pt>
                <c:pt idx="1511">
                  <c:v>111.86164738604927</c:v>
                </c:pt>
                <c:pt idx="1512">
                  <c:v>111.65799625341756</c:v>
                </c:pt>
                <c:pt idx="1513">
                  <c:v>112.29075888982895</c:v>
                </c:pt>
                <c:pt idx="1514">
                  <c:v>113.03256771882171</c:v>
                </c:pt>
                <c:pt idx="1515">
                  <c:v>113.5303488519837</c:v>
                </c:pt>
                <c:pt idx="1516">
                  <c:v>113.64293167783798</c:v>
                </c:pt>
                <c:pt idx="1517">
                  <c:v>113.56070495424284</c:v>
                </c:pt>
                <c:pt idx="1518">
                  <c:v>112.83569513329641</c:v>
                </c:pt>
                <c:pt idx="1519">
                  <c:v>112.7932555340215</c:v>
                </c:pt>
                <c:pt idx="1520">
                  <c:v>112.85573605517624</c:v>
                </c:pt>
                <c:pt idx="1521">
                  <c:v>113.87369699889533</c:v>
                </c:pt>
                <c:pt idx="1522">
                  <c:v>114.38090915411843</c:v>
                </c:pt>
                <c:pt idx="1523">
                  <c:v>114.14808079698523</c:v>
                </c:pt>
                <c:pt idx="1524">
                  <c:v>114.8716170207346</c:v>
                </c:pt>
                <c:pt idx="1525">
                  <c:v>114.52797415438357</c:v>
                </c:pt>
                <c:pt idx="1526">
                  <c:v>113.36648484367224</c:v>
                </c:pt>
                <c:pt idx="1527">
                  <c:v>114.59900153928116</c:v>
                </c:pt>
                <c:pt idx="1528">
                  <c:v>113.23061918210463</c:v>
                </c:pt>
                <c:pt idx="1529">
                  <c:v>113.54714786003004</c:v>
                </c:pt>
                <c:pt idx="1530">
                  <c:v>113.23621885145342</c:v>
                </c:pt>
                <c:pt idx="1531">
                  <c:v>114.33404876325238</c:v>
                </c:pt>
                <c:pt idx="1532">
                  <c:v>115.49907470723663</c:v>
                </c:pt>
                <c:pt idx="1533">
                  <c:v>115.53090440669283</c:v>
                </c:pt>
                <c:pt idx="1534">
                  <c:v>115.4171427030809</c:v>
                </c:pt>
                <c:pt idx="1535">
                  <c:v>116.17427694292292</c:v>
                </c:pt>
                <c:pt idx="1536">
                  <c:v>116.53236106180501</c:v>
                </c:pt>
                <c:pt idx="1537">
                  <c:v>116.62785016017355</c:v>
                </c:pt>
                <c:pt idx="1538">
                  <c:v>116.0251489065819</c:v>
                </c:pt>
                <c:pt idx="1539">
                  <c:v>116.03104329537008</c:v>
                </c:pt>
                <c:pt idx="1540">
                  <c:v>115.8212030545108</c:v>
                </c:pt>
                <c:pt idx="1541">
                  <c:v>116.0378218424765</c:v>
                </c:pt>
                <c:pt idx="1542">
                  <c:v>116.23793634183531</c:v>
                </c:pt>
                <c:pt idx="1543">
                  <c:v>115.17282028781077</c:v>
                </c:pt>
                <c:pt idx="1544">
                  <c:v>114.59074939497775</c:v>
                </c:pt>
                <c:pt idx="1545">
                  <c:v>115.48669649078148</c:v>
                </c:pt>
                <c:pt idx="1546">
                  <c:v>114.48759759118457</c:v>
                </c:pt>
                <c:pt idx="1547">
                  <c:v>113.83243627737809</c:v>
                </c:pt>
                <c:pt idx="1548">
                  <c:v>113.83243627737809</c:v>
                </c:pt>
                <c:pt idx="1549">
                  <c:v>114.20908772094293</c:v>
                </c:pt>
                <c:pt idx="1550">
                  <c:v>114.29632467500802</c:v>
                </c:pt>
                <c:pt idx="1551">
                  <c:v>115.72541923670286</c:v>
                </c:pt>
                <c:pt idx="1552">
                  <c:v>114.67916522680048</c:v>
                </c:pt>
                <c:pt idx="1553">
                  <c:v>114.67091308249701</c:v>
                </c:pt>
                <c:pt idx="1554">
                  <c:v>113.70776995450801</c:v>
                </c:pt>
                <c:pt idx="1555">
                  <c:v>114.83330349361144</c:v>
                </c:pt>
                <c:pt idx="1556">
                  <c:v>113.78763892258789</c:v>
                </c:pt>
                <c:pt idx="1557">
                  <c:v>113.82801548578695</c:v>
                </c:pt>
                <c:pt idx="1558">
                  <c:v>113.40715612631072</c:v>
                </c:pt>
                <c:pt idx="1559">
                  <c:v>114.1079989532256</c:v>
                </c:pt>
                <c:pt idx="1560">
                  <c:v>113.87428643777417</c:v>
                </c:pt>
                <c:pt idx="1561">
                  <c:v>115.43482586944545</c:v>
                </c:pt>
                <c:pt idx="1562">
                  <c:v>116.24707264445698</c:v>
                </c:pt>
                <c:pt idx="1563">
                  <c:v>116.23882050015352</c:v>
                </c:pt>
                <c:pt idx="1564">
                  <c:v>116.7581161523924</c:v>
                </c:pt>
                <c:pt idx="1565">
                  <c:v>116.64848052093221</c:v>
                </c:pt>
                <c:pt idx="1566">
                  <c:v>116.80026103222789</c:v>
                </c:pt>
                <c:pt idx="1567">
                  <c:v>117.14390389857893</c:v>
                </c:pt>
                <c:pt idx="1568">
                  <c:v>116.80409238494022</c:v>
                </c:pt>
                <c:pt idx="1569">
                  <c:v>117.37909001122742</c:v>
                </c:pt>
                <c:pt idx="1570">
                  <c:v>117.53293355859898</c:v>
                </c:pt>
                <c:pt idx="1571">
                  <c:v>117.94613021265057</c:v>
                </c:pt>
                <c:pt idx="1572">
                  <c:v>117.74866818824647</c:v>
                </c:pt>
                <c:pt idx="1573">
                  <c:v>116.66999504000908</c:v>
                </c:pt>
                <c:pt idx="1574">
                  <c:v>115.75783837503786</c:v>
                </c:pt>
                <c:pt idx="1575">
                  <c:v>115.55742915623966</c:v>
                </c:pt>
                <c:pt idx="1576">
                  <c:v>115.35377802360796</c:v>
                </c:pt>
                <c:pt idx="1577">
                  <c:v>115.73426081988512</c:v>
                </c:pt>
                <c:pt idx="1578">
                  <c:v>115.35760937632027</c:v>
                </c:pt>
                <c:pt idx="1579">
                  <c:v>116.02839082041542</c:v>
                </c:pt>
                <c:pt idx="1580">
                  <c:v>116.35346636208368</c:v>
                </c:pt>
                <c:pt idx="1581">
                  <c:v>116.16219344590715</c:v>
                </c:pt>
                <c:pt idx="1582">
                  <c:v>117.71624904991143</c:v>
                </c:pt>
                <c:pt idx="1583">
                  <c:v>113.48761453326938</c:v>
                </c:pt>
                <c:pt idx="1584">
                  <c:v>111.43400947946664</c:v>
                </c:pt>
                <c:pt idx="1585">
                  <c:v>113.43898582576688</c:v>
                </c:pt>
                <c:pt idx="1586">
                  <c:v>115.38560772306411</c:v>
                </c:pt>
                <c:pt idx="1587">
                  <c:v>116.95086266576595</c:v>
                </c:pt>
                <c:pt idx="1588">
                  <c:v>117.20049003094547</c:v>
                </c:pt>
                <c:pt idx="1589">
                  <c:v>116.40592642229849</c:v>
                </c:pt>
                <c:pt idx="1590">
                  <c:v>117.07022403872666</c:v>
                </c:pt>
                <c:pt idx="1591">
                  <c:v>116.97974517082805</c:v>
                </c:pt>
                <c:pt idx="1592">
                  <c:v>118.76456609588968</c:v>
                </c:pt>
                <c:pt idx="1593">
                  <c:v>119.1695106056378</c:v>
                </c:pt>
                <c:pt idx="1594">
                  <c:v>120.00533493580205</c:v>
                </c:pt>
                <c:pt idx="1595">
                  <c:v>120.0324491242277</c:v>
                </c:pt>
                <c:pt idx="1596">
                  <c:v>120.66639063839672</c:v>
                </c:pt>
                <c:pt idx="1597">
                  <c:v>120.55469197086065</c:v>
                </c:pt>
                <c:pt idx="1598">
                  <c:v>120.84675893531507</c:v>
                </c:pt>
                <c:pt idx="1599">
                  <c:v>120.67611637989721</c:v>
                </c:pt>
                <c:pt idx="1600">
                  <c:v>121.2066113708336</c:v>
                </c:pt>
                <c:pt idx="1601">
                  <c:v>120.77072131994751</c:v>
                </c:pt>
                <c:pt idx="1602">
                  <c:v>121.32125723276374</c:v>
                </c:pt>
                <c:pt idx="1603">
                  <c:v>120.95668928621467</c:v>
                </c:pt>
                <c:pt idx="1604">
                  <c:v>120.99912888548957</c:v>
                </c:pt>
                <c:pt idx="1605">
                  <c:v>120.85884243233086</c:v>
                </c:pt>
                <c:pt idx="1606">
                  <c:v>121.06337772328078</c:v>
                </c:pt>
                <c:pt idx="1607">
                  <c:v>121.26260806432136</c:v>
                </c:pt>
                <c:pt idx="1608">
                  <c:v>121.10846979751037</c:v>
                </c:pt>
                <c:pt idx="1609">
                  <c:v>120.34131509672844</c:v>
                </c:pt>
                <c:pt idx="1610">
                  <c:v>120.75539590909827</c:v>
                </c:pt>
                <c:pt idx="1611">
                  <c:v>120.81168732202539</c:v>
                </c:pt>
                <c:pt idx="1612">
                  <c:v>121.85352054033663</c:v>
                </c:pt>
                <c:pt idx="1613">
                  <c:v>121.75420008925573</c:v>
                </c:pt>
                <c:pt idx="1614">
                  <c:v>121.80636543003116</c:v>
                </c:pt>
                <c:pt idx="1615">
                  <c:v>121.50250968800034</c:v>
                </c:pt>
                <c:pt idx="1616">
                  <c:v>122.09401160289448</c:v>
                </c:pt>
                <c:pt idx="1617">
                  <c:v>122.00294329611707</c:v>
                </c:pt>
                <c:pt idx="1618">
                  <c:v>122.35837494004446</c:v>
                </c:pt>
                <c:pt idx="1619">
                  <c:v>121.70969745390501</c:v>
                </c:pt>
                <c:pt idx="1620">
                  <c:v>121.96728224394857</c:v>
                </c:pt>
                <c:pt idx="1621">
                  <c:v>122.23901356708379</c:v>
                </c:pt>
                <c:pt idx="1622">
                  <c:v>122.07957035036344</c:v>
                </c:pt>
                <c:pt idx="1623">
                  <c:v>122.01296375705701</c:v>
                </c:pt>
                <c:pt idx="1624">
                  <c:v>122.25433897793306</c:v>
                </c:pt>
                <c:pt idx="1625">
                  <c:v>121.62039746376404</c:v>
                </c:pt>
                <c:pt idx="1626">
                  <c:v>121.45653345545257</c:v>
                </c:pt>
                <c:pt idx="1627">
                  <c:v>121.26761829479133</c:v>
                </c:pt>
                <c:pt idx="1628">
                  <c:v>121.91806409756725</c:v>
                </c:pt>
                <c:pt idx="1629">
                  <c:v>121.6996769929651</c:v>
                </c:pt>
                <c:pt idx="1630">
                  <c:v>121.43295590029983</c:v>
                </c:pt>
                <c:pt idx="1631">
                  <c:v>121.42941926702693</c:v>
                </c:pt>
                <c:pt idx="1632">
                  <c:v>121.94606244431111</c:v>
                </c:pt>
                <c:pt idx="1633">
                  <c:v>122.31180926861782</c:v>
                </c:pt>
                <c:pt idx="1634">
                  <c:v>122.32359804619419</c:v>
                </c:pt>
                <c:pt idx="1635">
                  <c:v>122.05687695352893</c:v>
                </c:pt>
                <c:pt idx="1636">
                  <c:v>119.06517992408695</c:v>
                </c:pt>
                <c:pt idx="1637">
                  <c:v>120.81935002745003</c:v>
                </c:pt>
                <c:pt idx="1638">
                  <c:v>119.06429576576872</c:v>
                </c:pt>
                <c:pt idx="1639">
                  <c:v>119.00269940293221</c:v>
                </c:pt>
                <c:pt idx="1640">
                  <c:v>120.22549035704064</c:v>
                </c:pt>
                <c:pt idx="1641">
                  <c:v>119.77309601754763</c:v>
                </c:pt>
                <c:pt idx="1642">
                  <c:v>119.77221185922942</c:v>
                </c:pt>
                <c:pt idx="1643">
                  <c:v>119.80934650859497</c:v>
                </c:pt>
                <c:pt idx="1644">
                  <c:v>121.1187849778897</c:v>
                </c:pt>
                <c:pt idx="1645">
                  <c:v>121.90804363662733</c:v>
                </c:pt>
                <c:pt idx="1646">
                  <c:v>121.20896912634889</c:v>
                </c:pt>
                <c:pt idx="1647">
                  <c:v>120.17804052729581</c:v>
                </c:pt>
                <c:pt idx="1648">
                  <c:v>120.95816288341175</c:v>
                </c:pt>
                <c:pt idx="1649">
                  <c:v>121.62570241367339</c:v>
                </c:pt>
                <c:pt idx="1650">
                  <c:v>120.4951586441</c:v>
                </c:pt>
                <c:pt idx="1651">
                  <c:v>121.45564929713434</c:v>
                </c:pt>
                <c:pt idx="1652">
                  <c:v>121.07457706197835</c:v>
                </c:pt>
                <c:pt idx="1653">
                  <c:v>120.48631706091774</c:v>
                </c:pt>
                <c:pt idx="1654">
                  <c:v>121.05306254290147</c:v>
                </c:pt>
                <c:pt idx="1655">
                  <c:v>121.11465890573797</c:v>
                </c:pt>
                <c:pt idx="1656">
                  <c:v>120.7244503679603</c:v>
                </c:pt>
                <c:pt idx="1657">
                  <c:v>121.2805859501253</c:v>
                </c:pt>
                <c:pt idx="1658">
                  <c:v>119.77162242035061</c:v>
                </c:pt>
                <c:pt idx="1659">
                  <c:v>119.91898214005516</c:v>
                </c:pt>
                <c:pt idx="1660">
                  <c:v>119.55146699911198</c:v>
                </c:pt>
                <c:pt idx="1661">
                  <c:v>119.57592871258295</c:v>
                </c:pt>
                <c:pt idx="1662">
                  <c:v>119.21607627706442</c:v>
                </c:pt>
                <c:pt idx="1663">
                  <c:v>119.95051712007194</c:v>
                </c:pt>
                <c:pt idx="1664">
                  <c:v>120.23079530695003</c:v>
                </c:pt>
                <c:pt idx="1665">
                  <c:v>120.07400456518438</c:v>
                </c:pt>
                <c:pt idx="1666">
                  <c:v>120.06427882368389</c:v>
                </c:pt>
                <c:pt idx="1667">
                  <c:v>120.63515037781936</c:v>
                </c:pt>
                <c:pt idx="1668">
                  <c:v>120.18069300225051</c:v>
                </c:pt>
                <c:pt idx="1669">
                  <c:v>119.97321051690648</c:v>
                </c:pt>
                <c:pt idx="1670">
                  <c:v>119.61925247017612</c:v>
                </c:pt>
                <c:pt idx="1671">
                  <c:v>119.25409508474823</c:v>
                </c:pt>
                <c:pt idx="1672">
                  <c:v>119.24024327109599</c:v>
                </c:pt>
                <c:pt idx="1673">
                  <c:v>118.4321225682362</c:v>
                </c:pt>
                <c:pt idx="1674">
                  <c:v>117.67439888951536</c:v>
                </c:pt>
                <c:pt idx="1675">
                  <c:v>117.19695339767257</c:v>
                </c:pt>
                <c:pt idx="1676">
                  <c:v>117.00420688429901</c:v>
                </c:pt>
                <c:pt idx="1677">
                  <c:v>119.6059900954027</c:v>
                </c:pt>
                <c:pt idx="1678">
                  <c:v>120.11614944501989</c:v>
                </c:pt>
                <c:pt idx="1679">
                  <c:v>121.4547651388161</c:v>
                </c:pt>
                <c:pt idx="1680">
                  <c:v>121.70321362623801</c:v>
                </c:pt>
                <c:pt idx="1681">
                  <c:v>121.53316050969894</c:v>
                </c:pt>
                <c:pt idx="1682">
                  <c:v>121.53669714297187</c:v>
                </c:pt>
                <c:pt idx="1683">
                  <c:v>122.47419967973228</c:v>
                </c:pt>
                <c:pt idx="1684">
                  <c:v>122.31475646301196</c:v>
                </c:pt>
                <c:pt idx="1685">
                  <c:v>122.89417488089029</c:v>
                </c:pt>
                <c:pt idx="1686">
                  <c:v>122.62038052167922</c:v>
                </c:pt>
                <c:pt idx="1687">
                  <c:v>123.53695797824159</c:v>
                </c:pt>
                <c:pt idx="1688">
                  <c:v>123.81016289857384</c:v>
                </c:pt>
                <c:pt idx="1689">
                  <c:v>123.91449358012466</c:v>
                </c:pt>
                <c:pt idx="1690">
                  <c:v>124.40166481346795</c:v>
                </c:pt>
                <c:pt idx="1691">
                  <c:v>123.76418666602602</c:v>
                </c:pt>
                <c:pt idx="1692">
                  <c:v>123.95870149603603</c:v>
                </c:pt>
                <c:pt idx="1693">
                  <c:v>123.65631935120226</c:v>
                </c:pt>
                <c:pt idx="1694">
                  <c:v>123.22661840854377</c:v>
                </c:pt>
                <c:pt idx="1695">
                  <c:v>123.27554183548571</c:v>
                </c:pt>
                <c:pt idx="1696">
                  <c:v>124.00526716746266</c:v>
                </c:pt>
                <c:pt idx="1697">
                  <c:v>124.43172619628766</c:v>
                </c:pt>
                <c:pt idx="1698">
                  <c:v>126.09394383455508</c:v>
                </c:pt>
                <c:pt idx="1699">
                  <c:v>126.37864281302431</c:v>
                </c:pt>
                <c:pt idx="1700">
                  <c:v>127.13047210295696</c:v>
                </c:pt>
                <c:pt idx="1701">
                  <c:v>126.99283812475289</c:v>
                </c:pt>
                <c:pt idx="1702">
                  <c:v>127.84516674352406</c:v>
                </c:pt>
                <c:pt idx="1703">
                  <c:v>126.81571174166803</c:v>
                </c:pt>
                <c:pt idx="1704">
                  <c:v>127.31408231370885</c:v>
                </c:pt>
                <c:pt idx="1705">
                  <c:v>127.09481105078845</c:v>
                </c:pt>
                <c:pt idx="1706">
                  <c:v>127.34885920755914</c:v>
                </c:pt>
                <c:pt idx="1707">
                  <c:v>127.83043077155362</c:v>
                </c:pt>
                <c:pt idx="1708">
                  <c:v>127.52068064073465</c:v>
                </c:pt>
                <c:pt idx="1709">
                  <c:v>127.29905162229899</c:v>
                </c:pt>
                <c:pt idx="1710">
                  <c:v>127.47116777491392</c:v>
                </c:pt>
                <c:pt idx="1711">
                  <c:v>127.75881394777723</c:v>
                </c:pt>
                <c:pt idx="1712">
                  <c:v>126.71314937675366</c:v>
                </c:pt>
                <c:pt idx="1713">
                  <c:v>126.68190911617631</c:v>
                </c:pt>
                <c:pt idx="1714">
                  <c:v>126.10042766222212</c:v>
                </c:pt>
                <c:pt idx="1715">
                  <c:v>127.17379586055013</c:v>
                </c:pt>
                <c:pt idx="1716">
                  <c:v>127.93034066151333</c:v>
                </c:pt>
                <c:pt idx="1717">
                  <c:v>127.83308324650831</c:v>
                </c:pt>
                <c:pt idx="1718">
                  <c:v>128.32231751592747</c:v>
                </c:pt>
                <c:pt idx="1719">
                  <c:v>127.86756542091919</c:v>
                </c:pt>
                <c:pt idx="1720">
                  <c:v>127.86815485979801</c:v>
                </c:pt>
                <c:pt idx="1721">
                  <c:v>128.24185910896875</c:v>
                </c:pt>
                <c:pt idx="1722">
                  <c:v>127.96983306639414</c:v>
                </c:pt>
                <c:pt idx="1723">
                  <c:v>128.20619805680025</c:v>
                </c:pt>
                <c:pt idx="1724">
                  <c:v>127.82571526052308</c:v>
                </c:pt>
                <c:pt idx="1725">
                  <c:v>128.07239543130854</c:v>
                </c:pt>
                <c:pt idx="1726">
                  <c:v>127.61233838639092</c:v>
                </c:pt>
                <c:pt idx="1727">
                  <c:v>128.04587068176173</c:v>
                </c:pt>
                <c:pt idx="1728">
                  <c:v>127.70488029036538</c:v>
                </c:pt>
                <c:pt idx="1729">
                  <c:v>128.54365181492372</c:v>
                </c:pt>
                <c:pt idx="1730">
                  <c:v>129.575464572295</c:v>
                </c:pt>
                <c:pt idx="1731">
                  <c:v>129.48292266832055</c:v>
                </c:pt>
                <c:pt idx="1732">
                  <c:v>129.37741310901208</c:v>
                </c:pt>
                <c:pt idx="1733">
                  <c:v>128.60583761663901</c:v>
                </c:pt>
                <c:pt idx="1734">
                  <c:v>128.49207591302709</c:v>
                </c:pt>
                <c:pt idx="1735">
                  <c:v>128.55956666465178</c:v>
                </c:pt>
                <c:pt idx="1736">
                  <c:v>128.64061451048929</c:v>
                </c:pt>
                <c:pt idx="1737">
                  <c:v>129.58666391099254</c:v>
                </c:pt>
                <c:pt idx="1738">
                  <c:v>129.3131642712209</c:v>
                </c:pt>
                <c:pt idx="1739">
                  <c:v>129.34853060395</c:v>
                </c:pt>
                <c:pt idx="1740">
                  <c:v>129.47938603504767</c:v>
                </c:pt>
                <c:pt idx="1741">
                  <c:v>130.24830905246606</c:v>
                </c:pt>
                <c:pt idx="1742">
                  <c:v>130.72044959439947</c:v>
                </c:pt>
                <c:pt idx="1743">
                  <c:v>131.43985974599713</c:v>
                </c:pt>
                <c:pt idx="1744">
                  <c:v>132.00424747246558</c:v>
                </c:pt>
                <c:pt idx="1745">
                  <c:v>132.68239690254597</c:v>
                </c:pt>
                <c:pt idx="1746">
                  <c:v>132.58130813482865</c:v>
                </c:pt>
                <c:pt idx="1747">
                  <c:v>132.8064737865372</c:v>
                </c:pt>
                <c:pt idx="1748">
                  <c:v>133.60987897836645</c:v>
                </c:pt>
                <c:pt idx="1749">
                  <c:v>133.47754995007176</c:v>
                </c:pt>
                <c:pt idx="1750">
                  <c:v>133.54887205440878</c:v>
                </c:pt>
                <c:pt idx="1751">
                  <c:v>133.78052153378434</c:v>
                </c:pt>
                <c:pt idx="1752">
                  <c:v>133.93554395891354</c:v>
                </c:pt>
                <c:pt idx="1753">
                  <c:v>133.5942588480778</c:v>
                </c:pt>
                <c:pt idx="1754">
                  <c:v>135.44509692756705</c:v>
                </c:pt>
                <c:pt idx="1755">
                  <c:v>134.66232209649644</c:v>
                </c:pt>
                <c:pt idx="1756">
                  <c:v>134.73393892027286</c:v>
                </c:pt>
                <c:pt idx="1757">
                  <c:v>134.29539639443209</c:v>
                </c:pt>
                <c:pt idx="1758">
                  <c:v>133.91314528151847</c:v>
                </c:pt>
                <c:pt idx="1759">
                  <c:v>133.6458347499744</c:v>
                </c:pt>
                <c:pt idx="1760">
                  <c:v>133.75429150367691</c:v>
                </c:pt>
                <c:pt idx="1761">
                  <c:v>134.19401290727532</c:v>
                </c:pt>
                <c:pt idx="1762">
                  <c:v>134.28714425012859</c:v>
                </c:pt>
                <c:pt idx="1763">
                  <c:v>133.83976014110556</c:v>
                </c:pt>
                <c:pt idx="1764">
                  <c:v>134.96499896076958</c:v>
                </c:pt>
                <c:pt idx="1765">
                  <c:v>134.75044320887974</c:v>
                </c:pt>
                <c:pt idx="1766">
                  <c:v>134.5739062646737</c:v>
                </c:pt>
                <c:pt idx="1767">
                  <c:v>134.30718517200845</c:v>
                </c:pt>
                <c:pt idx="1768">
                  <c:v>132.65263023916563</c:v>
                </c:pt>
                <c:pt idx="1769">
                  <c:v>132.90815199313332</c:v>
                </c:pt>
                <c:pt idx="1770">
                  <c:v>132.76874969829282</c:v>
                </c:pt>
                <c:pt idx="1771">
                  <c:v>132.65646159187793</c:v>
                </c:pt>
                <c:pt idx="1772">
                  <c:v>132.52148008862855</c:v>
                </c:pt>
                <c:pt idx="1773">
                  <c:v>133.48344433885993</c:v>
                </c:pt>
                <c:pt idx="1774">
                  <c:v>133.65556049147486</c:v>
                </c:pt>
                <c:pt idx="1775">
                  <c:v>134.05195813748011</c:v>
                </c:pt>
                <c:pt idx="1776">
                  <c:v>133.74987071208577</c:v>
                </c:pt>
                <c:pt idx="1777">
                  <c:v>133.53678855739295</c:v>
                </c:pt>
                <c:pt idx="1778">
                  <c:v>133.63316181407976</c:v>
                </c:pt>
                <c:pt idx="1779">
                  <c:v>133.23853248471093</c:v>
                </c:pt>
                <c:pt idx="1780">
                  <c:v>133.53531496019593</c:v>
                </c:pt>
                <c:pt idx="1781">
                  <c:v>133.42538460929632</c:v>
                </c:pt>
                <c:pt idx="1782">
                  <c:v>133.52470506037719</c:v>
                </c:pt>
                <c:pt idx="1783">
                  <c:v>133.35199946888346</c:v>
                </c:pt>
                <c:pt idx="1784">
                  <c:v>132.85245001908501</c:v>
                </c:pt>
                <c:pt idx="1785">
                  <c:v>131.9479560595384</c:v>
                </c:pt>
                <c:pt idx="1786">
                  <c:v>133.08498365677877</c:v>
                </c:pt>
                <c:pt idx="1787">
                  <c:v>132.70214310498633</c:v>
                </c:pt>
                <c:pt idx="1788">
                  <c:v>132.49289230300587</c:v>
                </c:pt>
                <c:pt idx="1789">
                  <c:v>133.49759087195153</c:v>
                </c:pt>
                <c:pt idx="1790">
                  <c:v>133.09235164276399</c:v>
                </c:pt>
                <c:pt idx="1791">
                  <c:v>134.5373610541869</c:v>
                </c:pt>
                <c:pt idx="1792">
                  <c:v>135.35697581518366</c:v>
                </c:pt>
                <c:pt idx="1793">
                  <c:v>135.29272697739248</c:v>
                </c:pt>
                <c:pt idx="1794">
                  <c:v>135.3814375286546</c:v>
                </c:pt>
                <c:pt idx="1795">
                  <c:v>135.12355801917161</c:v>
                </c:pt>
                <c:pt idx="1796">
                  <c:v>135.35815469294127</c:v>
                </c:pt>
                <c:pt idx="1797">
                  <c:v>135.51907150685864</c:v>
                </c:pt>
                <c:pt idx="1798">
                  <c:v>135.37406954266933</c:v>
                </c:pt>
                <c:pt idx="1799">
                  <c:v>135.4601276189768</c:v>
                </c:pt>
                <c:pt idx="1800">
                  <c:v>136.01567376226299</c:v>
                </c:pt>
                <c:pt idx="1801">
                  <c:v>136.03453580638515</c:v>
                </c:pt>
                <c:pt idx="1802">
                  <c:v>135.90132261977226</c:v>
                </c:pt>
                <c:pt idx="1803">
                  <c:v>136.1070367884798</c:v>
                </c:pt>
                <c:pt idx="1804">
                  <c:v>135.85652526498205</c:v>
                </c:pt>
                <c:pt idx="1805">
                  <c:v>135.65817908225972</c:v>
                </c:pt>
                <c:pt idx="1806">
                  <c:v>136.3227714181273</c:v>
                </c:pt>
                <c:pt idx="1807">
                  <c:v>136.25645954426025</c:v>
                </c:pt>
                <c:pt idx="1808">
                  <c:v>133.81971921922565</c:v>
                </c:pt>
                <c:pt idx="1809">
                  <c:v>134.31573203575118</c:v>
                </c:pt>
                <c:pt idx="1810">
                  <c:v>135.22759398128301</c:v>
                </c:pt>
                <c:pt idx="1811">
                  <c:v>135.92814208875848</c:v>
                </c:pt>
                <c:pt idx="1812">
                  <c:v>136.1810113677715</c:v>
                </c:pt>
                <c:pt idx="1813">
                  <c:v>136.52494895356196</c:v>
                </c:pt>
                <c:pt idx="1814">
                  <c:v>137.15034360398812</c:v>
                </c:pt>
                <c:pt idx="1815">
                  <c:v>137.21105580850639</c:v>
                </c:pt>
                <c:pt idx="1816">
                  <c:v>137.06693800263534</c:v>
                </c:pt>
                <c:pt idx="1817">
                  <c:v>137.02508784223926</c:v>
                </c:pt>
                <c:pt idx="1818">
                  <c:v>138.07929927700567</c:v>
                </c:pt>
                <c:pt idx="1819">
                  <c:v>138.59358469877461</c:v>
                </c:pt>
                <c:pt idx="1820">
                  <c:v>138.42972069046311</c:v>
                </c:pt>
                <c:pt idx="1821">
                  <c:v>138.04540654147362</c:v>
                </c:pt>
                <c:pt idx="1822">
                  <c:v>138.29090783450141</c:v>
                </c:pt>
                <c:pt idx="1823">
                  <c:v>138.33157911713988</c:v>
                </c:pt>
                <c:pt idx="1824">
                  <c:v>138.21722797464915</c:v>
                </c:pt>
                <c:pt idx="1825">
                  <c:v>138.09197221290026</c:v>
                </c:pt>
                <c:pt idx="1826">
                  <c:v>138.75037544054024</c:v>
                </c:pt>
                <c:pt idx="1827">
                  <c:v>138.62217248439725</c:v>
                </c:pt>
                <c:pt idx="1828">
                  <c:v>138.33717878648864</c:v>
                </c:pt>
                <c:pt idx="1829">
                  <c:v>138.37755534968767</c:v>
                </c:pt>
                <c:pt idx="1830">
                  <c:v>139.53432914936846</c:v>
                </c:pt>
                <c:pt idx="1831">
                  <c:v>138.6012474041992</c:v>
                </c:pt>
                <c:pt idx="1832">
                  <c:v>138.53287249425631</c:v>
                </c:pt>
                <c:pt idx="1833">
                  <c:v>138.47098141198038</c:v>
                </c:pt>
                <c:pt idx="1834">
                  <c:v>138.68701076106726</c:v>
                </c:pt>
                <c:pt idx="1835">
                  <c:v>138.73239755473628</c:v>
                </c:pt>
                <c:pt idx="1836">
                  <c:v>137.61246368498163</c:v>
                </c:pt>
                <c:pt idx="1837">
                  <c:v>138.85205364713639</c:v>
                </c:pt>
                <c:pt idx="1838">
                  <c:v>137.66227127024177</c:v>
                </c:pt>
                <c:pt idx="1839">
                  <c:v>137.88036365540452</c:v>
                </c:pt>
                <c:pt idx="1840">
                  <c:v>138.21192302473978</c:v>
                </c:pt>
                <c:pt idx="1841">
                  <c:v>138.43974115140304</c:v>
                </c:pt>
                <c:pt idx="1842">
                  <c:v>137.19248848382367</c:v>
                </c:pt>
                <c:pt idx="1843">
                  <c:v>138.07252072989931</c:v>
                </c:pt>
                <c:pt idx="1844">
                  <c:v>138.20131312492109</c:v>
                </c:pt>
                <c:pt idx="1845">
                  <c:v>138.09491940729438</c:v>
                </c:pt>
                <c:pt idx="1846">
                  <c:v>139.11582754540757</c:v>
                </c:pt>
                <c:pt idx="1847">
                  <c:v>139.38019088255754</c:v>
                </c:pt>
                <c:pt idx="1848">
                  <c:v>140.03387859916697</c:v>
                </c:pt>
                <c:pt idx="1849">
                  <c:v>140.03093140477287</c:v>
                </c:pt>
                <c:pt idx="1850">
                  <c:v>140.11757891995916</c:v>
                </c:pt>
                <c:pt idx="1851">
                  <c:v>140.88326002354401</c:v>
                </c:pt>
                <c:pt idx="1852">
                  <c:v>140.87117652652825</c:v>
                </c:pt>
                <c:pt idx="1853">
                  <c:v>140.81901118575283</c:v>
                </c:pt>
                <c:pt idx="1854">
                  <c:v>140.6725356243665</c:v>
                </c:pt>
                <c:pt idx="1855">
                  <c:v>141.0833745229028</c:v>
                </c:pt>
                <c:pt idx="1856">
                  <c:v>141.12375108610186</c:v>
                </c:pt>
                <c:pt idx="1857">
                  <c:v>141.0014425187471</c:v>
                </c:pt>
                <c:pt idx="1858">
                  <c:v>140.81753758855581</c:v>
                </c:pt>
                <c:pt idx="1859">
                  <c:v>140.71556466252025</c:v>
                </c:pt>
                <c:pt idx="1860">
                  <c:v>141.06068112606835</c:v>
                </c:pt>
                <c:pt idx="1861">
                  <c:v>141.15705438275512</c:v>
                </c:pt>
                <c:pt idx="1862">
                  <c:v>140.87559731811942</c:v>
                </c:pt>
                <c:pt idx="1863">
                  <c:v>141.14438144686054</c:v>
                </c:pt>
                <c:pt idx="1864">
                  <c:v>141.38074643726665</c:v>
                </c:pt>
                <c:pt idx="1865">
                  <c:v>141.0562603344772</c:v>
                </c:pt>
                <c:pt idx="1866">
                  <c:v>141.02148344062692</c:v>
                </c:pt>
                <c:pt idx="1867">
                  <c:v>139.03094834685774</c:v>
                </c:pt>
                <c:pt idx="1868">
                  <c:v>139.21750575200369</c:v>
                </c:pt>
                <c:pt idx="1869">
                  <c:v>140.62331747798518</c:v>
                </c:pt>
                <c:pt idx="1870">
                  <c:v>140.58559338974078</c:v>
                </c:pt>
                <c:pt idx="1871">
                  <c:v>140.8252002939804</c:v>
                </c:pt>
                <c:pt idx="1872">
                  <c:v>138.65753881712632</c:v>
                </c:pt>
                <c:pt idx="1873">
                  <c:v>138.40673257418916</c:v>
                </c:pt>
                <c:pt idx="1874">
                  <c:v>138.57177546025824</c:v>
                </c:pt>
                <c:pt idx="1875">
                  <c:v>139.9543043505264</c:v>
                </c:pt>
                <c:pt idx="1876">
                  <c:v>139.48363740579006</c:v>
                </c:pt>
                <c:pt idx="1877">
                  <c:v>139.19687539124499</c:v>
                </c:pt>
                <c:pt idx="1878">
                  <c:v>139.44532387866687</c:v>
                </c:pt>
                <c:pt idx="1879">
                  <c:v>139.51929845795857</c:v>
                </c:pt>
                <c:pt idx="1880">
                  <c:v>139.65634299728379</c:v>
                </c:pt>
                <c:pt idx="1881">
                  <c:v>140.33714490231887</c:v>
                </c:pt>
                <c:pt idx="1882">
                  <c:v>141.14644448293632</c:v>
                </c:pt>
                <c:pt idx="1883">
                  <c:v>141.43556425299664</c:v>
                </c:pt>
                <c:pt idx="1884">
                  <c:v>140.367501004578</c:v>
                </c:pt>
                <c:pt idx="1885">
                  <c:v>140.80781184705521</c:v>
                </c:pt>
                <c:pt idx="1886">
                  <c:v>140.81488511360106</c:v>
                </c:pt>
                <c:pt idx="1887">
                  <c:v>140.61123398096936</c:v>
                </c:pt>
                <c:pt idx="1888">
                  <c:v>142.13729123822978</c:v>
                </c:pt>
                <c:pt idx="1889">
                  <c:v>142.62387303269423</c:v>
                </c:pt>
                <c:pt idx="1890">
                  <c:v>142.73380338359382</c:v>
                </c:pt>
                <c:pt idx="1891">
                  <c:v>142.62328359381542</c:v>
                </c:pt>
                <c:pt idx="1892">
                  <c:v>142.90474065845112</c:v>
                </c:pt>
                <c:pt idx="1893">
                  <c:v>143.11811753258331</c:v>
                </c:pt>
                <c:pt idx="1894">
                  <c:v>143.27844490762189</c:v>
                </c:pt>
                <c:pt idx="1895">
                  <c:v>143.36951321439929</c:v>
                </c:pt>
                <c:pt idx="1896">
                  <c:v>142.93745451622553</c:v>
                </c:pt>
                <c:pt idx="1897">
                  <c:v>143.03323833403348</c:v>
                </c:pt>
                <c:pt idx="1898">
                  <c:v>142.71523605891105</c:v>
                </c:pt>
                <c:pt idx="1899">
                  <c:v>142.73675057798792</c:v>
                </c:pt>
                <c:pt idx="1900">
                  <c:v>143.32000034857859</c:v>
                </c:pt>
                <c:pt idx="1901">
                  <c:v>143.52276732289207</c:v>
                </c:pt>
                <c:pt idx="1902">
                  <c:v>144.05797782485902</c:v>
                </c:pt>
                <c:pt idx="1903">
                  <c:v>144.61647116253928</c:v>
                </c:pt>
                <c:pt idx="1904">
                  <c:v>144.93506287654051</c:v>
                </c:pt>
                <c:pt idx="1905">
                  <c:v>145.12545163439879</c:v>
                </c:pt>
                <c:pt idx="1906">
                  <c:v>145.97011754774533</c:v>
                </c:pt>
                <c:pt idx="1907">
                  <c:v>145.85930303852749</c:v>
                </c:pt>
                <c:pt idx="1908">
                  <c:v>145.59611857913512</c:v>
                </c:pt>
                <c:pt idx="1909">
                  <c:v>145.93828784828912</c:v>
                </c:pt>
                <c:pt idx="1910">
                  <c:v>146.20412478263614</c:v>
                </c:pt>
                <c:pt idx="1911">
                  <c:v>145.9701175477453</c:v>
                </c:pt>
                <c:pt idx="1912">
                  <c:v>146.10038353996413</c:v>
                </c:pt>
                <c:pt idx="1913">
                  <c:v>146.35914720776535</c:v>
                </c:pt>
                <c:pt idx="1914">
                  <c:v>146.45728878108858</c:v>
                </c:pt>
                <c:pt idx="1915">
                  <c:v>146.57222936245813</c:v>
                </c:pt>
                <c:pt idx="1916">
                  <c:v>146.63235212809758</c:v>
                </c:pt>
                <c:pt idx="1917">
                  <c:v>147.39243356233371</c:v>
                </c:pt>
                <c:pt idx="1918">
                  <c:v>146.81065738894011</c:v>
                </c:pt>
                <c:pt idx="1919">
                  <c:v>147.05203260981619</c:v>
                </c:pt>
                <c:pt idx="1920">
                  <c:v>146.36622047431118</c:v>
                </c:pt>
                <c:pt idx="1921">
                  <c:v>146.55218844057833</c:v>
                </c:pt>
                <c:pt idx="1922">
                  <c:v>147.73548698980593</c:v>
                </c:pt>
                <c:pt idx="1923">
                  <c:v>147.2757246643277</c:v>
                </c:pt>
                <c:pt idx="1924">
                  <c:v>147.41954775075934</c:v>
                </c:pt>
                <c:pt idx="1925">
                  <c:v>147.65414442452899</c:v>
                </c:pt>
                <c:pt idx="1926">
                  <c:v>147.69805762100094</c:v>
                </c:pt>
                <c:pt idx="1927">
                  <c:v>148.16990344349497</c:v>
                </c:pt>
                <c:pt idx="1928">
                  <c:v>148.37060738173261</c:v>
                </c:pt>
                <c:pt idx="1929">
                  <c:v>148.34349319330698</c:v>
                </c:pt>
                <c:pt idx="1930">
                  <c:v>148.56040670071206</c:v>
                </c:pt>
                <c:pt idx="1931">
                  <c:v>148.03786913463969</c:v>
                </c:pt>
                <c:pt idx="1932">
                  <c:v>147.95829488599924</c:v>
                </c:pt>
                <c:pt idx="1933">
                  <c:v>148.10712820290084</c:v>
                </c:pt>
                <c:pt idx="1934">
                  <c:v>147.78794705002076</c:v>
                </c:pt>
                <c:pt idx="1935">
                  <c:v>147.00487749951074</c:v>
                </c:pt>
                <c:pt idx="1936">
                  <c:v>148.25802455587828</c:v>
                </c:pt>
                <c:pt idx="1937">
                  <c:v>147.8740051263282</c:v>
                </c:pt>
                <c:pt idx="1938">
                  <c:v>148.06734107858057</c:v>
                </c:pt>
                <c:pt idx="1939">
                  <c:v>149.03814691199418</c:v>
                </c:pt>
                <c:pt idx="1940">
                  <c:v>148.93941589979212</c:v>
                </c:pt>
                <c:pt idx="1941">
                  <c:v>149.25270266388398</c:v>
                </c:pt>
                <c:pt idx="1942">
                  <c:v>149.21203138124554</c:v>
                </c:pt>
                <c:pt idx="1943">
                  <c:v>150.68739689492756</c:v>
                </c:pt>
                <c:pt idx="1944">
                  <c:v>150.65114640388026</c:v>
                </c:pt>
                <c:pt idx="1945">
                  <c:v>151.94083867073454</c:v>
                </c:pt>
                <c:pt idx="1946">
                  <c:v>151.63934068421904</c:v>
                </c:pt>
                <c:pt idx="1947">
                  <c:v>151.48313938133219</c:v>
                </c:pt>
                <c:pt idx="1948">
                  <c:v>150.92346716589429</c:v>
                </c:pt>
                <c:pt idx="1949">
                  <c:v>150.90991007168148</c:v>
                </c:pt>
                <c:pt idx="1950">
                  <c:v>151.37880869978136</c:v>
                </c:pt>
                <c:pt idx="1951">
                  <c:v>152.22819012415843</c:v>
                </c:pt>
                <c:pt idx="1952">
                  <c:v>152.71624551581994</c:v>
                </c:pt>
                <c:pt idx="1953">
                  <c:v>152.95821017557481</c:v>
                </c:pt>
                <c:pt idx="1954">
                  <c:v>152.89101414338953</c:v>
                </c:pt>
                <c:pt idx="1955">
                  <c:v>152.29479671746486</c:v>
                </c:pt>
                <c:pt idx="1956">
                  <c:v>153.66966290230843</c:v>
                </c:pt>
                <c:pt idx="1957">
                  <c:v>154.50018228256332</c:v>
                </c:pt>
                <c:pt idx="1958">
                  <c:v>154.00358002715896</c:v>
                </c:pt>
                <c:pt idx="1959">
                  <c:v>153.89630215121403</c:v>
                </c:pt>
                <c:pt idx="1960">
                  <c:v>154.20192620988126</c:v>
                </c:pt>
                <c:pt idx="1961">
                  <c:v>154.1320777027413</c:v>
                </c:pt>
                <c:pt idx="1962">
                  <c:v>153.97646583873328</c:v>
                </c:pt>
                <c:pt idx="1963">
                  <c:v>154.10908958646741</c:v>
                </c:pt>
                <c:pt idx="1964">
                  <c:v>154.42090275336224</c:v>
                </c:pt>
                <c:pt idx="1965">
                  <c:v>153.63017049742757</c:v>
                </c:pt>
                <c:pt idx="1966">
                  <c:v>154.91278949773604</c:v>
                </c:pt>
                <c:pt idx="1967">
                  <c:v>155.90422569190832</c:v>
                </c:pt>
                <c:pt idx="1968">
                  <c:v>156.56469195562417</c:v>
                </c:pt>
                <c:pt idx="1969">
                  <c:v>157.66576378125663</c:v>
                </c:pt>
                <c:pt idx="1970">
                  <c:v>157.93071655728545</c:v>
                </c:pt>
                <c:pt idx="1971">
                  <c:v>158.18358583629845</c:v>
                </c:pt>
                <c:pt idx="1972">
                  <c:v>158.00881720872883</c:v>
                </c:pt>
                <c:pt idx="1973">
                  <c:v>159.13258243119577</c:v>
                </c:pt>
                <c:pt idx="1974">
                  <c:v>160.20712950728142</c:v>
                </c:pt>
                <c:pt idx="1975">
                  <c:v>159.64539425576763</c:v>
                </c:pt>
                <c:pt idx="1976">
                  <c:v>161.14816867731474</c:v>
                </c:pt>
                <c:pt idx="1977">
                  <c:v>160.90207794540811</c:v>
                </c:pt>
                <c:pt idx="1978">
                  <c:v>161.61146763606587</c:v>
                </c:pt>
                <c:pt idx="1979">
                  <c:v>162.91766419152711</c:v>
                </c:pt>
                <c:pt idx="1980">
                  <c:v>163.27840078536386</c:v>
                </c:pt>
                <c:pt idx="1981">
                  <c:v>163.18703775914702</c:v>
                </c:pt>
                <c:pt idx="1982">
                  <c:v>163.28576877134907</c:v>
                </c:pt>
                <c:pt idx="1983">
                  <c:v>165.22207548826697</c:v>
                </c:pt>
                <c:pt idx="1984">
                  <c:v>164.11953006543746</c:v>
                </c:pt>
                <c:pt idx="1985">
                  <c:v>162.34207712636106</c:v>
                </c:pt>
                <c:pt idx="1986">
                  <c:v>162.42607216659269</c:v>
                </c:pt>
                <c:pt idx="1987">
                  <c:v>162.35209758730099</c:v>
                </c:pt>
                <c:pt idx="1988">
                  <c:v>158.91891083762417</c:v>
                </c:pt>
                <c:pt idx="1989">
                  <c:v>152.4070848238797</c:v>
                </c:pt>
                <c:pt idx="1990">
                  <c:v>155.08195845595688</c:v>
                </c:pt>
                <c:pt idx="1991">
                  <c:v>154.31038296358381</c:v>
                </c:pt>
                <c:pt idx="1992">
                  <c:v>148.5403657788321</c:v>
                </c:pt>
                <c:pt idx="1993">
                  <c:v>150.80764242620643</c:v>
                </c:pt>
                <c:pt idx="1994">
                  <c:v>152.9113497847087</c:v>
                </c:pt>
                <c:pt idx="1995">
                  <c:v>153.31953620829034</c:v>
                </c:pt>
                <c:pt idx="1996">
                  <c:v>155.41823333632266</c:v>
                </c:pt>
                <c:pt idx="1997">
                  <c:v>157.33155193696666</c:v>
                </c:pt>
                <c:pt idx="1998">
                  <c:v>157.4043476385007</c:v>
                </c:pt>
                <c:pt idx="1999">
                  <c:v>156.49572760680238</c:v>
                </c:pt>
                <c:pt idx="2000">
                  <c:v>155.63868347700065</c:v>
                </c:pt>
                <c:pt idx="2001">
                  <c:v>155.80343164363038</c:v>
                </c:pt>
                <c:pt idx="2002">
                  <c:v>158.31031519524436</c:v>
                </c:pt>
                <c:pt idx="2003">
                  <c:v>160.19121465755336</c:v>
                </c:pt>
                <c:pt idx="2004">
                  <c:v>158.17857560582848</c:v>
                </c:pt>
                <c:pt idx="2005">
                  <c:v>156.43973091331469</c:v>
                </c:pt>
                <c:pt idx="2006">
                  <c:v>154.37934731240554</c:v>
                </c:pt>
                <c:pt idx="2007">
                  <c:v>155.17685811544658</c:v>
                </c:pt>
                <c:pt idx="2008">
                  <c:v>156.88976749729238</c:v>
                </c:pt>
                <c:pt idx="2009">
                  <c:v>157.31210045396563</c:v>
                </c:pt>
                <c:pt idx="2010">
                  <c:v>157.24667273841683</c:v>
                </c:pt>
                <c:pt idx="2011">
                  <c:v>157.99113404236425</c:v>
                </c:pt>
                <c:pt idx="2012">
                  <c:v>160.7408664120513</c:v>
                </c:pt>
                <c:pt idx="2013">
                  <c:v>160.53662584054081</c:v>
                </c:pt>
                <c:pt idx="2014">
                  <c:v>159.52426456617047</c:v>
                </c:pt>
                <c:pt idx="2015">
                  <c:v>158.65543165879242</c:v>
                </c:pt>
                <c:pt idx="2016">
                  <c:v>158.54108051630169</c:v>
                </c:pt>
                <c:pt idx="2017">
                  <c:v>158.8166431921492</c:v>
                </c:pt>
                <c:pt idx="2018">
                  <c:v>156.56174476123002</c:v>
                </c:pt>
                <c:pt idx="2019">
                  <c:v>156.79663615443908</c:v>
                </c:pt>
                <c:pt idx="2020">
                  <c:v>156.52431539242505</c:v>
                </c:pt>
                <c:pt idx="2021">
                  <c:v>152.59157919294978</c:v>
                </c:pt>
                <c:pt idx="2022">
                  <c:v>149.39416799480023</c:v>
                </c:pt>
                <c:pt idx="2023">
                  <c:v>145.3370601918943</c:v>
                </c:pt>
                <c:pt idx="2024">
                  <c:v>142.82651794842312</c:v>
                </c:pt>
                <c:pt idx="2025">
                  <c:v>142.43405381741127</c:v>
                </c:pt>
                <c:pt idx="2026">
                  <c:v>144.40195717703679</c:v>
                </c:pt>
                <c:pt idx="2027">
                  <c:v>141.17794528999076</c:v>
                </c:pt>
                <c:pt idx="2028">
                  <c:v>139.39120069354212</c:v>
                </c:pt>
                <c:pt idx="2029">
                  <c:v>141.01353497187588</c:v>
                </c:pt>
                <c:pt idx="2030">
                  <c:v>142.0017409380946</c:v>
                </c:pt>
                <c:pt idx="2031">
                  <c:v>138.89179062799229</c:v>
                </c:pt>
                <c:pt idx="2032">
                  <c:v>139.39664385501948</c:v>
                </c:pt>
                <c:pt idx="2033">
                  <c:v>141.73257660303804</c:v>
                </c:pt>
                <c:pt idx="2034">
                  <c:v>140.95583746021561</c:v>
                </c:pt>
                <c:pt idx="2035">
                  <c:v>142.13591486851209</c:v>
                </c:pt>
                <c:pt idx="2036">
                  <c:v>141.72822207385613</c:v>
                </c:pt>
                <c:pt idx="2037">
                  <c:v>142.88135583283955</c:v>
                </c:pt>
                <c:pt idx="2038">
                  <c:v>144.40435241421108</c:v>
                </c:pt>
                <c:pt idx="2039">
                  <c:v>144.52464628286123</c:v>
                </c:pt>
                <c:pt idx="2040">
                  <c:v>143.71497601310062</c:v>
                </c:pt>
                <c:pt idx="2041">
                  <c:v>142.4951635260193</c:v>
                </c:pt>
                <c:pt idx="2042">
                  <c:v>142.50305611016151</c:v>
                </c:pt>
                <c:pt idx="2043">
                  <c:v>140.59958254152096</c:v>
                </c:pt>
                <c:pt idx="2044">
                  <c:v>140.85786055362274</c:v>
                </c:pt>
                <c:pt idx="2045">
                  <c:v>142.32805846866367</c:v>
                </c:pt>
                <c:pt idx="2046">
                  <c:v>142.49461920987156</c:v>
                </c:pt>
                <c:pt idx="2047">
                  <c:v>141.33277639252435</c:v>
                </c:pt>
                <c:pt idx="2048">
                  <c:v>141.69393015654867</c:v>
                </c:pt>
                <c:pt idx="2049">
                  <c:v>140.67279306339177</c:v>
                </c:pt>
                <c:pt idx="2050">
                  <c:v>140.37096975947094</c:v>
                </c:pt>
                <c:pt idx="2051">
                  <c:v>142.19470101246785</c:v>
                </c:pt>
                <c:pt idx="2052">
                  <c:v>142.68894007461415</c:v>
                </c:pt>
                <c:pt idx="2053">
                  <c:v>142.65247089271568</c:v>
                </c:pt>
                <c:pt idx="2054">
                  <c:v>144.05054691818128</c:v>
                </c:pt>
                <c:pt idx="2055">
                  <c:v>145.43310993343638</c:v>
                </c:pt>
                <c:pt idx="2056">
                  <c:v>145.73221165661855</c:v>
                </c:pt>
                <c:pt idx="2057">
                  <c:v>145.86747421933151</c:v>
                </c:pt>
                <c:pt idx="2058">
                  <c:v>144.87600235622634</c:v>
                </c:pt>
                <c:pt idx="2059">
                  <c:v>145.50468750686397</c:v>
                </c:pt>
                <c:pt idx="2060">
                  <c:v>145.42195145240777</c:v>
                </c:pt>
                <c:pt idx="2061">
                  <c:v>145.05099999772418</c:v>
                </c:pt>
                <c:pt idx="2062">
                  <c:v>146.12684086372877</c:v>
                </c:pt>
                <c:pt idx="2063">
                  <c:v>145.67124824807189</c:v>
                </c:pt>
                <c:pt idx="2064">
                  <c:v>146.1486135096383</c:v>
                </c:pt>
                <c:pt idx="2065">
                  <c:v>145.85822084481995</c:v>
                </c:pt>
                <c:pt idx="2066">
                  <c:v>145.53135899810317</c:v>
                </c:pt>
                <c:pt idx="2067">
                  <c:v>143.85459310499556</c:v>
                </c:pt>
                <c:pt idx="2068">
                  <c:v>145.70690095574872</c:v>
                </c:pt>
                <c:pt idx="2069">
                  <c:v>144.73638526433149</c:v>
                </c:pt>
                <c:pt idx="2070">
                  <c:v>146.32007309617583</c:v>
                </c:pt>
                <c:pt idx="2071">
                  <c:v>146.97896779301297</c:v>
                </c:pt>
                <c:pt idx="2072">
                  <c:v>147.09109691944704</c:v>
                </c:pt>
                <c:pt idx="2073">
                  <c:v>148.35581548871681</c:v>
                </c:pt>
                <c:pt idx="2074">
                  <c:v>148.27661748922091</c:v>
                </c:pt>
                <c:pt idx="2075">
                  <c:v>148.74581800857126</c:v>
                </c:pt>
                <c:pt idx="2076">
                  <c:v>148.90557479793245</c:v>
                </c:pt>
                <c:pt idx="2077">
                  <c:v>149.17174539417644</c:v>
                </c:pt>
                <c:pt idx="2078">
                  <c:v>148.57680784469858</c:v>
                </c:pt>
                <c:pt idx="2079">
                  <c:v>148.98939948468416</c:v>
                </c:pt>
                <c:pt idx="2080">
                  <c:v>148.85332044774961</c:v>
                </c:pt>
                <c:pt idx="2081">
                  <c:v>148.53925003050466</c:v>
                </c:pt>
                <c:pt idx="2082">
                  <c:v>147.94866701020871</c:v>
                </c:pt>
                <c:pt idx="2083">
                  <c:v>148.20177401890697</c:v>
                </c:pt>
                <c:pt idx="2084">
                  <c:v>147.27562009353036</c:v>
                </c:pt>
                <c:pt idx="2085">
                  <c:v>147.55403780309848</c:v>
                </c:pt>
                <c:pt idx="2086">
                  <c:v>145.52918173351227</c:v>
                </c:pt>
                <c:pt idx="2087">
                  <c:v>145.84978394453012</c:v>
                </c:pt>
                <c:pt idx="2088">
                  <c:v>144.5945909078458</c:v>
                </c:pt>
                <c:pt idx="2089">
                  <c:v>145.50768124567665</c:v>
                </c:pt>
                <c:pt idx="2090">
                  <c:v>145.62715864010519</c:v>
                </c:pt>
                <c:pt idx="2091">
                  <c:v>146.08057399117115</c:v>
                </c:pt>
                <c:pt idx="2092">
                  <c:v>145.35772214697482</c:v>
                </c:pt>
                <c:pt idx="2093">
                  <c:v>146.64639062674505</c:v>
                </c:pt>
                <c:pt idx="2094">
                  <c:v>147.90049503113389</c:v>
                </c:pt>
                <c:pt idx="2095">
                  <c:v>149.2484939710076</c:v>
                </c:pt>
                <c:pt idx="2096">
                  <c:v>149.76994884054082</c:v>
                </c:pt>
                <c:pt idx="2097">
                  <c:v>148.70744372015582</c:v>
                </c:pt>
                <c:pt idx="2098">
                  <c:v>150.02332800731295</c:v>
                </c:pt>
                <c:pt idx="2099">
                  <c:v>150.18580637741283</c:v>
                </c:pt>
                <c:pt idx="2100">
                  <c:v>150.03856885944964</c:v>
                </c:pt>
                <c:pt idx="2101">
                  <c:v>150.6370444638878</c:v>
                </c:pt>
                <c:pt idx="2102">
                  <c:v>150.96227336216137</c:v>
                </c:pt>
                <c:pt idx="2103">
                  <c:v>150.38121587445085</c:v>
                </c:pt>
                <c:pt idx="2104">
                  <c:v>150.24486467944243</c:v>
                </c:pt>
                <c:pt idx="2105">
                  <c:v>150.52137728249343</c:v>
                </c:pt>
                <c:pt idx="2106">
                  <c:v>151.24831149779783</c:v>
                </c:pt>
                <c:pt idx="2107">
                  <c:v>152.62597566772325</c:v>
                </c:pt>
                <c:pt idx="2108">
                  <c:v>152.16330694214577</c:v>
                </c:pt>
                <c:pt idx="2109">
                  <c:v>151.16503112719388</c:v>
                </c:pt>
                <c:pt idx="2110">
                  <c:v>150.3077331945062</c:v>
                </c:pt>
                <c:pt idx="2111">
                  <c:v>151.04664236506082</c:v>
                </c:pt>
                <c:pt idx="2112">
                  <c:v>150.88960715643833</c:v>
                </c:pt>
                <c:pt idx="2113">
                  <c:v>151.64865602445929</c:v>
                </c:pt>
                <c:pt idx="2114">
                  <c:v>152.37341297517273</c:v>
                </c:pt>
                <c:pt idx="2115">
                  <c:v>152.9269824974225</c:v>
                </c:pt>
                <c:pt idx="2116">
                  <c:v>153.36053030909599</c:v>
                </c:pt>
                <c:pt idx="2117">
                  <c:v>153.32487760141916</c:v>
                </c:pt>
                <c:pt idx="2118">
                  <c:v>153.14334816614846</c:v>
                </c:pt>
                <c:pt idx="2119">
                  <c:v>152.09989411093429</c:v>
                </c:pt>
                <c:pt idx="2120">
                  <c:v>151.49298160620617</c:v>
                </c:pt>
                <c:pt idx="2121">
                  <c:v>152.47411146250431</c:v>
                </c:pt>
                <c:pt idx="2122">
                  <c:v>151.34302250750432</c:v>
                </c:pt>
                <c:pt idx="2123">
                  <c:v>152.58705706316002</c:v>
                </c:pt>
                <c:pt idx="2124">
                  <c:v>153.10687898425002</c:v>
                </c:pt>
                <c:pt idx="2125">
                  <c:v>153.48436223270647</c:v>
                </c:pt>
                <c:pt idx="2126">
                  <c:v>153.80714170831524</c:v>
                </c:pt>
                <c:pt idx="2127">
                  <c:v>153.75053282895047</c:v>
                </c:pt>
                <c:pt idx="2128">
                  <c:v>153.49987524291703</c:v>
                </c:pt>
                <c:pt idx="2129">
                  <c:v>154.45297281760662</c:v>
                </c:pt>
                <c:pt idx="2130">
                  <c:v>155.65536718796037</c:v>
                </c:pt>
                <c:pt idx="2131">
                  <c:v>155.69864032170557</c:v>
                </c:pt>
                <c:pt idx="2132">
                  <c:v>156.5997557042862</c:v>
                </c:pt>
                <c:pt idx="2133">
                  <c:v>155.93160763293753</c:v>
                </c:pt>
                <c:pt idx="2134">
                  <c:v>155.96834897290987</c:v>
                </c:pt>
                <c:pt idx="2135">
                  <c:v>155.72503965487087</c:v>
                </c:pt>
                <c:pt idx="2136">
                  <c:v>155.28958673668029</c:v>
                </c:pt>
                <c:pt idx="2137">
                  <c:v>154.76813186714708</c:v>
                </c:pt>
                <c:pt idx="2138">
                  <c:v>154.4382762816177</c:v>
                </c:pt>
                <c:pt idx="2139">
                  <c:v>154.73111836910087</c:v>
                </c:pt>
                <c:pt idx="2140">
                  <c:v>155.32034059902747</c:v>
                </c:pt>
                <c:pt idx="2141">
                  <c:v>155.37722163646612</c:v>
                </c:pt>
                <c:pt idx="2142">
                  <c:v>156.23914625640961</c:v>
                </c:pt>
                <c:pt idx="2143">
                  <c:v>156.30555282643365</c:v>
                </c:pt>
                <c:pt idx="2144">
                  <c:v>155.43736857079122</c:v>
                </c:pt>
                <c:pt idx="2145">
                  <c:v>156.2780648609729</c:v>
                </c:pt>
                <c:pt idx="2146">
                  <c:v>156.47429083223253</c:v>
                </c:pt>
                <c:pt idx="2147">
                  <c:v>157.70798338108119</c:v>
                </c:pt>
                <c:pt idx="2148">
                  <c:v>157.65355176630737</c:v>
                </c:pt>
                <c:pt idx="2149">
                  <c:v>157.09943792790986</c:v>
                </c:pt>
                <c:pt idx="2150">
                  <c:v>156.90593353738893</c:v>
                </c:pt>
                <c:pt idx="2151">
                  <c:v>156.38937751318537</c:v>
                </c:pt>
                <c:pt idx="2152">
                  <c:v>156.85068544839351</c:v>
                </c:pt>
                <c:pt idx="2153">
                  <c:v>156.85612860987089</c:v>
                </c:pt>
                <c:pt idx="2154">
                  <c:v>157.42847703921763</c:v>
                </c:pt>
                <c:pt idx="2155">
                  <c:v>157.37186815985285</c:v>
                </c:pt>
                <c:pt idx="2156">
                  <c:v>157.48372512821305</c:v>
                </c:pt>
                <c:pt idx="2157">
                  <c:v>156.23397525300612</c:v>
                </c:pt>
                <c:pt idx="2158">
                  <c:v>155.3723227911365</c:v>
                </c:pt>
                <c:pt idx="2159">
                  <c:v>155.31135938258981</c:v>
                </c:pt>
                <c:pt idx="2160">
                  <c:v>155.13636174109197</c:v>
                </c:pt>
                <c:pt idx="2161">
                  <c:v>150.03911317559741</c:v>
                </c:pt>
                <c:pt idx="2162">
                  <c:v>146.95284061792171</c:v>
                </c:pt>
                <c:pt idx="2163">
                  <c:v>144.84933086498737</c:v>
                </c:pt>
                <c:pt idx="2164">
                  <c:v>143.99718730010221</c:v>
                </c:pt>
                <c:pt idx="2165">
                  <c:v>147.09658842886975</c:v>
                </c:pt>
                <c:pt idx="2166">
                  <c:v>147.06538019154621</c:v>
                </c:pt>
                <c:pt idx="2167">
                  <c:v>144.96305579760704</c:v>
                </c:pt>
                <c:pt idx="2168">
                  <c:v>144.9146565820968</c:v>
                </c:pt>
                <c:pt idx="2169">
                  <c:v>144.29525241420077</c:v>
                </c:pt>
                <c:pt idx="2170">
                  <c:v>143.50711218348764</c:v>
                </c:pt>
                <c:pt idx="2171">
                  <c:v>139.0779227728323</c:v>
                </c:pt>
                <c:pt idx="2172">
                  <c:v>136.48790355156595</c:v>
                </c:pt>
                <c:pt idx="2173">
                  <c:v>138.85250410520419</c:v>
                </c:pt>
                <c:pt idx="2174">
                  <c:v>139.76152645271097</c:v>
                </c:pt>
                <c:pt idx="2175">
                  <c:v>137.5595116123431</c:v>
                </c:pt>
                <c:pt idx="2176">
                  <c:v>136.06211230827762</c:v>
                </c:pt>
                <c:pt idx="2177">
                  <c:v>137.50242981768776</c:v>
                </c:pt>
                <c:pt idx="2178">
                  <c:v>136.6459426287704</c:v>
                </c:pt>
                <c:pt idx="2179">
                  <c:v>137.41500730875981</c:v>
                </c:pt>
                <c:pt idx="2180">
                  <c:v>138.28593821654351</c:v>
                </c:pt>
                <c:pt idx="2181">
                  <c:v>141.22054713218014</c:v>
                </c:pt>
                <c:pt idx="2182">
                  <c:v>140.94028830645749</c:v>
                </c:pt>
                <c:pt idx="2183">
                  <c:v>139.667974053335</c:v>
                </c:pt>
                <c:pt idx="2184">
                  <c:v>136.91606551142897</c:v>
                </c:pt>
                <c:pt idx="2185">
                  <c:v>136.71790782452561</c:v>
                </c:pt>
                <c:pt idx="2186">
                  <c:v>135.71875723698091</c:v>
                </c:pt>
                <c:pt idx="2187">
                  <c:v>137.20088551153049</c:v>
                </c:pt>
                <c:pt idx="2188">
                  <c:v>137.51585994224772</c:v>
                </c:pt>
                <c:pt idx="2189">
                  <c:v>135.23121837559719</c:v>
                </c:pt>
                <c:pt idx="2190">
                  <c:v>132.78668230711031</c:v>
                </c:pt>
                <c:pt idx="2191">
                  <c:v>132.37161543863499</c:v>
                </c:pt>
                <c:pt idx="2192">
                  <c:v>133.23233400358322</c:v>
                </c:pt>
                <c:pt idx="2193">
                  <c:v>131.14701912498211</c:v>
                </c:pt>
                <c:pt idx="2194">
                  <c:v>131.57600250632518</c:v>
                </c:pt>
                <c:pt idx="2195">
                  <c:v>134.60732023270324</c:v>
                </c:pt>
                <c:pt idx="2196">
                  <c:v>134.34449064517145</c:v>
                </c:pt>
                <c:pt idx="2197">
                  <c:v>135.46751226941362</c:v>
                </c:pt>
                <c:pt idx="2198">
                  <c:v>136.9497920222388</c:v>
                </c:pt>
                <c:pt idx="2199">
                  <c:v>132.52520550400587</c:v>
                </c:pt>
                <c:pt idx="2200">
                  <c:v>132.36498577425931</c:v>
                </c:pt>
                <c:pt idx="2201">
                  <c:v>129.29929992683989</c:v>
                </c:pt>
                <c:pt idx="2202">
                  <c:v>129.52825589866913</c:v>
                </c:pt>
                <c:pt idx="2203">
                  <c:v>129.48869547157122</c:v>
                </c:pt>
                <c:pt idx="2204">
                  <c:v>130.19163481056736</c:v>
                </c:pt>
                <c:pt idx="2205">
                  <c:v>130.18990404188185</c:v>
                </c:pt>
                <c:pt idx="2206">
                  <c:v>127.72083888563296</c:v>
                </c:pt>
                <c:pt idx="2207">
                  <c:v>125.07474081812086</c:v>
                </c:pt>
                <c:pt idx="2208">
                  <c:v>125.05594961524933</c:v>
                </c:pt>
                <c:pt idx="2209">
                  <c:v>126.96960468077421</c:v>
                </c:pt>
                <c:pt idx="2210">
                  <c:v>128.96924240744457</c:v>
                </c:pt>
                <c:pt idx="2211">
                  <c:v>131.62439713921185</c:v>
                </c:pt>
                <c:pt idx="2212">
                  <c:v>135.18325031568139</c:v>
                </c:pt>
                <c:pt idx="2213">
                  <c:v>128.47624982330993</c:v>
                </c:pt>
                <c:pt idx="2214">
                  <c:v>127.36424494512697</c:v>
                </c:pt>
                <c:pt idx="2215">
                  <c:v>127.50147147820753</c:v>
                </c:pt>
                <c:pt idx="2216">
                  <c:v>126.40206507023797</c:v>
                </c:pt>
                <c:pt idx="2217">
                  <c:v>126.2412798134585</c:v>
                </c:pt>
                <c:pt idx="2218">
                  <c:v>129.33397058763885</c:v>
                </c:pt>
                <c:pt idx="2219">
                  <c:v>124.89337054579185</c:v>
                </c:pt>
                <c:pt idx="2220">
                  <c:v>125.76915819415932</c:v>
                </c:pt>
                <c:pt idx="2221">
                  <c:v>126.99144126727028</c:v>
                </c:pt>
                <c:pt idx="2222">
                  <c:v>127.5524811031828</c:v>
                </c:pt>
                <c:pt idx="2223">
                  <c:v>128.12865066057662</c:v>
                </c:pt>
                <c:pt idx="2224">
                  <c:v>128.11029657222227</c:v>
                </c:pt>
                <c:pt idx="2225">
                  <c:v>127.4512855890129</c:v>
                </c:pt>
                <c:pt idx="2226">
                  <c:v>128.82040136895861</c:v>
                </c:pt>
                <c:pt idx="2227">
                  <c:v>129.10985030287105</c:v>
                </c:pt>
                <c:pt idx="2228">
                  <c:v>130.1027072715527</c:v>
                </c:pt>
                <c:pt idx="2229">
                  <c:v>131.821542843115</c:v>
                </c:pt>
                <c:pt idx="2230">
                  <c:v>129.96058710091702</c:v>
                </c:pt>
                <c:pt idx="2231">
                  <c:v>130.24681166795639</c:v>
                </c:pt>
                <c:pt idx="2232">
                  <c:v>130.43035255149985</c:v>
                </c:pt>
                <c:pt idx="2233">
                  <c:v>131.54201503804276</c:v>
                </c:pt>
                <c:pt idx="2234">
                  <c:v>130.50947355400035</c:v>
                </c:pt>
                <c:pt idx="2235">
                  <c:v>130.32171619069982</c:v>
                </c:pt>
                <c:pt idx="2236">
                  <c:v>132.36274042134716</c:v>
                </c:pt>
                <c:pt idx="2237">
                  <c:v>133.52921714473206</c:v>
                </c:pt>
                <c:pt idx="2238">
                  <c:v>133.66712083561063</c:v>
                </c:pt>
                <c:pt idx="2239">
                  <c:v>134.57515215270871</c:v>
                </c:pt>
                <c:pt idx="2240">
                  <c:v>135.21010439848064</c:v>
                </c:pt>
                <c:pt idx="2241">
                  <c:v>134.92239166211525</c:v>
                </c:pt>
                <c:pt idx="2242">
                  <c:v>133.67952224666089</c:v>
                </c:pt>
                <c:pt idx="2243">
                  <c:v>133.81420157066646</c:v>
                </c:pt>
                <c:pt idx="2244">
                  <c:v>133.91043652041625</c:v>
                </c:pt>
                <c:pt idx="2245">
                  <c:v>135.64613801100685</c:v>
                </c:pt>
                <c:pt idx="2246">
                  <c:v>136.0675379584938</c:v>
                </c:pt>
                <c:pt idx="2247">
                  <c:v>135.75403028714391</c:v>
                </c:pt>
                <c:pt idx="2248">
                  <c:v>137.24071144384584</c:v>
                </c:pt>
                <c:pt idx="2249">
                  <c:v>137.45674402434088</c:v>
                </c:pt>
                <c:pt idx="2250">
                  <c:v>137.72759084167797</c:v>
                </c:pt>
                <c:pt idx="2251">
                  <c:v>137.25385693955906</c:v>
                </c:pt>
                <c:pt idx="2252">
                  <c:v>138.13807754744067</c:v>
                </c:pt>
                <c:pt idx="2253">
                  <c:v>138.32757110828823</c:v>
                </c:pt>
                <c:pt idx="2254">
                  <c:v>138.2196788321512</c:v>
                </c:pt>
                <c:pt idx="2255">
                  <c:v>138.16585670819319</c:v>
                </c:pt>
                <c:pt idx="2256">
                  <c:v>137.81663297301864</c:v>
                </c:pt>
                <c:pt idx="2257">
                  <c:v>138.77451796253865</c:v>
                </c:pt>
                <c:pt idx="2258">
                  <c:v>138.23927306161059</c:v>
                </c:pt>
                <c:pt idx="2259">
                  <c:v>138.08723176213473</c:v>
                </c:pt>
                <c:pt idx="2260">
                  <c:v>137.19284199719195</c:v>
                </c:pt>
                <c:pt idx="2261">
                  <c:v>136.10697444563357</c:v>
                </c:pt>
                <c:pt idx="2262">
                  <c:v>135.82992692277136</c:v>
                </c:pt>
                <c:pt idx="2263">
                  <c:v>137.82357776320683</c:v>
                </c:pt>
                <c:pt idx="2264">
                  <c:v>138.23704080762158</c:v>
                </c:pt>
                <c:pt idx="2265">
                  <c:v>139.20732720819183</c:v>
                </c:pt>
                <c:pt idx="2266">
                  <c:v>139.13366282655343</c:v>
                </c:pt>
                <c:pt idx="2267">
                  <c:v>139.83260635334457</c:v>
                </c:pt>
                <c:pt idx="2268">
                  <c:v>140.35247350457033</c:v>
                </c:pt>
                <c:pt idx="2269">
                  <c:v>140.33808786775205</c:v>
                </c:pt>
                <c:pt idx="2270">
                  <c:v>139.93107355708341</c:v>
                </c:pt>
                <c:pt idx="2271">
                  <c:v>141.4574392291461</c:v>
                </c:pt>
                <c:pt idx="2272">
                  <c:v>138.78419106315786</c:v>
                </c:pt>
                <c:pt idx="2273">
                  <c:v>138.67828301278885</c:v>
                </c:pt>
                <c:pt idx="2274">
                  <c:v>139.6743643483436</c:v>
                </c:pt>
                <c:pt idx="2275">
                  <c:v>139.02775477618442</c:v>
                </c:pt>
                <c:pt idx="2276">
                  <c:v>139.54861404029421</c:v>
                </c:pt>
                <c:pt idx="2277">
                  <c:v>140.494593675206</c:v>
                </c:pt>
                <c:pt idx="2278">
                  <c:v>142.12116274855458</c:v>
                </c:pt>
                <c:pt idx="2279">
                  <c:v>142.12885162340572</c:v>
                </c:pt>
                <c:pt idx="2280">
                  <c:v>142.43442239168346</c:v>
                </c:pt>
                <c:pt idx="2281">
                  <c:v>142.76405189739867</c:v>
                </c:pt>
                <c:pt idx="2282">
                  <c:v>143.42727936036513</c:v>
                </c:pt>
                <c:pt idx="2283">
                  <c:v>143.580064744504</c:v>
                </c:pt>
                <c:pt idx="2284">
                  <c:v>142.75239457101145</c:v>
                </c:pt>
                <c:pt idx="2285">
                  <c:v>143.26085242407103</c:v>
                </c:pt>
                <c:pt idx="2286">
                  <c:v>143.26804524248018</c:v>
                </c:pt>
                <c:pt idx="2287">
                  <c:v>144.22940262709426</c:v>
                </c:pt>
                <c:pt idx="2288">
                  <c:v>144.14184866507961</c:v>
                </c:pt>
                <c:pt idx="2289">
                  <c:v>144.21501699027598</c:v>
                </c:pt>
                <c:pt idx="2290">
                  <c:v>143.90175734714708</c:v>
                </c:pt>
                <c:pt idx="2291">
                  <c:v>144.13242359268142</c:v>
                </c:pt>
                <c:pt idx="2292">
                  <c:v>144.28198460994722</c:v>
                </c:pt>
                <c:pt idx="2293">
                  <c:v>145.56478656898332</c:v>
                </c:pt>
                <c:pt idx="2294">
                  <c:v>145.24607030499232</c:v>
                </c:pt>
                <c:pt idx="2295">
                  <c:v>145.19249620925532</c:v>
                </c:pt>
                <c:pt idx="2296">
                  <c:v>145.87730212744921</c:v>
                </c:pt>
                <c:pt idx="2297">
                  <c:v>146.04025666864928</c:v>
                </c:pt>
                <c:pt idx="2298">
                  <c:v>146.18312092394797</c:v>
                </c:pt>
                <c:pt idx="2299">
                  <c:v>145.08782829999137</c:v>
                </c:pt>
                <c:pt idx="2300">
                  <c:v>144.78548189858671</c:v>
                </c:pt>
                <c:pt idx="2301">
                  <c:v>146.19527430677718</c:v>
                </c:pt>
                <c:pt idx="2302">
                  <c:v>145.55412135548013</c:v>
                </c:pt>
                <c:pt idx="2303">
                  <c:v>143.15172000682901</c:v>
                </c:pt>
                <c:pt idx="2304">
                  <c:v>142.92576629749377</c:v>
                </c:pt>
                <c:pt idx="2305">
                  <c:v>142.54380283714659</c:v>
                </c:pt>
                <c:pt idx="2306">
                  <c:v>143.12319676141345</c:v>
                </c:pt>
                <c:pt idx="2307">
                  <c:v>139.67486040478568</c:v>
                </c:pt>
                <c:pt idx="2308">
                  <c:v>140.81058162876602</c:v>
                </c:pt>
                <c:pt idx="2309">
                  <c:v>141.66107039859099</c:v>
                </c:pt>
                <c:pt idx="2310">
                  <c:v>142.96222644598146</c:v>
                </c:pt>
                <c:pt idx="2311">
                  <c:v>142.14224514734008</c:v>
                </c:pt>
                <c:pt idx="2312">
                  <c:v>141.18510424248308</c:v>
                </c:pt>
                <c:pt idx="2313">
                  <c:v>142.3882891425767</c:v>
                </c:pt>
                <c:pt idx="2314">
                  <c:v>141.98896370675919</c:v>
                </c:pt>
                <c:pt idx="2315">
                  <c:v>140.3120449045467</c:v>
                </c:pt>
                <c:pt idx="2316">
                  <c:v>140.52286889240065</c:v>
                </c:pt>
                <c:pt idx="2317">
                  <c:v>139.34671906839657</c:v>
                </c:pt>
                <c:pt idx="2318">
                  <c:v>138.38759393777153</c:v>
                </c:pt>
                <c:pt idx="2319">
                  <c:v>138.69663710114335</c:v>
                </c:pt>
                <c:pt idx="2320">
                  <c:v>136.89347193443948</c:v>
                </c:pt>
                <c:pt idx="2321">
                  <c:v>136.51597298207037</c:v>
                </c:pt>
                <c:pt idx="2322">
                  <c:v>139.44915472367151</c:v>
                </c:pt>
                <c:pt idx="2323">
                  <c:v>140.60447017711124</c:v>
                </c:pt>
                <c:pt idx="2324">
                  <c:v>141.50555670402116</c:v>
                </c:pt>
                <c:pt idx="2325">
                  <c:v>143.00463927177333</c:v>
                </c:pt>
                <c:pt idx="2326">
                  <c:v>143.67183518627587</c:v>
                </c:pt>
                <c:pt idx="2327">
                  <c:v>143.62892630404207</c:v>
                </c:pt>
                <c:pt idx="2328">
                  <c:v>143.33848525724559</c:v>
                </c:pt>
                <c:pt idx="2329">
                  <c:v>143.96872496681846</c:v>
                </c:pt>
                <c:pt idx="2330">
                  <c:v>143.75616478141745</c:v>
                </c:pt>
                <c:pt idx="2331">
                  <c:v>143.89109213364398</c:v>
                </c:pt>
                <c:pt idx="2332">
                  <c:v>145.29369172342533</c:v>
                </c:pt>
                <c:pt idx="2333">
                  <c:v>145.72774111018347</c:v>
                </c:pt>
                <c:pt idx="2334">
                  <c:v>147.12190774045069</c:v>
                </c:pt>
                <c:pt idx="2335">
                  <c:v>146.94531164709539</c:v>
                </c:pt>
                <c:pt idx="2336">
                  <c:v>146.69108272056562</c:v>
                </c:pt>
                <c:pt idx="2337">
                  <c:v>145.29815623140345</c:v>
                </c:pt>
                <c:pt idx="2338">
                  <c:v>145.11883182761707</c:v>
                </c:pt>
                <c:pt idx="2339">
                  <c:v>145.69549744145291</c:v>
                </c:pt>
                <c:pt idx="2340">
                  <c:v>146.5412736750788</c:v>
                </c:pt>
                <c:pt idx="2341">
                  <c:v>147.66682574199797</c:v>
                </c:pt>
                <c:pt idx="2342">
                  <c:v>148.10484358029217</c:v>
                </c:pt>
                <c:pt idx="2343">
                  <c:v>149.27677692453918</c:v>
                </c:pt>
                <c:pt idx="2344">
                  <c:v>149.02304405445142</c:v>
                </c:pt>
                <c:pt idx="2345">
                  <c:v>148.30450629820089</c:v>
                </c:pt>
                <c:pt idx="2346">
                  <c:v>148.53120409219915</c:v>
                </c:pt>
                <c:pt idx="2347">
                  <c:v>149.20286451467976</c:v>
                </c:pt>
                <c:pt idx="2348">
                  <c:v>149.54439937500317</c:v>
                </c:pt>
                <c:pt idx="2349">
                  <c:v>150.24979163554045</c:v>
                </c:pt>
                <c:pt idx="2350">
                  <c:v>150.27608262696691</c:v>
                </c:pt>
                <c:pt idx="2351">
                  <c:v>149.76936097145438</c:v>
                </c:pt>
                <c:pt idx="2352">
                  <c:v>148.79336992180106</c:v>
                </c:pt>
                <c:pt idx="2353">
                  <c:v>149.34151229022135</c:v>
                </c:pt>
                <c:pt idx="2354">
                  <c:v>148.42504801360914</c:v>
                </c:pt>
                <c:pt idx="2355">
                  <c:v>148.84868021508512</c:v>
                </c:pt>
                <c:pt idx="2356">
                  <c:v>149.87055648562432</c:v>
                </c:pt>
                <c:pt idx="2357">
                  <c:v>150.57917311303467</c:v>
                </c:pt>
                <c:pt idx="2358">
                  <c:v>149.78746703158779</c:v>
                </c:pt>
                <c:pt idx="2359">
                  <c:v>150.89590515125761</c:v>
                </c:pt>
                <c:pt idx="2360">
                  <c:v>150.65258946645204</c:v>
                </c:pt>
                <c:pt idx="2361">
                  <c:v>150.27930699384001</c:v>
                </c:pt>
                <c:pt idx="2362">
                  <c:v>148.64752932785035</c:v>
                </c:pt>
                <c:pt idx="2363">
                  <c:v>147.32454679701149</c:v>
                </c:pt>
                <c:pt idx="2364">
                  <c:v>146.26472220865858</c:v>
                </c:pt>
                <c:pt idx="2365">
                  <c:v>141.91678749444688</c:v>
                </c:pt>
                <c:pt idx="2366">
                  <c:v>143.7750149262138</c:v>
                </c:pt>
                <c:pt idx="2367">
                  <c:v>143.88910790787591</c:v>
                </c:pt>
                <c:pt idx="2368">
                  <c:v>146.62585129844135</c:v>
                </c:pt>
                <c:pt idx="2369">
                  <c:v>145.67863152242455</c:v>
                </c:pt>
                <c:pt idx="2370">
                  <c:v>143.9617801766303</c:v>
                </c:pt>
                <c:pt idx="2371">
                  <c:v>146.09259062328132</c:v>
                </c:pt>
                <c:pt idx="2372">
                  <c:v>141.85478043919568</c:v>
                </c:pt>
                <c:pt idx="2373">
                  <c:v>142.23153530690175</c:v>
                </c:pt>
                <c:pt idx="2374">
                  <c:v>144.30703546026876</c:v>
                </c:pt>
                <c:pt idx="2375">
                  <c:v>146.06208315209776</c:v>
                </c:pt>
                <c:pt idx="2376">
                  <c:v>144.91693685571923</c:v>
                </c:pt>
                <c:pt idx="2377">
                  <c:v>146.11813753004481</c:v>
                </c:pt>
                <c:pt idx="2378">
                  <c:v>146.0481935717215</c:v>
                </c:pt>
                <c:pt idx="2379">
                  <c:v>142.25981052409631</c:v>
                </c:pt>
                <c:pt idx="2380">
                  <c:v>143.83999832011702</c:v>
                </c:pt>
                <c:pt idx="2381">
                  <c:v>143.37990597015337</c:v>
                </c:pt>
                <c:pt idx="2382">
                  <c:v>144.32365335107613</c:v>
                </c:pt>
                <c:pt idx="2383">
                  <c:v>146.179152472412</c:v>
                </c:pt>
                <c:pt idx="2384">
                  <c:v>146.29274939763215</c:v>
                </c:pt>
                <c:pt idx="2385">
                  <c:v>145.29369172342538</c:v>
                </c:pt>
                <c:pt idx="2386">
                  <c:v>146.88132036607624</c:v>
                </c:pt>
                <c:pt idx="2387">
                  <c:v>148.8263576751948</c:v>
                </c:pt>
                <c:pt idx="2388">
                  <c:v>148.96748573294644</c:v>
                </c:pt>
                <c:pt idx="2389">
                  <c:v>148.9655015071784</c:v>
                </c:pt>
                <c:pt idx="2390">
                  <c:v>149.01833151825241</c:v>
                </c:pt>
                <c:pt idx="2391">
                  <c:v>150.10345498514781</c:v>
                </c:pt>
                <c:pt idx="2392">
                  <c:v>150.55883479891233</c:v>
                </c:pt>
                <c:pt idx="2393">
                  <c:v>150.49112309457806</c:v>
                </c:pt>
                <c:pt idx="2394">
                  <c:v>150.02408595442628</c:v>
                </c:pt>
                <c:pt idx="2395">
                  <c:v>150.41200209207759</c:v>
                </c:pt>
                <c:pt idx="2396">
                  <c:v>150.46433604670955</c:v>
                </c:pt>
                <c:pt idx="2397">
                  <c:v>150.47624140131774</c:v>
                </c:pt>
                <c:pt idx="2398">
                  <c:v>149.74703843156405</c:v>
                </c:pt>
                <c:pt idx="2399">
                  <c:v>149.73215673830376</c:v>
                </c:pt>
                <c:pt idx="2400">
                  <c:v>148.4840787302083</c:v>
                </c:pt>
                <c:pt idx="2401">
                  <c:v>149.39880680927351</c:v>
                </c:pt>
                <c:pt idx="2402">
                  <c:v>149.04487053789984</c:v>
                </c:pt>
                <c:pt idx="2403">
                  <c:v>148.27399882701735</c:v>
                </c:pt>
                <c:pt idx="2404">
                  <c:v>149.02998884463958</c:v>
                </c:pt>
                <c:pt idx="2405">
                  <c:v>147.20970973068637</c:v>
                </c:pt>
                <c:pt idx="2406">
                  <c:v>144.57391382606986</c:v>
                </c:pt>
                <c:pt idx="2407">
                  <c:v>145.76271308934517</c:v>
                </c:pt>
                <c:pt idx="2408">
                  <c:v>147.83548493228113</c:v>
                </c:pt>
                <c:pt idx="2409">
                  <c:v>147.17399366686169</c:v>
                </c:pt>
                <c:pt idx="2410">
                  <c:v>144.88742149741969</c:v>
                </c:pt>
                <c:pt idx="2411">
                  <c:v>146.25232079760835</c:v>
                </c:pt>
                <c:pt idx="2412">
                  <c:v>147.19383592454201</c:v>
                </c:pt>
                <c:pt idx="2413">
                  <c:v>148.8179247156805</c:v>
                </c:pt>
                <c:pt idx="2414">
                  <c:v>148.61156523580462</c:v>
                </c:pt>
                <c:pt idx="2415">
                  <c:v>150.09154963053942</c:v>
                </c:pt>
                <c:pt idx="2416">
                  <c:v>149.80135661196394</c:v>
                </c:pt>
                <c:pt idx="2417">
                  <c:v>150.22672501098694</c:v>
                </c:pt>
                <c:pt idx="2418">
                  <c:v>149.64187446585797</c:v>
                </c:pt>
                <c:pt idx="2419">
                  <c:v>150.67466397812137</c:v>
                </c:pt>
                <c:pt idx="2420">
                  <c:v>150.14189935940337</c:v>
                </c:pt>
                <c:pt idx="2421">
                  <c:v>150.57470860505649</c:v>
                </c:pt>
                <c:pt idx="2422">
                  <c:v>150.86415753896893</c:v>
                </c:pt>
                <c:pt idx="2423">
                  <c:v>151.48125175282854</c:v>
                </c:pt>
                <c:pt idx="2424">
                  <c:v>152.32677995823346</c:v>
                </c:pt>
                <c:pt idx="2425">
                  <c:v>152.20177373484711</c:v>
                </c:pt>
                <c:pt idx="2426">
                  <c:v>152.70923947502266</c:v>
                </c:pt>
                <c:pt idx="2427">
                  <c:v>152.25782811279416</c:v>
                </c:pt>
                <c:pt idx="2428">
                  <c:v>153.74252504372805</c:v>
                </c:pt>
                <c:pt idx="2429">
                  <c:v>154.31398206492278</c:v>
                </c:pt>
                <c:pt idx="2430">
                  <c:v>154.13168132248435</c:v>
                </c:pt>
                <c:pt idx="2431">
                  <c:v>154.25123092500863</c:v>
                </c:pt>
                <c:pt idx="2432">
                  <c:v>154.74455905658689</c:v>
                </c:pt>
                <c:pt idx="2433">
                  <c:v>155.16918337094688</c:v>
                </c:pt>
                <c:pt idx="2434">
                  <c:v>154.86410865911117</c:v>
                </c:pt>
                <c:pt idx="2435">
                  <c:v>155.11461716232586</c:v>
                </c:pt>
                <c:pt idx="2436">
                  <c:v>155.23044634153501</c:v>
                </c:pt>
                <c:pt idx="2437">
                  <c:v>155.40009764470221</c:v>
                </c:pt>
                <c:pt idx="2438">
                  <c:v>156.62337283069721</c:v>
                </c:pt>
                <c:pt idx="2439">
                  <c:v>156.70472608718677</c:v>
                </c:pt>
                <c:pt idx="2440">
                  <c:v>156.62138860492919</c:v>
                </c:pt>
                <c:pt idx="2441">
                  <c:v>156.06357313588973</c:v>
                </c:pt>
                <c:pt idx="2442">
                  <c:v>155.82596210016726</c:v>
                </c:pt>
                <c:pt idx="2443">
                  <c:v>156.16700090404865</c:v>
                </c:pt>
                <c:pt idx="2444">
                  <c:v>157.35803242131303</c:v>
                </c:pt>
                <c:pt idx="2445">
                  <c:v>157.70775221292959</c:v>
                </c:pt>
                <c:pt idx="2446">
                  <c:v>158.38486925627231</c:v>
                </c:pt>
                <c:pt idx="2447">
                  <c:v>157.78464096144103</c:v>
                </c:pt>
                <c:pt idx="2448">
                  <c:v>156.42842264898752</c:v>
                </c:pt>
                <c:pt idx="2449">
                  <c:v>155.3951370802821</c:v>
                </c:pt>
                <c:pt idx="2450">
                  <c:v>156.39394672626784</c:v>
                </c:pt>
                <c:pt idx="2451">
                  <c:v>156.67173833379303</c:v>
                </c:pt>
                <c:pt idx="2452">
                  <c:v>158.11055004384107</c:v>
                </c:pt>
                <c:pt idx="2453">
                  <c:v>157.62367064600892</c:v>
                </c:pt>
                <c:pt idx="2454">
                  <c:v>157.45600356860979</c:v>
                </c:pt>
                <c:pt idx="2455">
                  <c:v>157.91559986213142</c:v>
                </c:pt>
                <c:pt idx="2456">
                  <c:v>159.29240451692829</c:v>
                </c:pt>
                <c:pt idx="2457">
                  <c:v>159.33159297584703</c:v>
                </c:pt>
                <c:pt idx="2458">
                  <c:v>160.47500307467848</c:v>
                </c:pt>
                <c:pt idx="2459">
                  <c:v>160.52981731152053</c:v>
                </c:pt>
                <c:pt idx="2460">
                  <c:v>160.4742589900155</c:v>
                </c:pt>
                <c:pt idx="2461">
                  <c:v>161.19998956467515</c:v>
                </c:pt>
                <c:pt idx="2462">
                  <c:v>162.00583325471928</c:v>
                </c:pt>
                <c:pt idx="2463">
                  <c:v>162.14596919958689</c:v>
                </c:pt>
                <c:pt idx="2464">
                  <c:v>162.12563088546452</c:v>
                </c:pt>
                <c:pt idx="2465">
                  <c:v>162.97215120375341</c:v>
                </c:pt>
                <c:pt idx="2466">
                  <c:v>162.98008810682555</c:v>
                </c:pt>
                <c:pt idx="2467">
                  <c:v>162.05940735045624</c:v>
                </c:pt>
                <c:pt idx="2468">
                  <c:v>162.54703083295138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3-4524-BE9F-62A9DF6A0619}"/>
            </c:ext>
          </c:extLst>
        </c:ser>
        <c:ser>
          <c:idx val="1"/>
          <c:order val="1"/>
          <c:tx>
            <c:strRef>
              <c:f>Backtest!$U$50</c:f>
              <c:strCache>
                <c:ptCount val="1"/>
                <c:pt idx="0">
                  <c:v> S&amp;P 500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Backtest!$U$51:$U$2519</c:f>
              <c:numCache>
                <c:formatCode>General</c:formatCode>
                <c:ptCount val="2469"/>
                <c:pt idx="0">
                  <c:v>100</c:v>
                </c:pt>
                <c:pt idx="1">
                  <c:v>100.04728654067431</c:v>
                </c:pt>
                <c:pt idx="2">
                  <c:v>100.82646364978538</c:v>
                </c:pt>
                <c:pt idx="3">
                  <c:v>101.41491837817675</c:v>
                </c:pt>
                <c:pt idx="4">
                  <c:v>101.38391942373471</c:v>
                </c:pt>
                <c:pt idx="5">
                  <c:v>100.86744531836978</c:v>
                </c:pt>
                <c:pt idx="6">
                  <c:v>101.38444482974219</c:v>
                </c:pt>
                <c:pt idx="7">
                  <c:v>102.12316567627634</c:v>
                </c:pt>
                <c:pt idx="8">
                  <c:v>101.56308287228956</c:v>
                </c:pt>
                <c:pt idx="9">
                  <c:v>101.39022429582459</c:v>
                </c:pt>
                <c:pt idx="10">
                  <c:v>101.465357354896</c:v>
                </c:pt>
                <c:pt idx="11">
                  <c:v>102.06064236138477</c:v>
                </c:pt>
                <c:pt idx="12">
                  <c:v>102.07640454160953</c:v>
                </c:pt>
                <c:pt idx="13">
                  <c:v>101.74382253886692</c:v>
                </c:pt>
                <c:pt idx="14">
                  <c:v>102.5019834076783</c:v>
                </c:pt>
                <c:pt idx="15">
                  <c:v>103.31793893731381</c:v>
                </c:pt>
                <c:pt idx="16">
                  <c:v>103.49237373180125</c:v>
                </c:pt>
                <c:pt idx="17">
                  <c:v>102.92913849176951</c:v>
                </c:pt>
                <c:pt idx="18">
                  <c:v>103.28010970477436</c:v>
                </c:pt>
                <c:pt idx="19">
                  <c:v>103.97049319861922</c:v>
                </c:pt>
                <c:pt idx="20">
                  <c:v>104.15648692527149</c:v>
                </c:pt>
                <c:pt idx="21">
                  <c:v>104.23582323240282</c:v>
                </c:pt>
                <c:pt idx="22">
                  <c:v>105.39959753899824</c:v>
                </c:pt>
                <c:pt idx="23">
                  <c:v>105.48786574825695</c:v>
                </c:pt>
                <c:pt idx="24">
                  <c:v>103.78660109599691</c:v>
                </c:pt>
                <c:pt idx="25">
                  <c:v>104.25736487871001</c:v>
                </c:pt>
                <c:pt idx="26">
                  <c:v>105.09853989670515</c:v>
                </c:pt>
                <c:pt idx="27">
                  <c:v>104.9924078831917</c:v>
                </c:pt>
                <c:pt idx="28">
                  <c:v>105.23514545865314</c:v>
                </c:pt>
                <c:pt idx="29">
                  <c:v>105.98437442533714</c:v>
                </c:pt>
                <c:pt idx="30">
                  <c:v>105.53042363486379</c:v>
                </c:pt>
                <c:pt idx="31">
                  <c:v>103.06364242968749</c:v>
                </c:pt>
                <c:pt idx="32">
                  <c:v>103.74824645744997</c:v>
                </c:pt>
                <c:pt idx="33">
                  <c:v>105.09906530271263</c:v>
                </c:pt>
                <c:pt idx="34">
                  <c:v>103.3499887037708</c:v>
                </c:pt>
                <c:pt idx="35">
                  <c:v>104.70658701511589</c:v>
                </c:pt>
                <c:pt idx="36">
                  <c:v>102.21090847952752</c:v>
                </c:pt>
                <c:pt idx="37">
                  <c:v>101.57411639844688</c:v>
                </c:pt>
                <c:pt idx="38">
                  <c:v>98.300836971769911</c:v>
                </c:pt>
                <c:pt idx="39">
                  <c:v>96.796599572319479</c:v>
                </c:pt>
                <c:pt idx="40">
                  <c:v>101.05606607505948</c:v>
                </c:pt>
                <c:pt idx="41">
                  <c:v>100.7334667864592</c:v>
                </c:pt>
                <c:pt idx="42">
                  <c:v>102.15206300668838</c:v>
                </c:pt>
                <c:pt idx="43">
                  <c:v>100.917884295089</c:v>
                </c:pt>
                <c:pt idx="44">
                  <c:v>99.021694014049331</c:v>
                </c:pt>
                <c:pt idx="45">
                  <c:v>99.149893079877444</c:v>
                </c:pt>
                <c:pt idx="46">
                  <c:v>97.759668784052863</c:v>
                </c:pt>
                <c:pt idx="47">
                  <c:v>97.267363355032586</c:v>
                </c:pt>
                <c:pt idx="48">
                  <c:v>93.485490913103078</c:v>
                </c:pt>
                <c:pt idx="49">
                  <c:v>94.890951983144944</c:v>
                </c:pt>
                <c:pt idx="50">
                  <c:v>93.667806797702895</c:v>
                </c:pt>
                <c:pt idx="51">
                  <c:v>93.700907376174911</c:v>
                </c:pt>
                <c:pt idx="52">
                  <c:v>93.188636518869927</c:v>
                </c:pt>
                <c:pt idx="53">
                  <c:v>96.286430339044458</c:v>
                </c:pt>
                <c:pt idx="54">
                  <c:v>95.097436544089419</c:v>
                </c:pt>
                <c:pt idx="55">
                  <c:v>93.469203326870812</c:v>
                </c:pt>
                <c:pt idx="56">
                  <c:v>95.899731517530142</c:v>
                </c:pt>
                <c:pt idx="57">
                  <c:v>96.292209805126873</c:v>
                </c:pt>
                <c:pt idx="58">
                  <c:v>92.982151957925439</c:v>
                </c:pt>
                <c:pt idx="59">
                  <c:v>91.729058630056329</c:v>
                </c:pt>
                <c:pt idx="60">
                  <c:v>92.749397096606359</c:v>
                </c:pt>
                <c:pt idx="61">
                  <c:v>92.204025660829373</c:v>
                </c:pt>
                <c:pt idx="62">
                  <c:v>94.924577967624444</c:v>
                </c:pt>
                <c:pt idx="63">
                  <c:v>95.374850916045332</c:v>
                </c:pt>
                <c:pt idx="64">
                  <c:v>95.204619369617831</c:v>
                </c:pt>
                <c:pt idx="65">
                  <c:v>97.44232355552748</c:v>
                </c:pt>
                <c:pt idx="66">
                  <c:v>97.390308360785738</c:v>
                </c:pt>
                <c:pt idx="67">
                  <c:v>97.528490140756219</c:v>
                </c:pt>
                <c:pt idx="68">
                  <c:v>97.657214612591829</c:v>
                </c:pt>
                <c:pt idx="69">
                  <c:v>97.281549317234834</c:v>
                </c:pt>
                <c:pt idx="70">
                  <c:v>95.731601595132574</c:v>
                </c:pt>
                <c:pt idx="71">
                  <c:v>95.447882351086747</c:v>
                </c:pt>
                <c:pt idx="72">
                  <c:v>93.844343216220281</c:v>
                </c:pt>
                <c:pt idx="73">
                  <c:v>94.112825686048836</c:v>
                </c:pt>
                <c:pt idx="74">
                  <c:v>93.939441703576378</c:v>
                </c:pt>
                <c:pt idx="75">
                  <c:v>91.029217828076582</c:v>
                </c:pt>
                <c:pt idx="76">
                  <c:v>90.119214623099936</c:v>
                </c:pt>
                <c:pt idx="77">
                  <c:v>89.832342943009138</c:v>
                </c:pt>
                <c:pt idx="78">
                  <c:v>89.41674679108273</c:v>
                </c:pt>
                <c:pt idx="79">
                  <c:v>89.895391663908214</c:v>
                </c:pt>
                <c:pt idx="80">
                  <c:v>92.756227374703741</c:v>
                </c:pt>
                <c:pt idx="81">
                  <c:v>93.632604595200874</c:v>
                </c:pt>
                <c:pt idx="82">
                  <c:v>94.307225908820982</c:v>
                </c:pt>
                <c:pt idx="83">
                  <c:v>94.378681125839933</c:v>
                </c:pt>
                <c:pt idx="84">
                  <c:v>95.837733608646019</c:v>
                </c:pt>
                <c:pt idx="85">
                  <c:v>95.824598458458709</c:v>
                </c:pt>
                <c:pt idx="86">
                  <c:v>95.939136968092029</c:v>
                </c:pt>
                <c:pt idx="87">
                  <c:v>93.177077586705067</c:v>
                </c:pt>
                <c:pt idx="88">
                  <c:v>93.735584172669363</c:v>
                </c:pt>
                <c:pt idx="89">
                  <c:v>94.808463239968631</c:v>
                </c:pt>
                <c:pt idx="90">
                  <c:v>93.606334294826269</c:v>
                </c:pt>
                <c:pt idx="91">
                  <c:v>95.716364820915317</c:v>
                </c:pt>
                <c:pt idx="92">
                  <c:v>96.503948426146266</c:v>
                </c:pt>
                <c:pt idx="93">
                  <c:v>97.585759395572879</c:v>
                </c:pt>
                <c:pt idx="94">
                  <c:v>97.483305224111888</c:v>
                </c:pt>
                <c:pt idx="95">
                  <c:v>96.81446337657421</c:v>
                </c:pt>
                <c:pt idx="96">
                  <c:v>96.427239149052397</c:v>
                </c:pt>
                <c:pt idx="97">
                  <c:v>96.433018615134827</c:v>
                </c:pt>
                <c:pt idx="98">
                  <c:v>98.558285915441132</c:v>
                </c:pt>
                <c:pt idx="99">
                  <c:v>98.086471320713045</c:v>
                </c:pt>
                <c:pt idx="100">
                  <c:v>98.713806093658846</c:v>
                </c:pt>
                <c:pt idx="101">
                  <c:v>98.592962711935627</c:v>
                </c:pt>
                <c:pt idx="102">
                  <c:v>98.238839062885816</c:v>
                </c:pt>
                <c:pt idx="103">
                  <c:v>98.779481844595381</c:v>
                </c:pt>
                <c:pt idx="104">
                  <c:v>98.192077928219007</c:v>
                </c:pt>
                <c:pt idx="105">
                  <c:v>95.473101839446414</c:v>
                </c:pt>
                <c:pt idx="106">
                  <c:v>94.972915320313746</c:v>
                </c:pt>
                <c:pt idx="107">
                  <c:v>94.593572182904325</c:v>
                </c:pt>
                <c:pt idx="108">
                  <c:v>94.609859769136577</c:v>
                </c:pt>
                <c:pt idx="109">
                  <c:v>95.790972473979238</c:v>
                </c:pt>
                <c:pt idx="110">
                  <c:v>95.946492652196952</c:v>
                </c:pt>
                <c:pt idx="111">
                  <c:v>94.322988089045765</c:v>
                </c:pt>
                <c:pt idx="112">
                  <c:v>93.977796342123341</c:v>
                </c:pt>
                <c:pt idx="113">
                  <c:v>93.599504016728886</c:v>
                </c:pt>
                <c:pt idx="114">
                  <c:v>92.242905705383791</c:v>
                </c:pt>
                <c:pt idx="115">
                  <c:v>92.556573091856677</c:v>
                </c:pt>
                <c:pt idx="116">
                  <c:v>91.848325793757084</c:v>
                </c:pt>
                <c:pt idx="117">
                  <c:v>93.396171891829368</c:v>
                </c:pt>
                <c:pt idx="118">
                  <c:v>92.04009898649177</c:v>
                </c:pt>
                <c:pt idx="119">
                  <c:v>92.080029843061183</c:v>
                </c:pt>
                <c:pt idx="120">
                  <c:v>94.807412427953651</c:v>
                </c:pt>
                <c:pt idx="121">
                  <c:v>95.675383152330923</c:v>
                </c:pt>
                <c:pt idx="122">
                  <c:v>96.942662442402323</c:v>
                </c:pt>
                <c:pt idx="123">
                  <c:v>95.836682796631052</c:v>
                </c:pt>
                <c:pt idx="124">
                  <c:v>96.475576501741685</c:v>
                </c:pt>
                <c:pt idx="125">
                  <c:v>96.94213703639484</c:v>
                </c:pt>
                <c:pt idx="126">
                  <c:v>97.415527849145391</c:v>
                </c:pt>
                <c:pt idx="127">
                  <c:v>98.535168051111469</c:v>
                </c:pt>
                <c:pt idx="128">
                  <c:v>98.4647636461075</c:v>
                </c:pt>
                <c:pt idx="129">
                  <c:v>98.815209453104856</c:v>
                </c:pt>
                <c:pt idx="130">
                  <c:v>98.795769430827633</c:v>
                </c:pt>
                <c:pt idx="131">
                  <c:v>98.877732767996434</c:v>
                </c:pt>
                <c:pt idx="132">
                  <c:v>100.38407179147681</c:v>
                </c:pt>
                <c:pt idx="133">
                  <c:v>100.12872447183555</c:v>
                </c:pt>
                <c:pt idx="134">
                  <c:v>99.657435283114978</c:v>
                </c:pt>
                <c:pt idx="135">
                  <c:v>98.827293791277171</c:v>
                </c:pt>
                <c:pt idx="136">
                  <c:v>100.92208754314892</c:v>
                </c:pt>
                <c:pt idx="137">
                  <c:v>100.35149661901229</c:v>
                </c:pt>
                <c:pt idx="138">
                  <c:v>100.85641179221238</c:v>
                </c:pt>
                <c:pt idx="139">
                  <c:v>100.60684393865355</c:v>
                </c:pt>
                <c:pt idx="140">
                  <c:v>100.29737980024059</c:v>
                </c:pt>
                <c:pt idx="141">
                  <c:v>100.74239868858656</c:v>
                </c:pt>
                <c:pt idx="142">
                  <c:v>99.940103715145838</c:v>
                </c:pt>
                <c:pt idx="143">
                  <c:v>102.02438934686775</c:v>
                </c:pt>
                <c:pt idx="144">
                  <c:v>102.007576354628</c:v>
                </c:pt>
                <c:pt idx="145">
                  <c:v>101.83997183823796</c:v>
                </c:pt>
                <c:pt idx="146">
                  <c:v>102.4636287691313</c:v>
                </c:pt>
                <c:pt idx="147">
                  <c:v>102.47886554334858</c:v>
                </c:pt>
                <c:pt idx="148">
                  <c:v>102.87029301893033</c:v>
                </c:pt>
                <c:pt idx="149">
                  <c:v>103.61426792553941</c:v>
                </c:pt>
                <c:pt idx="150">
                  <c:v>103.23702641215996</c:v>
                </c:pt>
                <c:pt idx="151">
                  <c:v>103.44561259713439</c:v>
                </c:pt>
                <c:pt idx="152">
                  <c:v>104.19694318784836</c:v>
                </c:pt>
                <c:pt idx="153">
                  <c:v>102.54191426424765</c:v>
                </c:pt>
                <c:pt idx="154">
                  <c:v>103.63686038386157</c:v>
                </c:pt>
                <c:pt idx="155">
                  <c:v>103.82653195256628</c:v>
                </c:pt>
                <c:pt idx="156">
                  <c:v>104.07399818209515</c:v>
                </c:pt>
                <c:pt idx="157">
                  <c:v>104.29887195330186</c:v>
                </c:pt>
                <c:pt idx="158">
                  <c:v>104.29992276531685</c:v>
                </c:pt>
                <c:pt idx="159">
                  <c:v>104.03301651351076</c:v>
                </c:pt>
                <c:pt idx="160">
                  <c:v>104.15911395530891</c:v>
                </c:pt>
                <c:pt idx="161">
                  <c:v>104.11392903866457</c:v>
                </c:pt>
                <c:pt idx="162">
                  <c:v>104.21270536807313</c:v>
                </c:pt>
                <c:pt idx="163">
                  <c:v>105.02130521360375</c:v>
                </c:pt>
                <c:pt idx="164">
                  <c:v>105.42691865138779</c:v>
                </c:pt>
                <c:pt idx="165">
                  <c:v>107.47810370463769</c:v>
                </c:pt>
                <c:pt idx="166">
                  <c:v>107.90630960074391</c:v>
                </c:pt>
                <c:pt idx="167">
                  <c:v>107.69194394968706</c:v>
                </c:pt>
                <c:pt idx="168">
                  <c:v>106.85970083381926</c:v>
                </c:pt>
                <c:pt idx="169">
                  <c:v>107.3488538267946</c:v>
                </c:pt>
                <c:pt idx="170">
                  <c:v>106.89280141229128</c:v>
                </c:pt>
                <c:pt idx="171">
                  <c:v>105.63655564837721</c:v>
                </c:pt>
                <c:pt idx="172">
                  <c:v>105.514661454639</c:v>
                </c:pt>
                <c:pt idx="173">
                  <c:v>103.83388763667116</c:v>
                </c:pt>
                <c:pt idx="174">
                  <c:v>103.87276768122558</c:v>
                </c:pt>
                <c:pt idx="175">
                  <c:v>105.46895113198715</c:v>
                </c:pt>
                <c:pt idx="176">
                  <c:v>105.74268766189063</c:v>
                </c:pt>
                <c:pt idx="177">
                  <c:v>105.5813880175905</c:v>
                </c:pt>
                <c:pt idx="178">
                  <c:v>104.07715061814008</c:v>
                </c:pt>
                <c:pt idx="179">
                  <c:v>105.6360302423697</c:v>
                </c:pt>
                <c:pt idx="180">
                  <c:v>104.87261531348341</c:v>
                </c:pt>
                <c:pt idx="181">
                  <c:v>104.75702599183509</c:v>
                </c:pt>
                <c:pt idx="182">
                  <c:v>104.12706418885183</c:v>
                </c:pt>
                <c:pt idx="183">
                  <c:v>106.39314029916608</c:v>
                </c:pt>
                <c:pt idx="184">
                  <c:v>107.75867051263855</c:v>
                </c:pt>
                <c:pt idx="185">
                  <c:v>108.04449138071436</c:v>
                </c:pt>
                <c:pt idx="186">
                  <c:v>107.90788581876637</c:v>
                </c:pt>
                <c:pt idx="187">
                  <c:v>107.96515507358302</c:v>
                </c:pt>
                <c:pt idx="188">
                  <c:v>108.39283556368176</c:v>
                </c:pt>
                <c:pt idx="189">
                  <c:v>108.81788902374301</c:v>
                </c:pt>
                <c:pt idx="190">
                  <c:v>109.47201950307092</c:v>
                </c:pt>
                <c:pt idx="191">
                  <c:v>109.49461196139309</c:v>
                </c:pt>
                <c:pt idx="192">
                  <c:v>109.59601532083909</c:v>
                </c:pt>
                <c:pt idx="193">
                  <c:v>109.03698332886729</c:v>
                </c:pt>
                <c:pt idx="194">
                  <c:v>109.71475707853236</c:v>
                </c:pt>
                <c:pt idx="195">
                  <c:v>109.807228535851</c:v>
                </c:pt>
                <c:pt idx="196">
                  <c:v>110.08937156187437</c:v>
                </c:pt>
                <c:pt idx="197">
                  <c:v>110.7692469355694</c:v>
                </c:pt>
                <c:pt idx="198">
                  <c:v>111.15962359913615</c:v>
                </c:pt>
                <c:pt idx="199">
                  <c:v>110.9851888046487</c:v>
                </c:pt>
                <c:pt idx="200">
                  <c:v>111.05349158562271</c:v>
                </c:pt>
                <c:pt idx="201">
                  <c:v>111.14018357685895</c:v>
                </c:pt>
                <c:pt idx="202">
                  <c:v>111.2720604847395</c:v>
                </c:pt>
                <c:pt idx="203">
                  <c:v>111.10760840439441</c:v>
                </c:pt>
                <c:pt idx="204">
                  <c:v>111.08606675808723</c:v>
                </c:pt>
                <c:pt idx="205">
                  <c:v>112.34756658207623</c:v>
                </c:pt>
                <c:pt idx="206">
                  <c:v>112.20202911800087</c:v>
                </c:pt>
                <c:pt idx="207">
                  <c:v>112.77839950821989</c:v>
                </c:pt>
                <c:pt idx="208">
                  <c:v>112.58189766141778</c:v>
                </c:pt>
                <c:pt idx="209">
                  <c:v>112.37436228845831</c:v>
                </c:pt>
                <c:pt idx="210">
                  <c:v>112.2193675162481</c:v>
                </c:pt>
                <c:pt idx="211">
                  <c:v>112.63759069821195</c:v>
                </c:pt>
                <c:pt idx="212">
                  <c:v>113.66423403685189</c:v>
                </c:pt>
                <c:pt idx="213">
                  <c:v>113.46983381407973</c:v>
                </c:pt>
                <c:pt idx="214">
                  <c:v>114.31153423808239</c:v>
                </c:pt>
                <c:pt idx="215">
                  <c:v>114.47125766436004</c:v>
                </c:pt>
                <c:pt idx="216">
                  <c:v>113.32849959806431</c:v>
                </c:pt>
                <c:pt idx="217">
                  <c:v>113.18191132197396</c:v>
                </c:pt>
                <c:pt idx="218">
                  <c:v>113.45774947590741</c:v>
                </c:pt>
                <c:pt idx="219">
                  <c:v>114.1197610453477</c:v>
                </c:pt>
                <c:pt idx="220">
                  <c:v>114.1533870298272</c:v>
                </c:pt>
                <c:pt idx="221">
                  <c:v>114.63938758675758</c:v>
                </c:pt>
                <c:pt idx="222">
                  <c:v>114.9026159965112</c:v>
                </c:pt>
                <c:pt idx="223">
                  <c:v>112.85458337930626</c:v>
                </c:pt>
                <c:pt idx="224">
                  <c:v>113.7188762616311</c:v>
                </c:pt>
                <c:pt idx="225">
                  <c:v>115.61769357270822</c:v>
                </c:pt>
                <c:pt idx="226">
                  <c:v>115.32346620851254</c:v>
                </c:pt>
                <c:pt idx="227">
                  <c:v>115.61138870061831</c:v>
                </c:pt>
                <c:pt idx="228">
                  <c:v>115.94659773339839</c:v>
                </c:pt>
                <c:pt idx="229">
                  <c:v>116.67165802373773</c:v>
                </c:pt>
                <c:pt idx="230">
                  <c:v>117.19653862522254</c:v>
                </c:pt>
                <c:pt idx="231">
                  <c:v>116.88392205076461</c:v>
                </c:pt>
                <c:pt idx="232">
                  <c:v>116.98217297416569</c:v>
                </c:pt>
                <c:pt idx="233">
                  <c:v>117.64260832558348</c:v>
                </c:pt>
                <c:pt idx="234">
                  <c:v>117.94786921593651</c:v>
                </c:pt>
                <c:pt idx="235">
                  <c:v>117.5806104166994</c:v>
                </c:pt>
                <c:pt idx="236">
                  <c:v>118.33719506748831</c:v>
                </c:pt>
                <c:pt idx="237">
                  <c:v>118.7112841448228</c:v>
                </c:pt>
                <c:pt idx="238">
                  <c:v>118.94088657009692</c:v>
                </c:pt>
                <c:pt idx="239">
                  <c:v>116.50090107130274</c:v>
                </c:pt>
                <c:pt idx="240">
                  <c:v>115.79370458521812</c:v>
                </c:pt>
                <c:pt idx="241">
                  <c:v>115.7064871879744</c:v>
                </c:pt>
                <c:pt idx="242">
                  <c:v>116.95800429782103</c:v>
                </c:pt>
                <c:pt idx="243">
                  <c:v>117.6147618071864</c:v>
                </c:pt>
                <c:pt idx="244">
                  <c:v>115.76375644279106</c:v>
                </c:pt>
                <c:pt idx="245">
                  <c:v>115.96971559772803</c:v>
                </c:pt>
                <c:pt idx="246">
                  <c:v>117.97098708026617</c:v>
                </c:pt>
                <c:pt idx="247">
                  <c:v>117.10144013786645</c:v>
                </c:pt>
                <c:pt idx="248">
                  <c:v>116.12838821199074</c:v>
                </c:pt>
                <c:pt idx="249">
                  <c:v>117.18655591108021</c:v>
                </c:pt>
                <c:pt idx="250">
                  <c:v>117.04469628905727</c:v>
                </c:pt>
                <c:pt idx="251">
                  <c:v>114.8353640275522</c:v>
                </c:pt>
                <c:pt idx="252">
                  <c:v>115.68442013565974</c:v>
                </c:pt>
                <c:pt idx="253">
                  <c:v>114.98825717573246</c:v>
                </c:pt>
                <c:pt idx="254">
                  <c:v>113.70101245737635</c:v>
                </c:pt>
                <c:pt idx="255">
                  <c:v>111.48800235381883</c:v>
                </c:pt>
                <c:pt idx="256">
                  <c:v>112.98488406916435</c:v>
                </c:pt>
                <c:pt idx="257">
                  <c:v>113.47141003210221</c:v>
                </c:pt>
                <c:pt idx="258">
                  <c:v>115.17372549637723</c:v>
                </c:pt>
                <c:pt idx="259">
                  <c:v>114.77862017874304</c:v>
                </c:pt>
                <c:pt idx="260">
                  <c:v>115.11435461753061</c:v>
                </c:pt>
                <c:pt idx="261">
                  <c:v>116.18933530885984</c:v>
                </c:pt>
                <c:pt idx="262">
                  <c:v>116.55711951410444</c:v>
                </c:pt>
                <c:pt idx="263">
                  <c:v>116.23662184953415</c:v>
                </c:pt>
                <c:pt idx="264">
                  <c:v>117.08200011558922</c:v>
                </c:pt>
                <c:pt idx="265">
                  <c:v>117.87746481093257</c:v>
                </c:pt>
                <c:pt idx="266">
                  <c:v>117.66152294185324</c:v>
                </c:pt>
                <c:pt idx="267">
                  <c:v>118.24682523419963</c:v>
                </c:pt>
                <c:pt idx="268">
                  <c:v>118.3025182709938</c:v>
                </c:pt>
                <c:pt idx="269">
                  <c:v>118.28255284270911</c:v>
                </c:pt>
                <c:pt idx="270">
                  <c:v>118.5899153570921</c:v>
                </c:pt>
                <c:pt idx="271">
                  <c:v>118.41390434458218</c:v>
                </c:pt>
                <c:pt idx="272">
                  <c:v>117.93998812582412</c:v>
                </c:pt>
                <c:pt idx="273">
                  <c:v>117.61266018315644</c:v>
                </c:pt>
                <c:pt idx="274">
                  <c:v>116.69897913612733</c:v>
                </c:pt>
                <c:pt idx="275">
                  <c:v>116.73313052661435</c:v>
                </c:pt>
                <c:pt idx="276">
                  <c:v>116.74468945877916</c:v>
                </c:pt>
                <c:pt idx="277">
                  <c:v>117.20284349731246</c:v>
                </c:pt>
                <c:pt idx="278">
                  <c:v>115.91244634291139</c:v>
                </c:pt>
                <c:pt idx="279">
                  <c:v>116.58023737843409</c:v>
                </c:pt>
                <c:pt idx="280">
                  <c:v>118.15855702494093</c:v>
                </c:pt>
                <c:pt idx="281">
                  <c:v>118.78589179788673</c:v>
                </c:pt>
                <c:pt idx="282">
                  <c:v>118.59674563518951</c:v>
                </c:pt>
                <c:pt idx="283">
                  <c:v>119.6617436123764</c:v>
                </c:pt>
                <c:pt idx="284">
                  <c:v>120.42988719533012</c:v>
                </c:pt>
                <c:pt idx="285">
                  <c:v>120.86755039957119</c:v>
                </c:pt>
                <c:pt idx="286">
                  <c:v>121.14601558354211</c:v>
                </c:pt>
                <c:pt idx="287">
                  <c:v>120.93375155651519</c:v>
                </c:pt>
                <c:pt idx="288">
                  <c:v>120.52551108869368</c:v>
                </c:pt>
                <c:pt idx="289">
                  <c:v>119.72058908521551</c:v>
                </c:pt>
                <c:pt idx="290">
                  <c:v>118.64087973981884</c:v>
                </c:pt>
                <c:pt idx="291">
                  <c:v>119.1079656804795</c:v>
                </c:pt>
                <c:pt idx="292">
                  <c:v>119.65071008621906</c:v>
                </c:pt>
                <c:pt idx="293">
                  <c:v>120.61850795201984</c:v>
                </c:pt>
                <c:pt idx="294">
                  <c:v>119.34439838385103</c:v>
                </c:pt>
                <c:pt idx="295">
                  <c:v>119.94178501436977</c:v>
                </c:pt>
                <c:pt idx="296">
                  <c:v>118.97924120864388</c:v>
                </c:pt>
                <c:pt idx="297">
                  <c:v>118.24840145222213</c:v>
                </c:pt>
                <c:pt idx="298">
                  <c:v>118.2347408960273</c:v>
                </c:pt>
                <c:pt idx="299">
                  <c:v>119.29711184317674</c:v>
                </c:pt>
                <c:pt idx="300">
                  <c:v>119.56717053102776</c:v>
                </c:pt>
                <c:pt idx="301">
                  <c:v>118.64771001791624</c:v>
                </c:pt>
                <c:pt idx="302">
                  <c:v>117.23436785776197</c:v>
                </c:pt>
                <c:pt idx="303">
                  <c:v>117.13874396439836</c:v>
                </c:pt>
                <c:pt idx="304">
                  <c:v>117.52018872583778</c:v>
                </c:pt>
                <c:pt idx="305">
                  <c:v>118.01301956086556</c:v>
                </c:pt>
                <c:pt idx="306">
                  <c:v>118.51793473406562</c:v>
                </c:pt>
                <c:pt idx="307">
                  <c:v>119.77470590398718</c:v>
                </c:pt>
                <c:pt idx="308">
                  <c:v>117.05835684525206</c:v>
                </c:pt>
                <c:pt idx="309">
                  <c:v>116.92175128330406</c:v>
                </c:pt>
                <c:pt idx="310">
                  <c:v>115.78950133715817</c:v>
                </c:pt>
                <c:pt idx="311">
                  <c:v>114.54586531742393</c:v>
                </c:pt>
                <c:pt idx="312">
                  <c:v>114.44130952193296</c:v>
                </c:pt>
                <c:pt idx="313">
                  <c:v>113.98683332545212</c:v>
                </c:pt>
                <c:pt idx="314">
                  <c:v>114.82853374945478</c:v>
                </c:pt>
                <c:pt idx="315">
                  <c:v>113.22499461458831</c:v>
                </c:pt>
                <c:pt idx="316">
                  <c:v>113.33795690619915</c:v>
                </c:pt>
                <c:pt idx="317">
                  <c:v>114.77389152467558</c:v>
                </c:pt>
                <c:pt idx="318">
                  <c:v>112.77577247818239</c:v>
                </c:pt>
                <c:pt idx="319">
                  <c:v>112.9927651592767</c:v>
                </c:pt>
                <c:pt idx="320">
                  <c:v>113.33743150019164</c:v>
                </c:pt>
                <c:pt idx="321">
                  <c:v>113.95005490492767</c:v>
                </c:pt>
                <c:pt idx="322">
                  <c:v>115.49212153691754</c:v>
                </c:pt>
                <c:pt idx="323">
                  <c:v>114.75024825433843</c:v>
                </c:pt>
                <c:pt idx="324">
                  <c:v>114.42554734170818</c:v>
                </c:pt>
                <c:pt idx="325">
                  <c:v>113.08366039857287</c:v>
                </c:pt>
                <c:pt idx="326">
                  <c:v>114.12238807538513</c:v>
                </c:pt>
                <c:pt idx="327">
                  <c:v>115.62504925681307</c:v>
                </c:pt>
                <c:pt idx="328">
                  <c:v>116.59810118268878</c:v>
                </c:pt>
                <c:pt idx="329">
                  <c:v>117.77816307551646</c:v>
                </c:pt>
                <c:pt idx="330">
                  <c:v>119.49098665994134</c:v>
                </c:pt>
                <c:pt idx="331">
                  <c:v>119.33494107571612</c:v>
                </c:pt>
                <c:pt idx="332">
                  <c:v>119.4993931560612</c:v>
                </c:pt>
                <c:pt idx="333">
                  <c:v>120.75458810796027</c:v>
                </c:pt>
                <c:pt idx="334">
                  <c:v>119.91446390198011</c:v>
                </c:pt>
                <c:pt idx="335">
                  <c:v>117.74716412107441</c:v>
                </c:pt>
                <c:pt idx="336">
                  <c:v>117.22596136164205</c:v>
                </c:pt>
                <c:pt idx="337">
                  <c:v>117.60110125099153</c:v>
                </c:pt>
                <c:pt idx="338">
                  <c:v>116.8129922397531</c:v>
                </c:pt>
                <c:pt idx="339">
                  <c:v>117.46239406501358</c:v>
                </c:pt>
                <c:pt idx="340">
                  <c:v>116.51140919145254</c:v>
                </c:pt>
                <c:pt idx="341">
                  <c:v>118.41127731454466</c:v>
                </c:pt>
                <c:pt idx="342">
                  <c:v>118.34875399965307</c:v>
                </c:pt>
                <c:pt idx="343">
                  <c:v>119.96227584866187</c:v>
                </c:pt>
                <c:pt idx="344">
                  <c:v>120.07313651624276</c:v>
                </c:pt>
                <c:pt idx="345">
                  <c:v>119.39693898460015</c:v>
                </c:pt>
                <c:pt idx="346">
                  <c:v>118.90726058561735</c:v>
                </c:pt>
                <c:pt idx="347">
                  <c:v>116.49774863525769</c:v>
                </c:pt>
                <c:pt idx="348">
                  <c:v>116.13206605404307</c:v>
                </c:pt>
                <c:pt idx="349">
                  <c:v>115.38336249336656</c:v>
                </c:pt>
                <c:pt idx="350">
                  <c:v>114.90629383856357</c:v>
                </c:pt>
                <c:pt idx="351">
                  <c:v>111.96927425668167</c:v>
                </c:pt>
                <c:pt idx="352">
                  <c:v>112.57138954126783</c:v>
                </c:pt>
                <c:pt idx="353">
                  <c:v>107.19333364857677</c:v>
                </c:pt>
                <c:pt idx="354">
                  <c:v>107.13238655170767</c:v>
                </c:pt>
                <c:pt idx="355">
                  <c:v>100.0094573081347</c:v>
                </c:pt>
                <c:pt idx="356">
                  <c:v>104.75334814978258</c:v>
                </c:pt>
                <c:pt idx="357">
                  <c:v>100.17023154642735</c:v>
                </c:pt>
                <c:pt idx="358">
                  <c:v>104.82585417881653</c:v>
                </c:pt>
                <c:pt idx="359">
                  <c:v>105.3791067047059</c:v>
                </c:pt>
                <c:pt idx="360">
                  <c:v>107.6824866415521</c:v>
                </c:pt>
                <c:pt idx="361">
                  <c:v>106.6532162728747</c:v>
                </c:pt>
                <c:pt idx="362">
                  <c:v>106.78404236874027</c:v>
                </c:pt>
                <c:pt idx="363">
                  <c:v>102.02964340694255</c:v>
                </c:pt>
                <c:pt idx="364">
                  <c:v>100.49808489510252</c:v>
                </c:pt>
                <c:pt idx="365">
                  <c:v>100.52435519547714</c:v>
                </c:pt>
                <c:pt idx="366">
                  <c:v>103.97206941664155</c:v>
                </c:pt>
                <c:pt idx="367">
                  <c:v>105.35073478030131</c:v>
                </c:pt>
                <c:pt idx="368">
                  <c:v>103.71304425494783</c:v>
                </c:pt>
                <c:pt idx="369">
                  <c:v>105.29714336753707</c:v>
                </c:pt>
                <c:pt idx="370">
                  <c:v>108.28880517419819</c:v>
                </c:pt>
                <c:pt idx="371">
                  <c:v>108.56832117018408</c:v>
                </c:pt>
                <c:pt idx="372">
                  <c:v>109.11526882398357</c:v>
                </c:pt>
                <c:pt idx="373">
                  <c:v>107.82907491764244</c:v>
                </c:pt>
                <c:pt idx="374">
                  <c:v>105.10747179883238</c:v>
                </c:pt>
                <c:pt idx="375">
                  <c:v>104.32829468972132</c:v>
                </c:pt>
                <c:pt idx="376">
                  <c:v>107.34307436071207</c:v>
                </c:pt>
                <c:pt idx="377">
                  <c:v>106.20662116650625</c:v>
                </c:pt>
                <c:pt idx="378">
                  <c:v>103.37205575608535</c:v>
                </c:pt>
                <c:pt idx="379">
                  <c:v>104.09869226444717</c:v>
                </c:pt>
                <c:pt idx="380">
                  <c:v>105.0854047465177</c:v>
                </c:pt>
                <c:pt idx="381">
                  <c:v>106.50189934271691</c:v>
                </c:pt>
                <c:pt idx="382">
                  <c:v>108.35185389509726</c:v>
                </c:pt>
                <c:pt idx="383">
                  <c:v>108.97235838994565</c:v>
                </c:pt>
                <c:pt idx="384">
                  <c:v>107.90473338272132</c:v>
                </c:pt>
                <c:pt idx="385">
                  <c:v>107.7287223702114</c:v>
                </c:pt>
                <c:pt idx="386">
                  <c:v>104.56630361111532</c:v>
                </c:pt>
                <c:pt idx="387">
                  <c:v>101.23312789958423</c:v>
                </c:pt>
                <c:pt idx="388">
                  <c:v>101.8620388905525</c:v>
                </c:pt>
                <c:pt idx="389">
                  <c:v>104.23897566844762</c:v>
                </c:pt>
                <c:pt idx="390">
                  <c:v>105.35388721634627</c:v>
                </c:pt>
                <c:pt idx="391">
                  <c:v>103.20024799163538</c:v>
                </c:pt>
                <c:pt idx="392">
                  <c:v>104.04247382164552</c:v>
                </c:pt>
                <c:pt idx="393">
                  <c:v>101.44486652060364</c:v>
                </c:pt>
                <c:pt idx="394">
                  <c:v>98.563539975515937</c:v>
                </c:pt>
                <c:pt idx="395">
                  <c:v>100.79336307131322</c:v>
                </c:pt>
                <c:pt idx="396">
                  <c:v>102.64699546574602</c:v>
                </c:pt>
                <c:pt idx="397">
                  <c:v>104.53530465667329</c:v>
                </c:pt>
                <c:pt idx="398">
                  <c:v>103.68467233054329</c:v>
                </c:pt>
                <c:pt idx="399">
                  <c:v>107.22275638499636</c:v>
                </c:pt>
                <c:pt idx="400">
                  <c:v>107.28265266985048</c:v>
                </c:pt>
                <c:pt idx="401">
                  <c:v>108.3502776770748</c:v>
                </c:pt>
                <c:pt idx="402">
                  <c:v>108.03713569660941</c:v>
                </c:pt>
                <c:pt idx="403">
                  <c:v>109.91441136137934</c:v>
                </c:pt>
                <c:pt idx="404">
                  <c:v>107.78914406107305</c:v>
                </c:pt>
                <c:pt idx="405">
                  <c:v>109.99006982645822</c:v>
                </c:pt>
                <c:pt idx="406">
                  <c:v>108.61613311686591</c:v>
                </c:pt>
                <c:pt idx="407">
                  <c:v>109.11369260596109</c:v>
                </c:pt>
                <c:pt idx="408">
                  <c:v>111.16855550126344</c:v>
                </c:pt>
                <c:pt idx="409">
                  <c:v>112.60133768369491</c:v>
                </c:pt>
                <c:pt idx="410">
                  <c:v>110.34419347550804</c:v>
                </c:pt>
                <c:pt idx="411">
                  <c:v>111.50796778210346</c:v>
                </c:pt>
                <c:pt idx="412">
                  <c:v>115.33817757672223</c:v>
                </c:pt>
                <c:pt idx="413">
                  <c:v>115.38598952340404</c:v>
                </c:pt>
                <c:pt idx="414">
                  <c:v>112.5319840907059</c:v>
                </c:pt>
                <c:pt idx="415">
                  <c:v>109.38795454187205</c:v>
                </c:pt>
                <c:pt idx="416">
                  <c:v>111.16014900514354</c:v>
                </c:pt>
                <c:pt idx="417">
                  <c:v>113.27070493724007</c:v>
                </c:pt>
                <c:pt idx="418">
                  <c:v>112.55983060910302</c:v>
                </c:pt>
                <c:pt idx="419">
                  <c:v>113.27753521533748</c:v>
                </c:pt>
                <c:pt idx="420">
                  <c:v>114.67564060127447</c:v>
                </c:pt>
                <c:pt idx="421">
                  <c:v>110.47817200741856</c:v>
                </c:pt>
                <c:pt idx="422">
                  <c:v>111.44596987321937</c:v>
                </c:pt>
                <c:pt idx="423">
                  <c:v>113.6179983081925</c:v>
                </c:pt>
                <c:pt idx="424">
                  <c:v>112.54669545891572</c:v>
                </c:pt>
                <c:pt idx="425">
                  <c:v>113.10940529293997</c:v>
                </c:pt>
                <c:pt idx="426">
                  <c:v>111.26207777059707</c:v>
                </c:pt>
                <c:pt idx="427">
                  <c:v>109.39478481996947</c:v>
                </c:pt>
                <c:pt idx="428">
                  <c:v>109.35905721146001</c:v>
                </c:pt>
                <c:pt idx="429">
                  <c:v>107.32521055645736</c:v>
                </c:pt>
                <c:pt idx="430">
                  <c:v>106.88912357023877</c:v>
                </c:pt>
                <c:pt idx="431">
                  <c:v>104.53162681462086</c:v>
                </c:pt>
                <c:pt idx="432">
                  <c:v>104.26682218684476</c:v>
                </c:pt>
                <c:pt idx="433">
                  <c:v>107.3299392105248</c:v>
                </c:pt>
                <c:pt idx="434">
                  <c:v>107.60630277046573</c:v>
                </c:pt>
                <c:pt idx="435">
                  <c:v>112.2834670491621</c:v>
                </c:pt>
                <c:pt idx="436">
                  <c:v>112.0727792401577</c:v>
                </c:pt>
                <c:pt idx="437">
                  <c:v>112.05018678183552</c:v>
                </c:pt>
                <c:pt idx="438">
                  <c:v>113.20818162234852</c:v>
                </c:pt>
                <c:pt idx="439">
                  <c:v>113.33532987616165</c:v>
                </c:pt>
                <c:pt idx="440">
                  <c:v>113.59645666188534</c:v>
                </c:pt>
                <c:pt idx="441">
                  <c:v>111.19745283167553</c:v>
                </c:pt>
                <c:pt idx="442">
                  <c:v>113.07525390245299</c:v>
                </c:pt>
                <c:pt idx="443">
                  <c:v>111.39395467847767</c:v>
                </c:pt>
                <c:pt idx="444">
                  <c:v>110.44822386499155</c:v>
                </c:pt>
                <c:pt idx="445">
                  <c:v>109.20616406327979</c:v>
                </c:pt>
                <c:pt idx="446">
                  <c:v>109.57027042647194</c:v>
                </c:pt>
                <c:pt idx="447">
                  <c:v>109.92439407552173</c:v>
                </c:pt>
                <c:pt idx="448">
                  <c:v>108.63662395115814</c:v>
                </c:pt>
                <c:pt idx="449">
                  <c:v>111.89414119761032</c:v>
                </c:pt>
                <c:pt idx="450">
                  <c:v>112.11428631474961</c:v>
                </c:pt>
                <c:pt idx="451">
                  <c:v>113.06947443637058</c:v>
                </c:pt>
                <c:pt idx="452">
                  <c:v>114.09191452695057</c:v>
                </c:pt>
                <c:pt idx="453">
                  <c:v>114.10294805310791</c:v>
                </c:pt>
                <c:pt idx="454">
                  <c:v>112.70431726116344</c:v>
                </c:pt>
                <c:pt idx="455">
                  <c:v>113.91432729641816</c:v>
                </c:pt>
                <c:pt idx="456">
                  <c:v>113.43200458154026</c:v>
                </c:pt>
                <c:pt idx="457">
                  <c:v>115.19001308260945</c:v>
                </c:pt>
                <c:pt idx="458">
                  <c:v>115.23624881126878</c:v>
                </c:pt>
                <c:pt idx="459">
                  <c:v>115.57513568610129</c:v>
                </c:pt>
                <c:pt idx="460">
                  <c:v>115.32556783254245</c:v>
                </c:pt>
                <c:pt idx="461">
                  <c:v>115.58932164830358</c:v>
                </c:pt>
                <c:pt idx="462">
                  <c:v>116.61806661097347</c:v>
                </c:pt>
                <c:pt idx="463">
                  <c:v>116.66535315164779</c:v>
                </c:pt>
                <c:pt idx="464">
                  <c:v>116.94171671158873</c:v>
                </c:pt>
                <c:pt idx="465">
                  <c:v>116.36324469733974</c:v>
                </c:pt>
                <c:pt idx="466">
                  <c:v>116.77621381922869</c:v>
                </c:pt>
                <c:pt idx="467">
                  <c:v>118.09235586799684</c:v>
                </c:pt>
                <c:pt idx="468">
                  <c:v>118.67870897235825</c:v>
                </c:pt>
                <c:pt idx="469">
                  <c:v>118.76119771553451</c:v>
                </c:pt>
                <c:pt idx="470">
                  <c:v>118.81899237635865</c:v>
                </c:pt>
                <c:pt idx="471">
                  <c:v>118.70077602467289</c:v>
                </c:pt>
                <c:pt idx="472">
                  <c:v>119.73109720536527</c:v>
                </c:pt>
                <c:pt idx="473">
                  <c:v>119.0485948016328</c:v>
                </c:pt>
                <c:pt idx="474">
                  <c:v>118.86522810501798</c:v>
                </c:pt>
                <c:pt idx="475">
                  <c:v>118.56942452279982</c:v>
                </c:pt>
                <c:pt idx="476">
                  <c:v>118.51530770402813</c:v>
                </c:pt>
                <c:pt idx="477">
                  <c:v>119.59501704942478</c:v>
                </c:pt>
                <c:pt idx="478">
                  <c:v>119.73582585943272</c:v>
                </c:pt>
                <c:pt idx="479">
                  <c:v>121.49961382658432</c:v>
                </c:pt>
                <c:pt idx="480">
                  <c:v>121.45022566188008</c:v>
                </c:pt>
                <c:pt idx="481">
                  <c:v>121.69821729741645</c:v>
                </c:pt>
                <c:pt idx="482">
                  <c:v>122.00505440579195</c:v>
                </c:pt>
                <c:pt idx="483">
                  <c:v>122.18631947837677</c:v>
                </c:pt>
                <c:pt idx="484">
                  <c:v>121.34777149041906</c:v>
                </c:pt>
                <c:pt idx="485">
                  <c:v>122.19945462856407</c:v>
                </c:pt>
                <c:pt idx="486">
                  <c:v>122.10435614120796</c:v>
                </c:pt>
                <c:pt idx="487">
                  <c:v>121.48858030042702</c:v>
                </c:pt>
                <c:pt idx="488">
                  <c:v>122.84622942378708</c:v>
                </c:pt>
                <c:pt idx="489">
                  <c:v>123.13782975794533</c:v>
                </c:pt>
                <c:pt idx="490">
                  <c:v>123.22925040324898</c:v>
                </c:pt>
                <c:pt idx="491">
                  <c:v>122.82258615344996</c:v>
                </c:pt>
                <c:pt idx="492">
                  <c:v>123.37111002527192</c:v>
                </c:pt>
                <c:pt idx="493">
                  <c:v>123.59335676644116</c:v>
                </c:pt>
                <c:pt idx="494">
                  <c:v>123.77199480898854</c:v>
                </c:pt>
                <c:pt idx="495">
                  <c:v>124.20755638919967</c:v>
                </c:pt>
                <c:pt idx="496">
                  <c:v>123.64011790110797</c:v>
                </c:pt>
                <c:pt idx="497">
                  <c:v>124.40931229607668</c:v>
                </c:pt>
                <c:pt idx="498">
                  <c:v>124.01052913639003</c:v>
                </c:pt>
                <c:pt idx="499">
                  <c:v>123.53766372964698</c:v>
                </c:pt>
                <c:pt idx="500">
                  <c:v>121.64252426062228</c:v>
                </c:pt>
                <c:pt idx="501">
                  <c:v>122.5189014811194</c:v>
                </c:pt>
                <c:pt idx="502">
                  <c:v>123.73364017044159</c:v>
                </c:pt>
                <c:pt idx="503">
                  <c:v>124.18286230684748</c:v>
                </c:pt>
                <c:pt idx="504">
                  <c:v>124.21123423125206</c:v>
                </c:pt>
                <c:pt idx="505">
                  <c:v>126.50673307798588</c:v>
                </c:pt>
                <c:pt idx="506">
                  <c:v>126.35909398988055</c:v>
                </c:pt>
                <c:pt idx="507">
                  <c:v>127.11515323466196</c:v>
                </c:pt>
                <c:pt idx="508">
                  <c:v>127.25806366869988</c:v>
                </c:pt>
                <c:pt idx="509">
                  <c:v>127.76455505992244</c:v>
                </c:pt>
                <c:pt idx="510">
                  <c:v>127.38258489247555</c:v>
                </c:pt>
                <c:pt idx="511">
                  <c:v>127.14930462514897</c:v>
                </c:pt>
                <c:pt idx="512">
                  <c:v>126.23982682617982</c:v>
                </c:pt>
                <c:pt idx="513">
                  <c:v>126.63125430176157</c:v>
                </c:pt>
                <c:pt idx="514">
                  <c:v>128.39031361484575</c:v>
                </c:pt>
                <c:pt idx="515">
                  <c:v>128.04196943187836</c:v>
                </c:pt>
                <c:pt idx="516">
                  <c:v>127.43985414729219</c:v>
                </c:pt>
                <c:pt idx="517">
                  <c:v>127.23757283440764</c:v>
                </c:pt>
                <c:pt idx="518">
                  <c:v>127.70886202312825</c:v>
                </c:pt>
                <c:pt idx="519">
                  <c:v>128.67613448292153</c:v>
                </c:pt>
                <c:pt idx="520">
                  <c:v>128.1932863620361</c:v>
                </c:pt>
                <c:pt idx="521">
                  <c:v>126.88817783942528</c:v>
                </c:pt>
                <c:pt idx="522">
                  <c:v>126.85402644893827</c:v>
                </c:pt>
                <c:pt idx="523">
                  <c:v>125.41599020643189</c:v>
                </c:pt>
                <c:pt idx="524">
                  <c:v>123.2744353198933</c:v>
                </c:pt>
                <c:pt idx="525">
                  <c:v>124.21070882524457</c:v>
                </c:pt>
                <c:pt idx="526">
                  <c:v>125.92353240966942</c:v>
                </c:pt>
                <c:pt idx="527">
                  <c:v>124.35519547730493</c:v>
                </c:pt>
                <c:pt idx="528">
                  <c:v>124.29267216241335</c:v>
                </c:pt>
                <c:pt idx="529">
                  <c:v>126.2177597738651</c:v>
                </c:pt>
                <c:pt idx="530">
                  <c:v>125.70706513458261</c:v>
                </c:pt>
                <c:pt idx="531">
                  <c:v>124.96676807002595</c:v>
                </c:pt>
                <c:pt idx="532">
                  <c:v>125.11598337615378</c:v>
                </c:pt>
                <c:pt idx="533">
                  <c:v>124.06674757919167</c:v>
                </c:pt>
                <c:pt idx="534">
                  <c:v>124.52332539970249</c:v>
                </c:pt>
                <c:pt idx="535">
                  <c:v>126.23982682617981</c:v>
                </c:pt>
                <c:pt idx="536">
                  <c:v>127.08993374630234</c:v>
                </c:pt>
                <c:pt idx="537">
                  <c:v>127.39939788471533</c:v>
                </c:pt>
                <c:pt idx="538">
                  <c:v>126.90761786170255</c:v>
                </c:pt>
                <c:pt idx="539">
                  <c:v>127.62637327995201</c:v>
                </c:pt>
                <c:pt idx="540">
                  <c:v>127.32111238959898</c:v>
                </c:pt>
                <c:pt idx="541">
                  <c:v>126.36907670402296</c:v>
                </c:pt>
                <c:pt idx="542">
                  <c:v>124.33155220696784</c:v>
                </c:pt>
                <c:pt idx="543">
                  <c:v>124.37726252961968</c:v>
                </c:pt>
                <c:pt idx="544">
                  <c:v>123.86183923626972</c:v>
                </c:pt>
                <c:pt idx="545">
                  <c:v>123.0663745409264</c:v>
                </c:pt>
                <c:pt idx="546">
                  <c:v>123.4141933178863</c:v>
                </c:pt>
                <c:pt idx="547">
                  <c:v>123.00963069211726</c:v>
                </c:pt>
                <c:pt idx="548">
                  <c:v>121.65513400480212</c:v>
                </c:pt>
                <c:pt idx="549">
                  <c:v>120.97788566114457</c:v>
                </c:pt>
                <c:pt idx="550">
                  <c:v>120.48663104413929</c:v>
                </c:pt>
                <c:pt idx="551">
                  <c:v>118.6855392504557</c:v>
                </c:pt>
                <c:pt idx="552">
                  <c:v>117.80916202995859</c:v>
                </c:pt>
                <c:pt idx="553">
                  <c:v>119.70009825092333</c:v>
                </c:pt>
                <c:pt idx="554">
                  <c:v>119.76104534779245</c:v>
                </c:pt>
                <c:pt idx="555">
                  <c:v>119.96910612675939</c:v>
                </c:pt>
                <c:pt idx="556">
                  <c:v>120.15352363538918</c:v>
                </c:pt>
                <c:pt idx="557">
                  <c:v>119.8934476616805</c:v>
                </c:pt>
                <c:pt idx="558">
                  <c:v>121.24111407089823</c:v>
                </c:pt>
                <c:pt idx="559">
                  <c:v>119.5398494186382</c:v>
                </c:pt>
                <c:pt idx="560">
                  <c:v>119.280298850937</c:v>
                </c:pt>
                <c:pt idx="561">
                  <c:v>116.34643170510004</c:v>
                </c:pt>
                <c:pt idx="562">
                  <c:v>116.36166847931732</c:v>
                </c:pt>
                <c:pt idx="563">
                  <c:v>117.03156113886999</c:v>
                </c:pt>
                <c:pt idx="564">
                  <c:v>119.76209615980743</c:v>
                </c:pt>
                <c:pt idx="565">
                  <c:v>119.75474047570253</c:v>
                </c:pt>
                <c:pt idx="566">
                  <c:v>120.72884321359325</c:v>
                </c:pt>
                <c:pt idx="567">
                  <c:v>119.21147066395552</c:v>
                </c:pt>
                <c:pt idx="568">
                  <c:v>120.60169495978013</c:v>
                </c:pt>
                <c:pt idx="569">
                  <c:v>119.79939998633942</c:v>
                </c:pt>
                <c:pt idx="570">
                  <c:v>121.09715282484537</c:v>
                </c:pt>
                <c:pt idx="571">
                  <c:v>122.3491953406995</c:v>
                </c:pt>
                <c:pt idx="572">
                  <c:v>122.52835878925438</c:v>
                </c:pt>
                <c:pt idx="573">
                  <c:v>123.7336401704417</c:v>
                </c:pt>
                <c:pt idx="574">
                  <c:v>123.53030804554217</c:v>
                </c:pt>
                <c:pt idx="575">
                  <c:v>120.79924761859725</c:v>
                </c:pt>
                <c:pt idx="576">
                  <c:v>121.66564212495204</c:v>
                </c:pt>
                <c:pt idx="577">
                  <c:v>119.73897829547782</c:v>
                </c:pt>
                <c:pt idx="578">
                  <c:v>120.31062003162944</c:v>
                </c:pt>
                <c:pt idx="579">
                  <c:v>121.42027751945314</c:v>
                </c:pt>
                <c:pt idx="580">
                  <c:v>121.1701842598868</c:v>
                </c:pt>
                <c:pt idx="581">
                  <c:v>124.19494664501991</c:v>
                </c:pt>
                <c:pt idx="582">
                  <c:v>124.50808862548531</c:v>
                </c:pt>
                <c:pt idx="583">
                  <c:v>125.31248522295601</c:v>
                </c:pt>
                <c:pt idx="584">
                  <c:v>124.72665752460209</c:v>
                </c:pt>
                <c:pt idx="585">
                  <c:v>123.59335676644123</c:v>
                </c:pt>
                <c:pt idx="586">
                  <c:v>123.39265167157917</c:v>
                </c:pt>
                <c:pt idx="587">
                  <c:v>122.39122782129888</c:v>
                </c:pt>
                <c:pt idx="588">
                  <c:v>122.40436297148621</c:v>
                </c:pt>
                <c:pt idx="589">
                  <c:v>121.79384119078017</c:v>
                </c:pt>
                <c:pt idx="590">
                  <c:v>123.80667160548313</c:v>
                </c:pt>
                <c:pt idx="591">
                  <c:v>123.51979992539233</c:v>
                </c:pt>
                <c:pt idx="592">
                  <c:v>124.43505719044391</c:v>
                </c:pt>
                <c:pt idx="593">
                  <c:v>125.28516411056643</c:v>
                </c:pt>
                <c:pt idx="594">
                  <c:v>125.63876235360875</c:v>
                </c:pt>
                <c:pt idx="595">
                  <c:v>124.37726252961978</c:v>
                </c:pt>
                <c:pt idx="596">
                  <c:v>123.27180828985598</c:v>
                </c:pt>
                <c:pt idx="597">
                  <c:v>122.15794755397233</c:v>
                </c:pt>
                <c:pt idx="598">
                  <c:v>122.12169453945536</c:v>
                </c:pt>
                <c:pt idx="599">
                  <c:v>124.14555848031567</c:v>
                </c:pt>
                <c:pt idx="600">
                  <c:v>126.52144444619583</c:v>
                </c:pt>
                <c:pt idx="601">
                  <c:v>126.46470059738664</c:v>
                </c:pt>
                <c:pt idx="602">
                  <c:v>125.91985456761715</c:v>
                </c:pt>
                <c:pt idx="603">
                  <c:v>125.55784982845498</c:v>
                </c:pt>
                <c:pt idx="604">
                  <c:v>124.64259256340341</c:v>
                </c:pt>
                <c:pt idx="605">
                  <c:v>127.03108827346337</c:v>
                </c:pt>
                <c:pt idx="606">
                  <c:v>127.33004429172648</c:v>
                </c:pt>
                <c:pt idx="607">
                  <c:v>127.98259855303191</c:v>
                </c:pt>
                <c:pt idx="608">
                  <c:v>128.10239112274013</c:v>
                </c:pt>
                <c:pt idx="609">
                  <c:v>128.21115016629105</c:v>
                </c:pt>
                <c:pt idx="610">
                  <c:v>128.49539481634437</c:v>
                </c:pt>
                <c:pt idx="611">
                  <c:v>128.3593146604039</c:v>
                </c:pt>
                <c:pt idx="612">
                  <c:v>128.3650941264863</c:v>
                </c:pt>
                <c:pt idx="613">
                  <c:v>128.55739272522851</c:v>
                </c:pt>
                <c:pt idx="614">
                  <c:v>129.48000567438498</c:v>
                </c:pt>
                <c:pt idx="615">
                  <c:v>129.72274324984642</c:v>
                </c:pt>
                <c:pt idx="616">
                  <c:v>129.72221784383891</c:v>
                </c:pt>
                <c:pt idx="617">
                  <c:v>129.2714194894105</c:v>
                </c:pt>
                <c:pt idx="618">
                  <c:v>129.30872331594247</c:v>
                </c:pt>
                <c:pt idx="619">
                  <c:v>128.26684320308524</c:v>
                </c:pt>
                <c:pt idx="620">
                  <c:v>129.11327228115533</c:v>
                </c:pt>
                <c:pt idx="621">
                  <c:v>129.05127437227125</c:v>
                </c:pt>
                <c:pt idx="622">
                  <c:v>128.95512507290016</c:v>
                </c:pt>
                <c:pt idx="623">
                  <c:v>129.09488307089313</c:v>
                </c:pt>
                <c:pt idx="624">
                  <c:v>128.10449274677015</c:v>
                </c:pt>
                <c:pt idx="625">
                  <c:v>128.75599619606061</c:v>
                </c:pt>
                <c:pt idx="626">
                  <c:v>128.60888251396278</c:v>
                </c:pt>
                <c:pt idx="627">
                  <c:v>128.50432671847179</c:v>
                </c:pt>
                <c:pt idx="628">
                  <c:v>131.14764434216551</c:v>
                </c:pt>
                <c:pt idx="629">
                  <c:v>131.6861854998451</c:v>
                </c:pt>
                <c:pt idx="630">
                  <c:v>130.88441593241188</c:v>
                </c:pt>
                <c:pt idx="631">
                  <c:v>131.29633424228581</c:v>
                </c:pt>
                <c:pt idx="632">
                  <c:v>131.60579838069879</c:v>
                </c:pt>
                <c:pt idx="633">
                  <c:v>133.76994572555952</c:v>
                </c:pt>
                <c:pt idx="634">
                  <c:v>134.30060579312675</c:v>
                </c:pt>
                <c:pt idx="635">
                  <c:v>133.88711126523035</c:v>
                </c:pt>
                <c:pt idx="636">
                  <c:v>133.71845593682534</c:v>
                </c:pt>
                <c:pt idx="637">
                  <c:v>133.87923017511798</c:v>
                </c:pt>
                <c:pt idx="638">
                  <c:v>133.82668957436874</c:v>
                </c:pt>
                <c:pt idx="639">
                  <c:v>133.81670686022639</c:v>
                </c:pt>
                <c:pt idx="640">
                  <c:v>133.51775084196328</c:v>
                </c:pt>
                <c:pt idx="641">
                  <c:v>132.13067898218364</c:v>
                </c:pt>
                <c:pt idx="642">
                  <c:v>131.39983922576189</c:v>
                </c:pt>
                <c:pt idx="643">
                  <c:v>132.67710122997565</c:v>
                </c:pt>
                <c:pt idx="644">
                  <c:v>132.08339244150935</c:v>
                </c:pt>
                <c:pt idx="645">
                  <c:v>132.43961771458913</c:v>
                </c:pt>
                <c:pt idx="646">
                  <c:v>132.56413893836481</c:v>
                </c:pt>
                <c:pt idx="647">
                  <c:v>133.07430817163984</c:v>
                </c:pt>
                <c:pt idx="648">
                  <c:v>134.03002169926833</c:v>
                </c:pt>
                <c:pt idx="649">
                  <c:v>134.03264872930581</c:v>
                </c:pt>
                <c:pt idx="650">
                  <c:v>133.56924063069758</c:v>
                </c:pt>
                <c:pt idx="651">
                  <c:v>132.25204776991441</c:v>
                </c:pt>
                <c:pt idx="652">
                  <c:v>131.44344792438378</c:v>
                </c:pt>
                <c:pt idx="653">
                  <c:v>131.49125987106555</c:v>
                </c:pt>
                <c:pt idx="654">
                  <c:v>131.10351023753626</c:v>
                </c:pt>
                <c:pt idx="655">
                  <c:v>132.16272874864072</c:v>
                </c:pt>
                <c:pt idx="656">
                  <c:v>133.52037787200081</c:v>
                </c:pt>
                <c:pt idx="657">
                  <c:v>134.08624014206998</c:v>
                </c:pt>
                <c:pt idx="658">
                  <c:v>133.76574247749966</c:v>
                </c:pt>
                <c:pt idx="659">
                  <c:v>131.55115615591967</c:v>
                </c:pt>
                <c:pt idx="660">
                  <c:v>131.61210325278876</c:v>
                </c:pt>
                <c:pt idx="661">
                  <c:v>129.71118431768164</c:v>
                </c:pt>
                <c:pt idx="662">
                  <c:v>129.31187575198749</c:v>
                </c:pt>
                <c:pt idx="663">
                  <c:v>129.70172700954677</c:v>
                </c:pt>
                <c:pt idx="664">
                  <c:v>129.60715392819819</c:v>
                </c:pt>
                <c:pt idx="665">
                  <c:v>129.64445775473015</c:v>
                </c:pt>
                <c:pt idx="666">
                  <c:v>131.07146047107921</c:v>
                </c:pt>
                <c:pt idx="667">
                  <c:v>129.84358663156971</c:v>
                </c:pt>
                <c:pt idx="668">
                  <c:v>130.13991561979535</c:v>
                </c:pt>
                <c:pt idx="669">
                  <c:v>131.16550814642028</c:v>
                </c:pt>
                <c:pt idx="670">
                  <c:v>128.1717447157292</c:v>
                </c:pt>
                <c:pt idx="671">
                  <c:v>126.60813643743214</c:v>
                </c:pt>
                <c:pt idx="672">
                  <c:v>126.82880696057892</c:v>
                </c:pt>
                <c:pt idx="673">
                  <c:v>126.84561995281867</c:v>
                </c:pt>
                <c:pt idx="674">
                  <c:v>126.38011023018051</c:v>
                </c:pt>
                <c:pt idx="675">
                  <c:v>124.67569314187551</c:v>
                </c:pt>
                <c:pt idx="676">
                  <c:v>124.4854961671633</c:v>
                </c:pt>
                <c:pt idx="677">
                  <c:v>125.10022119592928</c:v>
                </c:pt>
                <c:pt idx="678">
                  <c:v>127.59327270148019</c:v>
                </c:pt>
                <c:pt idx="679">
                  <c:v>127.68889659484378</c:v>
                </c:pt>
                <c:pt idx="680">
                  <c:v>127.9873272070994</c:v>
                </c:pt>
                <c:pt idx="681">
                  <c:v>129.67335508514216</c:v>
                </c:pt>
                <c:pt idx="682">
                  <c:v>129.41380451744098</c:v>
                </c:pt>
                <c:pt idx="683">
                  <c:v>128.74969132397072</c:v>
                </c:pt>
                <c:pt idx="684">
                  <c:v>129.7999779329478</c:v>
                </c:pt>
                <c:pt idx="685">
                  <c:v>130.37529751115187</c:v>
                </c:pt>
                <c:pt idx="686">
                  <c:v>130.39631375145157</c:v>
                </c:pt>
                <c:pt idx="687">
                  <c:v>129.77896169264812</c:v>
                </c:pt>
                <c:pt idx="688">
                  <c:v>129.55986738752384</c:v>
                </c:pt>
                <c:pt idx="689">
                  <c:v>129.80628280503774</c:v>
                </c:pt>
                <c:pt idx="690">
                  <c:v>130.26916549763843</c:v>
                </c:pt>
                <c:pt idx="691">
                  <c:v>130.66006756721268</c:v>
                </c:pt>
                <c:pt idx="692">
                  <c:v>130.70945573191696</c:v>
                </c:pt>
                <c:pt idx="693">
                  <c:v>131.56586752412937</c:v>
                </c:pt>
                <c:pt idx="694">
                  <c:v>131.6541357333881</c:v>
                </c:pt>
                <c:pt idx="695">
                  <c:v>130.85551860199982</c:v>
                </c:pt>
                <c:pt idx="696">
                  <c:v>130.31960447435767</c:v>
                </c:pt>
                <c:pt idx="697">
                  <c:v>131.86850138444495</c:v>
                </c:pt>
                <c:pt idx="698">
                  <c:v>133.38587393408267</c:v>
                </c:pt>
                <c:pt idx="699">
                  <c:v>132.37814521171248</c:v>
                </c:pt>
                <c:pt idx="700">
                  <c:v>133.13315364447891</c:v>
                </c:pt>
                <c:pt idx="701">
                  <c:v>131.89372087280461</c:v>
                </c:pt>
                <c:pt idx="702">
                  <c:v>131.58845998245158</c:v>
                </c:pt>
                <c:pt idx="703">
                  <c:v>130.9595489914833</c:v>
                </c:pt>
                <c:pt idx="704">
                  <c:v>130.82451964755776</c:v>
                </c:pt>
                <c:pt idx="705">
                  <c:v>129.39226287113379</c:v>
                </c:pt>
                <c:pt idx="706">
                  <c:v>131.58478214039914</c:v>
                </c:pt>
                <c:pt idx="707">
                  <c:v>134.9531600544322</c:v>
                </c:pt>
                <c:pt idx="708">
                  <c:v>134.67154243441632</c:v>
                </c:pt>
                <c:pt idx="709">
                  <c:v>135.32672372575919</c:v>
                </c:pt>
                <c:pt idx="710">
                  <c:v>134.90482270174289</c:v>
                </c:pt>
                <c:pt idx="711">
                  <c:v>134.51286982015364</c:v>
                </c:pt>
                <c:pt idx="712">
                  <c:v>134.87277293528587</c:v>
                </c:pt>
                <c:pt idx="713">
                  <c:v>135.89731464989583</c:v>
                </c:pt>
                <c:pt idx="714">
                  <c:v>135.90624655202319</c:v>
                </c:pt>
                <c:pt idx="715">
                  <c:v>135.77909829821004</c:v>
                </c:pt>
                <c:pt idx="716">
                  <c:v>135.93304225840529</c:v>
                </c:pt>
                <c:pt idx="717">
                  <c:v>135.97612555101966</c:v>
                </c:pt>
                <c:pt idx="718">
                  <c:v>136.74426913397338</c:v>
                </c:pt>
                <c:pt idx="719">
                  <c:v>137.21188048064153</c:v>
                </c:pt>
                <c:pt idx="720">
                  <c:v>137.8255546973925</c:v>
                </c:pt>
                <c:pt idx="721">
                  <c:v>138.03624250639692</c:v>
                </c:pt>
                <c:pt idx="722">
                  <c:v>138.04149656647184</c:v>
                </c:pt>
                <c:pt idx="723">
                  <c:v>138.79335256319331</c:v>
                </c:pt>
                <c:pt idx="724">
                  <c:v>138.54063227358952</c:v>
                </c:pt>
                <c:pt idx="725">
                  <c:v>139.25518444377903</c:v>
                </c:pt>
                <c:pt idx="726">
                  <c:v>138.7476422405415</c:v>
                </c:pt>
                <c:pt idx="727">
                  <c:v>138.4003488695891</c:v>
                </c:pt>
                <c:pt idx="728">
                  <c:v>139.79477641347364</c:v>
                </c:pt>
                <c:pt idx="729">
                  <c:v>138.18440700050979</c:v>
                </c:pt>
                <c:pt idx="730">
                  <c:v>139.64030704727094</c:v>
                </c:pt>
                <c:pt idx="731">
                  <c:v>139.73435472261204</c:v>
                </c:pt>
                <c:pt idx="732">
                  <c:v>139.53942909383241</c:v>
                </c:pt>
                <c:pt idx="733">
                  <c:v>140.32806351107831</c:v>
                </c:pt>
                <c:pt idx="734">
                  <c:v>140.25030342196945</c:v>
                </c:pt>
                <c:pt idx="735">
                  <c:v>140.48148206526608</c:v>
                </c:pt>
                <c:pt idx="736">
                  <c:v>140.63017196538638</c:v>
                </c:pt>
                <c:pt idx="737">
                  <c:v>140.74418506901219</c:v>
                </c:pt>
                <c:pt idx="738">
                  <c:v>140.60968113109416</c:v>
                </c:pt>
                <c:pt idx="739">
                  <c:v>141.66312017611622</c:v>
                </c:pt>
                <c:pt idx="740">
                  <c:v>139.91246735915192</c:v>
                </c:pt>
                <c:pt idx="741">
                  <c:v>139.06183503302191</c:v>
                </c:pt>
                <c:pt idx="742">
                  <c:v>140.3023186167112</c:v>
                </c:pt>
                <c:pt idx="743">
                  <c:v>137.73308324007391</c:v>
                </c:pt>
                <c:pt idx="744">
                  <c:v>138.59632531038375</c:v>
                </c:pt>
                <c:pt idx="745">
                  <c:v>140.39426466802237</c:v>
                </c:pt>
                <c:pt idx="746">
                  <c:v>140.27920075238154</c:v>
                </c:pt>
                <c:pt idx="747">
                  <c:v>140.60810491307171</c:v>
                </c:pt>
                <c:pt idx="748">
                  <c:v>141.25750673833221</c:v>
                </c:pt>
                <c:pt idx="749">
                  <c:v>142.61357964366979</c:v>
                </c:pt>
                <c:pt idx="750">
                  <c:v>142.80903067845696</c:v>
                </c:pt>
                <c:pt idx="751">
                  <c:v>143.08224180235294</c:v>
                </c:pt>
                <c:pt idx="752">
                  <c:v>143.7337452516434</c:v>
                </c:pt>
                <c:pt idx="753">
                  <c:v>144.21396634249135</c:v>
                </c:pt>
                <c:pt idx="754">
                  <c:v>143.87455406165134</c:v>
                </c:pt>
                <c:pt idx="755">
                  <c:v>144.11203757703785</c:v>
                </c:pt>
                <c:pt idx="756">
                  <c:v>144.92273904659848</c:v>
                </c:pt>
                <c:pt idx="757">
                  <c:v>144.68735715524193</c:v>
                </c:pt>
                <c:pt idx="758">
                  <c:v>143.89189245989857</c:v>
                </c:pt>
                <c:pt idx="759">
                  <c:v>143.54564990096117</c:v>
                </c:pt>
                <c:pt idx="760">
                  <c:v>144.50871911269454</c:v>
                </c:pt>
                <c:pt idx="761">
                  <c:v>143.31447125766456</c:v>
                </c:pt>
                <c:pt idx="762">
                  <c:v>144.34216540831949</c:v>
                </c:pt>
                <c:pt idx="763">
                  <c:v>143.86036809944906</c:v>
                </c:pt>
                <c:pt idx="764">
                  <c:v>145.02887106011192</c:v>
                </c:pt>
                <c:pt idx="765">
                  <c:v>144.95163637701054</c:v>
                </c:pt>
                <c:pt idx="766">
                  <c:v>145.54009110540193</c:v>
                </c:pt>
                <c:pt idx="767">
                  <c:v>144.89804496424634</c:v>
                </c:pt>
                <c:pt idx="768">
                  <c:v>145.64832474294536</c:v>
                </c:pt>
                <c:pt idx="769">
                  <c:v>144.13883328342001</c:v>
                </c:pt>
                <c:pt idx="770">
                  <c:v>144.7320166658788</c:v>
                </c:pt>
                <c:pt idx="771">
                  <c:v>144.11151217103043</c:v>
                </c:pt>
                <c:pt idx="772">
                  <c:v>145.06722569865892</c:v>
                </c:pt>
                <c:pt idx="773">
                  <c:v>145.58159817999388</c:v>
                </c:pt>
                <c:pt idx="774">
                  <c:v>147.36640238744516</c:v>
                </c:pt>
                <c:pt idx="775">
                  <c:v>147.90284192109479</c:v>
                </c:pt>
                <c:pt idx="776">
                  <c:v>147.48672036316088</c:v>
                </c:pt>
                <c:pt idx="777">
                  <c:v>144.09942783285811</c:v>
                </c:pt>
                <c:pt idx="778">
                  <c:v>146.16059560025036</c:v>
                </c:pt>
                <c:pt idx="779">
                  <c:v>144.06685266039358</c:v>
                </c:pt>
                <c:pt idx="780">
                  <c:v>143.10588507269017</c:v>
                </c:pt>
                <c:pt idx="781">
                  <c:v>144.37841842283652</c:v>
                </c:pt>
                <c:pt idx="782">
                  <c:v>145.05409054847161</c:v>
                </c:pt>
                <c:pt idx="783">
                  <c:v>146.56515822601941</c:v>
                </c:pt>
                <c:pt idx="784">
                  <c:v>146.58459824829663</c:v>
                </c:pt>
                <c:pt idx="785">
                  <c:v>147.1809340668004</c:v>
                </c:pt>
                <c:pt idx="786">
                  <c:v>146.91612943902427</c:v>
                </c:pt>
                <c:pt idx="787">
                  <c:v>147.97482254412125</c:v>
                </c:pt>
                <c:pt idx="788">
                  <c:v>148.34418296738835</c:v>
                </c:pt>
                <c:pt idx="789">
                  <c:v>146.9707716638035</c:v>
                </c:pt>
                <c:pt idx="790">
                  <c:v>148.36519920768805</c:v>
                </c:pt>
                <c:pt idx="791">
                  <c:v>149.94456966620987</c:v>
                </c:pt>
                <c:pt idx="792">
                  <c:v>150.23144134630067</c:v>
                </c:pt>
                <c:pt idx="793">
                  <c:v>151.025855229629</c:v>
                </c:pt>
                <c:pt idx="794">
                  <c:v>151.71676412948136</c:v>
                </c:pt>
                <c:pt idx="795">
                  <c:v>151.22761113650606</c:v>
                </c:pt>
                <c:pt idx="796">
                  <c:v>151.88279242784893</c:v>
                </c:pt>
                <c:pt idx="797">
                  <c:v>151.90380866814863</c:v>
                </c:pt>
                <c:pt idx="798">
                  <c:v>153.47739966058805</c:v>
                </c:pt>
                <c:pt idx="799">
                  <c:v>154.31069358847083</c:v>
                </c:pt>
                <c:pt idx="800">
                  <c:v>153.54465162954708</c:v>
                </c:pt>
                <c:pt idx="801">
                  <c:v>155.12927614814382</c:v>
                </c:pt>
                <c:pt idx="802">
                  <c:v>155.02261872862289</c:v>
                </c:pt>
                <c:pt idx="803">
                  <c:v>155.2937282284889</c:v>
                </c:pt>
                <c:pt idx="804">
                  <c:v>154.02697434442499</c:v>
                </c:pt>
                <c:pt idx="805">
                  <c:v>153.59876844831876</c:v>
                </c:pt>
                <c:pt idx="806">
                  <c:v>153.51733051715746</c:v>
                </c:pt>
                <c:pt idx="807">
                  <c:v>154.49300947307063</c:v>
                </c:pt>
                <c:pt idx="808">
                  <c:v>153.42801149588377</c:v>
                </c:pt>
                <c:pt idx="809">
                  <c:v>154.01699163028263</c:v>
                </c:pt>
                <c:pt idx="810">
                  <c:v>151.81396424086745</c:v>
                </c:pt>
                <c:pt idx="811">
                  <c:v>152.73079772394149</c:v>
                </c:pt>
                <c:pt idx="812">
                  <c:v>151.89592757803624</c:v>
                </c:pt>
                <c:pt idx="813">
                  <c:v>149.84001387071891</c:v>
                </c:pt>
                <c:pt idx="814">
                  <c:v>151.13303805515744</c:v>
                </c:pt>
                <c:pt idx="815">
                  <c:v>153.07493865884896</c:v>
                </c:pt>
                <c:pt idx="816">
                  <c:v>153.03132996022711</c:v>
                </c:pt>
                <c:pt idx="817">
                  <c:v>151.47822980207991</c:v>
                </c:pt>
                <c:pt idx="818">
                  <c:v>150.24615271451049</c:v>
                </c:pt>
                <c:pt idx="819">
                  <c:v>152.48963636650259</c:v>
                </c:pt>
                <c:pt idx="820">
                  <c:v>151.59224290570575</c:v>
                </c:pt>
                <c:pt idx="821">
                  <c:v>152.74183125009887</c:v>
                </c:pt>
                <c:pt idx="822">
                  <c:v>153.93397748109888</c:v>
                </c:pt>
                <c:pt idx="823">
                  <c:v>151.80293071471016</c:v>
                </c:pt>
                <c:pt idx="824">
                  <c:v>148.02999017490802</c:v>
                </c:pt>
                <c:pt idx="825">
                  <c:v>148.42562089854968</c:v>
                </c:pt>
                <c:pt idx="826">
                  <c:v>146.62295288684362</c:v>
                </c:pt>
                <c:pt idx="827">
                  <c:v>148.02999017490799</c:v>
                </c:pt>
                <c:pt idx="828">
                  <c:v>149.48011075558671</c:v>
                </c:pt>
                <c:pt idx="829">
                  <c:v>150.41953669698293</c:v>
                </c:pt>
                <c:pt idx="830">
                  <c:v>149.77538893179738</c:v>
                </c:pt>
                <c:pt idx="831">
                  <c:v>150.60290339359776</c:v>
                </c:pt>
                <c:pt idx="832">
                  <c:v>150.55404063490099</c:v>
                </c:pt>
                <c:pt idx="833">
                  <c:v>150.67856185867666</c:v>
                </c:pt>
                <c:pt idx="834">
                  <c:v>152.21642524260659</c:v>
                </c:pt>
                <c:pt idx="835">
                  <c:v>153.0612781026542</c:v>
                </c:pt>
                <c:pt idx="836">
                  <c:v>154.17041018447043</c:v>
                </c:pt>
                <c:pt idx="837">
                  <c:v>154.20508698096489</c:v>
                </c:pt>
                <c:pt idx="838">
                  <c:v>156.3114396650015</c:v>
                </c:pt>
                <c:pt idx="839">
                  <c:v>156.79376237987941</c:v>
                </c:pt>
                <c:pt idx="840">
                  <c:v>157.00970424895874</c:v>
                </c:pt>
                <c:pt idx="841">
                  <c:v>156.42702898664979</c:v>
                </c:pt>
                <c:pt idx="842">
                  <c:v>156.87835274708564</c:v>
                </c:pt>
                <c:pt idx="843">
                  <c:v>157.6853763745938</c:v>
                </c:pt>
                <c:pt idx="844">
                  <c:v>157.94387613028002</c:v>
                </c:pt>
                <c:pt idx="845">
                  <c:v>158.26805163690275</c:v>
                </c:pt>
                <c:pt idx="846">
                  <c:v>157.97487508472202</c:v>
                </c:pt>
                <c:pt idx="847">
                  <c:v>157.37486142416583</c:v>
                </c:pt>
                <c:pt idx="848">
                  <c:v>157.77994945594239</c:v>
                </c:pt>
                <c:pt idx="849">
                  <c:v>157.91130095781546</c:v>
                </c:pt>
                <c:pt idx="850">
                  <c:v>157.33020191352895</c:v>
                </c:pt>
                <c:pt idx="851">
                  <c:v>157.39482685245051</c:v>
                </c:pt>
                <c:pt idx="852">
                  <c:v>157.3969284764805</c:v>
                </c:pt>
                <c:pt idx="853">
                  <c:v>159.38664102685382</c:v>
                </c:pt>
                <c:pt idx="854">
                  <c:v>159.65144565462992</c:v>
                </c:pt>
                <c:pt idx="855">
                  <c:v>159.43077513148313</c:v>
                </c:pt>
                <c:pt idx="856">
                  <c:v>158.52339895654396</c:v>
                </c:pt>
                <c:pt idx="857">
                  <c:v>157.97014643065458</c:v>
                </c:pt>
                <c:pt idx="858">
                  <c:v>158.62007366192253</c:v>
                </c:pt>
                <c:pt idx="859">
                  <c:v>158.08363412827291</c:v>
                </c:pt>
                <c:pt idx="860">
                  <c:v>157.90657230374802</c:v>
                </c:pt>
                <c:pt idx="861">
                  <c:v>158.37996311649854</c:v>
                </c:pt>
                <c:pt idx="862">
                  <c:v>157.59132869925261</c:v>
                </c:pt>
                <c:pt idx="863">
                  <c:v>155.36675966353025</c:v>
                </c:pt>
                <c:pt idx="864">
                  <c:v>154.86131908432267</c:v>
                </c:pt>
                <c:pt idx="865">
                  <c:v>153.95814615744342</c:v>
                </c:pt>
                <c:pt idx="866">
                  <c:v>154.55238035191721</c:v>
                </c:pt>
                <c:pt idx="867">
                  <c:v>153.6670712292927</c:v>
                </c:pt>
                <c:pt idx="868">
                  <c:v>154.99267058619574</c:v>
                </c:pt>
                <c:pt idx="869">
                  <c:v>155.62841185526142</c:v>
                </c:pt>
                <c:pt idx="870">
                  <c:v>155.00160248832313</c:v>
                </c:pt>
                <c:pt idx="871">
                  <c:v>152.54060074922924</c:v>
                </c:pt>
                <c:pt idx="872">
                  <c:v>152.98929747962765</c:v>
                </c:pt>
                <c:pt idx="873">
                  <c:v>153.31137136222043</c:v>
                </c:pt>
                <c:pt idx="874">
                  <c:v>152.83850595547736</c:v>
                </c:pt>
                <c:pt idx="875">
                  <c:v>153.48317912667039</c:v>
                </c:pt>
                <c:pt idx="876">
                  <c:v>154.76464437894407</c:v>
                </c:pt>
                <c:pt idx="877">
                  <c:v>154.95641757167877</c:v>
                </c:pt>
                <c:pt idx="878">
                  <c:v>154.98426409007587</c:v>
                </c:pt>
                <c:pt idx="879">
                  <c:v>156.54209290229051</c:v>
                </c:pt>
                <c:pt idx="880">
                  <c:v>157.69325746470614</c:v>
                </c:pt>
                <c:pt idx="881">
                  <c:v>158.19659641988375</c:v>
                </c:pt>
                <c:pt idx="882">
                  <c:v>157.70691802090093</c:v>
                </c:pt>
                <c:pt idx="883">
                  <c:v>158.13617472902214</c:v>
                </c:pt>
                <c:pt idx="884">
                  <c:v>159.03724603187143</c:v>
                </c:pt>
                <c:pt idx="885">
                  <c:v>159.71029112746905</c:v>
                </c:pt>
                <c:pt idx="886">
                  <c:v>161.65744579123546</c:v>
                </c:pt>
                <c:pt idx="887">
                  <c:v>161.38423466733948</c:v>
                </c:pt>
                <c:pt idx="888">
                  <c:v>160.22098576675154</c:v>
                </c:pt>
                <c:pt idx="889">
                  <c:v>159.46545192797765</c:v>
                </c:pt>
                <c:pt idx="890">
                  <c:v>159.06771958030598</c:v>
                </c:pt>
                <c:pt idx="891">
                  <c:v>158.6363612481548</c:v>
                </c:pt>
                <c:pt idx="892">
                  <c:v>159.21956191647124</c:v>
                </c:pt>
                <c:pt idx="893">
                  <c:v>158.58014280535312</c:v>
                </c:pt>
                <c:pt idx="894">
                  <c:v>157.63125955582203</c:v>
                </c:pt>
                <c:pt idx="895">
                  <c:v>158.90274209395338</c:v>
                </c:pt>
                <c:pt idx="896">
                  <c:v>158.82760903488196</c:v>
                </c:pt>
                <c:pt idx="897">
                  <c:v>157.40165713054787</c:v>
                </c:pt>
                <c:pt idx="898">
                  <c:v>158.51761949046153</c:v>
                </c:pt>
                <c:pt idx="899">
                  <c:v>157.16942767523631</c:v>
                </c:pt>
                <c:pt idx="900">
                  <c:v>155.27901686027903</c:v>
                </c:pt>
                <c:pt idx="901">
                  <c:v>155.38357265577</c:v>
                </c:pt>
                <c:pt idx="902">
                  <c:v>158.80028792249234</c:v>
                </c:pt>
                <c:pt idx="903">
                  <c:v>159.79855933672769</c:v>
                </c:pt>
                <c:pt idx="904">
                  <c:v>160.45058819202563</c:v>
                </c:pt>
                <c:pt idx="905">
                  <c:v>159.31728743386475</c:v>
                </c:pt>
                <c:pt idx="906">
                  <c:v>161.53817862753465</c:v>
                </c:pt>
                <c:pt idx="907">
                  <c:v>162.63522637117856</c:v>
                </c:pt>
                <c:pt idx="908">
                  <c:v>163.70442759642535</c:v>
                </c:pt>
                <c:pt idx="909">
                  <c:v>163.7212405886651</c:v>
                </c:pt>
                <c:pt idx="910">
                  <c:v>164.6611919360688</c:v>
                </c:pt>
                <c:pt idx="911">
                  <c:v>163.88464185699519</c:v>
                </c:pt>
                <c:pt idx="912">
                  <c:v>164.42108139064482</c:v>
                </c:pt>
                <c:pt idx="913">
                  <c:v>165.14351465094671</c:v>
                </c:pt>
                <c:pt idx="914">
                  <c:v>165.36418517409348</c:v>
                </c:pt>
                <c:pt idx="915">
                  <c:v>166.2967808373923</c:v>
                </c:pt>
                <c:pt idx="916">
                  <c:v>165.49921451801899</c:v>
                </c:pt>
                <c:pt idx="917">
                  <c:v>164.87713380514813</c:v>
                </c:pt>
                <c:pt idx="918">
                  <c:v>165.35630408398109</c:v>
                </c:pt>
                <c:pt idx="919">
                  <c:v>165.9479112484174</c:v>
                </c:pt>
                <c:pt idx="920">
                  <c:v>165.50079073604147</c:v>
                </c:pt>
                <c:pt idx="921">
                  <c:v>166.29783164940727</c:v>
                </c:pt>
                <c:pt idx="922">
                  <c:v>164.14314161268138</c:v>
                </c:pt>
                <c:pt idx="923">
                  <c:v>166.34932143814152</c:v>
                </c:pt>
                <c:pt idx="924">
                  <c:v>166.47016481986472</c:v>
                </c:pt>
                <c:pt idx="925">
                  <c:v>166.08609302838786</c:v>
                </c:pt>
                <c:pt idx="926">
                  <c:v>167.48052057227241</c:v>
                </c:pt>
                <c:pt idx="927">
                  <c:v>168.32169559026758</c:v>
                </c:pt>
                <c:pt idx="928">
                  <c:v>169.03362073041961</c:v>
                </c:pt>
                <c:pt idx="929">
                  <c:v>168.41679407762368</c:v>
                </c:pt>
                <c:pt idx="930">
                  <c:v>168.10417750316577</c:v>
                </c:pt>
                <c:pt idx="931">
                  <c:v>167.50153681257211</c:v>
                </c:pt>
                <c:pt idx="932">
                  <c:v>168.87389730414196</c:v>
                </c:pt>
                <c:pt idx="933">
                  <c:v>169.73451234441436</c:v>
                </c:pt>
                <c:pt idx="934">
                  <c:v>169.52382453540994</c:v>
                </c:pt>
                <c:pt idx="935">
                  <c:v>169.5674332340318</c:v>
                </c:pt>
                <c:pt idx="936">
                  <c:v>170.02873970861</c:v>
                </c:pt>
                <c:pt idx="937">
                  <c:v>169.90159145479689</c:v>
                </c:pt>
                <c:pt idx="938">
                  <c:v>169.44658985230856</c:v>
                </c:pt>
                <c:pt idx="939">
                  <c:v>168.91540437873385</c:v>
                </c:pt>
                <c:pt idx="940">
                  <c:v>168.73886796021648</c:v>
                </c:pt>
                <c:pt idx="941">
                  <c:v>168.01223145185466</c:v>
                </c:pt>
                <c:pt idx="942">
                  <c:v>169.91577741699919</c:v>
                </c:pt>
                <c:pt idx="943">
                  <c:v>170.23102102149457</c:v>
                </c:pt>
                <c:pt idx="944">
                  <c:v>169.69142905179999</c:v>
                </c:pt>
                <c:pt idx="945">
                  <c:v>167.78945930467791</c:v>
                </c:pt>
                <c:pt idx="946">
                  <c:v>167.20152998229401</c:v>
                </c:pt>
                <c:pt idx="947">
                  <c:v>167.18786942609921</c:v>
                </c:pt>
                <c:pt idx="948">
                  <c:v>168.24656253119616</c:v>
                </c:pt>
                <c:pt idx="949">
                  <c:v>167.72693598978631</c:v>
                </c:pt>
                <c:pt idx="950">
                  <c:v>170.52524838569025</c:v>
                </c:pt>
                <c:pt idx="951">
                  <c:v>170.44958992061137</c:v>
                </c:pt>
                <c:pt idx="952">
                  <c:v>171.27132491632932</c:v>
                </c:pt>
                <c:pt idx="953">
                  <c:v>172.2081238276881</c:v>
                </c:pt>
                <c:pt idx="954">
                  <c:v>172.72985199312794</c:v>
                </c:pt>
                <c:pt idx="955">
                  <c:v>173.54948536481589</c:v>
                </c:pt>
                <c:pt idx="956">
                  <c:v>173.52374047044876</c:v>
                </c:pt>
                <c:pt idx="957">
                  <c:v>173.50482585417905</c:v>
                </c:pt>
                <c:pt idx="958">
                  <c:v>174.20309043813629</c:v>
                </c:pt>
                <c:pt idx="959">
                  <c:v>172.68466707648355</c:v>
                </c:pt>
                <c:pt idx="960">
                  <c:v>172.6316010697268</c:v>
                </c:pt>
                <c:pt idx="961">
                  <c:v>172.20076814358313</c:v>
                </c:pt>
                <c:pt idx="962">
                  <c:v>173.25000394054524</c:v>
                </c:pt>
                <c:pt idx="963">
                  <c:v>173.26524071476254</c:v>
                </c:pt>
                <c:pt idx="964">
                  <c:v>173.32461159360918</c:v>
                </c:pt>
                <c:pt idx="965">
                  <c:v>173.7249709713183</c:v>
                </c:pt>
                <c:pt idx="966">
                  <c:v>171.55924740843508</c:v>
                </c:pt>
                <c:pt idx="967">
                  <c:v>173.41603223891283</c:v>
                </c:pt>
                <c:pt idx="968">
                  <c:v>174.31657813575464</c:v>
                </c:pt>
                <c:pt idx="969">
                  <c:v>174.08592489846555</c:v>
                </c:pt>
                <c:pt idx="970">
                  <c:v>173.41077817883797</c:v>
                </c:pt>
                <c:pt idx="971">
                  <c:v>173.89572792375333</c:v>
                </c:pt>
                <c:pt idx="972">
                  <c:v>174.01657130547656</c:v>
                </c:pt>
                <c:pt idx="973">
                  <c:v>172.47187764344923</c:v>
                </c:pt>
                <c:pt idx="974">
                  <c:v>168.87232108611957</c:v>
                </c:pt>
                <c:pt idx="975">
                  <c:v>168.05478933846157</c:v>
                </c:pt>
                <c:pt idx="976">
                  <c:v>169.08668673717642</c:v>
                </c:pt>
                <c:pt idx="977">
                  <c:v>167.37859180681897</c:v>
                </c:pt>
                <c:pt idx="978">
                  <c:v>169.27425668185117</c:v>
                </c:pt>
                <c:pt idx="979">
                  <c:v>168.17983596824473</c:v>
                </c:pt>
                <c:pt idx="980">
                  <c:v>164.34016886549108</c:v>
                </c:pt>
                <c:pt idx="981">
                  <c:v>165.60482112552504</c:v>
                </c:pt>
                <c:pt idx="982">
                  <c:v>165.31847485144172</c:v>
                </c:pt>
                <c:pt idx="983">
                  <c:v>167.46002973798031</c:v>
                </c:pt>
                <c:pt idx="984">
                  <c:v>169.68722580374009</c:v>
                </c:pt>
                <c:pt idx="985">
                  <c:v>169.95780989759865</c:v>
                </c:pt>
                <c:pt idx="986">
                  <c:v>171.84664449453342</c:v>
                </c:pt>
                <c:pt idx="987">
                  <c:v>171.88499913308036</c:v>
                </c:pt>
                <c:pt idx="988">
                  <c:v>172.90165975757796</c:v>
                </c:pt>
                <c:pt idx="989">
                  <c:v>173.74756342964054</c:v>
                </c:pt>
                <c:pt idx="990">
                  <c:v>173.97611504289969</c:v>
                </c:pt>
                <c:pt idx="991">
                  <c:v>172.84964456283623</c:v>
                </c:pt>
                <c:pt idx="992">
                  <c:v>173.92357444215048</c:v>
                </c:pt>
                <c:pt idx="993">
                  <c:v>173.61305949172254</c:v>
                </c:pt>
                <c:pt idx="994">
                  <c:v>174.68909099506675</c:v>
                </c:pt>
                <c:pt idx="995">
                  <c:v>174.45738694576261</c:v>
                </c:pt>
                <c:pt idx="996">
                  <c:v>174.49521617830206</c:v>
                </c:pt>
                <c:pt idx="997">
                  <c:v>175.38315233096401</c:v>
                </c:pt>
                <c:pt idx="998">
                  <c:v>175.87335613595434</c:v>
                </c:pt>
                <c:pt idx="999">
                  <c:v>174.58453519957575</c:v>
                </c:pt>
                <c:pt idx="1000">
                  <c:v>177.2530723116291</c:v>
                </c:pt>
                <c:pt idx="1001">
                  <c:v>177.27724098797376</c:v>
                </c:pt>
                <c:pt idx="1002">
                  <c:v>177.61297542676132</c:v>
                </c:pt>
                <c:pt idx="1003">
                  <c:v>177.72225987631973</c:v>
                </c:pt>
                <c:pt idx="1004">
                  <c:v>177.65133006530823</c:v>
                </c:pt>
                <c:pt idx="1005">
                  <c:v>176.75551282253389</c:v>
                </c:pt>
                <c:pt idx="1006">
                  <c:v>176.85533996395742</c:v>
                </c:pt>
                <c:pt idx="1007">
                  <c:v>174.80835815876748</c:v>
                </c:pt>
                <c:pt idx="1008">
                  <c:v>174.31973057179965</c:v>
                </c:pt>
                <c:pt idx="1009">
                  <c:v>175.99577573570005</c:v>
                </c:pt>
                <c:pt idx="1010">
                  <c:v>177.27093611588384</c:v>
                </c:pt>
                <c:pt idx="1011">
                  <c:v>176.18387108638228</c:v>
                </c:pt>
                <c:pt idx="1012">
                  <c:v>177.25097068759914</c:v>
                </c:pt>
                <c:pt idx="1013">
                  <c:v>176.73186955219674</c:v>
                </c:pt>
                <c:pt idx="1014">
                  <c:v>175.87230532393937</c:v>
                </c:pt>
                <c:pt idx="1015">
                  <c:v>176.66461758323774</c:v>
                </c:pt>
                <c:pt idx="1016">
                  <c:v>175.4330659016758</c:v>
                </c:pt>
                <c:pt idx="1017">
                  <c:v>175.12990663535274</c:v>
                </c:pt>
                <c:pt idx="1018">
                  <c:v>175.94954000704072</c:v>
                </c:pt>
                <c:pt idx="1019">
                  <c:v>177.35132323503018</c:v>
                </c:pt>
                <c:pt idx="1020">
                  <c:v>178.61229765301167</c:v>
                </c:pt>
                <c:pt idx="1021">
                  <c:v>179.15294043472122</c:v>
                </c:pt>
                <c:pt idx="1022">
                  <c:v>178.95328615187412</c:v>
                </c:pt>
                <c:pt idx="1023">
                  <c:v>176.71558196596445</c:v>
                </c:pt>
                <c:pt idx="1024">
                  <c:v>174.81676465488732</c:v>
                </c:pt>
                <c:pt idx="1025">
                  <c:v>175.52974060705438</c:v>
                </c:pt>
                <c:pt idx="1026">
                  <c:v>177.46165849660352</c:v>
                </c:pt>
                <c:pt idx="1027">
                  <c:v>173.75596992576038</c:v>
                </c:pt>
                <c:pt idx="1028">
                  <c:v>172.12510967850432</c:v>
                </c:pt>
                <c:pt idx="1029">
                  <c:v>173.54055346268854</c:v>
                </c:pt>
                <c:pt idx="1030">
                  <c:v>174.71325967141135</c:v>
                </c:pt>
                <c:pt idx="1031">
                  <c:v>176.55060447961188</c:v>
                </c:pt>
                <c:pt idx="1032">
                  <c:v>176.79912152115571</c:v>
                </c:pt>
                <c:pt idx="1033">
                  <c:v>177.46901418070837</c:v>
                </c:pt>
                <c:pt idx="1034">
                  <c:v>178.19565068907019</c:v>
                </c:pt>
                <c:pt idx="1035">
                  <c:v>177.82366323576565</c:v>
                </c:pt>
                <c:pt idx="1036">
                  <c:v>178.1331273741786</c:v>
                </c:pt>
                <c:pt idx="1037">
                  <c:v>176.69141328961976</c:v>
                </c:pt>
                <c:pt idx="1038">
                  <c:v>177.27408855192871</c:v>
                </c:pt>
                <c:pt idx="1039">
                  <c:v>178.12104303600628</c:v>
                </c:pt>
                <c:pt idx="1040">
                  <c:v>178.66221122372335</c:v>
                </c:pt>
                <c:pt idx="1041">
                  <c:v>178.64855066752855</c:v>
                </c:pt>
                <c:pt idx="1042">
                  <c:v>178.4073893100896</c:v>
                </c:pt>
                <c:pt idx="1043">
                  <c:v>178.75520808704948</c:v>
                </c:pt>
                <c:pt idx="1044">
                  <c:v>177.15219435819048</c:v>
                </c:pt>
                <c:pt idx="1045">
                  <c:v>178.22297180145981</c:v>
                </c:pt>
                <c:pt idx="1046">
                  <c:v>178.02279211260526</c:v>
                </c:pt>
                <c:pt idx="1047">
                  <c:v>178.32542597292084</c:v>
                </c:pt>
                <c:pt idx="1048">
                  <c:v>180.0571641736154</c:v>
                </c:pt>
                <c:pt idx="1049">
                  <c:v>180.17748214933113</c:v>
                </c:pt>
                <c:pt idx="1050">
                  <c:v>179.36520446174805</c:v>
                </c:pt>
                <c:pt idx="1051">
                  <c:v>177.71963284628217</c:v>
                </c:pt>
                <c:pt idx="1052">
                  <c:v>178.3863730697899</c:v>
                </c:pt>
                <c:pt idx="1053">
                  <c:v>179.08568846576213</c:v>
                </c:pt>
                <c:pt idx="1054">
                  <c:v>177.92769362524913</c:v>
                </c:pt>
                <c:pt idx="1055">
                  <c:v>179.39725422820504</c:v>
                </c:pt>
                <c:pt idx="1056">
                  <c:v>179.84595095860345</c:v>
                </c:pt>
                <c:pt idx="1057">
                  <c:v>180.61251832353472</c:v>
                </c:pt>
                <c:pt idx="1058">
                  <c:v>181.69538010497632</c:v>
                </c:pt>
                <c:pt idx="1059">
                  <c:v>181.5214707164964</c:v>
                </c:pt>
                <c:pt idx="1060">
                  <c:v>182.51869131871675</c:v>
                </c:pt>
                <c:pt idx="1061">
                  <c:v>182.85652738153431</c:v>
                </c:pt>
                <c:pt idx="1062">
                  <c:v>183.0062680936696</c:v>
                </c:pt>
                <c:pt idx="1063">
                  <c:v>182.94637180881548</c:v>
                </c:pt>
                <c:pt idx="1064">
                  <c:v>183.32518954021742</c:v>
                </c:pt>
                <c:pt idx="1065">
                  <c:v>184.5336233574497</c:v>
                </c:pt>
                <c:pt idx="1066">
                  <c:v>185.41472923201425</c:v>
                </c:pt>
                <c:pt idx="1067">
                  <c:v>185.59809592862905</c:v>
                </c:pt>
                <c:pt idx="1068">
                  <c:v>185.55343641799223</c:v>
                </c:pt>
                <c:pt idx="1069">
                  <c:v>184.91769514892655</c:v>
                </c:pt>
                <c:pt idx="1070">
                  <c:v>183.65934776098251</c:v>
                </c:pt>
                <c:pt idx="1071">
                  <c:v>184.23781977523149</c:v>
                </c:pt>
                <c:pt idx="1072">
                  <c:v>184.39333995344921</c:v>
                </c:pt>
                <c:pt idx="1073">
                  <c:v>184.79737717321078</c:v>
                </c:pt>
                <c:pt idx="1074">
                  <c:v>186.22595610758231</c:v>
                </c:pt>
                <c:pt idx="1075">
                  <c:v>186.48970992334344</c:v>
                </c:pt>
                <c:pt idx="1076">
                  <c:v>186.81336002395867</c:v>
                </c:pt>
                <c:pt idx="1077">
                  <c:v>186.78919134761401</c:v>
                </c:pt>
                <c:pt idx="1078">
                  <c:v>185.60334998870391</c:v>
                </c:pt>
                <c:pt idx="1079">
                  <c:v>186.517031035733</c:v>
                </c:pt>
                <c:pt idx="1080">
                  <c:v>186.32893568505074</c:v>
                </c:pt>
                <c:pt idx="1081">
                  <c:v>186.69514367227288</c:v>
                </c:pt>
                <c:pt idx="1082">
                  <c:v>186.63367116939628</c:v>
                </c:pt>
                <c:pt idx="1083">
                  <c:v>187.91408560965502</c:v>
                </c:pt>
                <c:pt idx="1084">
                  <c:v>188.04858954757304</c:v>
                </c:pt>
                <c:pt idx="1085">
                  <c:v>189.0794361342729</c:v>
                </c:pt>
                <c:pt idx="1086">
                  <c:v>188.34491853579868</c:v>
                </c:pt>
                <c:pt idx="1087">
                  <c:v>187.07238518565237</c:v>
                </c:pt>
                <c:pt idx="1088">
                  <c:v>187.95244024820195</c:v>
                </c:pt>
                <c:pt idx="1089">
                  <c:v>187.17536476312085</c:v>
                </c:pt>
                <c:pt idx="1090">
                  <c:v>187.46906672130905</c:v>
                </c:pt>
                <c:pt idx="1091">
                  <c:v>188.37749370826322</c:v>
                </c:pt>
                <c:pt idx="1092">
                  <c:v>188.01443815708603</c:v>
                </c:pt>
                <c:pt idx="1093">
                  <c:v>188.82619043866163</c:v>
                </c:pt>
                <c:pt idx="1094">
                  <c:v>186.61002789905916</c:v>
                </c:pt>
                <c:pt idx="1095">
                  <c:v>188.52670901439103</c:v>
                </c:pt>
                <c:pt idx="1096">
                  <c:v>188.09482527623237</c:v>
                </c:pt>
                <c:pt idx="1097">
                  <c:v>189.03845446568855</c:v>
                </c:pt>
                <c:pt idx="1098">
                  <c:v>189.37208728044618</c:v>
                </c:pt>
                <c:pt idx="1099">
                  <c:v>189.46666036179477</c:v>
                </c:pt>
                <c:pt idx="1100">
                  <c:v>188.5514030967432</c:v>
                </c:pt>
                <c:pt idx="1101">
                  <c:v>188.60657072752988</c:v>
                </c:pt>
                <c:pt idx="1102">
                  <c:v>187.7617178674823</c:v>
                </c:pt>
                <c:pt idx="1103">
                  <c:v>187.80375034808168</c:v>
                </c:pt>
                <c:pt idx="1104">
                  <c:v>184.05970713869164</c:v>
                </c:pt>
                <c:pt idx="1105">
                  <c:v>183.53377572519184</c:v>
                </c:pt>
                <c:pt idx="1106">
                  <c:v>184.85412102202</c:v>
                </c:pt>
                <c:pt idx="1107">
                  <c:v>183.08087574673351</c:v>
                </c:pt>
                <c:pt idx="1108">
                  <c:v>183.13919581356515</c:v>
                </c:pt>
                <c:pt idx="1109">
                  <c:v>182.16561848168195</c:v>
                </c:pt>
                <c:pt idx="1110">
                  <c:v>184.27092035370359</c:v>
                </c:pt>
                <c:pt idx="1111">
                  <c:v>184.81313935343564</c:v>
                </c:pt>
                <c:pt idx="1112">
                  <c:v>184.52048820726245</c:v>
                </c:pt>
                <c:pt idx="1113">
                  <c:v>185.80563130158859</c:v>
                </c:pt>
                <c:pt idx="1114">
                  <c:v>186.62263764323907</c:v>
                </c:pt>
                <c:pt idx="1115">
                  <c:v>186.63314576338894</c:v>
                </c:pt>
                <c:pt idx="1116">
                  <c:v>188.2372103042629</c:v>
                </c:pt>
                <c:pt idx="1117">
                  <c:v>189.21604169622103</c:v>
                </c:pt>
                <c:pt idx="1118">
                  <c:v>189.69731359908394</c:v>
                </c:pt>
                <c:pt idx="1119">
                  <c:v>190.26159965113067</c:v>
                </c:pt>
                <c:pt idx="1120">
                  <c:v>189.90800140808835</c:v>
                </c:pt>
                <c:pt idx="1121">
                  <c:v>190.82010623709499</c:v>
                </c:pt>
                <c:pt idx="1122">
                  <c:v>191.02238754997953</c:v>
                </c:pt>
                <c:pt idx="1123">
                  <c:v>191.0712503086763</c:v>
                </c:pt>
                <c:pt idx="1124">
                  <c:v>190.77387050843566</c:v>
                </c:pt>
                <c:pt idx="1125">
                  <c:v>191.42327233369613</c:v>
                </c:pt>
                <c:pt idx="1126">
                  <c:v>191.32764844033252</c:v>
                </c:pt>
                <c:pt idx="1127">
                  <c:v>191.21363533670669</c:v>
                </c:pt>
                <c:pt idx="1128">
                  <c:v>190.92571284460092</c:v>
                </c:pt>
                <c:pt idx="1129">
                  <c:v>191.89193449237928</c:v>
                </c:pt>
                <c:pt idx="1130">
                  <c:v>191.33500412443743</c:v>
                </c:pt>
                <c:pt idx="1131">
                  <c:v>190.08611404462823</c:v>
                </c:pt>
                <c:pt idx="1132">
                  <c:v>190.79856459078778</c:v>
                </c:pt>
                <c:pt idx="1133">
                  <c:v>191.01976051994203</c:v>
                </c:pt>
                <c:pt idx="1134">
                  <c:v>189.88488354375869</c:v>
                </c:pt>
                <c:pt idx="1135">
                  <c:v>189.75143041785563</c:v>
                </c:pt>
                <c:pt idx="1136">
                  <c:v>191.17422988614473</c:v>
                </c:pt>
                <c:pt idx="1137">
                  <c:v>191.42642476974103</c:v>
                </c:pt>
                <c:pt idx="1138">
                  <c:v>192.3894939814744</c:v>
                </c:pt>
                <c:pt idx="1139">
                  <c:v>192.30017496020074</c:v>
                </c:pt>
                <c:pt idx="1140">
                  <c:v>190.75915914022585</c:v>
                </c:pt>
                <c:pt idx="1141">
                  <c:v>189.67682276479175</c:v>
                </c:pt>
                <c:pt idx="1142">
                  <c:v>191.16582339002488</c:v>
                </c:pt>
                <c:pt idx="1143">
                  <c:v>188.07485984794772</c:v>
                </c:pt>
                <c:pt idx="1144">
                  <c:v>189.72305849345105</c:v>
                </c:pt>
                <c:pt idx="1145">
                  <c:v>189.25597255279041</c:v>
                </c:pt>
                <c:pt idx="1146">
                  <c:v>188.73897304141801</c:v>
                </c:pt>
                <c:pt idx="1147">
                  <c:v>186.25537884400197</c:v>
                </c:pt>
                <c:pt idx="1148">
                  <c:v>186.27219183624172</c:v>
                </c:pt>
                <c:pt idx="1149">
                  <c:v>188.35490124994115</c:v>
                </c:pt>
                <c:pt idx="1150">
                  <c:v>188.0648771338054</c:v>
                </c:pt>
                <c:pt idx="1151">
                  <c:v>185.22085441524965</c:v>
                </c:pt>
                <c:pt idx="1152">
                  <c:v>188.51935333028626</c:v>
                </c:pt>
                <c:pt idx="1153">
                  <c:v>184.63397590488074</c:v>
                </c:pt>
                <c:pt idx="1154">
                  <c:v>182.538131340994</c:v>
                </c:pt>
                <c:pt idx="1155">
                  <c:v>179.53175816612313</c:v>
                </c:pt>
                <c:pt idx="1156">
                  <c:v>179.8165282221839</c:v>
                </c:pt>
                <c:pt idx="1157">
                  <c:v>178.37691576165506</c:v>
                </c:pt>
                <c:pt idx="1158">
                  <c:v>178.40896552811208</c:v>
                </c:pt>
                <c:pt idx="1159">
                  <c:v>180.70761681089084</c:v>
                </c:pt>
                <c:pt idx="1160">
                  <c:v>182.36264573449157</c:v>
                </c:pt>
                <c:pt idx="1161">
                  <c:v>185.93593199144667</c:v>
                </c:pt>
                <c:pt idx="1162">
                  <c:v>184.59982451439376</c:v>
                </c:pt>
                <c:pt idx="1163">
                  <c:v>186.87115468478294</c:v>
                </c:pt>
                <c:pt idx="1164">
                  <c:v>188.1909745756036</c:v>
                </c:pt>
                <c:pt idx="1165">
                  <c:v>187.90988236159521</c:v>
                </c:pt>
                <c:pt idx="1166">
                  <c:v>190.1528406075798</c:v>
                </c:pt>
                <c:pt idx="1167">
                  <c:v>189.90957762611089</c:v>
                </c:pt>
                <c:pt idx="1168">
                  <c:v>191.10592710517085</c:v>
                </c:pt>
                <c:pt idx="1169">
                  <c:v>193.34888535115542</c:v>
                </c:pt>
                <c:pt idx="1170">
                  <c:v>193.32734370484826</c:v>
                </c:pt>
                <c:pt idx="1171">
                  <c:v>192.78092145705628</c:v>
                </c:pt>
                <c:pt idx="1172">
                  <c:v>193.94732279368918</c:v>
                </c:pt>
                <c:pt idx="1173">
                  <c:v>194.73910964698004</c:v>
                </c:pt>
                <c:pt idx="1174">
                  <c:v>194.844716254486</c:v>
                </c:pt>
                <c:pt idx="1175">
                  <c:v>195.46416993731941</c:v>
                </c:pt>
                <c:pt idx="1176">
                  <c:v>195.60025009325992</c:v>
                </c:pt>
                <c:pt idx="1177">
                  <c:v>195.5193375681061</c:v>
                </c:pt>
                <c:pt idx="1178">
                  <c:v>195.63913013781431</c:v>
                </c:pt>
                <c:pt idx="1179">
                  <c:v>195.70953454281829</c:v>
                </c:pt>
                <c:pt idx="1180">
                  <c:v>195.86400390902105</c:v>
                </c:pt>
                <c:pt idx="1181">
                  <c:v>196.9085110519157</c:v>
                </c:pt>
                <c:pt idx="1182">
                  <c:v>196.62531721387734</c:v>
                </c:pt>
                <c:pt idx="1183">
                  <c:v>197.02042253151154</c:v>
                </c:pt>
                <c:pt idx="1184">
                  <c:v>198.079641042616</c:v>
                </c:pt>
                <c:pt idx="1185">
                  <c:v>198.64970656074513</c:v>
                </c:pt>
                <c:pt idx="1186">
                  <c:v>198.44269659379316</c:v>
                </c:pt>
                <c:pt idx="1187">
                  <c:v>199.0458626903943</c:v>
                </c:pt>
                <c:pt idx="1188">
                  <c:v>198.54882860730658</c:v>
                </c:pt>
                <c:pt idx="1189">
                  <c:v>197.20116219808884</c:v>
                </c:pt>
                <c:pt idx="1190">
                  <c:v>198.4705431121902</c:v>
                </c:pt>
                <c:pt idx="1191">
                  <c:v>199.27021105559348</c:v>
                </c:pt>
                <c:pt idx="1192">
                  <c:v>199.04165944233432</c:v>
                </c:pt>
                <c:pt idx="1193">
                  <c:v>199.37476685108442</c:v>
                </c:pt>
                <c:pt idx="1194">
                  <c:v>197.95722144287024</c:v>
                </c:pt>
                <c:pt idx="1195">
                  <c:v>197.91151112021842</c:v>
                </c:pt>
                <c:pt idx="1196">
                  <c:v>194.6897214822757</c:v>
                </c:pt>
                <c:pt idx="1197">
                  <c:v>195.62546958161948</c:v>
                </c:pt>
                <c:pt idx="1198">
                  <c:v>192.46147460450089</c:v>
                </c:pt>
                <c:pt idx="1199">
                  <c:v>191.24621050917122</c:v>
                </c:pt>
                <c:pt idx="1200">
                  <c:v>189.62218054001255</c:v>
                </c:pt>
                <c:pt idx="1201">
                  <c:v>193.49127037918578</c:v>
                </c:pt>
                <c:pt idx="1202">
                  <c:v>198.16843465788216</c:v>
                </c:pt>
                <c:pt idx="1203">
                  <c:v>199.07476002080637</c:v>
                </c:pt>
                <c:pt idx="1204">
                  <c:v>199.86129281402233</c:v>
                </c:pt>
                <c:pt idx="1205">
                  <c:v>200.22067052314708</c:v>
                </c:pt>
                <c:pt idx="1206">
                  <c:v>200.20017968885489</c:v>
                </c:pt>
                <c:pt idx="1207">
                  <c:v>200.86271666430267</c:v>
                </c:pt>
                <c:pt idx="1208">
                  <c:v>201.07025203726212</c:v>
                </c:pt>
                <c:pt idx="1209">
                  <c:v>200.11086066758122</c:v>
                </c:pt>
                <c:pt idx="1210">
                  <c:v>198.04864208817398</c:v>
                </c:pt>
                <c:pt idx="1211">
                  <c:v>198.00871123160454</c:v>
                </c:pt>
                <c:pt idx="1212">
                  <c:v>194.40179899016997</c:v>
                </c:pt>
                <c:pt idx="1213">
                  <c:v>192.67373863152781</c:v>
                </c:pt>
                <c:pt idx="1214">
                  <c:v>194.97501694434408</c:v>
                </c:pt>
                <c:pt idx="1215">
                  <c:v>198.46686527013784</c:v>
                </c:pt>
                <c:pt idx="1216">
                  <c:v>196.79975200836483</c:v>
                </c:pt>
                <c:pt idx="1217">
                  <c:v>195.2072463996557</c:v>
                </c:pt>
                <c:pt idx="1218">
                  <c:v>194.72334746675529</c:v>
                </c:pt>
                <c:pt idx="1219">
                  <c:v>193.59740239269928</c:v>
                </c:pt>
                <c:pt idx="1220">
                  <c:v>191.81207277924048</c:v>
                </c:pt>
                <c:pt idx="1221">
                  <c:v>194.38918924599017</c:v>
                </c:pt>
                <c:pt idx="1222">
                  <c:v>194.69655176037315</c:v>
                </c:pt>
                <c:pt idx="1223">
                  <c:v>195.6412317618443</c:v>
                </c:pt>
                <c:pt idx="1224">
                  <c:v>198.63026653846794</c:v>
                </c:pt>
                <c:pt idx="1225">
                  <c:v>197.54004907292142</c:v>
                </c:pt>
                <c:pt idx="1226">
                  <c:v>198.0491674941814</c:v>
                </c:pt>
                <c:pt idx="1227">
                  <c:v>195.39796878037529</c:v>
                </c:pt>
                <c:pt idx="1228">
                  <c:v>192.77671820899624</c:v>
                </c:pt>
                <c:pt idx="1229">
                  <c:v>194.62877438540659</c:v>
                </c:pt>
                <c:pt idx="1230">
                  <c:v>192.10314770739114</c:v>
                </c:pt>
                <c:pt idx="1231">
                  <c:v>194.59830083697202</c:v>
                </c:pt>
                <c:pt idx="1232">
                  <c:v>197.41290081910822</c:v>
                </c:pt>
                <c:pt idx="1233">
                  <c:v>196.65106210824439</c:v>
                </c:pt>
                <c:pt idx="1234">
                  <c:v>198.71433149966663</c:v>
                </c:pt>
                <c:pt idx="1235">
                  <c:v>198.08857294474331</c:v>
                </c:pt>
                <c:pt idx="1236">
                  <c:v>197.25632982887552</c:v>
                </c:pt>
                <c:pt idx="1237">
                  <c:v>199.37161441503949</c:v>
                </c:pt>
                <c:pt idx="1238">
                  <c:v>199.43466313593856</c:v>
                </c:pt>
                <c:pt idx="1239">
                  <c:v>201.40651188205712</c:v>
                </c:pt>
                <c:pt idx="1240">
                  <c:v>202.24400905799982</c:v>
                </c:pt>
                <c:pt idx="1241">
                  <c:v>202.5986581130571</c:v>
                </c:pt>
                <c:pt idx="1242">
                  <c:v>202.54401588827793</c:v>
                </c:pt>
                <c:pt idx="1243">
                  <c:v>202.36170000367812</c:v>
                </c:pt>
                <c:pt idx="1244">
                  <c:v>203.62635226371205</c:v>
                </c:pt>
                <c:pt idx="1245">
                  <c:v>203.56645597885793</c:v>
                </c:pt>
                <c:pt idx="1246">
                  <c:v>204.1344198729571</c:v>
                </c:pt>
                <c:pt idx="1247">
                  <c:v>204.01252567921887</c:v>
                </c:pt>
                <c:pt idx="1248">
                  <c:v>203.74456861539781</c:v>
                </c:pt>
                <c:pt idx="1249">
                  <c:v>203.14402954883414</c:v>
                </c:pt>
                <c:pt idx="1250">
                  <c:v>204.39974990674071</c:v>
                </c:pt>
                <c:pt idx="1251">
                  <c:v>203.47450992754679</c:v>
                </c:pt>
                <c:pt idx="1252">
                  <c:v>202.62335219540927</c:v>
                </c:pt>
                <c:pt idx="1253">
                  <c:v>202.87449626699058</c:v>
                </c:pt>
                <c:pt idx="1254">
                  <c:v>200.02416867634491</c:v>
                </c:pt>
                <c:pt idx="1255">
                  <c:v>200.83224311586807</c:v>
                </c:pt>
                <c:pt idx="1256">
                  <c:v>197.43864571347535</c:v>
                </c:pt>
                <c:pt idx="1257">
                  <c:v>197.09030153050796</c:v>
                </c:pt>
                <c:pt idx="1258">
                  <c:v>199.62433470464327</c:v>
                </c:pt>
                <c:pt idx="1259">
                  <c:v>198.41642629341851</c:v>
                </c:pt>
                <c:pt idx="1260">
                  <c:v>201.10545423976404</c:v>
                </c:pt>
                <c:pt idx="1261">
                  <c:v>200.43766320424135</c:v>
                </c:pt>
                <c:pt idx="1262">
                  <c:v>202.87975032706552</c:v>
                </c:pt>
                <c:pt idx="1263">
                  <c:v>201.89356325100249</c:v>
                </c:pt>
                <c:pt idx="1264">
                  <c:v>203.71356966095578</c:v>
                </c:pt>
                <c:pt idx="1265">
                  <c:v>203.35786979388348</c:v>
                </c:pt>
                <c:pt idx="1266">
                  <c:v>202.12631811232157</c:v>
                </c:pt>
                <c:pt idx="1267">
                  <c:v>199.18824771842469</c:v>
                </c:pt>
                <c:pt idx="1268">
                  <c:v>198.71958555974157</c:v>
                </c:pt>
                <c:pt idx="1269">
                  <c:v>199.22870398100162</c:v>
                </c:pt>
                <c:pt idx="1270">
                  <c:v>201.6849770660281</c:v>
                </c:pt>
                <c:pt idx="1271">
                  <c:v>199.93117181301884</c:v>
                </c:pt>
                <c:pt idx="1272">
                  <c:v>199.16355363607261</c:v>
                </c:pt>
                <c:pt idx="1273">
                  <c:v>199.87180093417223</c:v>
                </c:pt>
                <c:pt idx="1274">
                  <c:v>201.19424785503034</c:v>
                </c:pt>
                <c:pt idx="1275">
                  <c:v>200.78338035717135</c:v>
                </c:pt>
                <c:pt idx="1276">
                  <c:v>201.39863079194484</c:v>
                </c:pt>
                <c:pt idx="1277">
                  <c:v>202.29654965874917</c:v>
                </c:pt>
                <c:pt idx="1278">
                  <c:v>203.34841248574875</c:v>
                </c:pt>
                <c:pt idx="1279">
                  <c:v>202.43525684472715</c:v>
                </c:pt>
                <c:pt idx="1280">
                  <c:v>202.76573722343977</c:v>
                </c:pt>
                <c:pt idx="1281">
                  <c:v>203.81024436633444</c:v>
                </c:pt>
                <c:pt idx="1282">
                  <c:v>203.65630040613922</c:v>
                </c:pt>
                <c:pt idx="1283">
                  <c:v>201.352920469293</c:v>
                </c:pt>
                <c:pt idx="1284">
                  <c:v>203.21758638988314</c:v>
                </c:pt>
                <c:pt idx="1285">
                  <c:v>202.91968118363499</c:v>
                </c:pt>
                <c:pt idx="1286">
                  <c:v>203.95893426645475</c:v>
                </c:pt>
                <c:pt idx="1287">
                  <c:v>204.45964619159491</c:v>
                </c:pt>
                <c:pt idx="1288">
                  <c:v>204.92095266617315</c:v>
                </c:pt>
                <c:pt idx="1289">
                  <c:v>204.07294737008061</c:v>
                </c:pt>
                <c:pt idx="1290">
                  <c:v>204.65667344440453</c:v>
                </c:pt>
                <c:pt idx="1291">
                  <c:v>203.90481744768306</c:v>
                </c:pt>
                <c:pt idx="1292">
                  <c:v>201.84942914637321</c:v>
                </c:pt>
                <c:pt idx="1293">
                  <c:v>204.05455815981836</c:v>
                </c:pt>
                <c:pt idx="1294">
                  <c:v>204.65404641436703</c:v>
                </c:pt>
                <c:pt idx="1295">
                  <c:v>202.25031393008979</c:v>
                </c:pt>
                <c:pt idx="1296">
                  <c:v>201.4249010923194</c:v>
                </c:pt>
                <c:pt idx="1297">
                  <c:v>202.23560256188003</c:v>
                </c:pt>
                <c:pt idx="1298">
                  <c:v>204.96140892875005</c:v>
                </c:pt>
                <c:pt idx="1299">
                  <c:v>203.95893426645475</c:v>
                </c:pt>
                <c:pt idx="1300">
                  <c:v>203.36837791403343</c:v>
                </c:pt>
                <c:pt idx="1301">
                  <c:v>203.3510395157862</c:v>
                </c:pt>
                <c:pt idx="1302">
                  <c:v>205.5661512433737</c:v>
                </c:pt>
                <c:pt idx="1303">
                  <c:v>205.74846712797353</c:v>
                </c:pt>
                <c:pt idx="1304">
                  <c:v>206.38736083308416</c:v>
                </c:pt>
                <c:pt idx="1305">
                  <c:v>206.2959401877805</c:v>
                </c:pt>
                <c:pt idx="1306">
                  <c:v>206.12623404736047</c:v>
                </c:pt>
                <c:pt idx="1307">
                  <c:v>206.63692868664299</c:v>
                </c:pt>
                <c:pt idx="1308">
                  <c:v>206.17772383609471</c:v>
                </c:pt>
                <c:pt idx="1309">
                  <c:v>204.06138843791578</c:v>
                </c:pt>
                <c:pt idx="1310">
                  <c:v>205.96493440306034</c:v>
                </c:pt>
                <c:pt idx="1311">
                  <c:v>205.73953522584614</c:v>
                </c:pt>
                <c:pt idx="1312">
                  <c:v>204.44493482338513</c:v>
                </c:pt>
                <c:pt idx="1313">
                  <c:v>204.88680127568617</c:v>
                </c:pt>
                <c:pt idx="1314">
                  <c:v>204.69029942888403</c:v>
                </c:pt>
                <c:pt idx="1315">
                  <c:v>205.16211402361211</c:v>
                </c:pt>
                <c:pt idx="1316">
                  <c:v>203.39674983843801</c:v>
                </c:pt>
                <c:pt idx="1317">
                  <c:v>203.11303059439217</c:v>
                </c:pt>
                <c:pt idx="1318">
                  <c:v>201.83209074812595</c:v>
                </c:pt>
                <c:pt idx="1319">
                  <c:v>201.92193517540713</c:v>
                </c:pt>
                <c:pt idx="1320">
                  <c:v>204.36717473427626</c:v>
                </c:pt>
                <c:pt idx="1321">
                  <c:v>204.78172007418769</c:v>
                </c:pt>
                <c:pt idx="1322">
                  <c:v>203.36154763593603</c:v>
                </c:pt>
                <c:pt idx="1323">
                  <c:v>202.42579953659225</c:v>
                </c:pt>
                <c:pt idx="1324">
                  <c:v>203.58064194106029</c:v>
                </c:pt>
                <c:pt idx="1325">
                  <c:v>203.9883570028743</c:v>
                </c:pt>
                <c:pt idx="1326">
                  <c:v>206.03428799604927</c:v>
                </c:pt>
                <c:pt idx="1327">
                  <c:v>204.94196890647279</c:v>
                </c:pt>
                <c:pt idx="1328">
                  <c:v>206.19085898628197</c:v>
                </c:pt>
                <c:pt idx="1329">
                  <c:v>206.33902348039481</c:v>
                </c:pt>
                <c:pt idx="1330">
                  <c:v>204.82795580284699</c:v>
                </c:pt>
                <c:pt idx="1331">
                  <c:v>204.22741673628332</c:v>
                </c:pt>
                <c:pt idx="1332">
                  <c:v>204.18380803766146</c:v>
                </c:pt>
                <c:pt idx="1333">
                  <c:v>199.94325615119121</c:v>
                </c:pt>
                <c:pt idx="1334">
                  <c:v>200.48705136894574</c:v>
                </c:pt>
                <c:pt idx="1335">
                  <c:v>201.9271892354821</c:v>
                </c:pt>
                <c:pt idx="1336">
                  <c:v>201.864140514583</c:v>
                </c:pt>
                <c:pt idx="1337">
                  <c:v>201.09126827756185</c:v>
                </c:pt>
                <c:pt idx="1338">
                  <c:v>202.31598968102637</c:v>
                </c:pt>
                <c:pt idx="1339">
                  <c:v>199.00645723983243</c:v>
                </c:pt>
                <c:pt idx="1340">
                  <c:v>199.45778100026831</c:v>
                </c:pt>
                <c:pt idx="1341">
                  <c:v>201.91878273936217</c:v>
                </c:pt>
                <c:pt idx="1342">
                  <c:v>204.17119829348161</c:v>
                </c:pt>
                <c:pt idx="1343">
                  <c:v>205.08225231047322</c:v>
                </c:pt>
                <c:pt idx="1344">
                  <c:v>204.93461322236789</c:v>
                </c:pt>
                <c:pt idx="1345">
                  <c:v>206.58176105585622</c:v>
                </c:pt>
                <c:pt idx="1346">
                  <c:v>206.81136348113034</c:v>
                </c:pt>
                <c:pt idx="1347">
                  <c:v>206.97581556147543</c:v>
                </c:pt>
                <c:pt idx="1348">
                  <c:v>206.10101455900076</c:v>
                </c:pt>
                <c:pt idx="1349">
                  <c:v>205.63077618229516</c:v>
                </c:pt>
                <c:pt idx="1350">
                  <c:v>204.47698458984209</c:v>
                </c:pt>
                <c:pt idx="1351">
                  <c:v>202.28919397464418</c:v>
                </c:pt>
                <c:pt idx="1352">
                  <c:v>201.12174182599631</c:v>
                </c:pt>
                <c:pt idx="1353">
                  <c:v>203.61426792553976</c:v>
                </c:pt>
                <c:pt idx="1354">
                  <c:v>205.12953885114752</c:v>
                </c:pt>
                <c:pt idx="1355">
                  <c:v>205.15213130946967</c:v>
                </c:pt>
                <c:pt idx="1356">
                  <c:v>204.6876723988465</c:v>
                </c:pt>
                <c:pt idx="1357">
                  <c:v>204.12391175280729</c:v>
                </c:pt>
                <c:pt idx="1358">
                  <c:v>203.67048636834144</c:v>
                </c:pt>
                <c:pt idx="1359">
                  <c:v>204.38241150849348</c:v>
                </c:pt>
                <c:pt idx="1360">
                  <c:v>202.85505624471341</c:v>
                </c:pt>
                <c:pt idx="1361">
                  <c:v>202.27921126050185</c:v>
                </c:pt>
                <c:pt idx="1362">
                  <c:v>204.87471693751377</c:v>
                </c:pt>
                <c:pt idx="1363">
                  <c:v>202.95435798012943</c:v>
                </c:pt>
                <c:pt idx="1364">
                  <c:v>203.19394311954591</c:v>
                </c:pt>
                <c:pt idx="1365">
                  <c:v>202.96591691229426</c:v>
                </c:pt>
                <c:pt idx="1366">
                  <c:v>203.76085620163011</c:v>
                </c:pt>
                <c:pt idx="1367">
                  <c:v>204.86105638131897</c:v>
                </c:pt>
                <c:pt idx="1368">
                  <c:v>204.36192067420129</c:v>
                </c:pt>
                <c:pt idx="1369">
                  <c:v>202.68797713433082</c:v>
                </c:pt>
                <c:pt idx="1370">
                  <c:v>198.41222304535859</c:v>
                </c:pt>
                <c:pt idx="1371">
                  <c:v>192.12363854168336</c:v>
                </c:pt>
                <c:pt idx="1372">
                  <c:v>184.55674122177939</c:v>
                </c:pt>
                <c:pt idx="1373">
                  <c:v>182.06316431022097</c:v>
                </c:pt>
                <c:pt idx="1374">
                  <c:v>189.18451733577146</c:v>
                </c:pt>
                <c:pt idx="1375">
                  <c:v>193.80125992360621</c:v>
                </c:pt>
                <c:pt idx="1376">
                  <c:v>193.94311954562912</c:v>
                </c:pt>
                <c:pt idx="1377">
                  <c:v>192.33800419274016</c:v>
                </c:pt>
                <c:pt idx="1378">
                  <c:v>186.65836525174851</c:v>
                </c:pt>
                <c:pt idx="1379">
                  <c:v>190.10502866089794</c:v>
                </c:pt>
                <c:pt idx="1380">
                  <c:v>190.33673271020206</c:v>
                </c:pt>
                <c:pt idx="1381">
                  <c:v>187.43386451880716</c:v>
                </c:pt>
                <c:pt idx="1382">
                  <c:v>192.15778993217035</c:v>
                </c:pt>
                <c:pt idx="1383">
                  <c:v>189.50343878231928</c:v>
                </c:pt>
                <c:pt idx="1384">
                  <c:v>190.51957400080934</c:v>
                </c:pt>
                <c:pt idx="1385">
                  <c:v>191.43378045384594</c:v>
                </c:pt>
                <c:pt idx="1386">
                  <c:v>190.66300984085476</c:v>
                </c:pt>
                <c:pt idx="1387">
                  <c:v>193.11192724177633</c:v>
                </c:pt>
                <c:pt idx="1388">
                  <c:v>194.80058214985652</c:v>
                </c:pt>
                <c:pt idx="1389">
                  <c:v>194.33402161520337</c:v>
                </c:pt>
                <c:pt idx="1390">
                  <c:v>191.19472072043692</c:v>
                </c:pt>
                <c:pt idx="1391">
                  <c:v>192.06952172291159</c:v>
                </c:pt>
                <c:pt idx="1392">
                  <c:v>189.70834712524123</c:v>
                </c:pt>
                <c:pt idx="1393">
                  <c:v>189.32952939383929</c:v>
                </c:pt>
                <c:pt idx="1394">
                  <c:v>188.69273731275862</c:v>
                </c:pt>
                <c:pt idx="1395">
                  <c:v>188.60551991551492</c:v>
                </c:pt>
                <c:pt idx="1396">
                  <c:v>183.81907118726014</c:v>
                </c:pt>
                <c:pt idx="1397">
                  <c:v>184.05655470264665</c:v>
                </c:pt>
                <c:pt idx="1398">
                  <c:v>187.57887657687496</c:v>
                </c:pt>
                <c:pt idx="1399">
                  <c:v>187.96242296234433</c:v>
                </c:pt>
                <c:pt idx="1400">
                  <c:v>190.67194174298209</c:v>
                </c:pt>
                <c:pt idx="1401">
                  <c:v>194.16956953485825</c:v>
                </c:pt>
                <c:pt idx="1402">
                  <c:v>193.4718303569085</c:v>
                </c:pt>
                <c:pt idx="1403">
                  <c:v>195.10216519815711</c:v>
                </c:pt>
                <c:pt idx="1404">
                  <c:v>196.82339527870184</c:v>
                </c:pt>
                <c:pt idx="1405">
                  <c:v>196.97261058482965</c:v>
                </c:pt>
                <c:pt idx="1406">
                  <c:v>197.22322925040348</c:v>
                </c:pt>
                <c:pt idx="1407">
                  <c:v>195.89657908148544</c:v>
                </c:pt>
                <c:pt idx="1408">
                  <c:v>194.98394884647135</c:v>
                </c:pt>
                <c:pt idx="1409">
                  <c:v>197.89049487991869</c:v>
                </c:pt>
                <c:pt idx="1410">
                  <c:v>198.79471861881294</c:v>
                </c:pt>
                <c:pt idx="1411">
                  <c:v>198.8514624676221</c:v>
                </c:pt>
                <c:pt idx="1412">
                  <c:v>198.57404809566617</c:v>
                </c:pt>
                <c:pt idx="1413">
                  <c:v>197.44284896153528</c:v>
                </c:pt>
                <c:pt idx="1414">
                  <c:v>200.73083975642203</c:v>
                </c:pt>
                <c:pt idx="1415">
                  <c:v>202.94595148400953</c:v>
                </c:pt>
                <c:pt idx="1416">
                  <c:v>202.5592526624952</c:v>
                </c:pt>
                <c:pt idx="1417">
                  <c:v>202.04225315112276</c:v>
                </c:pt>
                <c:pt idx="1418">
                  <c:v>204.45334131950491</c:v>
                </c:pt>
                <c:pt idx="1419">
                  <c:v>204.38503853853092</c:v>
                </c:pt>
                <c:pt idx="1420">
                  <c:v>203.40200389851285</c:v>
                </c:pt>
                <c:pt idx="1421">
                  <c:v>205.81729531495489</c:v>
                </c:pt>
                <c:pt idx="1422">
                  <c:v>206.3821067730091</c:v>
                </c:pt>
                <c:pt idx="1423">
                  <c:v>205.72377304562127</c:v>
                </c:pt>
                <c:pt idx="1424">
                  <c:v>205.53305066490157</c:v>
                </c:pt>
                <c:pt idx="1425">
                  <c:v>205.48523871821979</c:v>
                </c:pt>
                <c:pt idx="1426">
                  <c:v>203.50918672404129</c:v>
                </c:pt>
                <c:pt idx="1427">
                  <c:v>203.869615245181</c:v>
                </c:pt>
                <c:pt idx="1428">
                  <c:v>203.21180692380065</c:v>
                </c:pt>
                <c:pt idx="1429">
                  <c:v>200.40508803177684</c:v>
                </c:pt>
                <c:pt idx="1430">
                  <c:v>198.16160437978479</c:v>
                </c:pt>
                <c:pt idx="1431">
                  <c:v>201.14958834439344</c:v>
                </c:pt>
                <c:pt idx="1432">
                  <c:v>200.92261294915676</c:v>
                </c:pt>
                <c:pt idx="1433">
                  <c:v>204.18643506769888</c:v>
                </c:pt>
                <c:pt idx="1434">
                  <c:v>203.96576454455212</c:v>
                </c:pt>
                <c:pt idx="1435">
                  <c:v>204.77436439008275</c:v>
                </c:pt>
                <c:pt idx="1436">
                  <c:v>204.53005059659887</c:v>
                </c:pt>
                <c:pt idx="1437">
                  <c:v>204.78592332224761</c:v>
                </c:pt>
                <c:pt idx="1438">
                  <c:v>204.78066926217269</c:v>
                </c:pt>
                <c:pt idx="1439">
                  <c:v>204.94722296654771</c:v>
                </c:pt>
                <c:pt idx="1440">
                  <c:v>204.00674621313652</c:v>
                </c:pt>
                <c:pt idx="1441">
                  <c:v>206.2024179184468</c:v>
                </c:pt>
                <c:pt idx="1442">
                  <c:v>203.98257753679187</c:v>
                </c:pt>
                <c:pt idx="1443">
                  <c:v>201.05921851110475</c:v>
                </c:pt>
                <c:pt idx="1444">
                  <c:v>205.18733351197167</c:v>
                </c:pt>
                <c:pt idx="1445">
                  <c:v>203.7687372917425</c:v>
                </c:pt>
                <c:pt idx="1446">
                  <c:v>202.46415417513913</c:v>
                </c:pt>
                <c:pt idx="1447">
                  <c:v>200.91000320497693</c:v>
                </c:pt>
                <c:pt idx="1448">
                  <c:v>201.38444482974245</c:v>
                </c:pt>
                <c:pt idx="1449">
                  <c:v>197.50484687041941</c:v>
                </c:pt>
                <c:pt idx="1450">
                  <c:v>198.45740796200292</c:v>
                </c:pt>
                <c:pt idx="1451">
                  <c:v>200.56638767607697</c:v>
                </c:pt>
                <c:pt idx="1452">
                  <c:v>203.49605157385398</c:v>
                </c:pt>
                <c:pt idx="1453">
                  <c:v>200.46656053465344</c:v>
                </c:pt>
                <c:pt idx="1454">
                  <c:v>196.8990537437808</c:v>
                </c:pt>
                <c:pt idx="1455">
                  <c:v>198.45373011995048</c:v>
                </c:pt>
                <c:pt idx="1456">
                  <c:v>200.22434836519949</c:v>
                </c:pt>
                <c:pt idx="1457">
                  <c:v>202.72633177287778</c:v>
                </c:pt>
                <c:pt idx="1458">
                  <c:v>202.40268167226253</c:v>
                </c:pt>
                <c:pt idx="1459">
                  <c:v>201.96291684399148</c:v>
                </c:pt>
                <c:pt idx="1460">
                  <c:v>204.14913124116691</c:v>
                </c:pt>
                <c:pt idx="1461">
                  <c:v>202.69638363045073</c:v>
                </c:pt>
                <c:pt idx="1462">
                  <c:v>200.78915982325373</c:v>
                </c:pt>
                <c:pt idx="1463">
                  <c:v>197.76229581409063</c:v>
                </c:pt>
                <c:pt idx="1464">
                  <c:v>198.1605535677698</c:v>
                </c:pt>
                <c:pt idx="1465">
                  <c:v>195.6317744537094</c:v>
                </c:pt>
                <c:pt idx="1466">
                  <c:v>191.00032049766483</c:v>
                </c:pt>
                <c:pt idx="1467">
                  <c:v>188.93127164016019</c:v>
                </c:pt>
                <c:pt idx="1468">
                  <c:v>189.09204587845281</c:v>
                </c:pt>
                <c:pt idx="1469">
                  <c:v>190.56791135349866</c:v>
                </c:pt>
                <c:pt idx="1470">
                  <c:v>185.83190160196318</c:v>
                </c:pt>
                <c:pt idx="1471">
                  <c:v>188.9375765122501</c:v>
                </c:pt>
                <c:pt idx="1472">
                  <c:v>184.86462914216989</c:v>
                </c:pt>
                <c:pt idx="1473">
                  <c:v>184.96393087758591</c:v>
                </c:pt>
                <c:pt idx="1474">
                  <c:v>182.82815545712975</c:v>
                </c:pt>
                <c:pt idx="1475">
                  <c:v>183.78386898475824</c:v>
                </c:pt>
                <c:pt idx="1476">
                  <c:v>187.51215001392356</c:v>
                </c:pt>
                <c:pt idx="1477">
                  <c:v>184.58090989812408</c:v>
                </c:pt>
                <c:pt idx="1478">
                  <c:v>187.19217775536075</c:v>
                </c:pt>
                <c:pt idx="1479">
                  <c:v>185.17041543853043</c:v>
                </c:pt>
                <c:pt idx="1480">
                  <c:v>186.21071933336518</c:v>
                </c:pt>
                <c:pt idx="1481">
                  <c:v>190.82536029716996</c:v>
                </c:pt>
                <c:pt idx="1482">
                  <c:v>190.74654939604613</c:v>
                </c:pt>
                <c:pt idx="1483">
                  <c:v>187.1769409811435</c:v>
                </c:pt>
                <c:pt idx="1484">
                  <c:v>188.17573780138636</c:v>
                </c:pt>
                <c:pt idx="1485">
                  <c:v>188.50043871401658</c:v>
                </c:pt>
                <c:pt idx="1486">
                  <c:v>185.02697959848504</c:v>
                </c:pt>
                <c:pt idx="1487">
                  <c:v>182.42516904938321</c:v>
                </c:pt>
                <c:pt idx="1488">
                  <c:v>182.34215490019943</c:v>
                </c:pt>
                <c:pt idx="1489">
                  <c:v>182.37052682460401</c:v>
                </c:pt>
                <c:pt idx="1490">
                  <c:v>180.16119456309892</c:v>
                </c:pt>
                <c:pt idx="1491">
                  <c:v>183.69665158751457</c:v>
                </c:pt>
                <c:pt idx="1492">
                  <c:v>186.79234378365913</c:v>
                </c:pt>
                <c:pt idx="1493">
                  <c:v>189.89013760383367</c:v>
                </c:pt>
                <c:pt idx="1494">
                  <c:v>189.01428578934403</c:v>
                </c:pt>
                <c:pt idx="1495">
                  <c:v>189.03687824766621</c:v>
                </c:pt>
                <c:pt idx="1496">
                  <c:v>191.76898948662611</c:v>
                </c:pt>
                <c:pt idx="1497">
                  <c:v>189.39205270873097</c:v>
                </c:pt>
                <c:pt idx="1498">
                  <c:v>190.24268503486101</c:v>
                </c:pt>
                <c:pt idx="1499">
                  <c:v>192.44781404830618</c:v>
                </c:pt>
                <c:pt idx="1500">
                  <c:v>192.11050339149614</c:v>
                </c:pt>
                <c:pt idx="1501">
                  <c:v>190.56791135349877</c:v>
                </c:pt>
                <c:pt idx="1502">
                  <c:v>195.12002900241197</c:v>
                </c:pt>
                <c:pt idx="1503">
                  <c:v>195.95489914831725</c:v>
                </c:pt>
                <c:pt idx="1504">
                  <c:v>196.6605194163794</c:v>
                </c:pt>
                <c:pt idx="1505">
                  <c:v>197.31464989570728</c:v>
                </c:pt>
                <c:pt idx="1506">
                  <c:v>197.50274524638951</c:v>
                </c:pt>
                <c:pt idx="1507">
                  <c:v>195.31915787925155</c:v>
                </c:pt>
                <c:pt idx="1508">
                  <c:v>196.34002175180908</c:v>
                </c:pt>
                <c:pt idx="1509">
                  <c:v>196.38310504442342</c:v>
                </c:pt>
                <c:pt idx="1510">
                  <c:v>199.65796068912289</c:v>
                </c:pt>
                <c:pt idx="1511">
                  <c:v>199.41942636172138</c:v>
                </c:pt>
                <c:pt idx="1512">
                  <c:v>199.05637081054419</c:v>
                </c:pt>
                <c:pt idx="1513">
                  <c:v>200.18441750863016</c:v>
                </c:pt>
                <c:pt idx="1514">
                  <c:v>201.50686442948825</c:v>
                </c:pt>
                <c:pt idx="1515">
                  <c:v>202.39427517614271</c:v>
                </c:pt>
                <c:pt idx="1516">
                  <c:v>202.59498027100474</c:v>
                </c:pt>
                <c:pt idx="1517">
                  <c:v>202.4483919949144</c:v>
                </c:pt>
                <c:pt idx="1518">
                  <c:v>201.15589321648335</c:v>
                </c:pt>
                <c:pt idx="1519">
                  <c:v>201.08023475140448</c:v>
                </c:pt>
                <c:pt idx="1520">
                  <c:v>201.19162082499284</c:v>
                </c:pt>
                <c:pt idx="1521">
                  <c:v>203.00637317487121</c:v>
                </c:pt>
                <c:pt idx="1522">
                  <c:v>203.91059691376546</c:v>
                </c:pt>
                <c:pt idx="1523">
                  <c:v>203.49552616784655</c:v>
                </c:pt>
                <c:pt idx="1524">
                  <c:v>204.78539791624013</c:v>
                </c:pt>
                <c:pt idx="1525">
                  <c:v>204.17277451150412</c:v>
                </c:pt>
                <c:pt idx="1526">
                  <c:v>202.102149435977</c:v>
                </c:pt>
                <c:pt idx="1527">
                  <c:v>204.29939735930975</c:v>
                </c:pt>
                <c:pt idx="1528">
                  <c:v>201.85993726652305</c:v>
                </c:pt>
                <c:pt idx="1529">
                  <c:v>202.42422331856974</c:v>
                </c:pt>
                <c:pt idx="1530">
                  <c:v>201.8699199806654</c:v>
                </c:pt>
                <c:pt idx="1531">
                  <c:v>203.82705735857419</c:v>
                </c:pt>
                <c:pt idx="1532">
                  <c:v>205.9039873061912</c:v>
                </c:pt>
                <c:pt idx="1533">
                  <c:v>205.96073115500039</c:v>
                </c:pt>
                <c:pt idx="1534">
                  <c:v>205.75792443610834</c:v>
                </c:pt>
                <c:pt idx="1535">
                  <c:v>207.10769246935604</c:v>
                </c:pt>
                <c:pt idx="1536">
                  <c:v>207.74606076845916</c:v>
                </c:pt>
                <c:pt idx="1537">
                  <c:v>207.91629231488665</c:v>
                </c:pt>
                <c:pt idx="1538">
                  <c:v>206.84183702956494</c:v>
                </c:pt>
                <c:pt idx="1539">
                  <c:v>206.85234514971478</c:v>
                </c:pt>
                <c:pt idx="1540">
                  <c:v>206.47825607238028</c:v>
                </c:pt>
                <c:pt idx="1541">
                  <c:v>206.86442948788712</c:v>
                </c:pt>
                <c:pt idx="1542">
                  <c:v>207.22118016697439</c:v>
                </c:pt>
                <c:pt idx="1543">
                  <c:v>205.32236285589727</c:v>
                </c:pt>
                <c:pt idx="1544">
                  <c:v>204.28468599109999</c:v>
                </c:pt>
                <c:pt idx="1545">
                  <c:v>205.88192025387656</c:v>
                </c:pt>
                <c:pt idx="1546">
                  <c:v>204.10079388847771</c:v>
                </c:pt>
                <c:pt idx="1547">
                  <c:v>202.93281633382236</c:v>
                </c:pt>
                <c:pt idx="1548">
                  <c:v>202.93281633382236</c:v>
                </c:pt>
                <c:pt idx="1549">
                  <c:v>203.6042852113975</c:v>
                </c:pt>
                <c:pt idx="1550">
                  <c:v>203.75980538961522</c:v>
                </c:pt>
                <c:pt idx="1551">
                  <c:v>206.30749911994533</c:v>
                </c:pt>
                <c:pt idx="1552">
                  <c:v>204.44230779334771</c:v>
                </c:pt>
                <c:pt idx="1553">
                  <c:v>204.42759642513792</c:v>
                </c:pt>
                <c:pt idx="1554">
                  <c:v>202.71056959265312</c:v>
                </c:pt>
                <c:pt idx="1555">
                  <c:v>204.71709513526616</c:v>
                </c:pt>
                <c:pt idx="1556">
                  <c:v>202.85295462068351</c:v>
                </c:pt>
                <c:pt idx="1557">
                  <c:v>202.92493524370994</c:v>
                </c:pt>
                <c:pt idx="1558">
                  <c:v>202.17465546501091</c:v>
                </c:pt>
                <c:pt idx="1559">
                  <c:v>203.4240709508276</c:v>
                </c:pt>
                <c:pt idx="1560">
                  <c:v>203.00742398688624</c:v>
                </c:pt>
                <c:pt idx="1561">
                  <c:v>205.78944879655791</c:v>
                </c:pt>
                <c:pt idx="1562">
                  <c:v>207.23746775320666</c:v>
                </c:pt>
                <c:pt idx="1563">
                  <c:v>207.22275638499687</c:v>
                </c:pt>
                <c:pt idx="1564">
                  <c:v>208.14852177019827</c:v>
                </c:pt>
                <c:pt idx="1565">
                  <c:v>207.95307073541113</c:v>
                </c:pt>
                <c:pt idx="1566">
                  <c:v>208.22365482926966</c:v>
                </c:pt>
                <c:pt idx="1567">
                  <c:v>208.8362782340057</c:v>
                </c:pt>
                <c:pt idx="1568">
                  <c:v>208.23048510736709</c:v>
                </c:pt>
                <c:pt idx="1569">
                  <c:v>209.25555222798451</c:v>
                </c:pt>
                <c:pt idx="1570">
                  <c:v>209.52981416389551</c:v>
                </c:pt>
                <c:pt idx="1571">
                  <c:v>210.26643338639968</c:v>
                </c:pt>
                <c:pt idx="1572">
                  <c:v>209.91441136137985</c:v>
                </c:pt>
                <c:pt idx="1573">
                  <c:v>207.99142537395804</c:v>
                </c:pt>
                <c:pt idx="1574">
                  <c:v>206.36529378076941</c:v>
                </c:pt>
                <c:pt idx="1575">
                  <c:v>206.00801769567462</c:v>
                </c:pt>
                <c:pt idx="1576">
                  <c:v>205.64496214449747</c:v>
                </c:pt>
                <c:pt idx="1577">
                  <c:v>206.32326130017</c:v>
                </c:pt>
                <c:pt idx="1578">
                  <c:v>205.65179242259487</c:v>
                </c:pt>
                <c:pt idx="1579">
                  <c:v>206.84761649564732</c:v>
                </c:pt>
                <c:pt idx="1580">
                  <c:v>207.42713932191131</c:v>
                </c:pt>
                <c:pt idx="1581">
                  <c:v>207.0861508230488</c:v>
                </c:pt>
                <c:pt idx="1582">
                  <c:v>209.85661670055563</c:v>
                </c:pt>
                <c:pt idx="1583">
                  <c:v>202.31809130505624</c:v>
                </c:pt>
                <c:pt idx="1584">
                  <c:v>198.65706224484998</c:v>
                </c:pt>
                <c:pt idx="1585">
                  <c:v>202.23139931382002</c:v>
                </c:pt>
                <c:pt idx="1586">
                  <c:v>205.70170599330658</c:v>
                </c:pt>
                <c:pt idx="1587">
                  <c:v>208.49213729909815</c:v>
                </c:pt>
                <c:pt idx="1588">
                  <c:v>208.93715618744409</c:v>
                </c:pt>
                <c:pt idx="1589">
                  <c:v>207.52066159124485</c:v>
                </c:pt>
                <c:pt idx="1590">
                  <c:v>208.70492673213249</c:v>
                </c:pt>
                <c:pt idx="1591">
                  <c:v>208.54362708783233</c:v>
                </c:pt>
                <c:pt idx="1592">
                  <c:v>211.72548586920564</c:v>
                </c:pt>
                <c:pt idx="1593">
                  <c:v>212.44739372350003</c:v>
                </c:pt>
                <c:pt idx="1594">
                  <c:v>213.93744516074815</c:v>
                </c:pt>
                <c:pt idx="1595">
                  <c:v>213.98578251343744</c:v>
                </c:pt>
                <c:pt idx="1596">
                  <c:v>215.11593083555337</c:v>
                </c:pt>
                <c:pt idx="1597">
                  <c:v>214.91680195871379</c:v>
                </c:pt>
                <c:pt idx="1598">
                  <c:v>215.43747931213863</c:v>
                </c:pt>
                <c:pt idx="1599">
                  <c:v>215.13326923380063</c:v>
                </c:pt>
                <c:pt idx="1600">
                  <c:v>216.07900004728674</c:v>
                </c:pt>
                <c:pt idx="1601">
                  <c:v>215.30192456220564</c:v>
                </c:pt>
                <c:pt idx="1602">
                  <c:v>216.28338298420127</c:v>
                </c:pt>
                <c:pt idx="1603">
                  <c:v>215.63345575293332</c:v>
                </c:pt>
                <c:pt idx="1604">
                  <c:v>215.70911421801219</c:v>
                </c:pt>
                <c:pt idx="1605">
                  <c:v>215.4590209584459</c:v>
                </c:pt>
                <c:pt idx="1606">
                  <c:v>215.82365272764554</c:v>
                </c:pt>
                <c:pt idx="1607">
                  <c:v>216.17882718871033</c:v>
                </c:pt>
                <c:pt idx="1608">
                  <c:v>215.90403984679185</c:v>
                </c:pt>
                <c:pt idx="1609">
                  <c:v>214.53640800928943</c:v>
                </c:pt>
                <c:pt idx="1610">
                  <c:v>215.27460344981608</c:v>
                </c:pt>
                <c:pt idx="1611">
                  <c:v>215.3749559972471</c:v>
                </c:pt>
                <c:pt idx="1612">
                  <c:v>217.23226623373236</c:v>
                </c:pt>
                <c:pt idx="1613">
                  <c:v>217.05520440920742</c:v>
                </c:pt>
                <c:pt idx="1614">
                  <c:v>217.14820127253356</c:v>
                </c:pt>
                <c:pt idx="1615">
                  <c:v>216.60650767880898</c:v>
                </c:pt>
                <c:pt idx="1616">
                  <c:v>217.66099753584604</c:v>
                </c:pt>
                <c:pt idx="1617">
                  <c:v>217.49864707953091</c:v>
                </c:pt>
                <c:pt idx="1618">
                  <c:v>218.13228672456657</c:v>
                </c:pt>
                <c:pt idx="1619">
                  <c:v>216.97586810207608</c:v>
                </c:pt>
                <c:pt idx="1620">
                  <c:v>217.43507295262432</c:v>
                </c:pt>
                <c:pt idx="1621">
                  <c:v>217.91949729153225</c:v>
                </c:pt>
                <c:pt idx="1622">
                  <c:v>217.63525264147887</c:v>
                </c:pt>
                <c:pt idx="1623">
                  <c:v>217.51651088378566</c:v>
                </c:pt>
                <c:pt idx="1624">
                  <c:v>217.94681840392184</c:v>
                </c:pt>
                <c:pt idx="1625">
                  <c:v>216.81667008180591</c:v>
                </c:pt>
                <c:pt idx="1626">
                  <c:v>216.52454434164022</c:v>
                </c:pt>
                <c:pt idx="1627">
                  <c:v>216.18775909083769</c:v>
                </c:pt>
                <c:pt idx="1628">
                  <c:v>217.34733014937316</c:v>
                </c:pt>
                <c:pt idx="1629">
                  <c:v>216.95800429782139</c:v>
                </c:pt>
                <c:pt idx="1630">
                  <c:v>216.48251186104088</c:v>
                </c:pt>
                <c:pt idx="1631">
                  <c:v>216.47620698895099</c:v>
                </c:pt>
                <c:pt idx="1632">
                  <c:v>217.39724372008496</c:v>
                </c:pt>
                <c:pt idx="1633">
                  <c:v>218.04927257538287</c:v>
                </c:pt>
                <c:pt idx="1634">
                  <c:v>218.0702888156826</c:v>
                </c:pt>
                <c:pt idx="1635">
                  <c:v>217.59479637890206</c:v>
                </c:pt>
                <c:pt idx="1636">
                  <c:v>212.26139999684781</c:v>
                </c:pt>
                <c:pt idx="1637">
                  <c:v>215.38861655344195</c:v>
                </c:pt>
                <c:pt idx="1638">
                  <c:v>212.25982377882534</c:v>
                </c:pt>
                <c:pt idx="1639">
                  <c:v>212.15001392325945</c:v>
                </c:pt>
                <c:pt idx="1640">
                  <c:v>214.32992344834497</c:v>
                </c:pt>
                <c:pt idx="1641">
                  <c:v>213.5234252268443</c:v>
                </c:pt>
                <c:pt idx="1642">
                  <c:v>213.52184900882185</c:v>
                </c:pt>
                <c:pt idx="1643">
                  <c:v>213.58805016576585</c:v>
                </c:pt>
                <c:pt idx="1644">
                  <c:v>215.92242905705413</c:v>
                </c:pt>
                <c:pt idx="1645">
                  <c:v>217.32946634511848</c:v>
                </c:pt>
                <c:pt idx="1646">
                  <c:v>216.08320329534675</c:v>
                </c:pt>
                <c:pt idx="1647">
                  <c:v>214.24533308113874</c:v>
                </c:pt>
                <c:pt idx="1648">
                  <c:v>215.63608278297085</c:v>
                </c:pt>
                <c:pt idx="1649">
                  <c:v>216.82612738994086</c:v>
                </c:pt>
                <c:pt idx="1650">
                  <c:v>214.81066994520043</c:v>
                </c:pt>
                <c:pt idx="1651">
                  <c:v>216.52296812361786</c:v>
                </c:pt>
                <c:pt idx="1652">
                  <c:v>215.8436181559303</c:v>
                </c:pt>
                <c:pt idx="1653">
                  <c:v>214.7949077649757</c:v>
                </c:pt>
                <c:pt idx="1654">
                  <c:v>215.80526351738337</c:v>
                </c:pt>
                <c:pt idx="1655">
                  <c:v>215.91507337294928</c:v>
                </c:pt>
                <c:pt idx="1656">
                  <c:v>215.21943581902948</c:v>
                </c:pt>
                <c:pt idx="1657">
                  <c:v>216.21087695516744</c:v>
                </c:pt>
                <c:pt idx="1658">
                  <c:v>213.52079819680691</c:v>
                </c:pt>
                <c:pt idx="1659">
                  <c:v>213.78350120055305</c:v>
                </c:pt>
                <c:pt idx="1660">
                  <c:v>213.12831990921015</c:v>
                </c:pt>
                <c:pt idx="1661">
                  <c:v>213.17192860783203</c:v>
                </c:pt>
                <c:pt idx="1662">
                  <c:v>212.53040787268392</c:v>
                </c:pt>
                <c:pt idx="1663">
                  <c:v>213.8397196433547</c:v>
                </c:pt>
                <c:pt idx="1664">
                  <c:v>214.33938075647987</c:v>
                </c:pt>
                <c:pt idx="1665">
                  <c:v>214.05986476049398</c:v>
                </c:pt>
                <c:pt idx="1666">
                  <c:v>214.04252636224675</c:v>
                </c:pt>
                <c:pt idx="1667">
                  <c:v>215.06023779875932</c:v>
                </c:pt>
                <c:pt idx="1668">
                  <c:v>214.25006173520623</c:v>
                </c:pt>
                <c:pt idx="1669">
                  <c:v>213.88017590593165</c:v>
                </c:pt>
                <c:pt idx="1670">
                  <c:v>213.24916329093341</c:v>
                </c:pt>
                <c:pt idx="1671">
                  <c:v>212.59818524765046</c:v>
                </c:pt>
                <c:pt idx="1672">
                  <c:v>212.57349116529832</c:v>
                </c:pt>
                <c:pt idx="1673">
                  <c:v>211.13282789275445</c:v>
                </c:pt>
                <c:pt idx="1674">
                  <c:v>209.78200904749178</c:v>
                </c:pt>
                <c:pt idx="1675">
                  <c:v>208.93085131535426</c:v>
                </c:pt>
                <c:pt idx="1676">
                  <c:v>208.5872357864543</c:v>
                </c:pt>
                <c:pt idx="1677">
                  <c:v>213.22552002059624</c:v>
                </c:pt>
                <c:pt idx="1678">
                  <c:v>214.13499781956537</c:v>
                </c:pt>
                <c:pt idx="1679">
                  <c:v>216.52139190559535</c:v>
                </c:pt>
                <c:pt idx="1680">
                  <c:v>216.96430916991136</c:v>
                </c:pt>
                <c:pt idx="1681">
                  <c:v>216.66114990358827</c:v>
                </c:pt>
                <c:pt idx="1682">
                  <c:v>216.66745477567821</c:v>
                </c:pt>
                <c:pt idx="1683">
                  <c:v>218.33877128551117</c:v>
                </c:pt>
                <c:pt idx="1684">
                  <c:v>218.05452663545785</c:v>
                </c:pt>
                <c:pt idx="1685">
                  <c:v>219.08747484618769</c:v>
                </c:pt>
                <c:pt idx="1686">
                  <c:v>218.59937266522738</c:v>
                </c:pt>
                <c:pt idx="1687">
                  <c:v>220.23338534852843</c:v>
                </c:pt>
                <c:pt idx="1688">
                  <c:v>220.72043671747377</c:v>
                </c:pt>
                <c:pt idx="1689">
                  <c:v>220.90643044412602</c:v>
                </c:pt>
                <c:pt idx="1690">
                  <c:v>221.7749265745108</c:v>
                </c:pt>
                <c:pt idx="1691">
                  <c:v>220.63847338030499</c:v>
                </c:pt>
                <c:pt idx="1692">
                  <c:v>220.98524134524988</c:v>
                </c:pt>
                <c:pt idx="1693">
                  <c:v>220.44617478156277</c:v>
                </c:pt>
                <c:pt idx="1694">
                  <c:v>219.68013282263902</c:v>
                </c:pt>
                <c:pt idx="1695">
                  <c:v>219.76735021988279</c:v>
                </c:pt>
                <c:pt idx="1696">
                  <c:v>221.06825549443366</c:v>
                </c:pt>
                <c:pt idx="1697">
                  <c:v>221.82851798727501</c:v>
                </c:pt>
                <c:pt idx="1698">
                  <c:v>224.79180786953148</c:v>
                </c:pt>
                <c:pt idx="1699">
                  <c:v>225.29935007276907</c:v>
                </c:pt>
                <c:pt idx="1700">
                  <c:v>226.63966079788187</c:v>
                </c:pt>
                <c:pt idx="1701">
                  <c:v>226.394296192383</c:v>
                </c:pt>
                <c:pt idx="1702">
                  <c:v>227.9137703660507</c:v>
                </c:pt>
                <c:pt idx="1703">
                  <c:v>226.07852718188016</c:v>
                </c:pt>
                <c:pt idx="1704">
                  <c:v>226.96698874054962</c:v>
                </c:pt>
                <c:pt idx="1705">
                  <c:v>226.57608667097534</c:v>
                </c:pt>
                <c:pt idx="1706">
                  <c:v>227.02898664943373</c:v>
                </c:pt>
                <c:pt idx="1707">
                  <c:v>227.88750006567611</c:v>
                </c:pt>
                <c:pt idx="1708">
                  <c:v>227.33529835180175</c:v>
                </c:pt>
                <c:pt idx="1709">
                  <c:v>226.94019303416755</c:v>
                </c:pt>
                <c:pt idx="1710">
                  <c:v>227.24703014254305</c:v>
                </c:pt>
                <c:pt idx="1711">
                  <c:v>227.75982640585556</c:v>
                </c:pt>
                <c:pt idx="1712">
                  <c:v>225.89568589127288</c:v>
                </c:pt>
                <c:pt idx="1713">
                  <c:v>225.83999285447871</c:v>
                </c:pt>
                <c:pt idx="1714">
                  <c:v>224.8033668016964</c:v>
                </c:pt>
                <c:pt idx="1715">
                  <c:v>226.71689548098331</c:v>
                </c:pt>
                <c:pt idx="1716">
                  <c:v>228.06561270221601</c:v>
                </c:pt>
                <c:pt idx="1717">
                  <c:v>227.89222871974354</c:v>
                </c:pt>
                <c:pt idx="1718">
                  <c:v>228.76440269218077</c:v>
                </c:pt>
                <c:pt idx="1719">
                  <c:v>227.95370122262014</c:v>
                </c:pt>
                <c:pt idx="1720">
                  <c:v>227.95475203463513</c:v>
                </c:pt>
                <c:pt idx="1721">
                  <c:v>228.62096685213533</c:v>
                </c:pt>
                <c:pt idx="1722">
                  <c:v>228.13601710721997</c:v>
                </c:pt>
                <c:pt idx="1723">
                  <c:v>228.55739272522877</c:v>
                </c:pt>
                <c:pt idx="1724">
                  <c:v>227.87909356955623</c:v>
                </c:pt>
                <c:pt idx="1725">
                  <c:v>228.31885839782726</c:v>
                </c:pt>
                <c:pt idx="1726">
                  <c:v>227.49869962013182</c:v>
                </c:pt>
                <c:pt idx="1727">
                  <c:v>228.27157185715296</c:v>
                </c:pt>
                <c:pt idx="1728">
                  <c:v>227.66367710648441</c:v>
                </c:pt>
                <c:pt idx="1729">
                  <c:v>229.15898260380746</c:v>
                </c:pt>
                <c:pt idx="1730">
                  <c:v>230.99842903603795</c:v>
                </c:pt>
                <c:pt idx="1731">
                  <c:v>230.83345154968538</c:v>
                </c:pt>
                <c:pt idx="1732">
                  <c:v>230.64535619900315</c:v>
                </c:pt>
                <c:pt idx="1733">
                  <c:v>229.26984327138831</c:v>
                </c:pt>
                <c:pt idx="1734">
                  <c:v>229.06703655249632</c:v>
                </c:pt>
                <c:pt idx="1735">
                  <c:v>229.18735452821204</c:v>
                </c:pt>
                <c:pt idx="1736">
                  <c:v>229.33184118027242</c:v>
                </c:pt>
                <c:pt idx="1737">
                  <c:v>231.01839446432265</c:v>
                </c:pt>
                <c:pt idx="1738">
                  <c:v>230.53081768936983</c:v>
                </c:pt>
                <c:pt idx="1739">
                  <c:v>230.5938664102689</c:v>
                </c:pt>
                <c:pt idx="1740">
                  <c:v>230.82714667759552</c:v>
                </c:pt>
                <c:pt idx="1741">
                  <c:v>232.19793095114287</c:v>
                </c:pt>
                <c:pt idx="1742">
                  <c:v>233.03963137514555</c:v>
                </c:pt>
                <c:pt idx="1743">
                  <c:v>234.32214743943422</c:v>
                </c:pt>
                <c:pt idx="1744">
                  <c:v>235.32829994378193</c:v>
                </c:pt>
                <c:pt idx="1745">
                  <c:v>236.53725916702172</c:v>
                </c:pt>
                <c:pt idx="1746">
                  <c:v>236.35704490645188</c:v>
                </c:pt>
                <c:pt idx="1747">
                  <c:v>236.75845509617596</c:v>
                </c:pt>
                <c:pt idx="1748">
                  <c:v>238.19071187259996</c:v>
                </c:pt>
                <c:pt idx="1749">
                  <c:v>237.95480457523595</c:v>
                </c:pt>
                <c:pt idx="1750">
                  <c:v>238.08195282904907</c:v>
                </c:pt>
                <c:pt idx="1751">
                  <c:v>238.49492195093799</c:v>
                </c:pt>
                <c:pt idx="1752">
                  <c:v>238.77128551087895</c:v>
                </c:pt>
                <c:pt idx="1753">
                  <c:v>238.16286535420289</c:v>
                </c:pt>
                <c:pt idx="1754">
                  <c:v>241.46241508125442</c:v>
                </c:pt>
                <c:pt idx="1755">
                  <c:v>240.06693672535491</c:v>
                </c:pt>
                <c:pt idx="1756">
                  <c:v>240.19461038517554</c:v>
                </c:pt>
                <c:pt idx="1757">
                  <c:v>239.412806246027</c:v>
                </c:pt>
                <c:pt idx="1758">
                  <c:v>238.73135465430951</c:v>
                </c:pt>
                <c:pt idx="1759">
                  <c:v>238.25481140551403</c:v>
                </c:pt>
                <c:pt idx="1760">
                  <c:v>238.44816081627116</c:v>
                </c:pt>
                <c:pt idx="1761">
                  <c:v>239.23206657944965</c:v>
                </c:pt>
                <c:pt idx="1762">
                  <c:v>239.39809487781721</c:v>
                </c:pt>
                <c:pt idx="1763">
                  <c:v>238.60052855844395</c:v>
                </c:pt>
                <c:pt idx="1764">
                  <c:v>240.60652869504946</c:v>
                </c:pt>
                <c:pt idx="1765">
                  <c:v>240.22403312159506</c:v>
                </c:pt>
                <c:pt idx="1766">
                  <c:v>239.90931492310719</c:v>
                </c:pt>
                <c:pt idx="1767">
                  <c:v>239.43382248632668</c:v>
                </c:pt>
                <c:pt idx="1768">
                  <c:v>236.48419316026494</c:v>
                </c:pt>
                <c:pt idx="1769">
                  <c:v>236.93972016876077</c:v>
                </c:pt>
                <c:pt idx="1770">
                  <c:v>236.69120312721694</c:v>
                </c:pt>
                <c:pt idx="1771">
                  <c:v>236.49102343836239</c:v>
                </c:pt>
                <c:pt idx="1772">
                  <c:v>236.25038748693095</c:v>
                </c:pt>
                <c:pt idx="1773">
                  <c:v>237.96531269538576</c:v>
                </c:pt>
                <c:pt idx="1774">
                  <c:v>238.27214980376127</c:v>
                </c:pt>
                <c:pt idx="1775">
                  <c:v>238.97882088383841</c:v>
                </c:pt>
                <c:pt idx="1776">
                  <c:v>238.44027972615882</c:v>
                </c:pt>
                <c:pt idx="1777">
                  <c:v>238.06041118274186</c:v>
                </c:pt>
                <c:pt idx="1778">
                  <c:v>238.23221894719185</c:v>
                </c:pt>
                <c:pt idx="1779">
                  <c:v>237.52870030315964</c:v>
                </c:pt>
                <c:pt idx="1780">
                  <c:v>238.05778415270441</c:v>
                </c:pt>
                <c:pt idx="1781">
                  <c:v>237.86180771190979</c:v>
                </c:pt>
                <c:pt idx="1782">
                  <c:v>238.03886953643467</c:v>
                </c:pt>
                <c:pt idx="1783">
                  <c:v>237.73098161604423</c:v>
                </c:pt>
                <c:pt idx="1784">
                  <c:v>236.84041843334481</c:v>
                </c:pt>
                <c:pt idx="1785">
                  <c:v>235.22794739635097</c:v>
                </c:pt>
                <c:pt idx="1786">
                  <c:v>237.25496377325624</c:v>
                </c:pt>
                <c:pt idx="1787">
                  <c:v>236.57246136952378</c:v>
                </c:pt>
                <c:pt idx="1788">
                  <c:v>236.19942310420427</c:v>
                </c:pt>
                <c:pt idx="1789">
                  <c:v>237.99053218374547</c:v>
                </c:pt>
                <c:pt idx="1790">
                  <c:v>237.26809892344355</c:v>
                </c:pt>
                <c:pt idx="1791">
                  <c:v>239.84416457817827</c:v>
                </c:pt>
                <c:pt idx="1792">
                  <c:v>241.30531868501427</c:v>
                </c:pt>
                <c:pt idx="1793">
                  <c:v>241.19078017538101</c:v>
                </c:pt>
                <c:pt idx="1794">
                  <c:v>241.34892738363618</c:v>
                </c:pt>
                <c:pt idx="1795">
                  <c:v>240.88919712708045</c:v>
                </c:pt>
                <c:pt idx="1796">
                  <c:v>241.30742030904432</c:v>
                </c:pt>
                <c:pt idx="1797">
                  <c:v>241.59429198913509</c:v>
                </c:pt>
                <c:pt idx="1798">
                  <c:v>241.33579223344887</c:v>
                </c:pt>
                <c:pt idx="1799">
                  <c:v>241.48921078763661</c:v>
                </c:pt>
                <c:pt idx="1800">
                  <c:v>242.47960111175959</c:v>
                </c:pt>
                <c:pt idx="1801">
                  <c:v>242.51322709623906</c:v>
                </c:pt>
                <c:pt idx="1802">
                  <c:v>242.27574358085258</c:v>
                </c:pt>
                <c:pt idx="1803">
                  <c:v>242.64247697408217</c:v>
                </c:pt>
                <c:pt idx="1804">
                  <c:v>242.19588186771375</c:v>
                </c:pt>
                <c:pt idx="1805">
                  <c:v>241.84228362467147</c:v>
                </c:pt>
                <c:pt idx="1806">
                  <c:v>243.0270741715666</c:v>
                </c:pt>
                <c:pt idx="1807">
                  <c:v>242.90885781988084</c:v>
                </c:pt>
                <c:pt idx="1808">
                  <c:v>238.56480094993455</c:v>
                </c:pt>
                <c:pt idx="1809">
                  <c:v>239.44905926054409</c:v>
                </c:pt>
                <c:pt idx="1810">
                  <c:v>241.07466544772527</c:v>
                </c:pt>
                <c:pt idx="1811">
                  <c:v>242.32355552753441</c:v>
                </c:pt>
                <c:pt idx="1812">
                  <c:v>242.77435388196278</c:v>
                </c:pt>
                <c:pt idx="1813">
                  <c:v>243.38750269270631</c:v>
                </c:pt>
                <c:pt idx="1814">
                  <c:v>244.50241424060499</c:v>
                </c:pt>
                <c:pt idx="1815">
                  <c:v>244.61064787814837</c:v>
                </c:pt>
                <c:pt idx="1816">
                  <c:v>244.35372434048466</c:v>
                </c:pt>
                <c:pt idx="1817">
                  <c:v>244.27911668742075</c:v>
                </c:pt>
                <c:pt idx="1818">
                  <c:v>246.15849397622068</c:v>
                </c:pt>
                <c:pt idx="1819">
                  <c:v>247.07532745929475</c:v>
                </c:pt>
                <c:pt idx="1820">
                  <c:v>246.78320171912904</c:v>
                </c:pt>
                <c:pt idx="1821">
                  <c:v>246.09807228535908</c:v>
                </c:pt>
                <c:pt idx="1822">
                  <c:v>246.53573548960014</c:v>
                </c:pt>
                <c:pt idx="1823">
                  <c:v>246.60824151863409</c:v>
                </c:pt>
                <c:pt idx="1824">
                  <c:v>246.40438398772707</c:v>
                </c:pt>
                <c:pt idx="1825">
                  <c:v>246.18108643454283</c:v>
                </c:pt>
                <c:pt idx="1826">
                  <c:v>247.35484345528064</c:v>
                </c:pt>
                <c:pt idx="1827">
                  <c:v>247.12629184202149</c:v>
                </c:pt>
                <c:pt idx="1828">
                  <c:v>246.61822423277641</c:v>
                </c:pt>
                <c:pt idx="1829">
                  <c:v>246.69020485580288</c:v>
                </c:pt>
                <c:pt idx="1830">
                  <c:v>248.75242343521012</c:v>
                </c:pt>
                <c:pt idx="1831">
                  <c:v>247.08898801548952</c:v>
                </c:pt>
                <c:pt idx="1832">
                  <c:v>246.96709382175132</c:v>
                </c:pt>
                <c:pt idx="1833">
                  <c:v>246.85675856017792</c:v>
                </c:pt>
                <c:pt idx="1834">
                  <c:v>247.24188116366977</c:v>
                </c:pt>
                <c:pt idx="1835">
                  <c:v>247.32279368882362</c:v>
                </c:pt>
                <c:pt idx="1836">
                  <c:v>245.32625086035293</c:v>
                </c:pt>
                <c:pt idx="1837">
                  <c:v>247.53610852786548</c:v>
                </c:pt>
                <c:pt idx="1838">
                  <c:v>245.41504447561908</c:v>
                </c:pt>
                <c:pt idx="1839">
                  <c:v>245.80384492116335</c:v>
                </c:pt>
                <c:pt idx="1840">
                  <c:v>246.39492667959215</c:v>
                </c:pt>
                <c:pt idx="1841">
                  <c:v>246.80106552338373</c:v>
                </c:pt>
                <c:pt idx="1842">
                  <c:v>244.57754729967638</c:v>
                </c:pt>
                <c:pt idx="1843">
                  <c:v>246.14640963804831</c:v>
                </c:pt>
                <c:pt idx="1844">
                  <c:v>246.37601206332246</c:v>
                </c:pt>
                <c:pt idx="1845">
                  <c:v>246.18634049461778</c:v>
                </c:pt>
                <c:pt idx="1846">
                  <c:v>248.00634690457105</c:v>
                </c:pt>
                <c:pt idx="1847">
                  <c:v>248.47763609329166</c:v>
                </c:pt>
                <c:pt idx="1848">
                  <c:v>249.64298661790957</c:v>
                </c:pt>
                <c:pt idx="1849">
                  <c:v>249.63773255783462</c:v>
                </c:pt>
                <c:pt idx="1850">
                  <c:v>249.79220192403739</c:v>
                </c:pt>
                <c:pt idx="1851">
                  <c:v>251.15720673150233</c:v>
                </c:pt>
                <c:pt idx="1852">
                  <c:v>251.13566508519514</c:v>
                </c:pt>
                <c:pt idx="1853">
                  <c:v>251.04266822186901</c:v>
                </c:pt>
                <c:pt idx="1854">
                  <c:v>250.78154143614537</c:v>
                </c:pt>
                <c:pt idx="1855">
                  <c:v>251.51395741058963</c:v>
                </c:pt>
                <c:pt idx="1856">
                  <c:v>251.58593803361606</c:v>
                </c:pt>
                <c:pt idx="1857">
                  <c:v>251.36789454050677</c:v>
                </c:pt>
                <c:pt idx="1858">
                  <c:v>251.04004119183159</c:v>
                </c:pt>
                <c:pt idx="1859">
                  <c:v>250.85825071323927</c:v>
                </c:pt>
                <c:pt idx="1860">
                  <c:v>251.47350114801273</c:v>
                </c:pt>
                <c:pt idx="1861">
                  <c:v>251.6453089124627</c:v>
                </c:pt>
                <c:pt idx="1862">
                  <c:v>251.14354617530753</c:v>
                </c:pt>
                <c:pt idx="1863">
                  <c:v>251.62271645414049</c:v>
                </c:pt>
                <c:pt idx="1864">
                  <c:v>252.04409207214931</c:v>
                </c:pt>
                <c:pt idx="1865">
                  <c:v>251.46562005790028</c:v>
                </c:pt>
                <c:pt idx="1866">
                  <c:v>251.40362214901617</c:v>
                </c:pt>
                <c:pt idx="1867">
                  <c:v>247.85502997441324</c:v>
                </c:pt>
                <c:pt idx="1868">
                  <c:v>248.18761197715585</c:v>
                </c:pt>
                <c:pt idx="1869">
                  <c:v>250.69379863289413</c:v>
                </c:pt>
                <c:pt idx="1870">
                  <c:v>250.6265466639351</c:v>
                </c:pt>
                <c:pt idx="1871">
                  <c:v>251.05370174802633</c:v>
                </c:pt>
                <c:pt idx="1872">
                  <c:v>247.18934056292051</c:v>
                </c:pt>
                <c:pt idx="1873">
                  <c:v>246.74222005054457</c:v>
                </c:pt>
                <c:pt idx="1874">
                  <c:v>247.03644741474025</c:v>
                </c:pt>
                <c:pt idx="1875">
                  <c:v>249.50112699588661</c:v>
                </c:pt>
                <c:pt idx="1876">
                  <c:v>248.66205360192146</c:v>
                </c:pt>
                <c:pt idx="1877">
                  <c:v>248.15083355663143</c:v>
                </c:pt>
                <c:pt idx="1878">
                  <c:v>248.59375082094746</c:v>
                </c:pt>
                <c:pt idx="1879">
                  <c:v>248.72562772882804</c:v>
                </c:pt>
                <c:pt idx="1880">
                  <c:v>248.96994152231193</c:v>
                </c:pt>
                <c:pt idx="1881">
                  <c:v>250.18362939961915</c:v>
                </c:pt>
                <c:pt idx="1882">
                  <c:v>251.62639429619298</c:v>
                </c:pt>
                <c:pt idx="1883">
                  <c:v>252.14181758954288</c:v>
                </c:pt>
                <c:pt idx="1884">
                  <c:v>250.23774621839084</c:v>
                </c:pt>
                <c:pt idx="1885">
                  <c:v>251.02270279358433</c:v>
                </c:pt>
                <c:pt idx="1886">
                  <c:v>251.03531253776416</c:v>
                </c:pt>
                <c:pt idx="1887">
                  <c:v>250.672256986587</c:v>
                </c:pt>
                <c:pt idx="1888">
                  <c:v>253.39280929338207</c:v>
                </c:pt>
                <c:pt idx="1889">
                  <c:v>254.26025461175186</c:v>
                </c:pt>
                <c:pt idx="1890">
                  <c:v>254.45623105254646</c:v>
                </c:pt>
                <c:pt idx="1891">
                  <c:v>254.25920379973684</c:v>
                </c:pt>
                <c:pt idx="1892">
                  <c:v>254.760966536892</c:v>
                </c:pt>
                <c:pt idx="1893">
                  <c:v>255.14136048631642</c:v>
                </c:pt>
                <c:pt idx="1894">
                  <c:v>255.42718135439227</c:v>
                </c:pt>
                <c:pt idx="1895">
                  <c:v>255.58953181070737</c:v>
                </c:pt>
                <c:pt idx="1896">
                  <c:v>254.8192866037237</c:v>
                </c:pt>
                <c:pt idx="1897">
                  <c:v>254.9900435561587</c:v>
                </c:pt>
                <c:pt idx="1898">
                  <c:v>254.42313047407453</c:v>
                </c:pt>
                <c:pt idx="1899">
                  <c:v>254.46148511262149</c:v>
                </c:pt>
                <c:pt idx="1900">
                  <c:v>255.50126360144876</c:v>
                </c:pt>
                <c:pt idx="1901">
                  <c:v>255.86274293460346</c:v>
                </c:pt>
                <c:pt idx="1902">
                  <c:v>256.81688024420941</c:v>
                </c:pt>
                <c:pt idx="1903">
                  <c:v>257.81252462840735</c:v>
                </c:pt>
                <c:pt idx="1904">
                  <c:v>258.38048852250648</c:v>
                </c:pt>
                <c:pt idx="1905">
                  <c:v>258.71990080334649</c:v>
                </c:pt>
                <c:pt idx="1906">
                  <c:v>260.22571442081943</c:v>
                </c:pt>
                <c:pt idx="1907">
                  <c:v>260.0281617620023</c:v>
                </c:pt>
                <c:pt idx="1908">
                  <c:v>259.55897419731167</c:v>
                </c:pt>
                <c:pt idx="1909">
                  <c:v>260.16897057201021</c:v>
                </c:pt>
                <c:pt idx="1910">
                  <c:v>260.64288679076827</c:v>
                </c:pt>
                <c:pt idx="1911">
                  <c:v>260.22571442081943</c:v>
                </c:pt>
                <c:pt idx="1912">
                  <c:v>260.45794387613103</c:v>
                </c:pt>
                <c:pt idx="1913">
                  <c:v>260.91925035070926</c:v>
                </c:pt>
                <c:pt idx="1914">
                  <c:v>261.09421055120418</c:v>
                </c:pt>
                <c:pt idx="1915">
                  <c:v>261.29911889412614</c:v>
                </c:pt>
                <c:pt idx="1916">
                  <c:v>261.40630171965455</c:v>
                </c:pt>
                <c:pt idx="1917">
                  <c:v>262.76132381297714</c:v>
                </c:pt>
                <c:pt idx="1918">
                  <c:v>261.72417235418737</c:v>
                </c:pt>
                <c:pt idx="1919">
                  <c:v>262.15447987432361</c:v>
                </c:pt>
                <c:pt idx="1920">
                  <c:v>260.93186009488903</c:v>
                </c:pt>
                <c:pt idx="1921">
                  <c:v>261.26339128561671</c:v>
                </c:pt>
                <c:pt idx="1922">
                  <c:v>263.37289640569821</c:v>
                </c:pt>
                <c:pt idx="1923">
                  <c:v>262.55326303401023</c:v>
                </c:pt>
                <c:pt idx="1924">
                  <c:v>262.80966116566645</c:v>
                </c:pt>
                <c:pt idx="1925">
                  <c:v>263.22788434763032</c:v>
                </c:pt>
                <c:pt idx="1926">
                  <c:v>263.30616984274667</c:v>
                </c:pt>
                <c:pt idx="1927">
                  <c:v>264.14734486074184</c:v>
                </c:pt>
                <c:pt idx="1928">
                  <c:v>264.50514635184408</c:v>
                </c:pt>
                <c:pt idx="1929">
                  <c:v>264.45680899915482</c:v>
                </c:pt>
                <c:pt idx="1930">
                  <c:v>264.84350782066912</c:v>
                </c:pt>
                <c:pt idx="1931">
                  <c:v>263.91196296938529</c:v>
                </c:pt>
                <c:pt idx="1932">
                  <c:v>263.77010334736241</c:v>
                </c:pt>
                <c:pt idx="1933">
                  <c:v>264.03543338114599</c:v>
                </c:pt>
                <c:pt idx="1934">
                  <c:v>263.46641867503189</c:v>
                </c:pt>
                <c:pt idx="1935">
                  <c:v>262.07041491312486</c:v>
                </c:pt>
                <c:pt idx="1936">
                  <c:v>264.3044412569821</c:v>
                </c:pt>
                <c:pt idx="1937">
                  <c:v>263.61983722921968</c:v>
                </c:pt>
                <c:pt idx="1938">
                  <c:v>263.96450357013464</c:v>
                </c:pt>
                <c:pt idx="1939">
                  <c:v>265.69519095881424</c:v>
                </c:pt>
                <c:pt idx="1940">
                  <c:v>265.51917994630435</c:v>
                </c:pt>
                <c:pt idx="1941">
                  <c:v>266.07768653226861</c:v>
                </c:pt>
                <c:pt idx="1942">
                  <c:v>266.00518050323473</c:v>
                </c:pt>
                <c:pt idx="1943">
                  <c:v>268.63536297674113</c:v>
                </c:pt>
                <c:pt idx="1944">
                  <c:v>268.57073803781964</c:v>
                </c:pt>
                <c:pt idx="1945">
                  <c:v>270.86991472660588</c:v>
                </c:pt>
                <c:pt idx="1946">
                  <c:v>270.33242438094129</c:v>
                </c:pt>
                <c:pt idx="1947">
                  <c:v>270.05395919697037</c:v>
                </c:pt>
                <c:pt idx="1948">
                  <c:v>269.0562131887425</c:v>
                </c:pt>
                <c:pt idx="1949">
                  <c:v>269.03204451239782</c:v>
                </c:pt>
                <c:pt idx="1950">
                  <c:v>269.86796547031804</c:v>
                </c:pt>
                <c:pt idx="1951">
                  <c:v>271.38218558391083</c:v>
                </c:pt>
                <c:pt idx="1952">
                  <c:v>272.25225793231806</c:v>
                </c:pt>
                <c:pt idx="1953">
                  <c:v>272.68361626446921</c:v>
                </c:pt>
                <c:pt idx="1954">
                  <c:v>272.56382369476097</c:v>
                </c:pt>
                <c:pt idx="1955">
                  <c:v>271.50092734160404</c:v>
                </c:pt>
                <c:pt idx="1956">
                  <c:v>273.9519463665556</c:v>
                </c:pt>
                <c:pt idx="1957">
                  <c:v>275.43254049566883</c:v>
                </c:pt>
                <c:pt idx="1958">
                  <c:v>274.54723137304433</c:v>
                </c:pt>
                <c:pt idx="1959">
                  <c:v>274.35598358631711</c:v>
                </c:pt>
                <c:pt idx="1960">
                  <c:v>274.90082961608664</c:v>
                </c:pt>
                <c:pt idx="1961">
                  <c:v>274.77630839231097</c:v>
                </c:pt>
                <c:pt idx="1962">
                  <c:v>274.49889402035507</c:v>
                </c:pt>
                <c:pt idx="1963">
                  <c:v>274.73532672372659</c:v>
                </c:pt>
                <c:pt idx="1964">
                  <c:v>275.29120627965341</c:v>
                </c:pt>
                <c:pt idx="1965">
                  <c:v>273.88154196155159</c:v>
                </c:pt>
                <c:pt idx="1966">
                  <c:v>276.16810890615801</c:v>
                </c:pt>
                <c:pt idx="1967">
                  <c:v>277.93557471536207</c:v>
                </c:pt>
                <c:pt idx="1968">
                  <c:v>279.11300957815229</c:v>
                </c:pt>
                <c:pt idx="1969">
                  <c:v>281.07592642214348</c:v>
                </c:pt>
                <c:pt idx="1970">
                  <c:v>281.54826642287912</c:v>
                </c:pt>
                <c:pt idx="1971">
                  <c:v>281.99906477730747</c:v>
                </c:pt>
                <c:pt idx="1972">
                  <c:v>281.6874990148645</c:v>
                </c:pt>
                <c:pt idx="1973">
                  <c:v>283.69087212143256</c:v>
                </c:pt>
                <c:pt idx="1974">
                  <c:v>285.60650242474946</c:v>
                </c:pt>
                <c:pt idx="1975">
                  <c:v>284.60507857446913</c:v>
                </c:pt>
                <c:pt idx="1976">
                  <c:v>287.28412380667237</c:v>
                </c:pt>
                <c:pt idx="1977">
                  <c:v>286.84540979041628</c:v>
                </c:pt>
                <c:pt idx="1978">
                  <c:v>288.11006205045021</c:v>
                </c:pt>
                <c:pt idx="1979">
                  <c:v>290.43866147565609</c:v>
                </c:pt>
                <c:pt idx="1980">
                  <c:v>291.08175842882667</c:v>
                </c:pt>
                <c:pt idx="1981">
                  <c:v>290.91888256650401</c:v>
                </c:pt>
                <c:pt idx="1982">
                  <c:v>291.09489357901396</c:v>
                </c:pt>
                <c:pt idx="1983">
                  <c:v>294.54681104823828</c:v>
                </c:pt>
                <c:pt idx="1984">
                  <c:v>292.58126717420964</c:v>
                </c:pt>
                <c:pt idx="1985">
                  <c:v>289.41254354302362</c:v>
                </c:pt>
                <c:pt idx="1986">
                  <c:v>289.56228425515894</c:v>
                </c:pt>
                <c:pt idx="1987">
                  <c:v>289.43040734727839</c:v>
                </c:pt>
                <c:pt idx="1988">
                  <c:v>283.30995276600072</c:v>
                </c:pt>
                <c:pt idx="1989">
                  <c:v>271.70110703045856</c:v>
                </c:pt>
                <c:pt idx="1990">
                  <c:v>276.4696919544586</c:v>
                </c:pt>
                <c:pt idx="1991">
                  <c:v>275.09417902684379</c:v>
                </c:pt>
                <c:pt idx="1992">
                  <c:v>264.80778021215968</c:v>
                </c:pt>
                <c:pt idx="1993">
                  <c:v>268.84972862779784</c:v>
                </c:pt>
                <c:pt idx="1994">
                  <c:v>272.6000767092778</c:v>
                </c:pt>
                <c:pt idx="1995">
                  <c:v>273.32776402965465</c:v>
                </c:pt>
                <c:pt idx="1996">
                  <c:v>277.06918020900724</c:v>
                </c:pt>
                <c:pt idx="1997">
                  <c:v>280.48011600964719</c:v>
                </c:pt>
                <c:pt idx="1998">
                  <c:v>280.60989129349775</c:v>
                </c:pt>
                <c:pt idx="1999">
                  <c:v>278.99006457239904</c:v>
                </c:pt>
                <c:pt idx="2000">
                  <c:v>277.46218390261146</c:v>
                </c:pt>
                <c:pt idx="2001">
                  <c:v>277.75588586079965</c:v>
                </c:pt>
                <c:pt idx="2002">
                  <c:v>282.22498936052909</c:v>
                </c:pt>
                <c:pt idx="2003">
                  <c:v>285.57813050034491</c:v>
                </c:pt>
                <c:pt idx="2004">
                  <c:v>281.99013287518005</c:v>
                </c:pt>
                <c:pt idx="2005">
                  <c:v>278.89023743097556</c:v>
                </c:pt>
                <c:pt idx="2006">
                  <c:v>275.21712403259693</c:v>
                </c:pt>
                <c:pt idx="2007">
                  <c:v>276.63887268887106</c:v>
                </c:pt>
                <c:pt idx="2008">
                  <c:v>279.69253240441628</c:v>
                </c:pt>
                <c:pt idx="2009">
                  <c:v>280.44543921315272</c:v>
                </c:pt>
                <c:pt idx="2010">
                  <c:v>280.32879907948944</c:v>
                </c:pt>
                <c:pt idx="2011">
                  <c:v>281.65597465441493</c:v>
                </c:pt>
                <c:pt idx="2012">
                  <c:v>286.558012704318</c:v>
                </c:pt>
                <c:pt idx="2013">
                  <c:v>286.19390634112585</c:v>
                </c:pt>
                <c:pt idx="2014">
                  <c:v>284.38913670538983</c:v>
                </c:pt>
                <c:pt idx="2015">
                  <c:v>282.84023979530258</c:v>
                </c:pt>
                <c:pt idx="2016">
                  <c:v>282.63638226439554</c:v>
                </c:pt>
                <c:pt idx="2017">
                  <c:v>283.1276368814008</c:v>
                </c:pt>
                <c:pt idx="2018">
                  <c:v>279.10775551807728</c:v>
                </c:pt>
                <c:pt idx="2019">
                  <c:v>279.52650410604866</c:v>
                </c:pt>
                <c:pt idx="2020">
                  <c:v>279.0410289551258</c:v>
                </c:pt>
                <c:pt idx="2021">
                  <c:v>272.03001119114867</c:v>
                </c:pt>
                <c:pt idx="2022">
                  <c:v>266.3298814158648</c:v>
                </c:pt>
                <c:pt idx="2023">
                  <c:v>273.56262051500369</c:v>
                </c:pt>
                <c:pt idx="2024">
                  <c:v>268.83711888361807</c:v>
                </c:pt>
                <c:pt idx="2025">
                  <c:v>268.09839803708388</c:v>
                </c:pt>
                <c:pt idx="2026">
                  <c:v>271.80251038990451</c:v>
                </c:pt>
                <c:pt idx="2027">
                  <c:v>265.73407100336857</c:v>
                </c:pt>
                <c:pt idx="2028">
                  <c:v>269.09719485732677</c:v>
                </c:pt>
                <c:pt idx="2029">
                  <c:v>272.22914006798834</c:v>
                </c:pt>
                <c:pt idx="2030">
                  <c:v>274.13688928119279</c:v>
                </c:pt>
                <c:pt idx="2031">
                  <c:v>268.13307483357841</c:v>
                </c:pt>
                <c:pt idx="2032">
                  <c:v>269.10770297747655</c:v>
                </c:pt>
                <c:pt idx="2033">
                  <c:v>273.61726273978286</c:v>
                </c:pt>
                <c:pt idx="2034">
                  <c:v>272.11775399439989</c:v>
                </c:pt>
                <c:pt idx="2035">
                  <c:v>274.39591444288652</c:v>
                </c:pt>
                <c:pt idx="2036">
                  <c:v>273.60885624366301</c:v>
                </c:pt>
                <c:pt idx="2037">
                  <c:v>275.83500149740786</c:v>
                </c:pt>
                <c:pt idx="2038">
                  <c:v>278.7751735153347</c:v>
                </c:pt>
                <c:pt idx="2039">
                  <c:v>279.0074029706463</c:v>
                </c:pt>
                <c:pt idx="2040">
                  <c:v>277.44432009835674</c:v>
                </c:pt>
                <c:pt idx="2041">
                  <c:v>275.08945037277635</c:v>
                </c:pt>
                <c:pt idx="2042">
                  <c:v>275.10468714699363</c:v>
                </c:pt>
                <c:pt idx="2043">
                  <c:v>271.42999753059257</c:v>
                </c:pt>
                <c:pt idx="2044">
                  <c:v>271.92860783170272</c:v>
                </c:pt>
                <c:pt idx="2045">
                  <c:v>274.76685108417604</c:v>
                </c:pt>
                <c:pt idx="2046">
                  <c:v>275.08839956076133</c:v>
                </c:pt>
                <c:pt idx="2047">
                  <c:v>272.84544131477674</c:v>
                </c:pt>
                <c:pt idx="2048">
                  <c:v>273.54265508671904</c:v>
                </c:pt>
                <c:pt idx="2049">
                  <c:v>271.57133174660794</c:v>
                </c:pt>
                <c:pt idx="2050">
                  <c:v>270.98865648429899</c:v>
                </c:pt>
                <c:pt idx="2051">
                  <c:v>274.50940214050485</c:v>
                </c:pt>
                <c:pt idx="2052">
                  <c:v>275.46353945011083</c:v>
                </c:pt>
                <c:pt idx="2053">
                  <c:v>275.39313504510687</c:v>
                </c:pt>
                <c:pt idx="2054">
                  <c:v>278.09214570559476</c:v>
                </c:pt>
                <c:pt idx="2055">
                  <c:v>280.76120822365561</c:v>
                </c:pt>
                <c:pt idx="2056">
                  <c:v>281.33862942588962</c:v>
                </c:pt>
                <c:pt idx="2057">
                  <c:v>281.59975621161328</c:v>
                </c:pt>
                <c:pt idx="2058">
                  <c:v>279.68570212631886</c:v>
                </c:pt>
                <c:pt idx="2059">
                  <c:v>280.89939000362608</c:v>
                </c:pt>
                <c:pt idx="2060">
                  <c:v>280.73966657734843</c:v>
                </c:pt>
                <c:pt idx="2061">
                  <c:v>280.02353818913645</c:v>
                </c:pt>
                <c:pt idx="2062">
                  <c:v>282.10046813675342</c:v>
                </c:pt>
                <c:pt idx="2063">
                  <c:v>281.22093848021132</c:v>
                </c:pt>
                <c:pt idx="2064">
                  <c:v>282.14250061735277</c:v>
                </c:pt>
                <c:pt idx="2065">
                  <c:v>281.58189240735851</c:v>
                </c:pt>
                <c:pt idx="2066">
                  <c:v>280.9508797923603</c:v>
                </c:pt>
                <c:pt idx="2067">
                  <c:v>277.71385338020025</c:v>
                </c:pt>
                <c:pt idx="2068">
                  <c:v>281.28976666719279</c:v>
                </c:pt>
                <c:pt idx="2069">
                  <c:v>279.41616884447529</c:v>
                </c:pt>
                <c:pt idx="2070">
                  <c:v>282.47350640207293</c:v>
                </c:pt>
                <c:pt idx="2071">
                  <c:v>283.74551434621179</c:v>
                </c:pt>
                <c:pt idx="2072">
                  <c:v>283.96198162129861</c:v>
                </c:pt>
                <c:pt idx="2073">
                  <c:v>286.4035433381153</c:v>
                </c:pt>
                <c:pt idx="2074">
                  <c:v>286.25065018993502</c:v>
                </c:pt>
                <c:pt idx="2075">
                  <c:v>287.15645014685174</c:v>
                </c:pt>
                <c:pt idx="2076">
                  <c:v>287.46486347324969</c:v>
                </c:pt>
                <c:pt idx="2077">
                  <c:v>287.97871054857717</c:v>
                </c:pt>
                <c:pt idx="2078">
                  <c:v>286.83017301619901</c:v>
                </c:pt>
                <c:pt idx="2079">
                  <c:v>287.62668852355733</c:v>
                </c:pt>
                <c:pt idx="2080">
                  <c:v>287.36398551981119</c:v>
                </c:pt>
                <c:pt idx="2081">
                  <c:v>286.75766698716507</c:v>
                </c:pt>
                <c:pt idx="2082">
                  <c:v>285.61753595090681</c:v>
                </c:pt>
                <c:pt idx="2083">
                  <c:v>286.10616353787464</c:v>
                </c:pt>
                <c:pt idx="2084">
                  <c:v>284.31820689437831</c:v>
                </c:pt>
                <c:pt idx="2085">
                  <c:v>284.85569724004296</c:v>
                </c:pt>
                <c:pt idx="2086">
                  <c:v>280.94667654430026</c:v>
                </c:pt>
                <c:pt idx="2087">
                  <c:v>281.56560482112621</c:v>
                </c:pt>
                <c:pt idx="2088">
                  <c:v>279.14243231457181</c:v>
                </c:pt>
                <c:pt idx="2089">
                  <c:v>280.90516946970837</c:v>
                </c:pt>
                <c:pt idx="2090">
                  <c:v>281.13582270699749</c:v>
                </c:pt>
                <c:pt idx="2091">
                  <c:v>282.01114911547967</c:v>
                </c:pt>
                <c:pt idx="2092">
                  <c:v>280.61567075958015</c:v>
                </c:pt>
                <c:pt idx="2093">
                  <c:v>283.10346820505612</c:v>
                </c:pt>
                <c:pt idx="2094">
                  <c:v>285.52453908758059</c:v>
                </c:pt>
                <c:pt idx="2095">
                  <c:v>288.12687504268996</c:v>
                </c:pt>
                <c:pt idx="2096">
                  <c:v>289.13355295304518</c:v>
                </c:pt>
                <c:pt idx="2097">
                  <c:v>287.08236789979526</c:v>
                </c:pt>
                <c:pt idx="2098">
                  <c:v>289.62270594602046</c:v>
                </c:pt>
                <c:pt idx="2099">
                  <c:v>289.93637333249336</c:v>
                </c:pt>
                <c:pt idx="2100">
                  <c:v>289.65212868244004</c:v>
                </c:pt>
                <c:pt idx="2101">
                  <c:v>290.80749649291556</c:v>
                </c:pt>
                <c:pt idx="2102">
                  <c:v>291.43535667186882</c:v>
                </c:pt>
                <c:pt idx="2103">
                  <c:v>290.31361484587279</c:v>
                </c:pt>
                <c:pt idx="2104">
                  <c:v>290.05038643611914</c:v>
                </c:pt>
                <c:pt idx="2105">
                  <c:v>290.58419893973127</c:v>
                </c:pt>
                <c:pt idx="2106">
                  <c:v>291.98755838574317</c:v>
                </c:pt>
                <c:pt idx="2107">
                  <c:v>294.64716359566916</c:v>
                </c:pt>
                <c:pt idx="2108">
                  <c:v>293.75397338293226</c:v>
                </c:pt>
                <c:pt idx="2109">
                  <c:v>291.82678414745055</c:v>
                </c:pt>
                <c:pt idx="2110">
                  <c:v>290.17175522384986</c:v>
                </c:pt>
                <c:pt idx="2111">
                  <c:v>291.59823253419142</c:v>
                </c:pt>
                <c:pt idx="2112">
                  <c:v>291.29507326786836</c:v>
                </c:pt>
                <c:pt idx="2113">
                  <c:v>292.76043062276437</c:v>
                </c:pt>
                <c:pt idx="2114">
                  <c:v>294.15958682071636</c:v>
                </c:pt>
                <c:pt idx="2115">
                  <c:v>295.22826263995569</c:v>
                </c:pt>
                <c:pt idx="2116">
                  <c:v>296.06523440989088</c:v>
                </c:pt>
                <c:pt idx="2117">
                  <c:v>295.9964062229094</c:v>
                </c:pt>
                <c:pt idx="2118">
                  <c:v>295.64596041591204</c:v>
                </c:pt>
                <c:pt idx="2119">
                  <c:v>293.63155378318663</c:v>
                </c:pt>
                <c:pt idx="2120">
                  <c:v>292.45989838647881</c:v>
                </c:pt>
                <c:pt idx="2121">
                  <c:v>294.35398704348853</c:v>
                </c:pt>
                <c:pt idx="2122">
                  <c:v>292.1703996763506</c:v>
                </c:pt>
                <c:pt idx="2123">
                  <c:v>294.57203053659788</c:v>
                </c:pt>
                <c:pt idx="2124">
                  <c:v>295.57555601090814</c:v>
                </c:pt>
                <c:pt idx="2125">
                  <c:v>296.30429414329996</c:v>
                </c:pt>
                <c:pt idx="2126">
                  <c:v>296.92742566818583</c:v>
                </c:pt>
                <c:pt idx="2127">
                  <c:v>296.81814121862743</c:v>
                </c:pt>
                <c:pt idx="2128">
                  <c:v>296.33424228572704</c:v>
                </c:pt>
                <c:pt idx="2129">
                  <c:v>298.17421412396504</c:v>
                </c:pt>
                <c:pt idx="2130">
                  <c:v>300.49545786506599</c:v>
                </c:pt>
                <c:pt idx="2131">
                  <c:v>300.57899742025728</c:v>
                </c:pt>
                <c:pt idx="2132">
                  <c:v>302.31861671106424</c:v>
                </c:pt>
                <c:pt idx="2133">
                  <c:v>301.02874496267066</c:v>
                </c:pt>
                <c:pt idx="2134">
                  <c:v>301.09967477368212</c:v>
                </c:pt>
                <c:pt idx="2135">
                  <c:v>300.62996180298398</c:v>
                </c:pt>
                <c:pt idx="2136">
                  <c:v>299.78931219099633</c:v>
                </c:pt>
                <c:pt idx="2137">
                  <c:v>298.7826342806411</c:v>
                </c:pt>
                <c:pt idx="2138">
                  <c:v>298.14584219956043</c:v>
                </c:pt>
                <c:pt idx="2139">
                  <c:v>298.71117906362218</c:v>
                </c:pt>
                <c:pt idx="2140">
                  <c:v>299.84868306984293</c:v>
                </c:pt>
                <c:pt idx="2141">
                  <c:v>299.95849292540885</c:v>
                </c:pt>
                <c:pt idx="2142">
                  <c:v>301.62245375113696</c:v>
                </c:pt>
                <c:pt idx="2143">
                  <c:v>301.75065281696504</c:v>
                </c:pt>
                <c:pt idx="2144">
                  <c:v>300.07460765306467</c:v>
                </c:pt>
                <c:pt idx="2145">
                  <c:v>301.69758681020841</c:v>
                </c:pt>
                <c:pt idx="2146">
                  <c:v>302.07640454161037</c:v>
                </c:pt>
                <c:pt idx="2147">
                  <c:v>304.45806997357295</c:v>
                </c:pt>
                <c:pt idx="2148">
                  <c:v>304.35298877207447</c:v>
                </c:pt>
                <c:pt idx="2149">
                  <c:v>303.28326214082011</c:v>
                </c:pt>
                <c:pt idx="2150">
                  <c:v>302.90969846949315</c:v>
                </c:pt>
                <c:pt idx="2151">
                  <c:v>301.9124778672728</c:v>
                </c:pt>
                <c:pt idx="2152">
                  <c:v>302.80304104997219</c:v>
                </c:pt>
                <c:pt idx="2153">
                  <c:v>302.81354917012203</c:v>
                </c:pt>
                <c:pt idx="2154">
                  <c:v>303.91847800387831</c:v>
                </c:pt>
                <c:pt idx="2155">
                  <c:v>303.8091935543199</c:v>
                </c:pt>
                <c:pt idx="2156">
                  <c:v>304.02513542339921</c:v>
                </c:pt>
                <c:pt idx="2157">
                  <c:v>301.61247103699463</c:v>
                </c:pt>
                <c:pt idx="2158">
                  <c:v>299.94903561727403</c:v>
                </c:pt>
                <c:pt idx="2159">
                  <c:v>299.83134467159579</c:v>
                </c:pt>
                <c:pt idx="2160">
                  <c:v>299.4935086087782</c:v>
                </c:pt>
                <c:pt idx="2161">
                  <c:v>289.65317949445512</c:v>
                </c:pt>
                <c:pt idx="2162">
                  <c:v>283.6950753694926</c:v>
                </c:pt>
                <c:pt idx="2163">
                  <c:v>287.75593840140056</c:v>
                </c:pt>
                <c:pt idx="2164">
                  <c:v>286.06308024526038</c:v>
                </c:pt>
                <c:pt idx="2165">
                  <c:v>292.22031324706256</c:v>
                </c:pt>
                <c:pt idx="2166">
                  <c:v>292.15831533817845</c:v>
                </c:pt>
                <c:pt idx="2167">
                  <c:v>287.98186298462224</c:v>
                </c:pt>
                <c:pt idx="2168">
                  <c:v>287.88571368525118</c:v>
                </c:pt>
                <c:pt idx="2169">
                  <c:v>286.6552128157042</c:v>
                </c:pt>
                <c:pt idx="2170">
                  <c:v>285.08950291337715</c:v>
                </c:pt>
                <c:pt idx="2171">
                  <c:v>276.29052850590375</c:v>
                </c:pt>
                <c:pt idx="2172">
                  <c:v>281.43582953727577</c:v>
                </c:pt>
                <c:pt idx="2173">
                  <c:v>276.56006178774726</c:v>
                </c:pt>
                <c:pt idx="2174">
                  <c:v>274.74951268592883</c:v>
                </c:pt>
                <c:pt idx="2175">
                  <c:v>279.07833278165782</c:v>
                </c:pt>
                <c:pt idx="2176">
                  <c:v>282.1162303169782</c:v>
                </c:pt>
                <c:pt idx="2177">
                  <c:v>285.10263806356437</c:v>
                </c:pt>
                <c:pt idx="2178">
                  <c:v>283.32676575824041</c:v>
                </c:pt>
                <c:pt idx="2179">
                  <c:v>284.92137299097953</c:v>
                </c:pt>
                <c:pt idx="2180">
                  <c:v>286.72719343873052</c:v>
                </c:pt>
                <c:pt idx="2181">
                  <c:v>292.81192041149876</c:v>
                </c:pt>
                <c:pt idx="2182">
                  <c:v>292.23082136721223</c:v>
                </c:pt>
                <c:pt idx="2183">
                  <c:v>289.59275780359343</c:v>
                </c:pt>
                <c:pt idx="2184">
                  <c:v>283.88684856222716</c:v>
                </c:pt>
                <c:pt idx="2185">
                  <c:v>283.47598106436817</c:v>
                </c:pt>
                <c:pt idx="2186">
                  <c:v>281.40430517682609</c:v>
                </c:pt>
                <c:pt idx="2187">
                  <c:v>284.47740491464856</c:v>
                </c:pt>
                <c:pt idx="2188">
                  <c:v>285.13048458196141</c:v>
                </c:pt>
                <c:pt idx="2189">
                  <c:v>280.39342401841088</c:v>
                </c:pt>
                <c:pt idx="2190">
                  <c:v>275.32483226413274</c:v>
                </c:pt>
                <c:pt idx="2191">
                  <c:v>276.1854473044051</c:v>
                </c:pt>
                <c:pt idx="2192">
                  <c:v>274.38960957079649</c:v>
                </c:pt>
                <c:pt idx="2193">
                  <c:v>278.68427827603847</c:v>
                </c:pt>
                <c:pt idx="2194">
                  <c:v>279.59585769903759</c:v>
                </c:pt>
                <c:pt idx="2195">
                  <c:v>286.03733535089304</c:v>
                </c:pt>
                <c:pt idx="2196">
                  <c:v>285.47882876492878</c:v>
                </c:pt>
                <c:pt idx="2197">
                  <c:v>287.86522285095873</c:v>
                </c:pt>
                <c:pt idx="2198">
                  <c:v>291.01503186587502</c:v>
                </c:pt>
                <c:pt idx="2199">
                  <c:v>281.61289136180051</c:v>
                </c:pt>
                <c:pt idx="2200">
                  <c:v>281.27242826894553</c:v>
                </c:pt>
                <c:pt idx="2201">
                  <c:v>274.75791918204857</c:v>
                </c:pt>
                <c:pt idx="2202">
                  <c:v>275.2444451449864</c:v>
                </c:pt>
                <c:pt idx="2203">
                  <c:v>275.16038018378765</c:v>
                </c:pt>
                <c:pt idx="2204">
                  <c:v>276.65410946308816</c:v>
                </c:pt>
                <c:pt idx="2205">
                  <c:v>276.65043162103569</c:v>
                </c:pt>
                <c:pt idx="2206">
                  <c:v>271.40372723021773</c:v>
                </c:pt>
                <c:pt idx="2207">
                  <c:v>265.78083213803518</c:v>
                </c:pt>
                <c:pt idx="2208">
                  <c:v>265.82076299460459</c:v>
                </c:pt>
                <c:pt idx="2209">
                  <c:v>261.75306968459927</c:v>
                </c:pt>
                <c:pt idx="2210">
                  <c:v>257.63073414981477</c:v>
                </c:pt>
                <c:pt idx="2211">
                  <c:v>252.3267605041801</c:v>
                </c:pt>
                <c:pt idx="2212">
                  <c:v>245.50436349689267</c:v>
                </c:pt>
                <c:pt idx="2213">
                  <c:v>257.68485096858643</c:v>
                </c:pt>
                <c:pt idx="2214">
                  <c:v>259.9151994703912</c:v>
                </c:pt>
                <c:pt idx="2215">
                  <c:v>259.6351580683978</c:v>
                </c:pt>
                <c:pt idx="2216">
                  <c:v>261.87391306632247</c:v>
                </c:pt>
                <c:pt idx="2217">
                  <c:v>262.20702047507257</c:v>
                </c:pt>
                <c:pt idx="2218">
                  <c:v>255.78340662747181</c:v>
                </c:pt>
                <c:pt idx="2219">
                  <c:v>264.56556804270542</c:v>
                </c:pt>
                <c:pt idx="2220">
                  <c:v>266.42077665516075</c:v>
                </c:pt>
                <c:pt idx="2221">
                  <c:v>269.00997746008272</c:v>
                </c:pt>
                <c:pt idx="2222">
                  <c:v>270.19844584903024</c:v>
                </c:pt>
                <c:pt idx="2223">
                  <c:v>271.41896400443483</c:v>
                </c:pt>
                <c:pt idx="2224">
                  <c:v>271.38008395988038</c:v>
                </c:pt>
                <c:pt idx="2225">
                  <c:v>269.98408019797336</c:v>
                </c:pt>
                <c:pt idx="2226">
                  <c:v>272.88432135933078</c:v>
                </c:pt>
                <c:pt idx="2227">
                  <c:v>273.49747017007428</c:v>
                </c:pt>
                <c:pt idx="2228">
                  <c:v>275.60067041806593</c:v>
                </c:pt>
                <c:pt idx="2229">
                  <c:v>279.24173404998754</c:v>
                </c:pt>
                <c:pt idx="2230">
                  <c:v>275.29961277577291</c:v>
                </c:pt>
                <c:pt idx="2231">
                  <c:v>275.90593130841904</c:v>
                </c:pt>
                <c:pt idx="2232">
                  <c:v>276.29473175396333</c:v>
                </c:pt>
                <c:pt idx="2233">
                  <c:v>278.64960147954383</c:v>
                </c:pt>
                <c:pt idx="2234">
                  <c:v>276.46233627035343</c:v>
                </c:pt>
                <c:pt idx="2235">
                  <c:v>276.06460392268178</c:v>
                </c:pt>
                <c:pt idx="2236">
                  <c:v>280.38816995833582</c:v>
                </c:pt>
                <c:pt idx="2237">
                  <c:v>282.85915441157204</c:v>
                </c:pt>
                <c:pt idx="2238">
                  <c:v>283.15128015173775</c:v>
                </c:pt>
                <c:pt idx="2239">
                  <c:v>285.07479154516705</c:v>
                </c:pt>
                <c:pt idx="2240">
                  <c:v>286.41983092434725</c:v>
                </c:pt>
                <c:pt idx="2241">
                  <c:v>285.81035995565622</c:v>
                </c:pt>
                <c:pt idx="2242">
                  <c:v>283.17755045211231</c:v>
                </c:pt>
                <c:pt idx="2243">
                  <c:v>283.46284591418066</c:v>
                </c:pt>
                <c:pt idx="2244">
                  <c:v>283.66670344508771</c:v>
                </c:pt>
                <c:pt idx="2245">
                  <c:v>287.34349468551875</c:v>
                </c:pt>
                <c:pt idx="2246">
                  <c:v>288.23615949224819</c:v>
                </c:pt>
                <c:pt idx="2247">
                  <c:v>287.57204629877793</c:v>
                </c:pt>
                <c:pt idx="2248">
                  <c:v>290.72132990768677</c:v>
                </c:pt>
                <c:pt idx="2249">
                  <c:v>291.17895854021253</c:v>
                </c:pt>
                <c:pt idx="2250">
                  <c:v>291.75270190039413</c:v>
                </c:pt>
                <c:pt idx="2251">
                  <c:v>290.74917642608386</c:v>
                </c:pt>
                <c:pt idx="2252">
                  <c:v>292.62224884279385</c:v>
                </c:pt>
                <c:pt idx="2253">
                  <c:v>293.02365903251797</c:v>
                </c:pt>
                <c:pt idx="2254">
                  <c:v>292.79510741925878</c:v>
                </c:pt>
                <c:pt idx="2255">
                  <c:v>292.68109431563295</c:v>
                </c:pt>
                <c:pt idx="2256">
                  <c:v>291.94132265708379</c:v>
                </c:pt>
                <c:pt idx="2257">
                  <c:v>293.97044065801902</c:v>
                </c:pt>
                <c:pt idx="2258">
                  <c:v>292.83661449385067</c:v>
                </c:pt>
                <c:pt idx="2259">
                  <c:v>292.51454061125793</c:v>
                </c:pt>
                <c:pt idx="2260">
                  <c:v>290.61992654824076</c:v>
                </c:pt>
                <c:pt idx="2261">
                  <c:v>288.31969904743949</c:v>
                </c:pt>
                <c:pt idx="2262">
                  <c:v>287.73282053707061</c:v>
                </c:pt>
                <c:pt idx="2263">
                  <c:v>291.95603402529366</c:v>
                </c:pt>
                <c:pt idx="2264">
                  <c:v>292.83188583978324</c:v>
                </c:pt>
                <c:pt idx="2265">
                  <c:v>294.88727414109314</c:v>
                </c:pt>
                <c:pt idx="2266">
                  <c:v>294.7312285568679</c:v>
                </c:pt>
                <c:pt idx="2267">
                  <c:v>296.21182268598119</c:v>
                </c:pt>
                <c:pt idx="2268">
                  <c:v>297.313073677685</c:v>
                </c:pt>
                <c:pt idx="2269">
                  <c:v>297.28260012925045</c:v>
                </c:pt>
                <c:pt idx="2270">
                  <c:v>296.42040887095561</c:v>
                </c:pt>
                <c:pt idx="2271">
                  <c:v>299.65375744106319</c:v>
                </c:pt>
                <c:pt idx="2272">
                  <c:v>293.99093149231129</c:v>
                </c:pt>
                <c:pt idx="2273">
                  <c:v>293.76658312711209</c:v>
                </c:pt>
                <c:pt idx="2274">
                  <c:v>295.87661365320116</c:v>
                </c:pt>
                <c:pt idx="2275">
                  <c:v>294.50688019166876</c:v>
                </c:pt>
                <c:pt idx="2276">
                  <c:v>295.61023280740261</c:v>
                </c:pt>
                <c:pt idx="2277">
                  <c:v>297.61413131997824</c:v>
                </c:pt>
                <c:pt idx="2278">
                  <c:v>301.05974391711271</c:v>
                </c:pt>
                <c:pt idx="2279">
                  <c:v>301.07603150334501</c:v>
                </c:pt>
                <c:pt idx="2280">
                  <c:v>301.72333170457546</c:v>
                </c:pt>
                <c:pt idx="2281">
                  <c:v>302.42159628853273</c:v>
                </c:pt>
                <c:pt idx="2282">
                  <c:v>303.82653195256711</c:v>
                </c:pt>
                <c:pt idx="2283">
                  <c:v>304.15018205318233</c:v>
                </c:pt>
                <c:pt idx="2284">
                  <c:v>302.39690220618058</c:v>
                </c:pt>
                <c:pt idx="2285">
                  <c:v>303.47398452153982</c:v>
                </c:pt>
                <c:pt idx="2286">
                  <c:v>303.48922129575709</c:v>
                </c:pt>
                <c:pt idx="2287">
                  <c:v>305.52569498079725</c:v>
                </c:pt>
                <c:pt idx="2288">
                  <c:v>305.3402266601525</c:v>
                </c:pt>
                <c:pt idx="2289">
                  <c:v>305.49522143236271</c:v>
                </c:pt>
                <c:pt idx="2290">
                  <c:v>304.83163364489997</c:v>
                </c:pt>
                <c:pt idx="2291">
                  <c:v>305.32026123186779</c:v>
                </c:pt>
                <c:pt idx="2292">
                  <c:v>305.63708105438559</c:v>
                </c:pt>
                <c:pt idx="2293">
                  <c:v>308.3544809251357</c:v>
                </c:pt>
                <c:pt idx="2294">
                  <c:v>307.6793342055081</c:v>
                </c:pt>
                <c:pt idx="2295">
                  <c:v>307.56584650788977</c:v>
                </c:pt>
                <c:pt idx="2296">
                  <c:v>309.01649249457597</c:v>
                </c:pt>
                <c:pt idx="2297">
                  <c:v>309.36168424149844</c:v>
                </c:pt>
                <c:pt idx="2298">
                  <c:v>309.66431810181399</c:v>
                </c:pt>
                <c:pt idx="2299">
                  <c:v>307.34412517272801</c:v>
                </c:pt>
                <c:pt idx="2300">
                  <c:v>306.70365524959493</c:v>
                </c:pt>
                <c:pt idx="2301">
                  <c:v>309.6900629961811</c:v>
                </c:pt>
                <c:pt idx="2302">
                  <c:v>308.3318884668135</c:v>
                </c:pt>
                <c:pt idx="2303">
                  <c:v>303.24280587824319</c:v>
                </c:pt>
                <c:pt idx="2304">
                  <c:v>302.76416100541769</c:v>
                </c:pt>
                <c:pt idx="2305">
                  <c:v>301.9550357538796</c:v>
                </c:pt>
                <c:pt idx="2306">
                  <c:v>303.18238418738156</c:v>
                </c:pt>
                <c:pt idx="2307">
                  <c:v>295.87766446521624</c:v>
                </c:pt>
                <c:pt idx="2308">
                  <c:v>298.28349857352345</c:v>
                </c:pt>
                <c:pt idx="2309">
                  <c:v>300.08511577321451</c:v>
                </c:pt>
                <c:pt idx="2310">
                  <c:v>302.84139568851907</c:v>
                </c:pt>
                <c:pt idx="2311">
                  <c:v>301.10440342774956</c:v>
                </c:pt>
                <c:pt idx="2312">
                  <c:v>299.07686164483681</c:v>
                </c:pt>
                <c:pt idx="2313">
                  <c:v>301.62560618718192</c:v>
                </c:pt>
                <c:pt idx="2314">
                  <c:v>300.77970251511931</c:v>
                </c:pt>
                <c:pt idx="2315">
                  <c:v>297.22743249846394</c:v>
                </c:pt>
                <c:pt idx="2316">
                  <c:v>297.67402760483236</c:v>
                </c:pt>
                <c:pt idx="2317">
                  <c:v>295.18255231730393</c:v>
                </c:pt>
                <c:pt idx="2318">
                  <c:v>293.15080728633126</c:v>
                </c:pt>
                <c:pt idx="2319">
                  <c:v>293.80546317166664</c:v>
                </c:pt>
                <c:pt idx="2320">
                  <c:v>289.9857614971977</c:v>
                </c:pt>
                <c:pt idx="2321">
                  <c:v>289.18609355379442</c:v>
                </c:pt>
                <c:pt idx="2322">
                  <c:v>295.39954499839826</c:v>
                </c:pt>
                <c:pt idx="2323">
                  <c:v>297.84688618129735</c:v>
                </c:pt>
                <c:pt idx="2324">
                  <c:v>299.75568620651683</c:v>
                </c:pt>
                <c:pt idx="2325">
                  <c:v>302.93124011580022</c:v>
                </c:pt>
                <c:pt idx="2326">
                  <c:v>304.34458227595451</c:v>
                </c:pt>
                <c:pt idx="2327">
                  <c:v>304.25368703665833</c:v>
                </c:pt>
                <c:pt idx="2328">
                  <c:v>303.63843660188485</c:v>
                </c:pt>
                <c:pt idx="2329">
                  <c:v>304.97349326692273</c:v>
                </c:pt>
                <c:pt idx="2330">
                  <c:v>304.52322031850184</c:v>
                </c:pt>
                <c:pt idx="2331">
                  <c:v>304.80904118657759</c:v>
                </c:pt>
                <c:pt idx="2332">
                  <c:v>307.78021215894648</c:v>
                </c:pt>
                <c:pt idx="2333">
                  <c:v>308.699672672058</c:v>
                </c:pt>
                <c:pt idx="2334">
                  <c:v>311.65297984017218</c:v>
                </c:pt>
                <c:pt idx="2335">
                  <c:v>311.2788907628377</c:v>
                </c:pt>
                <c:pt idx="2336">
                  <c:v>310.74034960515814</c:v>
                </c:pt>
                <c:pt idx="2337">
                  <c:v>307.78966946708147</c:v>
                </c:pt>
                <c:pt idx="2338">
                  <c:v>307.40980092366453</c:v>
                </c:pt>
                <c:pt idx="2339">
                  <c:v>308.63136989108409</c:v>
                </c:pt>
                <c:pt idx="2340">
                  <c:v>310.42300437663283</c:v>
                </c:pt>
                <c:pt idx="2341">
                  <c:v>312.80729683863285</c:v>
                </c:pt>
                <c:pt idx="2342">
                  <c:v>313.73516384786421</c:v>
                </c:pt>
                <c:pt idx="2343">
                  <c:v>316.21770723326529</c:v>
                </c:pt>
                <c:pt idx="2344">
                  <c:v>315.68021688760069</c:v>
                </c:pt>
                <c:pt idx="2345">
                  <c:v>314.15811568389552</c:v>
                </c:pt>
                <c:pt idx="2346">
                  <c:v>314.63833677474344</c:v>
                </c:pt>
                <c:pt idx="2347">
                  <c:v>316.06113624303265</c:v>
                </c:pt>
                <c:pt idx="2348">
                  <c:v>316.78462031534951</c:v>
                </c:pt>
                <c:pt idx="2349">
                  <c:v>318.27887500065765</c:v>
                </c:pt>
                <c:pt idx="2350">
                  <c:v>318.33456803745185</c:v>
                </c:pt>
                <c:pt idx="2351">
                  <c:v>317.26116356414508</c:v>
                </c:pt>
                <c:pt idx="2352">
                  <c:v>315.19369092466297</c:v>
                </c:pt>
                <c:pt idx="2353">
                  <c:v>316.3548382012209</c:v>
                </c:pt>
                <c:pt idx="2354">
                  <c:v>314.41346300353689</c:v>
                </c:pt>
                <c:pt idx="2355">
                  <c:v>315.31085646433371</c:v>
                </c:pt>
                <c:pt idx="2356">
                  <c:v>317.47552921520196</c:v>
                </c:pt>
                <c:pt idx="2357">
                  <c:v>318.97661417860746</c:v>
                </c:pt>
                <c:pt idx="2358">
                  <c:v>317.29951820269207</c:v>
                </c:pt>
                <c:pt idx="2359">
                  <c:v>319.64755765017509</c:v>
                </c:pt>
                <c:pt idx="2360">
                  <c:v>319.13213435682519</c:v>
                </c:pt>
                <c:pt idx="2361">
                  <c:v>318.34139831554927</c:v>
                </c:pt>
                <c:pt idx="2362">
                  <c:v>314.88475219225751</c:v>
                </c:pt>
                <c:pt idx="2363">
                  <c:v>312.08223654829362</c:v>
                </c:pt>
                <c:pt idx="2364">
                  <c:v>309.83717667827909</c:v>
                </c:pt>
                <c:pt idx="2365">
                  <c:v>300.62680936693926</c:v>
                </c:pt>
                <c:pt idx="2366">
                  <c:v>304.56315117507148</c:v>
                </c:pt>
                <c:pt idx="2367">
                  <c:v>304.80483793851789</c:v>
                </c:pt>
                <c:pt idx="2368">
                  <c:v>310.60216782518785</c:v>
                </c:pt>
                <c:pt idx="2369">
                  <c:v>308.59564228257483</c:v>
                </c:pt>
                <c:pt idx="2370">
                  <c:v>304.95878189871314</c:v>
                </c:pt>
                <c:pt idx="2371">
                  <c:v>309.47254490907943</c:v>
                </c:pt>
                <c:pt idx="2372">
                  <c:v>300.49545786506616</c:v>
                </c:pt>
                <c:pt idx="2373">
                  <c:v>301.2935495904469</c:v>
                </c:pt>
                <c:pt idx="2374">
                  <c:v>305.6901470611424</c:v>
                </c:pt>
                <c:pt idx="2375">
                  <c:v>309.40791997015782</c:v>
                </c:pt>
                <c:pt idx="2376">
                  <c:v>306.98212043356591</c:v>
                </c:pt>
                <c:pt idx="2377">
                  <c:v>309.52666172785104</c:v>
                </c:pt>
                <c:pt idx="2378">
                  <c:v>309.37849723373824</c:v>
                </c:pt>
                <c:pt idx="2379">
                  <c:v>301.35344587530096</c:v>
                </c:pt>
                <c:pt idx="2380">
                  <c:v>304.70080754903438</c:v>
                </c:pt>
                <c:pt idx="2381">
                  <c:v>303.72617940513618</c:v>
                </c:pt>
                <c:pt idx="2382">
                  <c:v>305.72534926364432</c:v>
                </c:pt>
                <c:pt idx="2383">
                  <c:v>309.65591160569414</c:v>
                </c:pt>
                <c:pt idx="2384">
                  <c:v>309.89654755712559</c:v>
                </c:pt>
                <c:pt idx="2385">
                  <c:v>307.78021215894665</c:v>
                </c:pt>
                <c:pt idx="2386">
                  <c:v>311.1433360129048</c:v>
                </c:pt>
                <c:pt idx="2387">
                  <c:v>315.26356992365936</c:v>
                </c:pt>
                <c:pt idx="2388">
                  <c:v>315.56252594192244</c:v>
                </c:pt>
                <c:pt idx="2389">
                  <c:v>315.55832269386252</c:v>
                </c:pt>
                <c:pt idx="2390">
                  <c:v>315.67023417345837</c:v>
                </c:pt>
                <c:pt idx="2391">
                  <c:v>317.96888545623716</c:v>
                </c:pt>
                <c:pt idx="2392">
                  <c:v>318.93353088599298</c:v>
                </c:pt>
                <c:pt idx="2393">
                  <c:v>318.79009504594762</c:v>
                </c:pt>
                <c:pt idx="2394">
                  <c:v>317.80075553383966</c:v>
                </c:pt>
                <c:pt idx="2395">
                  <c:v>318.62249052955764</c:v>
                </c:pt>
                <c:pt idx="2396">
                  <c:v>318.73335119713852</c:v>
                </c:pt>
                <c:pt idx="2397">
                  <c:v>318.75857068549811</c:v>
                </c:pt>
                <c:pt idx="2398">
                  <c:v>317.21387702347079</c:v>
                </c:pt>
                <c:pt idx="2399">
                  <c:v>317.18235266302122</c:v>
                </c:pt>
                <c:pt idx="2400">
                  <c:v>314.53850963332002</c:v>
                </c:pt>
                <c:pt idx="2401">
                  <c:v>316.47620698895162</c:v>
                </c:pt>
                <c:pt idx="2402">
                  <c:v>315.72645261626013</c:v>
                </c:pt>
                <c:pt idx="2403">
                  <c:v>314.09349074497408</c:v>
                </c:pt>
                <c:pt idx="2404">
                  <c:v>315.69492825581062</c:v>
                </c:pt>
                <c:pt idx="2405">
                  <c:v>311.83897356682468</c:v>
                </c:pt>
                <c:pt idx="2406">
                  <c:v>306.25548392520415</c:v>
                </c:pt>
                <c:pt idx="2407">
                  <c:v>308.77375491911465</c:v>
                </c:pt>
                <c:pt idx="2408">
                  <c:v>313.1645729237278</c:v>
                </c:pt>
                <c:pt idx="2409">
                  <c:v>311.76331510174583</c:v>
                </c:pt>
                <c:pt idx="2410">
                  <c:v>306.91959711867435</c:v>
                </c:pt>
                <c:pt idx="2411">
                  <c:v>309.81090637790447</c:v>
                </c:pt>
                <c:pt idx="2412">
                  <c:v>311.80534758234518</c:v>
                </c:pt>
                <c:pt idx="2413">
                  <c:v>315.2457061194047</c:v>
                </c:pt>
                <c:pt idx="2414">
                  <c:v>314.80856832117109</c:v>
                </c:pt>
                <c:pt idx="2415">
                  <c:v>317.94366596787756</c:v>
                </c:pt>
                <c:pt idx="2416">
                  <c:v>317.32894093911153</c:v>
                </c:pt>
                <c:pt idx="2417">
                  <c:v>318.23001224196082</c:v>
                </c:pt>
                <c:pt idx="2418">
                  <c:v>316.991104876294</c:v>
                </c:pt>
                <c:pt idx="2419">
                  <c:v>319.17889549149186</c:v>
                </c:pt>
                <c:pt idx="2420">
                  <c:v>318.05032338739841</c:v>
                </c:pt>
                <c:pt idx="2421">
                  <c:v>318.96715687047248</c:v>
                </c:pt>
                <c:pt idx="2422">
                  <c:v>319.58030568121598</c:v>
                </c:pt>
                <c:pt idx="2423">
                  <c:v>320.88751582785676</c:v>
                </c:pt>
                <c:pt idx="2424">
                  <c:v>322.67862490739799</c:v>
                </c:pt>
                <c:pt idx="2425">
                  <c:v>322.41382027962186</c:v>
                </c:pt>
                <c:pt idx="2426">
                  <c:v>323.4888009709511</c:v>
                </c:pt>
                <c:pt idx="2427">
                  <c:v>322.53256203731507</c:v>
                </c:pt>
                <c:pt idx="2428">
                  <c:v>325.67764239816393</c:v>
                </c:pt>
                <c:pt idx="2429">
                  <c:v>326.88817783942619</c:v>
                </c:pt>
                <c:pt idx="2430">
                  <c:v>326.50200442391935</c:v>
                </c:pt>
                <c:pt idx="2431">
                  <c:v>326.75525011953067</c:v>
                </c:pt>
                <c:pt idx="2432">
                  <c:v>327.80028266843283</c:v>
                </c:pt>
                <c:pt idx="2433">
                  <c:v>328.69977775325964</c:v>
                </c:pt>
                <c:pt idx="2434">
                  <c:v>328.05352836404415</c:v>
                </c:pt>
                <c:pt idx="2435">
                  <c:v>328.58418843161132</c:v>
                </c:pt>
                <c:pt idx="2436">
                  <c:v>328.82955303711026</c:v>
                </c:pt>
                <c:pt idx="2437">
                  <c:v>329.18893074623497</c:v>
                </c:pt>
                <c:pt idx="2438">
                  <c:v>331.78023317518694</c:v>
                </c:pt>
                <c:pt idx="2439">
                  <c:v>331.95256634564441</c:v>
                </c:pt>
                <c:pt idx="2440">
                  <c:v>331.77602992712696</c:v>
                </c:pt>
                <c:pt idx="2441">
                  <c:v>330.59439181627681</c:v>
                </c:pt>
                <c:pt idx="2442">
                  <c:v>330.09105286109917</c:v>
                </c:pt>
                <c:pt idx="2443">
                  <c:v>330.81348612140107</c:v>
                </c:pt>
                <c:pt idx="2444">
                  <c:v>333.33648576937901</c:v>
                </c:pt>
                <c:pt idx="2445">
                  <c:v>334.07730823994314</c:v>
                </c:pt>
                <c:pt idx="2446">
                  <c:v>335.5116666403971</c:v>
                </c:pt>
                <c:pt idx="2447">
                  <c:v>334.2401841022658</c:v>
                </c:pt>
                <c:pt idx="2448">
                  <c:v>331.36726405329796</c:v>
                </c:pt>
                <c:pt idx="2449">
                  <c:v>329.17842262608508</c:v>
                </c:pt>
                <c:pt idx="2450">
                  <c:v>331.2942326182565</c:v>
                </c:pt>
                <c:pt idx="2451">
                  <c:v>331.88268734664786</c:v>
                </c:pt>
                <c:pt idx="2452">
                  <c:v>334.93056759611068</c:v>
                </c:pt>
                <c:pt idx="2453">
                  <c:v>333.89919560340331</c:v>
                </c:pt>
                <c:pt idx="2454">
                  <c:v>333.54402114233852</c:v>
                </c:pt>
                <c:pt idx="2455">
                  <c:v>334.5175984742217</c:v>
                </c:pt>
                <c:pt idx="2456">
                  <c:v>337.43412722181137</c:v>
                </c:pt>
                <c:pt idx="2457">
                  <c:v>337.51714137099515</c:v>
                </c:pt>
                <c:pt idx="2458">
                  <c:v>339.93926306553459</c:v>
                </c:pt>
                <c:pt idx="2459">
                  <c:v>340.05537779319042</c:v>
                </c:pt>
                <c:pt idx="2460">
                  <c:v>339.93768684751217</c:v>
                </c:pt>
                <c:pt idx="2461">
                  <c:v>341.47502482543462</c:v>
                </c:pt>
                <c:pt idx="2462">
                  <c:v>343.18206894377704</c:v>
                </c:pt>
                <c:pt idx="2463">
                  <c:v>343.47892333801013</c:v>
                </c:pt>
                <c:pt idx="2464">
                  <c:v>343.43584004539582</c:v>
                </c:pt>
                <c:pt idx="2465">
                  <c:v>345.22905074896704</c:v>
                </c:pt>
                <c:pt idx="2466">
                  <c:v>345.24586374120679</c:v>
                </c:pt>
                <c:pt idx="2467">
                  <c:v>343.29555664139542</c:v>
                </c:pt>
                <c:pt idx="2468">
                  <c:v>344.32850485212521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3-4524-BE9F-62A9DF6A0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761864"/>
        <c:axId val="864761536"/>
      </c:lineChart>
      <c:catAx>
        <c:axId val="864761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4761536"/>
        <c:crosses val="autoZero"/>
        <c:auto val="1"/>
        <c:lblAlgn val="ctr"/>
        <c:lblOffset val="100"/>
        <c:noMultiLvlLbl val="0"/>
      </c:catAx>
      <c:valAx>
        <c:axId val="86476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4761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510540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5C9629-BD75-4D5F-9A7A-45B157FFE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220559</xdr:colOff>
      <xdr:row>57</xdr:row>
      <xdr:rowOff>91426</xdr:rowOff>
    </xdr:from>
    <xdr:to>
      <xdr:col>19</xdr:col>
      <xdr:colOff>439270</xdr:colOff>
      <xdr:row>75</xdr:row>
      <xdr:rowOff>165945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85AC26-CE2C-410B-9770-86BAEBA6C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421341</xdr:colOff>
      <xdr:row>58</xdr:row>
      <xdr:rowOff>116540</xdr:rowOff>
    </xdr:from>
    <xdr:to>
      <xdr:col>29</xdr:col>
      <xdr:colOff>116541</xdr:colOff>
      <xdr:row>73</xdr:row>
      <xdr:rowOff>170328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5ED589-21C1-48AC-98F8-0C0571D80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0085-E47D-47D1-A3FB-ED6218735FEE}">
  <dimension ref="A1:H248"/>
  <sheetViews>
    <sheetView showGridLines="0" tabSelected="1" workbookViewId="0">
      <selection activeCell="C23" sqref="C23"/>
    </sheetView>
  </sheetViews>
  <sheetFormatPr defaultRowHeight="14.4" x14ac:dyDescent="0.3"/>
  <cols>
    <col min="1" max="1" width="10.5546875" bestFit="1" customWidth="1"/>
    <col min="3" max="3" width="8.88671875" style="1"/>
  </cols>
  <sheetData>
    <row r="1" spans="1:5" x14ac:dyDescent="0.3">
      <c r="B1" t="s">
        <v>21</v>
      </c>
      <c r="E1" s="17"/>
    </row>
    <row r="2" spans="1:5" x14ac:dyDescent="0.3">
      <c r="A2" s="2">
        <v>40267</v>
      </c>
      <c r="B2" s="1">
        <v>1942.81</v>
      </c>
    </row>
    <row r="3" spans="1:5" x14ac:dyDescent="0.3">
      <c r="A3" s="2">
        <v>40268</v>
      </c>
      <c r="B3" s="1">
        <v>1936.48</v>
      </c>
      <c r="D3" s="11"/>
    </row>
    <row r="4" spans="1:5" x14ac:dyDescent="0.3">
      <c r="A4" s="2">
        <v>40269</v>
      </c>
      <c r="B4" s="1">
        <v>1950.91</v>
      </c>
      <c r="D4" s="11"/>
    </row>
    <row r="5" spans="1:5" x14ac:dyDescent="0.3">
      <c r="A5" s="2">
        <v>40273</v>
      </c>
      <c r="B5" s="1">
        <v>1966.44</v>
      </c>
      <c r="D5" s="11"/>
    </row>
    <row r="6" spans="1:5" x14ac:dyDescent="0.3">
      <c r="A6" s="2">
        <v>40274</v>
      </c>
      <c r="B6" s="1">
        <v>1969.76</v>
      </c>
      <c r="D6" s="11"/>
    </row>
    <row r="7" spans="1:5" x14ac:dyDescent="0.3">
      <c r="A7" s="2">
        <v>40275</v>
      </c>
      <c r="B7" s="1">
        <v>1959.04</v>
      </c>
      <c r="D7" s="11"/>
    </row>
    <row r="8" spans="1:5" x14ac:dyDescent="0.3">
      <c r="A8" s="2">
        <v>40276</v>
      </c>
      <c r="B8" s="1">
        <v>1965.72</v>
      </c>
      <c r="D8" s="11"/>
    </row>
    <row r="9" spans="1:5" x14ac:dyDescent="0.3">
      <c r="A9" s="2">
        <v>40277</v>
      </c>
      <c r="B9" s="1">
        <v>1978.86</v>
      </c>
      <c r="D9" s="11"/>
    </row>
    <row r="10" spans="1:5" x14ac:dyDescent="0.3">
      <c r="A10" s="2">
        <v>40280</v>
      </c>
      <c r="B10" s="1">
        <v>1982.4</v>
      </c>
      <c r="D10" s="11"/>
    </row>
    <row r="11" spans="1:5" x14ac:dyDescent="0.3">
      <c r="A11" s="2">
        <v>40281</v>
      </c>
      <c r="B11" s="1">
        <v>1983.91</v>
      </c>
      <c r="D11" s="11"/>
      <c r="E11" s="1"/>
    </row>
    <row r="12" spans="1:5" x14ac:dyDescent="0.3">
      <c r="A12" s="2">
        <v>40282</v>
      </c>
      <c r="B12" s="1">
        <v>2006.06</v>
      </c>
      <c r="D12" s="11"/>
      <c r="E12" s="1"/>
    </row>
    <row r="13" spans="1:5" x14ac:dyDescent="0.3">
      <c r="A13" s="2">
        <v>40283</v>
      </c>
      <c r="B13" s="1">
        <v>2007.74</v>
      </c>
      <c r="D13" s="11"/>
      <c r="E13" s="1"/>
    </row>
    <row r="14" spans="1:5" x14ac:dyDescent="0.3">
      <c r="A14" s="2">
        <v>40284</v>
      </c>
      <c r="B14" s="1">
        <v>1975.36</v>
      </c>
      <c r="D14" s="11"/>
      <c r="E14" s="1"/>
    </row>
    <row r="15" spans="1:5" x14ac:dyDescent="0.3">
      <c r="A15" s="2">
        <v>40287</v>
      </c>
      <c r="B15" s="1">
        <v>1984.32</v>
      </c>
      <c r="D15" s="11"/>
      <c r="E15" s="1"/>
    </row>
    <row r="16" spans="1:5" x14ac:dyDescent="0.3">
      <c r="A16" s="2">
        <v>40288</v>
      </c>
      <c r="B16" s="1">
        <v>2000.33</v>
      </c>
      <c r="D16" s="11"/>
      <c r="E16" s="1"/>
    </row>
    <row r="17" spans="1:8" x14ac:dyDescent="0.3">
      <c r="A17" s="2">
        <v>40289</v>
      </c>
      <c r="B17" s="1">
        <v>1998.31</v>
      </c>
      <c r="D17" s="11"/>
      <c r="E17" s="1"/>
    </row>
    <row r="18" spans="1:8" x14ac:dyDescent="0.3">
      <c r="A18" s="2">
        <v>40290</v>
      </c>
      <c r="B18" s="1">
        <v>2002.93</v>
      </c>
      <c r="D18" s="11"/>
      <c r="E18" s="1"/>
    </row>
    <row r="19" spans="1:8" x14ac:dyDescent="0.3">
      <c r="A19" s="2">
        <v>40291</v>
      </c>
      <c r="B19" s="1">
        <v>2017.19</v>
      </c>
      <c r="D19" s="11"/>
      <c r="E19" s="1"/>
    </row>
    <row r="20" spans="1:8" x14ac:dyDescent="0.3">
      <c r="A20" s="2">
        <v>40294</v>
      </c>
      <c r="B20" s="1">
        <v>2008.55</v>
      </c>
      <c r="C20" s="1" t="s">
        <v>19</v>
      </c>
      <c r="D20" s="11"/>
      <c r="E20" s="1"/>
    </row>
    <row r="21" spans="1:8" x14ac:dyDescent="0.3">
      <c r="A21" s="2">
        <v>40295</v>
      </c>
      <c r="B21" s="1">
        <v>1961.6</v>
      </c>
      <c r="C21" s="1">
        <f t="shared" ref="C21:C22" si="0">AVERAGE(B2:B21)</f>
        <v>1979.9360000000001</v>
      </c>
      <c r="D21" s="11"/>
      <c r="E21" s="1"/>
      <c r="F21" s="3"/>
      <c r="G21" s="3"/>
      <c r="H21" s="7"/>
    </row>
    <row r="22" spans="1:8" x14ac:dyDescent="0.3">
      <c r="A22" s="2">
        <v>40296</v>
      </c>
      <c r="B22" s="1">
        <v>1974.63</v>
      </c>
      <c r="C22" s="1">
        <f t="shared" si="0"/>
        <v>1981.527</v>
      </c>
      <c r="D22" s="11"/>
      <c r="E22" s="1"/>
      <c r="F22" s="3"/>
      <c r="G22" s="3"/>
      <c r="H22" s="7"/>
    </row>
    <row r="23" spans="1:8" x14ac:dyDescent="0.3">
      <c r="A23" s="2">
        <v>40297</v>
      </c>
      <c r="B23" s="1">
        <v>2000.34</v>
      </c>
      <c r="C23" s="1">
        <f>AVERAGE(B4:B23)</f>
        <v>1984.72</v>
      </c>
      <c r="D23" s="11"/>
      <c r="E23" s="1"/>
      <c r="F23" s="3"/>
      <c r="G23" s="3"/>
      <c r="H23" s="7"/>
    </row>
    <row r="24" spans="1:8" x14ac:dyDescent="0.3">
      <c r="A24" s="2">
        <v>40298</v>
      </c>
      <c r="B24" s="1">
        <v>1967.05</v>
      </c>
      <c r="C24" s="1">
        <f>AVERAGE(B3:B24)</f>
        <v>1981.7240909090908</v>
      </c>
      <c r="D24" s="11"/>
      <c r="E24" s="1"/>
      <c r="F24" s="3"/>
      <c r="G24" s="3"/>
      <c r="H24" s="7"/>
    </row>
    <row r="25" spans="1:8" x14ac:dyDescent="0.3">
      <c r="A25" s="2">
        <v>40301</v>
      </c>
      <c r="B25" s="1">
        <v>1992.87</v>
      </c>
      <c r="C25" s="1">
        <f t="shared" ref="C25:C87" si="1">AVERAGE(B4:B25)</f>
        <v>1984.2872727272731</v>
      </c>
      <c r="D25" s="11"/>
      <c r="E25" s="1"/>
      <c r="F25" s="3"/>
      <c r="G25" s="3"/>
      <c r="H25" s="7"/>
    </row>
    <row r="26" spans="1:8" x14ac:dyDescent="0.3">
      <c r="A26" s="2">
        <v>40302</v>
      </c>
      <c r="B26" s="1">
        <v>1945.37</v>
      </c>
      <c r="C26" s="1">
        <f t="shared" si="1"/>
        <v>1984.0354545454547</v>
      </c>
      <c r="D26" s="11"/>
      <c r="E26" s="1"/>
      <c r="F26" s="3"/>
      <c r="G26" s="3"/>
      <c r="H26" s="7"/>
    </row>
    <row r="27" spans="1:8" x14ac:dyDescent="0.3">
      <c r="A27" s="2">
        <v>40303</v>
      </c>
      <c r="B27" s="1">
        <v>1933.25</v>
      </c>
      <c r="C27" s="1">
        <f t="shared" si="1"/>
        <v>1982.5268181818183</v>
      </c>
      <c r="D27" s="11"/>
      <c r="E27" s="1"/>
      <c r="F27" s="3"/>
      <c r="G27" s="3"/>
      <c r="H27" s="7"/>
    </row>
    <row r="28" spans="1:8" x14ac:dyDescent="0.3">
      <c r="A28" s="2">
        <v>40304</v>
      </c>
      <c r="B28" s="1">
        <v>1870.95</v>
      </c>
      <c r="C28" s="1">
        <f t="shared" si="1"/>
        <v>1978.0354545454545</v>
      </c>
      <c r="D28" s="11"/>
      <c r="E28" s="1"/>
      <c r="F28" s="3"/>
      <c r="G28" s="3"/>
      <c r="H28" s="7"/>
    </row>
    <row r="29" spans="1:8" x14ac:dyDescent="0.3">
      <c r="A29" s="2">
        <v>40305</v>
      </c>
      <c r="B29" s="1">
        <v>1842.32</v>
      </c>
      <c r="C29" s="1">
        <f t="shared" si="1"/>
        <v>1972.7299999999998</v>
      </c>
      <c r="D29" s="11"/>
      <c r="E29" s="1"/>
      <c r="F29" s="3"/>
      <c r="G29" s="3"/>
      <c r="H29" s="7"/>
    </row>
    <row r="30" spans="1:8" x14ac:dyDescent="0.3">
      <c r="A30" s="2">
        <v>40308</v>
      </c>
      <c r="B30" s="1">
        <v>1923.39</v>
      </c>
      <c r="C30" s="1">
        <f t="shared" si="1"/>
        <v>1970.8059090909089</v>
      </c>
      <c r="D30" s="11"/>
      <c r="E30" s="1"/>
      <c r="F30" s="3"/>
      <c r="G30" s="3"/>
      <c r="H30" s="7"/>
    </row>
    <row r="31" spans="1:8" x14ac:dyDescent="0.3">
      <c r="A31" s="2">
        <v>40309</v>
      </c>
      <c r="B31" s="1">
        <v>1917.25</v>
      </c>
      <c r="C31" s="1">
        <f t="shared" si="1"/>
        <v>1968.0054545454543</v>
      </c>
      <c r="D31" s="11"/>
      <c r="E31" s="1"/>
      <c r="F31" s="3"/>
      <c r="G31" s="3"/>
      <c r="H31" s="7"/>
    </row>
    <row r="32" spans="1:8" x14ac:dyDescent="0.3">
      <c r="A32" s="2">
        <v>40310</v>
      </c>
      <c r="B32" s="1">
        <v>1944.25</v>
      </c>
      <c r="C32" s="1">
        <f t="shared" si="1"/>
        <v>1966.2713636363633</v>
      </c>
      <c r="D32" s="11"/>
      <c r="E32" s="1"/>
      <c r="F32" s="3"/>
      <c r="G32" s="3"/>
      <c r="H32" s="7"/>
    </row>
    <row r="33" spans="1:8" x14ac:dyDescent="0.3">
      <c r="A33" s="2">
        <v>40311</v>
      </c>
      <c r="B33" s="1">
        <v>1920.76</v>
      </c>
      <c r="C33" s="1">
        <f t="shared" si="1"/>
        <v>1963.4009090909092</v>
      </c>
      <c r="D33" s="11"/>
      <c r="E33" s="1"/>
      <c r="F33" s="3"/>
      <c r="G33" s="3"/>
      <c r="H33" s="7"/>
    </row>
    <row r="34" spans="1:8" x14ac:dyDescent="0.3">
      <c r="A34" s="2">
        <v>40312</v>
      </c>
      <c r="B34" s="1">
        <v>1884.67</v>
      </c>
      <c r="C34" s="1">
        <f t="shared" si="1"/>
        <v>1957.8831818181818</v>
      </c>
      <c r="D34" s="11"/>
      <c r="E34" s="1"/>
      <c r="F34" s="3"/>
      <c r="G34" s="3"/>
      <c r="H34" s="7"/>
    </row>
    <row r="35" spans="1:8" x14ac:dyDescent="0.3">
      <c r="A35" s="2">
        <v>40315</v>
      </c>
      <c r="B35" s="1">
        <v>1887.11</v>
      </c>
      <c r="C35" s="1">
        <f t="shared" si="1"/>
        <v>1952.4</v>
      </c>
      <c r="D35" s="11"/>
      <c r="E35" s="1"/>
      <c r="F35" s="3"/>
      <c r="G35" s="3"/>
      <c r="H35" s="7"/>
    </row>
    <row r="36" spans="1:8" x14ac:dyDescent="0.3">
      <c r="A36" s="2">
        <v>40316</v>
      </c>
      <c r="B36" s="1">
        <v>1860.65</v>
      </c>
      <c r="C36" s="1">
        <f t="shared" si="1"/>
        <v>1947.185909090909</v>
      </c>
      <c r="D36" s="11"/>
      <c r="E36" s="1"/>
      <c r="F36" s="3"/>
      <c r="G36" s="3"/>
      <c r="H36" s="7"/>
    </row>
    <row r="37" spans="1:8" x14ac:dyDescent="0.3">
      <c r="A37" s="2">
        <v>40317</v>
      </c>
      <c r="B37" s="1">
        <v>1851.28</v>
      </c>
      <c r="C37" s="1">
        <f t="shared" si="1"/>
        <v>1941.1386363636366</v>
      </c>
      <c r="D37" s="11"/>
      <c r="E37" s="1"/>
      <c r="F37" s="3"/>
      <c r="G37" s="3"/>
      <c r="H37" s="7"/>
    </row>
    <row r="38" spans="1:8" x14ac:dyDescent="0.3">
      <c r="A38" s="2">
        <v>40318</v>
      </c>
      <c r="B38" s="1">
        <v>1779.3</v>
      </c>
      <c r="C38" s="1">
        <f t="shared" si="1"/>
        <v>1931.0918181818181</v>
      </c>
      <c r="D38" s="11"/>
      <c r="E38" s="1"/>
      <c r="F38" s="3"/>
      <c r="G38" s="3"/>
      <c r="H38" s="7"/>
    </row>
    <row r="39" spans="1:8" x14ac:dyDescent="0.3">
      <c r="A39" s="2">
        <v>40319</v>
      </c>
      <c r="B39" s="1">
        <v>1806.05</v>
      </c>
      <c r="C39" s="1">
        <f t="shared" si="1"/>
        <v>1922.3527272727274</v>
      </c>
      <c r="D39" s="11"/>
      <c r="E39" s="1"/>
      <c r="F39" s="3"/>
      <c r="G39" s="3"/>
      <c r="H39" s="7"/>
    </row>
    <row r="40" spans="1:8" x14ac:dyDescent="0.3">
      <c r="A40" s="2">
        <v>40322</v>
      </c>
      <c r="B40" s="1">
        <v>1782.77</v>
      </c>
      <c r="C40" s="1">
        <f t="shared" si="1"/>
        <v>1912.3454545454545</v>
      </c>
      <c r="D40" s="11"/>
      <c r="E40" s="1"/>
      <c r="F40" s="3"/>
      <c r="G40" s="3"/>
      <c r="H40" s="7"/>
    </row>
    <row r="41" spans="1:8" x14ac:dyDescent="0.3">
      <c r="A41" s="2">
        <v>40323</v>
      </c>
      <c r="B41" s="1">
        <v>1783.4</v>
      </c>
      <c r="C41" s="1">
        <f t="shared" si="1"/>
        <v>1901.7186363636365</v>
      </c>
      <c r="D41" s="11"/>
      <c r="E41" s="1"/>
      <c r="F41" s="3"/>
      <c r="G41" s="3"/>
      <c r="H41" s="7"/>
    </row>
    <row r="42" spans="1:8" x14ac:dyDescent="0.3">
      <c r="A42" s="2">
        <v>40324</v>
      </c>
      <c r="B42" s="1">
        <v>1773.65</v>
      </c>
      <c r="C42" s="1">
        <f t="shared" si="1"/>
        <v>1891.0413636363637</v>
      </c>
      <c r="D42" s="11"/>
      <c r="E42" s="1"/>
      <c r="F42" s="3"/>
      <c r="G42" s="3"/>
      <c r="H42" s="7"/>
    </row>
    <row r="43" spans="1:8" x14ac:dyDescent="0.3">
      <c r="A43" s="2">
        <v>40325</v>
      </c>
      <c r="B43" s="1">
        <v>1832.61</v>
      </c>
      <c r="C43" s="1">
        <f t="shared" si="1"/>
        <v>1885.1781818181817</v>
      </c>
      <c r="D43" s="11"/>
      <c r="E43" s="1"/>
      <c r="F43" s="3"/>
      <c r="G43" s="3"/>
      <c r="H43" s="7"/>
    </row>
    <row r="44" spans="1:8" x14ac:dyDescent="0.3">
      <c r="A44" s="2">
        <v>40326</v>
      </c>
      <c r="B44" s="1">
        <v>1809.98</v>
      </c>
      <c r="C44" s="1">
        <f t="shared" si="1"/>
        <v>1877.6940909090911</v>
      </c>
      <c r="D44" s="11"/>
      <c r="E44" s="1"/>
      <c r="F44" s="3"/>
      <c r="G44" s="3"/>
      <c r="H44" s="7"/>
    </row>
    <row r="45" spans="1:8" x14ac:dyDescent="0.3">
      <c r="A45" s="2">
        <v>40330</v>
      </c>
      <c r="B45" s="1">
        <v>1778.99</v>
      </c>
      <c r="C45" s="1">
        <f t="shared" si="1"/>
        <v>1867.6327272727272</v>
      </c>
      <c r="D45" s="11"/>
      <c r="E45" s="1"/>
      <c r="F45" s="3"/>
      <c r="G45" s="3"/>
      <c r="H45" s="7"/>
    </row>
    <row r="46" spans="1:8" x14ac:dyDescent="0.3">
      <c r="A46" s="2">
        <v>40331</v>
      </c>
      <c r="B46" s="1">
        <v>1825.25</v>
      </c>
      <c r="C46" s="1">
        <f t="shared" si="1"/>
        <v>1861.1872727272728</v>
      </c>
      <c r="D46" s="11"/>
      <c r="E46" s="1"/>
      <c r="F46" s="3"/>
      <c r="G46" s="3"/>
      <c r="H46" s="7"/>
    </row>
    <row r="47" spans="1:8" x14ac:dyDescent="0.3">
      <c r="A47" s="2">
        <v>40332</v>
      </c>
      <c r="B47" s="1">
        <v>1832.72</v>
      </c>
      <c r="C47" s="1">
        <f t="shared" si="1"/>
        <v>1853.9077272727272</v>
      </c>
      <c r="D47" s="11"/>
      <c r="E47" s="1"/>
      <c r="F47" s="3"/>
      <c r="G47" s="3"/>
      <c r="H47" s="7"/>
    </row>
    <row r="48" spans="1:8" x14ac:dyDescent="0.3">
      <c r="A48" s="2">
        <v>40333</v>
      </c>
      <c r="B48" s="1">
        <v>1769.72</v>
      </c>
      <c r="C48" s="1">
        <f t="shared" si="1"/>
        <v>1845.9236363636367</v>
      </c>
      <c r="D48" s="11"/>
      <c r="E48" s="1"/>
      <c r="F48" s="3"/>
      <c r="G48" s="3"/>
      <c r="H48" s="7"/>
    </row>
    <row r="49" spans="1:8" x14ac:dyDescent="0.3">
      <c r="A49" s="2">
        <v>40336</v>
      </c>
      <c r="B49" s="1">
        <v>1745.87</v>
      </c>
      <c r="C49" s="1">
        <f t="shared" si="1"/>
        <v>1837.4063636363642</v>
      </c>
      <c r="D49" s="11"/>
      <c r="E49" s="1"/>
      <c r="F49" s="3"/>
      <c r="G49" s="3"/>
      <c r="H49" s="7"/>
    </row>
    <row r="50" spans="1:8" x14ac:dyDescent="0.3">
      <c r="A50" s="2">
        <v>40337</v>
      </c>
      <c r="B50" s="1">
        <v>1765.29</v>
      </c>
      <c r="C50" s="1">
        <f t="shared" si="1"/>
        <v>1832.603636363637</v>
      </c>
      <c r="D50" s="11"/>
      <c r="E50" s="1"/>
      <c r="F50" s="3"/>
      <c r="G50" s="3"/>
      <c r="H50" s="7"/>
    </row>
    <row r="51" spans="1:8" x14ac:dyDescent="0.3">
      <c r="A51" s="2">
        <v>40338</v>
      </c>
      <c r="B51" s="1">
        <v>1754.91</v>
      </c>
      <c r="C51" s="1">
        <f t="shared" si="1"/>
        <v>1828.630454545455</v>
      </c>
      <c r="D51" s="11"/>
      <c r="E51" s="1"/>
      <c r="F51" s="3"/>
      <c r="G51" s="3"/>
      <c r="H51" s="7"/>
    </row>
    <row r="52" spans="1:8" x14ac:dyDescent="0.3">
      <c r="A52" s="2">
        <v>40339</v>
      </c>
      <c r="B52" s="1">
        <v>1806.69</v>
      </c>
      <c r="C52" s="1">
        <f t="shared" si="1"/>
        <v>1823.3259090909096</v>
      </c>
      <c r="D52" s="11"/>
      <c r="E52" s="1"/>
      <c r="F52" s="3"/>
      <c r="G52" s="3"/>
      <c r="H52" s="7"/>
    </row>
    <row r="53" spans="1:8" x14ac:dyDescent="0.3">
      <c r="A53" s="2">
        <v>40340</v>
      </c>
      <c r="B53" s="1">
        <v>1815.26</v>
      </c>
      <c r="C53" s="1">
        <f t="shared" si="1"/>
        <v>1818.6900000000007</v>
      </c>
      <c r="D53" s="11"/>
      <c r="E53" s="1"/>
      <c r="F53" s="3"/>
      <c r="G53" s="3"/>
      <c r="H53" s="7"/>
    </row>
    <row r="54" spans="1:8" x14ac:dyDescent="0.3">
      <c r="A54" s="2">
        <v>40343</v>
      </c>
      <c r="B54" s="1">
        <v>1812.02</v>
      </c>
      <c r="C54" s="1">
        <f t="shared" si="1"/>
        <v>1812.6795454545461</v>
      </c>
      <c r="D54" s="11"/>
      <c r="E54" s="1"/>
      <c r="F54" s="3"/>
      <c r="G54" s="3"/>
      <c r="H54" s="7"/>
    </row>
    <row r="55" spans="1:8" x14ac:dyDescent="0.3">
      <c r="A55" s="2">
        <v>40344</v>
      </c>
      <c r="B55" s="1">
        <v>1854.61</v>
      </c>
      <c r="C55" s="1">
        <f t="shared" si="1"/>
        <v>1809.6727272727273</v>
      </c>
      <c r="D55" s="11"/>
      <c r="E55" s="1"/>
      <c r="F55" s="3"/>
      <c r="G55" s="3"/>
      <c r="H55" s="7"/>
    </row>
    <row r="56" spans="1:8" x14ac:dyDescent="0.3">
      <c r="A56" s="2">
        <v>40345</v>
      </c>
      <c r="B56" s="1">
        <v>1853.62</v>
      </c>
      <c r="C56" s="1">
        <f t="shared" si="1"/>
        <v>1808.2613636363637</v>
      </c>
      <c r="D56" s="11"/>
      <c r="E56" s="1"/>
      <c r="F56" s="3"/>
      <c r="G56" s="3"/>
      <c r="H56" s="7"/>
    </row>
    <row r="57" spans="1:8" x14ac:dyDescent="0.3">
      <c r="A57" s="2">
        <v>40346</v>
      </c>
      <c r="B57" s="1">
        <v>1856.25</v>
      </c>
      <c r="C57" s="1">
        <f t="shared" si="1"/>
        <v>1806.8586363636364</v>
      </c>
      <c r="D57" s="11"/>
      <c r="E57" s="1"/>
      <c r="F57" s="3"/>
      <c r="G57" s="3"/>
      <c r="H57" s="7"/>
    </row>
    <row r="58" spans="1:8" x14ac:dyDescent="0.3">
      <c r="A58" s="2">
        <v>40347</v>
      </c>
      <c r="B58" s="1">
        <v>1858.7</v>
      </c>
      <c r="C58" s="1">
        <f t="shared" si="1"/>
        <v>1806.7699999999998</v>
      </c>
      <c r="D58" s="11"/>
      <c r="E58" s="1"/>
      <c r="F58" s="3"/>
      <c r="G58" s="3"/>
      <c r="H58" s="7"/>
    </row>
    <row r="59" spans="1:8" x14ac:dyDescent="0.3">
      <c r="A59" s="2">
        <v>40350</v>
      </c>
      <c r="B59" s="1">
        <v>1851.55</v>
      </c>
      <c r="C59" s="1">
        <f t="shared" si="1"/>
        <v>1806.7822727272726</v>
      </c>
      <c r="D59" s="11"/>
      <c r="E59" s="1"/>
      <c r="F59" s="3"/>
      <c r="G59" s="3"/>
      <c r="H59" s="7"/>
    </row>
    <row r="60" spans="1:8" x14ac:dyDescent="0.3">
      <c r="A60" s="2">
        <v>40351</v>
      </c>
      <c r="B60" s="1">
        <v>1822.05</v>
      </c>
      <c r="C60" s="1">
        <f t="shared" si="1"/>
        <v>1808.7254545454546</v>
      </c>
      <c r="D60" s="11"/>
      <c r="E60" s="1"/>
      <c r="F60" s="3"/>
      <c r="G60" s="3"/>
      <c r="H60" s="7"/>
    </row>
    <row r="61" spans="1:8" x14ac:dyDescent="0.3">
      <c r="A61" s="2">
        <v>40352</v>
      </c>
      <c r="B61" s="1">
        <v>1816.65</v>
      </c>
      <c r="C61" s="1">
        <f t="shared" si="1"/>
        <v>1809.207272727273</v>
      </c>
      <c r="D61" s="11"/>
      <c r="E61" s="1"/>
      <c r="F61" s="3"/>
      <c r="G61" s="3"/>
      <c r="H61" s="7"/>
    </row>
    <row r="62" spans="1:8" x14ac:dyDescent="0.3">
      <c r="A62" s="2">
        <v>40353</v>
      </c>
      <c r="B62" s="1">
        <v>1786.13</v>
      </c>
      <c r="C62" s="1">
        <f t="shared" si="1"/>
        <v>1809.36</v>
      </c>
      <c r="D62" s="11"/>
      <c r="E62" s="1"/>
      <c r="F62" s="3"/>
      <c r="G62" s="3"/>
      <c r="H62" s="7"/>
    </row>
    <row r="63" spans="1:8" x14ac:dyDescent="0.3">
      <c r="A63" s="2">
        <v>40354</v>
      </c>
      <c r="B63" s="1">
        <v>1791.24</v>
      </c>
      <c r="C63" s="1">
        <f t="shared" si="1"/>
        <v>1809.7163636363634</v>
      </c>
      <c r="D63" s="11"/>
      <c r="E63" s="1"/>
      <c r="F63" s="3"/>
      <c r="G63" s="3"/>
      <c r="H63" s="7"/>
    </row>
    <row r="64" spans="1:8" x14ac:dyDescent="0.3">
      <c r="A64" s="2">
        <v>40357</v>
      </c>
      <c r="B64" s="1">
        <v>1787.94</v>
      </c>
      <c r="C64" s="1">
        <f t="shared" si="1"/>
        <v>1810.3659090909089</v>
      </c>
      <c r="D64" s="11"/>
      <c r="E64" s="1"/>
      <c r="F64" s="3"/>
      <c r="G64" s="3"/>
      <c r="H64" s="7"/>
    </row>
    <row r="65" spans="1:8" x14ac:dyDescent="0.3">
      <c r="A65" s="2">
        <v>40358</v>
      </c>
      <c r="B65" s="1">
        <v>1732.55</v>
      </c>
      <c r="C65" s="1">
        <f t="shared" si="1"/>
        <v>1805.8177272727276</v>
      </c>
      <c r="D65" s="11"/>
      <c r="E65" s="1"/>
      <c r="F65" s="3"/>
      <c r="G65" s="3"/>
      <c r="H65" s="7"/>
    </row>
    <row r="66" spans="1:8" x14ac:dyDescent="0.3">
      <c r="A66" s="2">
        <v>40359</v>
      </c>
      <c r="B66" s="1">
        <v>1715.23</v>
      </c>
      <c r="C66" s="1">
        <f t="shared" si="1"/>
        <v>1801.5109090909098</v>
      </c>
      <c r="D66" s="11"/>
      <c r="E66" s="1"/>
      <c r="F66" s="3"/>
      <c r="G66" s="3"/>
      <c r="H66" s="7"/>
    </row>
    <row r="67" spans="1:8" x14ac:dyDescent="0.3">
      <c r="A67" s="2">
        <v>40360</v>
      </c>
      <c r="B67" s="1">
        <v>1709.77</v>
      </c>
      <c r="C67" s="1">
        <f t="shared" si="1"/>
        <v>1798.3645454545456</v>
      </c>
      <c r="D67" s="11"/>
      <c r="E67" s="1"/>
      <c r="F67" s="3"/>
      <c r="G67" s="3"/>
      <c r="H67" s="7"/>
    </row>
    <row r="68" spans="1:8" x14ac:dyDescent="0.3">
      <c r="A68" s="2">
        <v>40361</v>
      </c>
      <c r="B68" s="1">
        <v>1701.86</v>
      </c>
      <c r="C68" s="1">
        <f t="shared" si="1"/>
        <v>1792.7559090909092</v>
      </c>
      <c r="D68" s="11"/>
      <c r="E68" s="1"/>
      <c r="F68" s="3"/>
      <c r="G68" s="3"/>
      <c r="H68" s="7"/>
    </row>
    <row r="69" spans="1:8" x14ac:dyDescent="0.3">
      <c r="A69" s="2">
        <v>40365</v>
      </c>
      <c r="B69" s="1">
        <v>1710.97</v>
      </c>
      <c r="C69" s="1">
        <f t="shared" si="1"/>
        <v>1787.2218181818184</v>
      </c>
      <c r="D69" s="11"/>
      <c r="E69" s="1"/>
      <c r="F69" s="3"/>
      <c r="G69" s="3"/>
      <c r="H69" s="7"/>
    </row>
    <row r="70" spans="1:8" x14ac:dyDescent="0.3">
      <c r="A70" s="2">
        <v>40366</v>
      </c>
      <c r="B70" s="1">
        <v>1765.42</v>
      </c>
      <c r="C70" s="1">
        <f t="shared" si="1"/>
        <v>1787.0263636363636</v>
      </c>
      <c r="D70" s="11"/>
      <c r="E70" s="1"/>
      <c r="F70" s="3"/>
      <c r="G70" s="3"/>
      <c r="H70" s="7"/>
    </row>
    <row r="71" spans="1:8" x14ac:dyDescent="0.3">
      <c r="A71" s="2">
        <v>40367</v>
      </c>
      <c r="B71" s="1">
        <v>1782.1</v>
      </c>
      <c r="C71" s="1">
        <f t="shared" si="1"/>
        <v>1788.6731818181818</v>
      </c>
      <c r="D71" s="11"/>
      <c r="E71" s="1"/>
      <c r="F71" s="3"/>
      <c r="G71" s="3"/>
      <c r="H71" s="7"/>
    </row>
    <row r="72" spans="1:8" x14ac:dyDescent="0.3">
      <c r="A72" s="2">
        <v>40368</v>
      </c>
      <c r="B72" s="1">
        <v>1794.94</v>
      </c>
      <c r="C72" s="1">
        <f t="shared" si="1"/>
        <v>1790.0209090909091</v>
      </c>
      <c r="D72" s="11"/>
      <c r="E72" s="1"/>
      <c r="F72" s="3"/>
      <c r="G72" s="3"/>
      <c r="H72" s="7"/>
    </row>
    <row r="73" spans="1:8" x14ac:dyDescent="0.3">
      <c r="A73" s="2">
        <v>40371</v>
      </c>
      <c r="B73" s="1">
        <v>1796.3</v>
      </c>
      <c r="C73" s="1">
        <f t="shared" si="1"/>
        <v>1791.9022727272729</v>
      </c>
      <c r="D73" s="11"/>
      <c r="E73" s="1"/>
      <c r="F73" s="3"/>
      <c r="G73" s="3"/>
      <c r="H73" s="7"/>
    </row>
    <row r="74" spans="1:8" x14ac:dyDescent="0.3">
      <c r="A74" s="2">
        <v>40372</v>
      </c>
      <c r="B74" s="1">
        <v>1824.07</v>
      </c>
      <c r="C74" s="1">
        <f t="shared" si="1"/>
        <v>1792.6922727272729</v>
      </c>
      <c r="D74" s="11"/>
      <c r="E74" s="1"/>
      <c r="F74" s="3"/>
      <c r="G74" s="3"/>
      <c r="H74" s="7"/>
    </row>
    <row r="75" spans="1:8" x14ac:dyDescent="0.3">
      <c r="A75" s="2">
        <v>40373</v>
      </c>
      <c r="B75" s="1">
        <v>1823.82</v>
      </c>
      <c r="C75" s="1">
        <f t="shared" si="1"/>
        <v>1793.0813636363637</v>
      </c>
      <c r="D75" s="11"/>
      <c r="E75" s="1"/>
      <c r="F75" s="3"/>
      <c r="G75" s="3"/>
      <c r="H75" s="7"/>
    </row>
    <row r="76" spans="1:8" x14ac:dyDescent="0.3">
      <c r="A76" s="2">
        <v>40374</v>
      </c>
      <c r="B76" s="1">
        <v>1826</v>
      </c>
      <c r="C76" s="1">
        <f t="shared" si="1"/>
        <v>1793.7168181818181</v>
      </c>
      <c r="D76" s="11"/>
      <c r="E76" s="1"/>
      <c r="F76" s="3"/>
      <c r="G76" s="3"/>
      <c r="H76" s="7"/>
    </row>
    <row r="77" spans="1:8" x14ac:dyDescent="0.3">
      <c r="A77" s="2">
        <v>40375</v>
      </c>
      <c r="B77" s="1">
        <v>1773.43</v>
      </c>
      <c r="C77" s="1">
        <f t="shared" si="1"/>
        <v>1790.026818181818</v>
      </c>
      <c r="D77" s="11"/>
      <c r="E77" s="1"/>
      <c r="F77" s="3"/>
      <c r="G77" s="3"/>
      <c r="H77" s="7"/>
    </row>
    <row r="78" spans="1:8" x14ac:dyDescent="0.3">
      <c r="A78" s="2">
        <v>40378</v>
      </c>
      <c r="B78" s="1">
        <v>1784.06</v>
      </c>
      <c r="C78" s="1">
        <f t="shared" si="1"/>
        <v>1786.865</v>
      </c>
      <c r="D78" s="11"/>
      <c r="E78" s="1"/>
      <c r="F78" s="3"/>
      <c r="G78" s="3"/>
      <c r="H78" s="7"/>
    </row>
    <row r="79" spans="1:8" x14ac:dyDescent="0.3">
      <c r="A79" s="2">
        <v>40379</v>
      </c>
      <c r="B79" s="1">
        <v>1804.48</v>
      </c>
      <c r="C79" s="1">
        <f t="shared" si="1"/>
        <v>1784.5118181818182</v>
      </c>
      <c r="D79" s="11"/>
      <c r="E79" s="1"/>
      <c r="F79" s="3"/>
      <c r="G79" s="3"/>
      <c r="H79" s="7"/>
    </row>
    <row r="80" spans="1:8" x14ac:dyDescent="0.3">
      <c r="A80" s="2">
        <v>40380</v>
      </c>
      <c r="B80" s="1">
        <v>1781.6</v>
      </c>
      <c r="C80" s="1">
        <f t="shared" si="1"/>
        <v>1781.0072727272725</v>
      </c>
      <c r="D80" s="11"/>
      <c r="E80" s="1"/>
      <c r="F80" s="3"/>
      <c r="G80" s="3"/>
      <c r="H80" s="7"/>
    </row>
    <row r="81" spans="1:8" x14ac:dyDescent="0.3">
      <c r="A81" s="2">
        <v>40381</v>
      </c>
      <c r="B81" s="1">
        <v>1821.76</v>
      </c>
      <c r="C81" s="1">
        <f t="shared" si="1"/>
        <v>1779.6531818181816</v>
      </c>
      <c r="D81" s="11"/>
      <c r="E81" s="1"/>
      <c r="F81" s="3"/>
      <c r="G81" s="3"/>
      <c r="H81" s="7"/>
    </row>
    <row r="82" spans="1:8" x14ac:dyDescent="0.3">
      <c r="A82" s="2">
        <v>40382</v>
      </c>
      <c r="B82" s="1">
        <v>1836.75</v>
      </c>
      <c r="C82" s="1">
        <f t="shared" si="1"/>
        <v>1780.3213636363637</v>
      </c>
      <c r="D82" s="11"/>
      <c r="E82" s="1"/>
      <c r="F82" s="3"/>
      <c r="G82" s="3"/>
      <c r="H82" s="7"/>
    </row>
    <row r="83" spans="1:8" x14ac:dyDescent="0.3">
      <c r="A83" s="2">
        <v>40385</v>
      </c>
      <c r="B83" s="1">
        <v>1857.34</v>
      </c>
      <c r="C83" s="1">
        <f t="shared" si="1"/>
        <v>1782.1709090909089</v>
      </c>
      <c r="D83" s="11"/>
      <c r="E83" s="1"/>
      <c r="F83" s="3"/>
      <c r="G83" s="3"/>
      <c r="H83" s="7"/>
    </row>
    <row r="84" spans="1:8" x14ac:dyDescent="0.3">
      <c r="A84" s="2">
        <v>40386</v>
      </c>
      <c r="B84" s="1">
        <v>1855.39</v>
      </c>
      <c r="C84" s="1">
        <f t="shared" si="1"/>
        <v>1785.3190909090908</v>
      </c>
      <c r="D84" s="11"/>
      <c r="E84" s="1"/>
      <c r="F84" s="3"/>
      <c r="G84" s="3"/>
      <c r="H84" s="7"/>
    </row>
    <row r="85" spans="1:8" x14ac:dyDescent="0.3">
      <c r="A85" s="2">
        <v>40387</v>
      </c>
      <c r="B85" s="1">
        <v>1842.66</v>
      </c>
      <c r="C85" s="1">
        <f t="shared" si="1"/>
        <v>1787.6563636363637</v>
      </c>
      <c r="D85" s="11"/>
      <c r="E85" s="1"/>
      <c r="F85" s="3"/>
      <c r="G85" s="3"/>
      <c r="H85" s="7"/>
    </row>
    <row r="86" spans="1:8" x14ac:dyDescent="0.3">
      <c r="A86" s="2">
        <v>40388</v>
      </c>
      <c r="B86" s="1">
        <v>1835.29</v>
      </c>
      <c r="C86" s="1">
        <f t="shared" si="1"/>
        <v>1789.8086363636364</v>
      </c>
      <c r="D86" s="11"/>
      <c r="E86" s="1"/>
      <c r="F86" s="3"/>
      <c r="G86" s="3"/>
      <c r="H86" s="7"/>
    </row>
    <row r="87" spans="1:8" x14ac:dyDescent="0.3">
      <c r="A87" s="2">
        <v>40389</v>
      </c>
      <c r="B87" s="1">
        <v>1835.4</v>
      </c>
      <c r="C87" s="1">
        <f t="shared" si="1"/>
        <v>1794.4836363636366</v>
      </c>
      <c r="D87" s="11"/>
      <c r="E87" s="1"/>
      <c r="F87" s="3"/>
      <c r="G87" s="3"/>
      <c r="H87" s="7"/>
    </row>
    <row r="88" spans="1:8" x14ac:dyDescent="0.3">
      <c r="A88" s="2">
        <v>40392</v>
      </c>
      <c r="B88" s="1">
        <v>1875.85</v>
      </c>
      <c r="C88" s="1">
        <f t="shared" ref="C88:C151" si="2">AVERAGE(B67:B88)</f>
        <v>1801.7845454545457</v>
      </c>
      <c r="D88" s="11"/>
      <c r="E88" s="1"/>
      <c r="F88" s="3"/>
      <c r="G88" s="3"/>
      <c r="H88" s="7"/>
    </row>
    <row r="89" spans="1:8" x14ac:dyDescent="0.3">
      <c r="A89" s="2">
        <v>40393</v>
      </c>
      <c r="B89" s="1">
        <v>1866.87</v>
      </c>
      <c r="C89" s="1">
        <f t="shared" si="2"/>
        <v>1808.9254545454546</v>
      </c>
      <c r="D89" s="11"/>
      <c r="E89" s="1"/>
      <c r="F89" s="3"/>
      <c r="G89" s="3"/>
      <c r="H89" s="7"/>
    </row>
    <row r="90" spans="1:8" x14ac:dyDescent="0.3">
      <c r="A90" s="2">
        <v>40394</v>
      </c>
      <c r="B90" s="1">
        <v>1878.81</v>
      </c>
      <c r="C90" s="1">
        <f t="shared" si="2"/>
        <v>1816.9686363636363</v>
      </c>
      <c r="D90" s="11"/>
      <c r="E90" s="1"/>
      <c r="F90" s="3"/>
      <c r="G90" s="3"/>
      <c r="H90" s="7"/>
    </row>
    <row r="91" spans="1:8" x14ac:dyDescent="0.3">
      <c r="A91" s="2">
        <v>40395</v>
      </c>
      <c r="B91" s="1">
        <v>1876.51</v>
      </c>
      <c r="C91" s="1">
        <f t="shared" si="2"/>
        <v>1824.4931818181817</v>
      </c>
      <c r="D91" s="11"/>
      <c r="E91" s="1"/>
      <c r="F91" s="3"/>
      <c r="G91" s="3"/>
      <c r="H91" s="7"/>
    </row>
    <row r="92" spans="1:8" x14ac:dyDescent="0.3">
      <c r="A92" s="2">
        <v>40396</v>
      </c>
      <c r="B92" s="1">
        <v>1869.77</v>
      </c>
      <c r="C92" s="1">
        <f t="shared" si="2"/>
        <v>1829.2363636363634</v>
      </c>
      <c r="D92" s="11"/>
      <c r="E92" s="1"/>
      <c r="F92" s="3"/>
      <c r="G92" s="3"/>
      <c r="H92" s="7"/>
    </row>
    <row r="93" spans="1:8" x14ac:dyDescent="0.3">
      <c r="A93" s="2">
        <v>40399</v>
      </c>
      <c r="B93" s="1">
        <v>1880.06</v>
      </c>
      <c r="C93" s="1">
        <f t="shared" si="2"/>
        <v>1833.6890909090907</v>
      </c>
      <c r="D93" s="11"/>
      <c r="E93" s="1"/>
      <c r="F93" s="3"/>
      <c r="G93" s="3"/>
      <c r="H93" s="7"/>
    </row>
    <row r="94" spans="1:8" x14ac:dyDescent="0.3">
      <c r="A94" s="2">
        <v>40400</v>
      </c>
      <c r="B94" s="1">
        <v>1868.88</v>
      </c>
      <c r="C94" s="1">
        <f t="shared" si="2"/>
        <v>1837.0499999999995</v>
      </c>
      <c r="D94" s="11"/>
      <c r="E94" s="1"/>
      <c r="F94" s="3"/>
      <c r="G94" s="3"/>
      <c r="H94" s="7"/>
    </row>
    <row r="95" spans="1:8" x14ac:dyDescent="0.3">
      <c r="A95" s="2">
        <v>40401</v>
      </c>
      <c r="B95" s="1">
        <v>1817.13</v>
      </c>
      <c r="C95" s="1">
        <f t="shared" si="2"/>
        <v>1837.9968181818176</v>
      </c>
      <c r="D95" s="11"/>
      <c r="E95" s="1"/>
      <c r="F95" s="3"/>
      <c r="G95" s="3"/>
      <c r="H95" s="7"/>
    </row>
    <row r="96" spans="1:8" x14ac:dyDescent="0.3">
      <c r="A96" s="2">
        <v>40402</v>
      </c>
      <c r="B96" s="1">
        <v>1807.61</v>
      </c>
      <c r="C96" s="1">
        <f t="shared" si="2"/>
        <v>1837.248636363636</v>
      </c>
      <c r="D96" s="11"/>
      <c r="E96" s="1"/>
      <c r="F96" s="3"/>
      <c r="G96" s="3"/>
      <c r="H96" s="7"/>
    </row>
    <row r="97" spans="1:8" x14ac:dyDescent="0.3">
      <c r="A97" s="2">
        <v>40403</v>
      </c>
      <c r="B97" s="1">
        <v>1800.39</v>
      </c>
      <c r="C97" s="1">
        <f t="shared" si="2"/>
        <v>1836.183636363636</v>
      </c>
      <c r="D97" s="11"/>
      <c r="E97" s="1"/>
      <c r="F97" s="3"/>
      <c r="G97" s="3"/>
      <c r="H97" s="7"/>
    </row>
    <row r="98" spans="1:8" x14ac:dyDescent="0.3">
      <c r="A98" s="2">
        <v>40406</v>
      </c>
      <c r="B98" s="1">
        <v>1800.7</v>
      </c>
      <c r="C98" s="1">
        <f t="shared" si="2"/>
        <v>1835.0336363636359</v>
      </c>
      <c r="D98" s="11"/>
      <c r="E98" s="1"/>
      <c r="F98" s="3"/>
      <c r="G98" s="3"/>
      <c r="H98" s="7"/>
    </row>
    <row r="99" spans="1:8" x14ac:dyDescent="0.3">
      <c r="A99" s="2">
        <v>40407</v>
      </c>
      <c r="B99" s="1">
        <v>1823.18</v>
      </c>
      <c r="C99" s="1">
        <f t="shared" si="2"/>
        <v>1837.2949999999998</v>
      </c>
      <c r="D99" s="11"/>
      <c r="E99" s="1"/>
      <c r="F99" s="3"/>
      <c r="G99" s="3"/>
      <c r="H99" s="7"/>
    </row>
    <row r="100" spans="1:8" x14ac:dyDescent="0.3">
      <c r="A100" s="2">
        <v>40408</v>
      </c>
      <c r="B100" s="1">
        <v>1826.14</v>
      </c>
      <c r="C100" s="1">
        <f t="shared" si="2"/>
        <v>1839.2077272727272</v>
      </c>
      <c r="D100" s="11"/>
      <c r="E100" s="1"/>
      <c r="F100" s="3"/>
      <c r="G100" s="3"/>
      <c r="H100" s="7"/>
    </row>
    <row r="101" spans="1:8" x14ac:dyDescent="0.3">
      <c r="A101" s="2">
        <v>40409</v>
      </c>
      <c r="B101" s="1">
        <v>1795.24</v>
      </c>
      <c r="C101" s="1">
        <f t="shared" si="2"/>
        <v>1838.7877272727274</v>
      </c>
      <c r="D101" s="11"/>
      <c r="E101" s="1"/>
      <c r="F101" s="3"/>
      <c r="G101" s="3"/>
      <c r="H101" s="7"/>
    </row>
    <row r="102" spans="1:8" x14ac:dyDescent="0.3">
      <c r="A102" s="2">
        <v>40410</v>
      </c>
      <c r="B102" s="1">
        <v>1788.67</v>
      </c>
      <c r="C102" s="1">
        <f t="shared" si="2"/>
        <v>1839.109090909091</v>
      </c>
      <c r="D102" s="11"/>
      <c r="E102" s="1"/>
      <c r="F102" s="3"/>
      <c r="G102" s="3"/>
      <c r="H102" s="7"/>
    </row>
    <row r="103" spans="1:8" x14ac:dyDescent="0.3">
      <c r="A103" s="2">
        <v>40413</v>
      </c>
      <c r="B103" s="1">
        <v>1781.47</v>
      </c>
      <c r="C103" s="1">
        <f t="shared" si="2"/>
        <v>1837.2777272727274</v>
      </c>
      <c r="D103" s="11"/>
      <c r="E103" s="1"/>
      <c r="F103" s="3"/>
      <c r="G103" s="3"/>
      <c r="H103" s="7"/>
    </row>
    <row r="104" spans="1:8" x14ac:dyDescent="0.3">
      <c r="A104" s="2">
        <v>40414</v>
      </c>
      <c r="B104" s="1">
        <v>1755.65</v>
      </c>
      <c r="C104" s="1">
        <f t="shared" si="2"/>
        <v>1833.5913636363637</v>
      </c>
      <c r="D104" s="11"/>
      <c r="E104" s="1"/>
      <c r="F104" s="3"/>
      <c r="G104" s="3"/>
      <c r="H104" s="7"/>
    </row>
    <row r="105" spans="1:8" x14ac:dyDescent="0.3">
      <c r="A105" s="2">
        <v>40415</v>
      </c>
      <c r="B105" s="1">
        <v>1761.62</v>
      </c>
      <c r="C105" s="1">
        <f t="shared" si="2"/>
        <v>1829.2404545454549</v>
      </c>
      <c r="D105" s="11"/>
      <c r="E105" s="1"/>
      <c r="F105" s="3"/>
      <c r="G105" s="3"/>
      <c r="H105" s="7"/>
    </row>
    <row r="106" spans="1:8" x14ac:dyDescent="0.3">
      <c r="A106" s="2">
        <v>40416</v>
      </c>
      <c r="B106" s="1">
        <v>1748.14</v>
      </c>
      <c r="C106" s="1">
        <f t="shared" si="2"/>
        <v>1824.3654545454549</v>
      </c>
      <c r="D106" s="11"/>
      <c r="E106" s="1"/>
      <c r="F106" s="3"/>
      <c r="G106" s="3"/>
      <c r="H106" s="7"/>
    </row>
    <row r="107" spans="1:8" x14ac:dyDescent="0.3">
      <c r="A107" s="2">
        <v>40417</v>
      </c>
      <c r="B107" s="1">
        <v>1777.6</v>
      </c>
      <c r="C107" s="1">
        <f t="shared" si="2"/>
        <v>1821.4081818181819</v>
      </c>
      <c r="D107" s="11"/>
      <c r="E107" s="1"/>
      <c r="F107" s="3"/>
      <c r="G107" s="3"/>
      <c r="H107" s="7"/>
    </row>
    <row r="108" spans="1:8" x14ac:dyDescent="0.3">
      <c r="A108" s="2">
        <v>40420</v>
      </c>
      <c r="B108" s="1">
        <v>1751.79</v>
      </c>
      <c r="C108" s="1">
        <f t="shared" si="2"/>
        <v>1817.6127272727279</v>
      </c>
      <c r="D108" s="11"/>
      <c r="E108" s="1"/>
      <c r="F108" s="3"/>
      <c r="G108" s="3"/>
      <c r="H108" s="7"/>
    </row>
    <row r="109" spans="1:8" x14ac:dyDescent="0.3">
      <c r="A109" s="2">
        <v>40421</v>
      </c>
      <c r="B109" s="1">
        <v>1752.55</v>
      </c>
      <c r="C109" s="1">
        <f t="shared" si="2"/>
        <v>1813.8468181818187</v>
      </c>
      <c r="D109" s="11"/>
      <c r="E109" s="1"/>
      <c r="F109" s="3"/>
      <c r="G109" s="3"/>
      <c r="H109" s="7"/>
    </row>
    <row r="110" spans="1:8" x14ac:dyDescent="0.3">
      <c r="A110" s="2">
        <v>40422</v>
      </c>
      <c r="B110" s="1">
        <v>1804.46</v>
      </c>
      <c r="C110" s="1">
        <f t="shared" si="2"/>
        <v>1810.6018181818183</v>
      </c>
      <c r="D110" s="11"/>
      <c r="E110" s="1"/>
      <c r="F110" s="3"/>
      <c r="G110" s="3"/>
      <c r="H110" s="7"/>
    </row>
    <row r="111" spans="1:8" x14ac:dyDescent="0.3">
      <c r="A111" s="2">
        <v>40423</v>
      </c>
      <c r="B111" s="1">
        <v>1820.98</v>
      </c>
      <c r="C111" s="1">
        <f t="shared" si="2"/>
        <v>1808.5159090909094</v>
      </c>
      <c r="D111" s="11"/>
      <c r="E111" s="1"/>
      <c r="F111" s="3"/>
      <c r="G111" s="3"/>
      <c r="H111" s="7"/>
    </row>
    <row r="112" spans="1:8" x14ac:dyDescent="0.3">
      <c r="A112" s="2">
        <v>40424</v>
      </c>
      <c r="B112" s="1">
        <v>1845.1</v>
      </c>
      <c r="C112" s="1">
        <f t="shared" si="2"/>
        <v>1806.9836363636364</v>
      </c>
      <c r="D112" s="11"/>
      <c r="E112" s="1"/>
      <c r="F112" s="3"/>
      <c r="G112" s="3"/>
      <c r="H112" s="7"/>
    </row>
    <row r="113" spans="1:8" x14ac:dyDescent="0.3">
      <c r="A113" s="2">
        <v>40428</v>
      </c>
      <c r="B113" s="1">
        <v>1824.05</v>
      </c>
      <c r="C113" s="1">
        <f t="shared" si="2"/>
        <v>1804.5990909090913</v>
      </c>
      <c r="D113" s="11"/>
      <c r="E113" s="1"/>
      <c r="F113" s="3"/>
      <c r="G113" s="3"/>
      <c r="H113" s="7"/>
    </row>
    <row r="114" spans="1:8" x14ac:dyDescent="0.3">
      <c r="A114" s="2">
        <v>40429</v>
      </c>
      <c r="B114" s="1">
        <v>1836.21</v>
      </c>
      <c r="C114" s="1">
        <f t="shared" si="2"/>
        <v>1803.0736363636365</v>
      </c>
      <c r="D114" s="11"/>
      <c r="E114" s="1"/>
      <c r="F114" s="3"/>
      <c r="G114" s="3"/>
      <c r="H114" s="7"/>
    </row>
    <row r="115" spans="1:8" x14ac:dyDescent="0.3">
      <c r="A115" s="2">
        <v>40430</v>
      </c>
      <c r="B115" s="1">
        <v>1845.09</v>
      </c>
      <c r="C115" s="1">
        <f t="shared" si="2"/>
        <v>1801.4840909090906</v>
      </c>
      <c r="D115" s="11"/>
      <c r="E115" s="1"/>
      <c r="F115" s="3"/>
      <c r="G115" s="3"/>
      <c r="H115" s="7"/>
    </row>
    <row r="116" spans="1:8" x14ac:dyDescent="0.3">
      <c r="A116" s="2">
        <v>40431</v>
      </c>
      <c r="B116" s="1">
        <v>1854.1</v>
      </c>
      <c r="C116" s="1">
        <f t="shared" si="2"/>
        <v>1800.8122727272721</v>
      </c>
      <c r="D116" s="11"/>
      <c r="E116" s="1"/>
      <c r="F116" s="3"/>
      <c r="G116" s="3"/>
      <c r="H116" s="7"/>
    </row>
    <row r="117" spans="1:8" x14ac:dyDescent="0.3">
      <c r="A117" s="2">
        <v>40434</v>
      </c>
      <c r="B117" s="1">
        <v>1875.41</v>
      </c>
      <c r="C117" s="1">
        <f t="shared" si="2"/>
        <v>1803.4613636363633</v>
      </c>
      <c r="D117" s="11"/>
      <c r="E117" s="1"/>
      <c r="F117" s="3"/>
      <c r="G117" s="3"/>
      <c r="H117" s="7"/>
    </row>
    <row r="118" spans="1:8" x14ac:dyDescent="0.3">
      <c r="A118" s="2">
        <v>40435</v>
      </c>
      <c r="B118" s="1">
        <v>1874.07</v>
      </c>
      <c r="C118" s="1">
        <f t="shared" si="2"/>
        <v>1806.4822727272724</v>
      </c>
      <c r="D118" s="11"/>
      <c r="E118" s="1"/>
      <c r="F118" s="3"/>
      <c r="G118" s="3"/>
      <c r="H118" s="7"/>
    </row>
    <row r="119" spans="1:8" x14ac:dyDescent="0.3">
      <c r="A119" s="2">
        <v>40436</v>
      </c>
      <c r="B119" s="1">
        <v>1880.74</v>
      </c>
      <c r="C119" s="1">
        <f t="shared" si="2"/>
        <v>1810.1345454545451</v>
      </c>
      <c r="D119" s="11"/>
      <c r="E119" s="1"/>
      <c r="F119" s="3"/>
      <c r="G119" s="3"/>
      <c r="H119" s="7"/>
    </row>
    <row r="120" spans="1:8" x14ac:dyDescent="0.3">
      <c r="A120" s="2">
        <v>40437</v>
      </c>
      <c r="B120" s="1">
        <v>1880.37</v>
      </c>
      <c r="C120" s="1">
        <f t="shared" si="2"/>
        <v>1813.755909090909</v>
      </c>
      <c r="D120" s="11"/>
      <c r="E120" s="1"/>
      <c r="F120" s="3"/>
      <c r="G120" s="3"/>
      <c r="H120" s="7"/>
    </row>
    <row r="121" spans="1:8" x14ac:dyDescent="0.3">
      <c r="A121" s="2">
        <v>40438</v>
      </c>
      <c r="B121" s="1">
        <v>1881.93</v>
      </c>
      <c r="C121" s="1">
        <f t="shared" si="2"/>
        <v>1816.4263636363635</v>
      </c>
      <c r="D121" s="11"/>
      <c r="E121" s="1"/>
      <c r="F121" s="3"/>
      <c r="G121" s="3"/>
      <c r="H121" s="7"/>
    </row>
    <row r="122" spans="1:8" x14ac:dyDescent="0.3">
      <c r="A122" s="2">
        <v>40441</v>
      </c>
      <c r="B122" s="1">
        <v>1910.6</v>
      </c>
      <c r="C122" s="1">
        <f t="shared" si="2"/>
        <v>1820.2654545454543</v>
      </c>
      <c r="D122" s="11"/>
      <c r="E122" s="1"/>
      <c r="F122" s="3"/>
      <c r="G122" s="3"/>
      <c r="H122" s="7"/>
    </row>
    <row r="123" spans="1:8" x14ac:dyDescent="0.3">
      <c r="A123" s="2">
        <v>40442</v>
      </c>
      <c r="B123" s="1">
        <v>1905.74</v>
      </c>
      <c r="C123" s="1">
        <f t="shared" si="2"/>
        <v>1825.2881818181816</v>
      </c>
      <c r="D123" s="11"/>
      <c r="E123" s="1"/>
      <c r="F123" s="3"/>
      <c r="G123" s="3"/>
      <c r="H123" s="7"/>
    </row>
    <row r="124" spans="1:8" x14ac:dyDescent="0.3">
      <c r="A124" s="2">
        <v>40443</v>
      </c>
      <c r="B124" s="1">
        <v>1896.77</v>
      </c>
      <c r="C124" s="1">
        <f t="shared" si="2"/>
        <v>1830.2018181818175</v>
      </c>
      <c r="D124" s="11"/>
      <c r="E124" s="1"/>
      <c r="F124" s="3"/>
      <c r="G124" s="3"/>
      <c r="H124" s="7"/>
    </row>
    <row r="125" spans="1:8" x14ac:dyDescent="0.3">
      <c r="A125" s="2">
        <v>40444</v>
      </c>
      <c r="B125" s="1">
        <v>1880.97</v>
      </c>
      <c r="C125" s="1">
        <f t="shared" si="2"/>
        <v>1834.7245454545448</v>
      </c>
      <c r="D125" s="11"/>
      <c r="E125" s="1"/>
      <c r="F125" s="3"/>
      <c r="G125" s="3"/>
      <c r="H125" s="7"/>
    </row>
    <row r="126" spans="1:8" x14ac:dyDescent="0.3">
      <c r="A126" s="2">
        <v>40445</v>
      </c>
      <c r="B126" s="1">
        <v>1920.84</v>
      </c>
      <c r="C126" s="1">
        <f t="shared" si="2"/>
        <v>1842.2331818181813</v>
      </c>
      <c r="D126" s="11"/>
      <c r="E126" s="1"/>
      <c r="F126" s="3"/>
      <c r="G126" s="3"/>
      <c r="H126" s="7"/>
    </row>
    <row r="127" spans="1:8" x14ac:dyDescent="0.3">
      <c r="A127" s="2">
        <v>40448</v>
      </c>
      <c r="B127" s="1">
        <v>1909.98</v>
      </c>
      <c r="C127" s="1">
        <f t="shared" si="2"/>
        <v>1848.9768181818181</v>
      </c>
      <c r="D127" s="11"/>
      <c r="E127" s="1"/>
      <c r="F127" s="3"/>
      <c r="G127" s="3"/>
      <c r="H127" s="7"/>
    </row>
    <row r="128" spans="1:8" x14ac:dyDescent="0.3">
      <c r="A128" s="2">
        <v>40449</v>
      </c>
      <c r="B128" s="1">
        <v>1919.59</v>
      </c>
      <c r="C128" s="1">
        <f t="shared" si="2"/>
        <v>1856.7699999999998</v>
      </c>
      <c r="D128" s="11"/>
      <c r="E128" s="1"/>
      <c r="F128" s="3"/>
      <c r="G128" s="3"/>
      <c r="H128" s="7"/>
    </row>
    <row r="129" spans="1:8" x14ac:dyDescent="0.3">
      <c r="A129" s="2">
        <v>40450</v>
      </c>
      <c r="B129" s="1">
        <v>1914.84</v>
      </c>
      <c r="C129" s="1">
        <f t="shared" si="2"/>
        <v>1863.0081818181816</v>
      </c>
      <c r="D129" s="11"/>
      <c r="E129" s="1"/>
      <c r="F129" s="3"/>
      <c r="G129" s="3"/>
      <c r="H129" s="7"/>
    </row>
    <row r="130" spans="1:8" x14ac:dyDescent="0.3">
      <c r="A130" s="2">
        <v>40451</v>
      </c>
      <c r="B130" s="1">
        <v>1908.95</v>
      </c>
      <c r="C130" s="1">
        <f t="shared" si="2"/>
        <v>1870.151818181818</v>
      </c>
      <c r="D130" s="11"/>
      <c r="E130" s="1"/>
      <c r="F130" s="3"/>
      <c r="G130" s="3"/>
      <c r="H130" s="7"/>
    </row>
    <row r="131" spans="1:8" x14ac:dyDescent="0.3">
      <c r="A131" s="2">
        <v>40452</v>
      </c>
      <c r="B131" s="1">
        <v>1917.42</v>
      </c>
      <c r="C131" s="1">
        <f t="shared" si="2"/>
        <v>1877.6459090909086</v>
      </c>
      <c r="D131" s="11"/>
      <c r="E131" s="1"/>
      <c r="F131" s="3"/>
      <c r="G131" s="3"/>
      <c r="H131" s="7"/>
    </row>
    <row r="132" spans="1:8" x14ac:dyDescent="0.3">
      <c r="A132" s="2">
        <v>40455</v>
      </c>
      <c r="B132" s="1">
        <v>1902.15</v>
      </c>
      <c r="C132" s="1">
        <f t="shared" si="2"/>
        <v>1882.0863636363633</v>
      </c>
      <c r="D132" s="11"/>
      <c r="E132" s="1"/>
      <c r="F132" s="3"/>
      <c r="G132" s="3"/>
      <c r="H132" s="7"/>
    </row>
    <row r="133" spans="1:8" x14ac:dyDescent="0.3">
      <c r="A133" s="2">
        <v>40456</v>
      </c>
      <c r="B133" s="1">
        <v>1941.82</v>
      </c>
      <c r="C133" s="1">
        <f t="shared" si="2"/>
        <v>1887.5790909090908</v>
      </c>
      <c r="D133" s="11"/>
      <c r="E133" s="1"/>
      <c r="F133" s="3"/>
      <c r="G133" s="3"/>
      <c r="H133" s="7"/>
    </row>
    <row r="134" spans="1:8" x14ac:dyDescent="0.3">
      <c r="A134" s="2">
        <v>40457</v>
      </c>
      <c r="B134" s="1">
        <v>1941.5</v>
      </c>
      <c r="C134" s="1">
        <f t="shared" si="2"/>
        <v>1891.9609090909091</v>
      </c>
      <c r="D134" s="11"/>
      <c r="E134" s="1"/>
      <c r="F134" s="3"/>
      <c r="G134" s="3"/>
      <c r="H134" s="7"/>
    </row>
    <row r="135" spans="1:8" x14ac:dyDescent="0.3">
      <c r="A135" s="2">
        <v>40458</v>
      </c>
      <c r="B135" s="1">
        <v>1938.31</v>
      </c>
      <c r="C135" s="1">
        <f t="shared" si="2"/>
        <v>1897.1545454545455</v>
      </c>
      <c r="D135" s="11"/>
      <c r="E135" s="1"/>
      <c r="F135" s="3"/>
      <c r="G135" s="3"/>
      <c r="H135" s="7"/>
    </row>
    <row r="136" spans="1:8" x14ac:dyDescent="0.3">
      <c r="A136" s="2">
        <v>40459</v>
      </c>
      <c r="B136" s="1">
        <v>1950.18</v>
      </c>
      <c r="C136" s="1">
        <f t="shared" si="2"/>
        <v>1902.335</v>
      </c>
      <c r="D136" s="11"/>
      <c r="E136" s="1"/>
      <c r="F136" s="3"/>
      <c r="G136" s="3"/>
      <c r="H136" s="7"/>
    </row>
    <row r="137" spans="1:8" x14ac:dyDescent="0.3">
      <c r="A137" s="2">
        <v>40462</v>
      </c>
      <c r="B137" s="1">
        <v>1950.47</v>
      </c>
      <c r="C137" s="1">
        <f t="shared" si="2"/>
        <v>1907.125</v>
      </c>
      <c r="D137" s="11"/>
      <c r="E137" s="1"/>
      <c r="F137" s="3"/>
      <c r="G137" s="3"/>
      <c r="H137" s="7"/>
    </row>
    <row r="138" spans="1:8" x14ac:dyDescent="0.3">
      <c r="A138" s="2">
        <v>40463</v>
      </c>
      <c r="B138" s="1">
        <v>1957.92</v>
      </c>
      <c r="C138" s="1">
        <f t="shared" si="2"/>
        <v>1911.8440909090909</v>
      </c>
      <c r="D138" s="11"/>
      <c r="E138" s="1"/>
      <c r="F138" s="3"/>
      <c r="G138" s="3"/>
      <c r="H138" s="7"/>
    </row>
    <row r="139" spans="1:8" x14ac:dyDescent="0.3">
      <c r="A139" s="2">
        <v>40464</v>
      </c>
      <c r="B139" s="1">
        <v>1972.08</v>
      </c>
      <c r="C139" s="1">
        <f t="shared" si="2"/>
        <v>1916.2381818181818</v>
      </c>
      <c r="D139" s="11"/>
      <c r="E139" s="1"/>
      <c r="F139" s="3"/>
      <c r="G139" s="3"/>
      <c r="H139" s="7"/>
    </row>
    <row r="140" spans="1:8" x14ac:dyDescent="0.3">
      <c r="A140" s="2">
        <v>40465</v>
      </c>
      <c r="B140" s="1">
        <v>1964.9</v>
      </c>
      <c r="C140" s="1">
        <f t="shared" si="2"/>
        <v>1920.3668181818182</v>
      </c>
      <c r="D140" s="11"/>
      <c r="E140" s="1"/>
      <c r="F140" s="3"/>
      <c r="G140" s="3"/>
      <c r="H140" s="7"/>
    </row>
    <row r="141" spans="1:8" x14ac:dyDescent="0.3">
      <c r="A141" s="2">
        <v>40466</v>
      </c>
      <c r="B141" s="1">
        <v>1968.87</v>
      </c>
      <c r="C141" s="1">
        <f t="shared" si="2"/>
        <v>1924.3727272727274</v>
      </c>
      <c r="D141" s="11"/>
      <c r="E141" s="1"/>
      <c r="F141" s="3"/>
      <c r="G141" s="3"/>
      <c r="H141" s="7"/>
    </row>
    <row r="142" spans="1:8" x14ac:dyDescent="0.3">
      <c r="A142" s="2">
        <v>40469</v>
      </c>
      <c r="B142" s="1">
        <v>1983.17</v>
      </c>
      <c r="C142" s="1">
        <f t="shared" si="2"/>
        <v>1929.045454545455</v>
      </c>
      <c r="D142" s="11"/>
      <c r="E142" s="1"/>
      <c r="F142" s="3"/>
      <c r="G142" s="3"/>
      <c r="H142" s="7"/>
    </row>
    <row r="143" spans="1:8" x14ac:dyDescent="0.3">
      <c r="A143" s="2">
        <v>40470</v>
      </c>
      <c r="B143" s="1">
        <v>1951.67</v>
      </c>
      <c r="C143" s="1">
        <f t="shared" si="2"/>
        <v>1932.2154545454548</v>
      </c>
      <c r="D143" s="11"/>
      <c r="E143" s="1"/>
      <c r="F143" s="3"/>
      <c r="G143" s="3"/>
      <c r="H143" s="7"/>
    </row>
    <row r="144" spans="1:8" x14ac:dyDescent="0.3">
      <c r="A144" s="2">
        <v>40471</v>
      </c>
      <c r="B144" s="1">
        <v>1972.51</v>
      </c>
      <c r="C144" s="1">
        <f t="shared" si="2"/>
        <v>1935.0295454545458</v>
      </c>
      <c r="D144" s="11"/>
      <c r="E144" s="1"/>
      <c r="F144" s="3"/>
      <c r="G144" s="3"/>
      <c r="H144" s="7"/>
    </row>
    <row r="145" spans="1:8" x14ac:dyDescent="0.3">
      <c r="A145" s="2">
        <v>40472</v>
      </c>
      <c r="B145" s="1">
        <v>1976.12</v>
      </c>
      <c r="C145" s="1">
        <f t="shared" si="2"/>
        <v>1938.228636363637</v>
      </c>
      <c r="D145" s="11"/>
      <c r="E145" s="1"/>
      <c r="F145" s="3"/>
      <c r="G145" s="3"/>
      <c r="H145" s="7"/>
    </row>
    <row r="146" spans="1:8" x14ac:dyDescent="0.3">
      <c r="A146" s="2">
        <v>40473</v>
      </c>
      <c r="B146" s="1">
        <v>1980.83</v>
      </c>
      <c r="C146" s="1">
        <f t="shared" si="2"/>
        <v>1942.049545454546</v>
      </c>
      <c r="D146" s="11"/>
      <c r="E146" s="1"/>
      <c r="F146" s="3"/>
      <c r="G146" s="3"/>
      <c r="H146" s="7"/>
    </row>
    <row r="147" spans="1:8" x14ac:dyDescent="0.3">
      <c r="A147" s="2">
        <v>40476</v>
      </c>
      <c r="B147" s="1">
        <v>1985.11</v>
      </c>
      <c r="C147" s="1">
        <f t="shared" si="2"/>
        <v>1946.7831818181824</v>
      </c>
      <c r="D147" s="11"/>
      <c r="E147" s="1"/>
      <c r="F147" s="3"/>
      <c r="G147" s="3"/>
      <c r="H147" s="7"/>
    </row>
    <row r="148" spans="1:8" x14ac:dyDescent="0.3">
      <c r="A148" s="2">
        <v>40477</v>
      </c>
      <c r="B148" s="1">
        <v>1985.13</v>
      </c>
      <c r="C148" s="1">
        <f t="shared" si="2"/>
        <v>1949.7054545454548</v>
      </c>
      <c r="D148" s="11"/>
      <c r="E148" s="1"/>
      <c r="F148" s="3"/>
      <c r="G148" s="3"/>
      <c r="H148" s="7"/>
    </row>
    <row r="149" spans="1:8" x14ac:dyDescent="0.3">
      <c r="A149" s="2">
        <v>40478</v>
      </c>
      <c r="B149" s="1">
        <v>1980.05</v>
      </c>
      <c r="C149" s="1">
        <f t="shared" si="2"/>
        <v>1952.890454545455</v>
      </c>
      <c r="D149" s="11"/>
      <c r="E149" s="1"/>
      <c r="F149" s="3"/>
      <c r="G149" s="3"/>
      <c r="H149" s="7"/>
    </row>
    <row r="150" spans="1:8" x14ac:dyDescent="0.3">
      <c r="A150" s="2">
        <v>40479</v>
      </c>
      <c r="B150" s="1">
        <v>1982.45</v>
      </c>
      <c r="C150" s="1">
        <f t="shared" si="2"/>
        <v>1955.7477272727272</v>
      </c>
      <c r="D150" s="11"/>
      <c r="E150" s="1"/>
      <c r="F150" s="3"/>
      <c r="G150" s="3"/>
      <c r="H150" s="7"/>
    </row>
    <row r="151" spans="1:8" x14ac:dyDescent="0.3">
      <c r="A151" s="2">
        <v>40480</v>
      </c>
      <c r="B151" s="1">
        <v>1981.59</v>
      </c>
      <c r="C151" s="1">
        <f t="shared" si="2"/>
        <v>1958.7818181818182</v>
      </c>
      <c r="D151" s="11"/>
      <c r="E151" s="1"/>
      <c r="F151" s="3"/>
      <c r="G151" s="3"/>
      <c r="H151" s="7"/>
    </row>
    <row r="152" spans="1:8" x14ac:dyDescent="0.3">
      <c r="A152" s="2">
        <v>40483</v>
      </c>
      <c r="B152" s="1">
        <v>1983.47</v>
      </c>
      <c r="C152" s="1">
        <f t="shared" ref="C152:C215" si="3">AVERAGE(B131:B152)</f>
        <v>1962.1690909090905</v>
      </c>
      <c r="D152" s="11"/>
      <c r="E152" s="1"/>
      <c r="F152" s="3"/>
      <c r="G152" s="3"/>
      <c r="H152" s="7"/>
    </row>
    <row r="153" spans="1:8" x14ac:dyDescent="0.3">
      <c r="A153" s="2">
        <v>40484</v>
      </c>
      <c r="B153" s="1">
        <v>1998.86</v>
      </c>
      <c r="C153" s="1">
        <f t="shared" si="3"/>
        <v>1965.870909090909</v>
      </c>
      <c r="D153" s="11"/>
      <c r="E153" s="1"/>
      <c r="F153" s="3"/>
      <c r="G153" s="3"/>
      <c r="H153" s="7"/>
    </row>
    <row r="154" spans="1:8" x14ac:dyDescent="0.3">
      <c r="A154" s="2">
        <v>40485</v>
      </c>
      <c r="B154" s="1">
        <v>2006.58</v>
      </c>
      <c r="C154" s="1">
        <f t="shared" si="3"/>
        <v>1970.6177272727271</v>
      </c>
      <c r="D154" s="11"/>
      <c r="E154" s="1"/>
      <c r="F154" s="3"/>
      <c r="G154" s="3"/>
      <c r="H154" s="7"/>
    </row>
    <row r="155" spans="1:8" x14ac:dyDescent="0.3">
      <c r="A155" s="2">
        <v>40486</v>
      </c>
      <c r="B155" s="1">
        <v>2045.62</v>
      </c>
      <c r="C155" s="1">
        <f t="shared" si="3"/>
        <v>1975.3359090909091</v>
      </c>
      <c r="D155" s="11"/>
      <c r="E155" s="1"/>
      <c r="F155" s="3"/>
      <c r="G155" s="3"/>
      <c r="H155" s="7"/>
    </row>
    <row r="156" spans="1:8" x14ac:dyDescent="0.3">
      <c r="A156" s="2">
        <v>40487</v>
      </c>
      <c r="B156" s="1">
        <v>2053.77</v>
      </c>
      <c r="C156" s="1">
        <f t="shared" si="3"/>
        <v>1980.439090909091</v>
      </c>
      <c r="D156" s="11"/>
      <c r="E156" s="1"/>
      <c r="F156" s="3"/>
      <c r="G156" s="3"/>
      <c r="H156" s="7"/>
    </row>
    <row r="157" spans="1:8" x14ac:dyDescent="0.3">
      <c r="A157" s="2">
        <v>40490</v>
      </c>
      <c r="B157" s="1">
        <v>2049.69</v>
      </c>
      <c r="C157" s="1">
        <f t="shared" si="3"/>
        <v>1985.5018181818182</v>
      </c>
      <c r="D157" s="11"/>
      <c r="E157" s="1"/>
      <c r="F157" s="3"/>
      <c r="G157" s="3"/>
      <c r="H157" s="7"/>
    </row>
    <row r="158" spans="1:8" x14ac:dyDescent="0.3">
      <c r="A158" s="2">
        <v>40491</v>
      </c>
      <c r="B158" s="1">
        <v>2033.85</v>
      </c>
      <c r="C158" s="1">
        <f t="shared" si="3"/>
        <v>1989.3050000000003</v>
      </c>
      <c r="D158" s="11"/>
      <c r="E158" s="1"/>
      <c r="F158" s="3"/>
      <c r="G158" s="3"/>
      <c r="H158" s="7"/>
    </row>
    <row r="159" spans="1:8" x14ac:dyDescent="0.3">
      <c r="A159" s="2">
        <v>40492</v>
      </c>
      <c r="B159" s="1">
        <v>2043.16</v>
      </c>
      <c r="C159" s="1">
        <f t="shared" si="3"/>
        <v>1993.5181818181823</v>
      </c>
      <c r="D159" s="11"/>
      <c r="E159" s="1"/>
      <c r="F159" s="3"/>
      <c r="G159" s="3"/>
      <c r="H159" s="7"/>
    </row>
    <row r="160" spans="1:8" x14ac:dyDescent="0.3">
      <c r="A160" s="2">
        <v>40493</v>
      </c>
      <c r="B160" s="1">
        <v>2034.48</v>
      </c>
      <c r="C160" s="1">
        <f t="shared" si="3"/>
        <v>1996.998181818182</v>
      </c>
      <c r="D160" s="11"/>
      <c r="E160" s="1"/>
      <c r="F160" s="3"/>
      <c r="G160" s="3"/>
      <c r="H160" s="7"/>
    </row>
    <row r="161" spans="1:8" x14ac:dyDescent="0.3">
      <c r="A161" s="2">
        <v>40494</v>
      </c>
      <c r="B161" s="1">
        <v>2010.57</v>
      </c>
      <c r="C161" s="1">
        <f t="shared" si="3"/>
        <v>1998.7477272727278</v>
      </c>
      <c r="D161" s="11"/>
      <c r="E161" s="1"/>
      <c r="F161" s="3"/>
      <c r="G161" s="3"/>
      <c r="H161" s="7"/>
    </row>
    <row r="162" spans="1:8" x14ac:dyDescent="0.3">
      <c r="A162" s="2">
        <v>40497</v>
      </c>
      <c r="B162" s="1">
        <v>2008.25</v>
      </c>
      <c r="C162" s="1">
        <f t="shared" si="3"/>
        <v>2000.7181818181823</v>
      </c>
      <c r="D162" s="11"/>
      <c r="E162" s="1"/>
      <c r="F162" s="3"/>
      <c r="G162" s="3"/>
      <c r="H162" s="7"/>
    </row>
    <row r="163" spans="1:8" x14ac:dyDescent="0.3">
      <c r="A163" s="2">
        <v>40498</v>
      </c>
      <c r="B163" s="1">
        <v>1976.26</v>
      </c>
      <c r="C163" s="1">
        <f t="shared" si="3"/>
        <v>2001.0540909090914</v>
      </c>
      <c r="D163" s="11"/>
      <c r="E163" s="1"/>
      <c r="F163" s="3"/>
      <c r="G163" s="3"/>
      <c r="H163" s="7"/>
    </row>
    <row r="164" spans="1:8" x14ac:dyDescent="0.3">
      <c r="A164" s="2">
        <v>40499</v>
      </c>
      <c r="B164" s="1">
        <v>1977</v>
      </c>
      <c r="C164" s="1">
        <f t="shared" si="3"/>
        <v>2000.7736363636366</v>
      </c>
      <c r="D164" s="11"/>
      <c r="E164" s="1"/>
      <c r="F164" s="3"/>
      <c r="G164" s="3"/>
      <c r="H164" s="7"/>
    </row>
    <row r="165" spans="1:8" x14ac:dyDescent="0.3">
      <c r="A165" s="2">
        <v>40500</v>
      </c>
      <c r="B165" s="1">
        <v>2007.38</v>
      </c>
      <c r="C165" s="1">
        <f t="shared" si="3"/>
        <v>2003.3059090909092</v>
      </c>
      <c r="D165" s="11"/>
      <c r="E165" s="1"/>
      <c r="F165" s="3"/>
      <c r="G165" s="3"/>
      <c r="H165" s="7"/>
    </row>
    <row r="166" spans="1:8" x14ac:dyDescent="0.3">
      <c r="A166" s="2">
        <v>40501</v>
      </c>
      <c r="B166" s="1">
        <v>2012.59</v>
      </c>
      <c r="C166" s="1">
        <f t="shared" si="3"/>
        <v>2005.1277272727273</v>
      </c>
      <c r="D166" s="11"/>
      <c r="E166" s="1"/>
      <c r="F166" s="3"/>
      <c r="G166" s="3"/>
      <c r="H166" s="7"/>
    </row>
    <row r="167" spans="1:8" x14ac:dyDescent="0.3">
      <c r="A167" s="2">
        <v>40504</v>
      </c>
      <c r="B167" s="1">
        <v>2009.52</v>
      </c>
      <c r="C167" s="1">
        <f t="shared" si="3"/>
        <v>2006.6459090909084</v>
      </c>
      <c r="D167" s="11"/>
      <c r="E167" s="1"/>
      <c r="F167" s="3"/>
      <c r="G167" s="3"/>
      <c r="H167" s="7"/>
    </row>
    <row r="168" spans="1:8" x14ac:dyDescent="0.3">
      <c r="A168" s="2">
        <v>40505</v>
      </c>
      <c r="B168" s="1">
        <v>1980.89</v>
      </c>
      <c r="C168" s="1">
        <f t="shared" si="3"/>
        <v>2006.6486363636359</v>
      </c>
      <c r="D168" s="11"/>
      <c r="E168" s="1"/>
      <c r="F168" s="3"/>
      <c r="G168" s="3"/>
      <c r="H168" s="7"/>
    </row>
    <row r="169" spans="1:8" x14ac:dyDescent="0.3">
      <c r="A169" s="2">
        <v>40506</v>
      </c>
      <c r="B169" s="1">
        <v>2010.56</v>
      </c>
      <c r="C169" s="1">
        <f t="shared" si="3"/>
        <v>2007.805454545454</v>
      </c>
      <c r="D169" s="11"/>
      <c r="E169" s="1"/>
      <c r="F169" s="3"/>
      <c r="G169" s="3"/>
      <c r="H169" s="7"/>
    </row>
    <row r="170" spans="1:8" x14ac:dyDescent="0.3">
      <c r="A170" s="2">
        <v>40508</v>
      </c>
      <c r="B170" s="1">
        <v>1996.03</v>
      </c>
      <c r="C170" s="1">
        <f t="shared" si="3"/>
        <v>2008.3009090909081</v>
      </c>
      <c r="D170" s="11"/>
      <c r="E170" s="1"/>
      <c r="F170" s="3"/>
      <c r="G170" s="3"/>
      <c r="H170" s="7"/>
    </row>
    <row r="171" spans="1:8" x14ac:dyDescent="0.3">
      <c r="A171" s="2">
        <v>40511</v>
      </c>
      <c r="B171" s="1">
        <v>1993.83</v>
      </c>
      <c r="C171" s="1">
        <f t="shared" si="3"/>
        <v>2008.9272727272726</v>
      </c>
      <c r="D171" s="11"/>
      <c r="E171" s="1"/>
      <c r="F171" s="3"/>
      <c r="G171" s="3"/>
      <c r="H171" s="7"/>
    </row>
    <row r="172" spans="1:8" x14ac:dyDescent="0.3">
      <c r="A172" s="2">
        <v>40512</v>
      </c>
      <c r="B172" s="1">
        <v>1981.84</v>
      </c>
      <c r="C172" s="1">
        <f t="shared" si="3"/>
        <v>2008.8995454545452</v>
      </c>
      <c r="D172" s="11"/>
      <c r="E172" s="1"/>
      <c r="F172" s="3"/>
      <c r="G172" s="3"/>
      <c r="H172" s="7"/>
    </row>
    <row r="173" spans="1:8" x14ac:dyDescent="0.3">
      <c r="A173" s="2">
        <v>40513</v>
      </c>
      <c r="B173" s="1">
        <v>2024.97</v>
      </c>
      <c r="C173" s="1">
        <f t="shared" si="3"/>
        <v>2010.8713636363636</v>
      </c>
      <c r="D173" s="11"/>
      <c r="E173" s="1"/>
      <c r="F173" s="3"/>
      <c r="G173" s="3"/>
      <c r="H173" s="7"/>
    </row>
    <row r="174" spans="1:8" x14ac:dyDescent="0.3">
      <c r="A174" s="2">
        <v>40514</v>
      </c>
      <c r="B174" s="1">
        <v>2050.96</v>
      </c>
      <c r="C174" s="1">
        <f t="shared" si="3"/>
        <v>2013.9390909090907</v>
      </c>
      <c r="D174" s="11"/>
      <c r="E174" s="1"/>
      <c r="F174" s="3"/>
      <c r="G174" s="3"/>
      <c r="H174" s="7"/>
    </row>
    <row r="175" spans="1:8" x14ac:dyDescent="0.3">
      <c r="A175" s="2">
        <v>40515</v>
      </c>
      <c r="B175" s="1">
        <v>2056.4</v>
      </c>
      <c r="C175" s="1">
        <f t="shared" si="3"/>
        <v>2016.5545454545456</v>
      </c>
      <c r="D175" s="11"/>
      <c r="E175" s="1"/>
      <c r="F175" s="3"/>
      <c r="G175" s="3"/>
      <c r="H175" s="7"/>
    </row>
    <row r="176" spans="1:8" x14ac:dyDescent="0.3">
      <c r="A176" s="2">
        <v>40518</v>
      </c>
      <c r="B176" s="1">
        <v>2053.8000000000002</v>
      </c>
      <c r="C176" s="1">
        <f t="shared" si="3"/>
        <v>2018.7009090909089</v>
      </c>
      <c r="D176" s="11"/>
      <c r="E176" s="1"/>
      <c r="F176" s="3"/>
      <c r="G176" s="3"/>
      <c r="H176" s="7"/>
    </row>
    <row r="177" spans="1:8" x14ac:dyDescent="0.3">
      <c r="A177" s="2">
        <v>40519</v>
      </c>
      <c r="B177" s="1">
        <v>2054.89</v>
      </c>
      <c r="C177" s="1">
        <f t="shared" si="3"/>
        <v>2019.1222727272727</v>
      </c>
      <c r="D177" s="11"/>
      <c r="E177" s="1"/>
      <c r="F177" s="3"/>
      <c r="G177" s="3"/>
      <c r="H177" s="7"/>
    </row>
    <row r="178" spans="1:8" x14ac:dyDescent="0.3">
      <c r="A178" s="2">
        <v>40520</v>
      </c>
      <c r="B178" s="1">
        <v>2063.0300000000002</v>
      </c>
      <c r="C178" s="1">
        <f t="shared" si="3"/>
        <v>2019.5431818181817</v>
      </c>
      <c r="D178" s="11"/>
      <c r="E178" s="1"/>
      <c r="F178" s="3"/>
      <c r="G178" s="3"/>
      <c r="H178" s="7"/>
    </row>
    <row r="179" spans="1:8" x14ac:dyDescent="0.3">
      <c r="A179" s="2">
        <v>40521</v>
      </c>
      <c r="B179" s="1">
        <v>2071.12</v>
      </c>
      <c r="C179" s="1">
        <f t="shared" si="3"/>
        <v>2020.5172727272732</v>
      </c>
      <c r="D179" s="11"/>
      <c r="E179" s="1"/>
      <c r="F179" s="3"/>
      <c r="G179" s="3"/>
      <c r="H179" s="7"/>
    </row>
    <row r="180" spans="1:8" x14ac:dyDescent="0.3">
      <c r="A180" s="2">
        <v>40522</v>
      </c>
      <c r="B180" s="1">
        <v>2083.5700000000002</v>
      </c>
      <c r="C180" s="1">
        <f t="shared" si="3"/>
        <v>2022.7772727272727</v>
      </c>
      <c r="D180" s="11"/>
      <c r="E180" s="1"/>
      <c r="F180" s="3"/>
      <c r="G180" s="3"/>
      <c r="H180" s="7"/>
    </row>
    <row r="181" spans="1:8" x14ac:dyDescent="0.3">
      <c r="A181" s="2">
        <v>40525</v>
      </c>
      <c r="B181" s="1">
        <v>2084</v>
      </c>
      <c r="C181" s="1">
        <f t="shared" si="3"/>
        <v>2024.6336363636365</v>
      </c>
      <c r="D181" s="11"/>
      <c r="E181" s="1"/>
      <c r="F181" s="3"/>
      <c r="G181" s="3"/>
      <c r="H181" s="7"/>
    </row>
    <row r="182" spans="1:8" x14ac:dyDescent="0.3">
      <c r="A182" s="2">
        <v>40526</v>
      </c>
      <c r="B182" s="1">
        <v>2085.9299999999998</v>
      </c>
      <c r="C182" s="1">
        <f t="shared" si="3"/>
        <v>2026.9722727272726</v>
      </c>
      <c r="D182" s="11"/>
      <c r="E182" s="1"/>
      <c r="F182" s="3"/>
      <c r="G182" s="3"/>
      <c r="H182" s="7"/>
    </row>
    <row r="183" spans="1:8" x14ac:dyDescent="0.3">
      <c r="A183" s="2">
        <v>40527</v>
      </c>
      <c r="B183" s="1">
        <v>2075.29</v>
      </c>
      <c r="C183" s="1">
        <f t="shared" si="3"/>
        <v>2029.9140909090909</v>
      </c>
      <c r="D183" s="11"/>
      <c r="E183" s="1"/>
      <c r="F183" s="3"/>
      <c r="G183" s="3"/>
      <c r="H183" s="7"/>
    </row>
    <row r="184" spans="1:8" x14ac:dyDescent="0.3">
      <c r="A184" s="2">
        <v>40528</v>
      </c>
      <c r="B184" s="1">
        <v>2088.19</v>
      </c>
      <c r="C184" s="1">
        <f t="shared" si="3"/>
        <v>2033.5477272727273</v>
      </c>
      <c r="D184" s="11"/>
      <c r="E184" s="1"/>
      <c r="F184" s="3"/>
      <c r="G184" s="3"/>
      <c r="H184" s="7"/>
    </row>
    <row r="185" spans="1:8" x14ac:dyDescent="0.3">
      <c r="A185" s="2">
        <v>40529</v>
      </c>
      <c r="B185" s="1">
        <v>2089.9499999999998</v>
      </c>
      <c r="C185" s="1">
        <f t="shared" si="3"/>
        <v>2038.7154545454543</v>
      </c>
      <c r="D185" s="11"/>
      <c r="E185" s="1"/>
      <c r="F185" s="3"/>
      <c r="G185" s="3"/>
      <c r="H185" s="7"/>
    </row>
    <row r="186" spans="1:8" x14ac:dyDescent="0.3">
      <c r="A186" s="2">
        <v>40532</v>
      </c>
      <c r="B186" s="1">
        <v>2095.3200000000002</v>
      </c>
      <c r="C186" s="1">
        <f t="shared" si="3"/>
        <v>2044.0936363636363</v>
      </c>
      <c r="D186" s="11"/>
      <c r="E186" s="1"/>
      <c r="F186" s="3"/>
      <c r="G186" s="3"/>
      <c r="H186" s="7"/>
    </row>
    <row r="187" spans="1:8" x14ac:dyDescent="0.3">
      <c r="A187" s="2">
        <v>40533</v>
      </c>
      <c r="B187" s="1">
        <v>2108.2600000000002</v>
      </c>
      <c r="C187" s="1">
        <f t="shared" si="3"/>
        <v>2048.6790909090905</v>
      </c>
      <c r="D187" s="11"/>
      <c r="E187" s="1"/>
      <c r="F187" s="3"/>
      <c r="G187" s="3"/>
      <c r="H187" s="7"/>
    </row>
    <row r="188" spans="1:8" x14ac:dyDescent="0.3">
      <c r="A188" s="2">
        <v>40534</v>
      </c>
      <c r="B188" s="1">
        <v>2115.69</v>
      </c>
      <c r="C188" s="1">
        <f t="shared" si="3"/>
        <v>2053.3654545454547</v>
      </c>
      <c r="D188" s="11"/>
      <c r="E188" s="1"/>
      <c r="F188" s="3"/>
      <c r="G188" s="3"/>
      <c r="H188" s="7"/>
    </row>
    <row r="189" spans="1:8" x14ac:dyDescent="0.3">
      <c r="A189" s="2">
        <v>40535</v>
      </c>
      <c r="B189" s="1">
        <v>2112.37</v>
      </c>
      <c r="C189" s="1">
        <f t="shared" si="3"/>
        <v>2058.0404545454544</v>
      </c>
      <c r="D189" s="11"/>
      <c r="E189" s="1"/>
      <c r="F189" s="3"/>
      <c r="G189" s="3"/>
      <c r="H189" s="7"/>
    </row>
    <row r="190" spans="1:8" x14ac:dyDescent="0.3">
      <c r="A190" s="2">
        <v>40539</v>
      </c>
      <c r="B190" s="1">
        <v>2113.67</v>
      </c>
      <c r="C190" s="1">
        <f t="shared" si="3"/>
        <v>2064.0759090909091</v>
      </c>
      <c r="D190" s="11"/>
      <c r="E190" s="1"/>
      <c r="F190" s="3"/>
      <c r="G190" s="3"/>
      <c r="H190" s="7"/>
    </row>
    <row r="191" spans="1:8" x14ac:dyDescent="0.3">
      <c r="A191" s="2">
        <v>40540</v>
      </c>
      <c r="B191" s="1">
        <v>2115.3200000000002</v>
      </c>
      <c r="C191" s="1">
        <f t="shared" si="3"/>
        <v>2068.8377272727271</v>
      </c>
      <c r="D191" s="11"/>
      <c r="E191" s="1"/>
      <c r="F191" s="3"/>
      <c r="G191" s="3"/>
      <c r="H191" s="7"/>
    </row>
    <row r="192" spans="1:8" x14ac:dyDescent="0.3">
      <c r="A192" s="2">
        <v>40541</v>
      </c>
      <c r="B192" s="1">
        <v>2117.83</v>
      </c>
      <c r="C192" s="1">
        <f t="shared" si="3"/>
        <v>2074.3740909090916</v>
      </c>
      <c r="D192" s="11"/>
      <c r="E192" s="1"/>
      <c r="F192" s="3"/>
      <c r="G192" s="3"/>
      <c r="H192" s="7"/>
    </row>
    <row r="193" spans="1:8" x14ac:dyDescent="0.3">
      <c r="A193" s="2">
        <v>40542</v>
      </c>
      <c r="B193" s="1">
        <v>2114.6999999999998</v>
      </c>
      <c r="C193" s="1">
        <f t="shared" si="3"/>
        <v>2079.8681818181822</v>
      </c>
      <c r="D193" s="11"/>
      <c r="E193" s="1"/>
      <c r="F193" s="3"/>
      <c r="G193" s="3"/>
      <c r="H193" s="7"/>
    </row>
    <row r="194" spans="1:8" x14ac:dyDescent="0.3">
      <c r="A194" s="2">
        <v>40543</v>
      </c>
      <c r="B194" s="1">
        <v>2114.29</v>
      </c>
      <c r="C194" s="1">
        <f t="shared" si="3"/>
        <v>2085.8886363636366</v>
      </c>
      <c r="D194" s="11"/>
      <c r="E194" s="1"/>
      <c r="F194" s="3"/>
      <c r="G194" s="3"/>
      <c r="H194" s="7"/>
    </row>
    <row r="195" spans="1:8" x14ac:dyDescent="0.3">
      <c r="A195" s="2">
        <v>40546</v>
      </c>
      <c r="B195" s="1">
        <v>2138.3000000000002</v>
      </c>
      <c r="C195" s="1">
        <f t="shared" si="3"/>
        <v>2091.04</v>
      </c>
      <c r="D195" s="11"/>
      <c r="E195" s="1"/>
      <c r="F195" s="3"/>
      <c r="G195" s="3"/>
      <c r="H195" s="7"/>
    </row>
    <row r="196" spans="1:8" x14ac:dyDescent="0.3">
      <c r="A196" s="2">
        <v>40547</v>
      </c>
      <c r="B196" s="1">
        <v>2135.5300000000002</v>
      </c>
      <c r="C196" s="1">
        <f t="shared" si="3"/>
        <v>2094.8840909090909</v>
      </c>
      <c r="D196" s="11"/>
      <c r="E196" s="1"/>
      <c r="F196" s="3"/>
      <c r="G196" s="3"/>
      <c r="H196" s="7"/>
    </row>
    <row r="197" spans="1:8" x14ac:dyDescent="0.3">
      <c r="A197" s="2">
        <v>40548</v>
      </c>
      <c r="B197" s="1">
        <v>2146.5</v>
      </c>
      <c r="C197" s="1">
        <f t="shared" si="3"/>
        <v>2098.9795454545451</v>
      </c>
      <c r="D197" s="11"/>
      <c r="E197" s="1"/>
      <c r="F197" s="3"/>
      <c r="G197" s="3"/>
      <c r="H197" s="7"/>
    </row>
    <row r="198" spans="1:8" x14ac:dyDescent="0.3">
      <c r="A198" s="2">
        <v>40549</v>
      </c>
      <c r="B198" s="1">
        <v>2142.7600000000002</v>
      </c>
      <c r="C198" s="1">
        <f t="shared" si="3"/>
        <v>2103.0231818181819</v>
      </c>
      <c r="D198" s="11"/>
      <c r="E198" s="1"/>
      <c r="F198" s="3"/>
      <c r="G198" s="3"/>
      <c r="H198" s="7"/>
    </row>
    <row r="199" spans="1:8" x14ac:dyDescent="0.3">
      <c r="A199" s="2">
        <v>40550</v>
      </c>
      <c r="B199" s="1">
        <v>2138.81</v>
      </c>
      <c r="C199" s="1">
        <f t="shared" si="3"/>
        <v>2106.8377272727271</v>
      </c>
      <c r="D199" s="11"/>
      <c r="E199" s="1"/>
      <c r="F199" s="3"/>
      <c r="G199" s="3"/>
      <c r="H199" s="7"/>
    </row>
    <row r="200" spans="1:8" x14ac:dyDescent="0.3">
      <c r="A200" s="2">
        <v>40553</v>
      </c>
      <c r="B200" s="1">
        <v>2135.86</v>
      </c>
      <c r="C200" s="1">
        <f t="shared" si="3"/>
        <v>2110.1481818181815</v>
      </c>
      <c r="D200" s="11"/>
      <c r="E200" s="1"/>
      <c r="F200" s="3"/>
      <c r="G200" s="3"/>
      <c r="H200" s="7"/>
    </row>
    <row r="201" spans="1:8" x14ac:dyDescent="0.3">
      <c r="A201" s="2">
        <v>40554</v>
      </c>
      <c r="B201" s="1">
        <v>2143.8200000000002</v>
      </c>
      <c r="C201" s="1">
        <f t="shared" si="3"/>
        <v>2113.4527272727273</v>
      </c>
      <c r="D201" s="11"/>
      <c r="E201" s="1"/>
      <c r="F201" s="3"/>
      <c r="G201" s="3"/>
      <c r="H201" s="7"/>
    </row>
    <row r="202" spans="1:8" x14ac:dyDescent="0.3">
      <c r="A202" s="2">
        <v>40555</v>
      </c>
      <c r="B202" s="1">
        <v>2163.36</v>
      </c>
      <c r="C202" s="1">
        <f t="shared" si="3"/>
        <v>2117.0795454545455</v>
      </c>
      <c r="D202" s="11"/>
      <c r="E202" s="1"/>
      <c r="F202" s="3"/>
      <c r="G202" s="3"/>
      <c r="H202" s="7"/>
    </row>
    <row r="203" spans="1:8" x14ac:dyDescent="0.3">
      <c r="A203" s="2">
        <v>40556</v>
      </c>
      <c r="B203" s="1">
        <v>2159.66</v>
      </c>
      <c r="C203" s="1">
        <f t="shared" si="3"/>
        <v>2120.5186363636367</v>
      </c>
      <c r="D203" s="11"/>
      <c r="E203" s="1"/>
      <c r="F203" s="3"/>
      <c r="G203" s="3"/>
      <c r="H203" s="7"/>
    </row>
    <row r="204" spans="1:8" x14ac:dyDescent="0.3">
      <c r="A204" s="2">
        <v>40557</v>
      </c>
      <c r="B204" s="1">
        <v>2175.6799999999998</v>
      </c>
      <c r="C204" s="1">
        <f t="shared" si="3"/>
        <v>2124.5981818181817</v>
      </c>
      <c r="D204" s="11"/>
      <c r="E204" s="1"/>
      <c r="F204" s="3"/>
      <c r="G204" s="3"/>
      <c r="H204" s="7"/>
    </row>
    <row r="205" spans="1:8" x14ac:dyDescent="0.3">
      <c r="A205" s="2">
        <v>40561</v>
      </c>
      <c r="B205" s="1">
        <v>2178.7199999999998</v>
      </c>
      <c r="C205" s="1">
        <f t="shared" si="3"/>
        <v>2129.2995454545458</v>
      </c>
      <c r="D205" s="11"/>
      <c r="E205" s="1"/>
      <c r="F205" s="3"/>
      <c r="G205" s="3"/>
      <c r="H205" s="7"/>
    </row>
    <row r="206" spans="1:8" x14ac:dyDescent="0.3">
      <c r="A206" s="2">
        <v>40562</v>
      </c>
      <c r="B206" s="1">
        <v>2156.9699999999998</v>
      </c>
      <c r="C206" s="1">
        <f t="shared" si="3"/>
        <v>2132.425909090909</v>
      </c>
      <c r="D206" s="11"/>
      <c r="E206" s="1"/>
      <c r="F206" s="3"/>
      <c r="G206" s="3"/>
      <c r="H206" s="7"/>
    </row>
    <row r="207" spans="1:8" x14ac:dyDescent="0.3">
      <c r="A207" s="2">
        <v>40563</v>
      </c>
      <c r="B207" s="1">
        <v>2154.1799999999998</v>
      </c>
      <c r="C207" s="1">
        <f t="shared" si="3"/>
        <v>2135.3454545454547</v>
      </c>
      <c r="D207" s="11"/>
      <c r="E207" s="1"/>
      <c r="F207" s="3"/>
      <c r="G207" s="3"/>
      <c r="H207" s="7"/>
    </row>
    <row r="208" spans="1:8" x14ac:dyDescent="0.3">
      <c r="A208" s="2">
        <v>40564</v>
      </c>
      <c r="B208" s="1">
        <v>2159.4299999999998</v>
      </c>
      <c r="C208" s="1">
        <f t="shared" si="3"/>
        <v>2138.2595454545453</v>
      </c>
      <c r="D208" s="11"/>
      <c r="E208" s="1"/>
      <c r="F208" s="3"/>
      <c r="G208" s="3"/>
      <c r="H208" s="7"/>
    </row>
    <row r="209" spans="1:8" x14ac:dyDescent="0.3">
      <c r="A209" s="2">
        <v>40567</v>
      </c>
      <c r="B209" s="1">
        <v>2172.0300000000002</v>
      </c>
      <c r="C209" s="1">
        <f t="shared" si="3"/>
        <v>2141.1581818181821</v>
      </c>
      <c r="D209" s="11"/>
      <c r="E209" s="1"/>
      <c r="F209" s="3"/>
      <c r="G209" s="3"/>
      <c r="H209" s="7"/>
    </row>
    <row r="210" spans="1:8" x14ac:dyDescent="0.3">
      <c r="A210" s="2">
        <v>40568</v>
      </c>
      <c r="B210" s="1">
        <v>2172.67</v>
      </c>
      <c r="C210" s="1">
        <f t="shared" si="3"/>
        <v>2143.7481818181818</v>
      </c>
      <c r="D210" s="11"/>
      <c r="E210" s="1"/>
      <c r="F210" s="3"/>
      <c r="G210" s="3"/>
      <c r="H210" s="7"/>
    </row>
    <row r="211" spans="1:8" x14ac:dyDescent="0.3">
      <c r="A211" s="2">
        <v>40569</v>
      </c>
      <c r="B211" s="1">
        <v>2181.92</v>
      </c>
      <c r="C211" s="1">
        <f t="shared" si="3"/>
        <v>2146.9095454545454</v>
      </c>
      <c r="D211" s="11"/>
      <c r="E211" s="1"/>
      <c r="F211" s="3"/>
      <c r="G211" s="3"/>
      <c r="H211" s="7"/>
    </row>
    <row r="212" spans="1:8" x14ac:dyDescent="0.3">
      <c r="A212" s="2">
        <v>40570</v>
      </c>
      <c r="B212" s="1">
        <v>2186.9299999999998</v>
      </c>
      <c r="C212" s="1">
        <f t="shared" si="3"/>
        <v>2150.2395454545454</v>
      </c>
      <c r="D212" s="11"/>
      <c r="E212" s="1"/>
      <c r="F212" s="3"/>
      <c r="G212" s="3"/>
      <c r="H212" s="7"/>
    </row>
    <row r="213" spans="1:8" x14ac:dyDescent="0.3">
      <c r="A213" s="2">
        <v>40571</v>
      </c>
      <c r="B213" s="1">
        <v>2147.9499999999998</v>
      </c>
      <c r="C213" s="1">
        <f t="shared" si="3"/>
        <v>2151.7227272727268</v>
      </c>
      <c r="D213" s="11"/>
      <c r="E213" s="1"/>
      <c r="F213" s="3"/>
      <c r="G213" s="3"/>
      <c r="H213" s="7"/>
    </row>
    <row r="214" spans="1:8" x14ac:dyDescent="0.3">
      <c r="A214" s="2">
        <v>40574</v>
      </c>
      <c r="B214" s="1">
        <v>2164.4</v>
      </c>
      <c r="C214" s="1">
        <f t="shared" si="3"/>
        <v>2153.8395454545453</v>
      </c>
      <c r="D214" s="11"/>
      <c r="E214" s="1"/>
      <c r="F214" s="3"/>
      <c r="G214" s="3"/>
      <c r="H214" s="7"/>
    </row>
    <row r="215" spans="1:8" x14ac:dyDescent="0.3">
      <c r="A215" s="2">
        <v>40575</v>
      </c>
      <c r="B215" s="1">
        <v>2200.54</v>
      </c>
      <c r="C215" s="1">
        <f t="shared" si="3"/>
        <v>2157.741363636364</v>
      </c>
      <c r="D215" s="11"/>
      <c r="E215" s="1"/>
      <c r="F215" s="3"/>
      <c r="G215" s="3"/>
      <c r="H215" s="7"/>
    </row>
    <row r="216" spans="1:8" x14ac:dyDescent="0.3">
      <c r="A216" s="2">
        <v>40576</v>
      </c>
      <c r="B216" s="1">
        <v>2194.94</v>
      </c>
      <c r="C216" s="1">
        <f t="shared" ref="C216:C248" si="4">AVERAGE(B195:B216)</f>
        <v>2161.4072727272728</v>
      </c>
      <c r="D216" s="11"/>
      <c r="E216" s="1"/>
      <c r="F216" s="3"/>
      <c r="G216" s="3"/>
      <c r="H216" s="7"/>
    </row>
    <row r="217" spans="1:8" x14ac:dyDescent="0.3">
      <c r="A217" s="2">
        <v>40577</v>
      </c>
      <c r="B217" s="1">
        <v>2200.42</v>
      </c>
      <c r="C217" s="1">
        <f t="shared" si="4"/>
        <v>2164.2309090909093</v>
      </c>
      <c r="D217" s="11"/>
      <c r="E217" s="1"/>
      <c r="F217" s="3"/>
      <c r="G217" s="3"/>
      <c r="H217" s="7"/>
    </row>
    <row r="218" spans="1:8" x14ac:dyDescent="0.3">
      <c r="A218" s="2">
        <v>40578</v>
      </c>
      <c r="B218" s="1">
        <v>2206.8000000000002</v>
      </c>
      <c r="C218" s="1">
        <f t="shared" si="4"/>
        <v>2167.4704545454547</v>
      </c>
      <c r="D218" s="11"/>
      <c r="E218" s="1"/>
      <c r="F218" s="3"/>
      <c r="G218" s="3"/>
      <c r="H218" s="7"/>
    </row>
    <row r="219" spans="1:8" x14ac:dyDescent="0.3">
      <c r="A219" s="2">
        <v>40581</v>
      </c>
      <c r="B219" s="1">
        <v>2220.6</v>
      </c>
      <c r="C219" s="1">
        <f t="shared" si="4"/>
        <v>2170.8386363636364</v>
      </c>
      <c r="D219" s="11"/>
      <c r="E219" s="1"/>
      <c r="F219" s="3"/>
      <c r="G219" s="3"/>
      <c r="H219" s="7"/>
    </row>
    <row r="220" spans="1:8" x14ac:dyDescent="0.3">
      <c r="A220" s="2">
        <v>40582</v>
      </c>
      <c r="B220" s="1">
        <v>2230.59</v>
      </c>
      <c r="C220" s="1">
        <f t="shared" si="4"/>
        <v>2174.8309090909092</v>
      </c>
      <c r="D220" s="11"/>
      <c r="E220" s="1"/>
      <c r="F220" s="3"/>
      <c r="G220" s="3"/>
      <c r="H220" s="7"/>
    </row>
    <row r="221" spans="1:8" x14ac:dyDescent="0.3">
      <c r="A221" s="2">
        <v>40583</v>
      </c>
      <c r="B221" s="1">
        <v>2224.64</v>
      </c>
      <c r="C221" s="1">
        <f t="shared" si="4"/>
        <v>2178.7322727272726</v>
      </c>
      <c r="D221" s="11"/>
      <c r="E221" s="1"/>
      <c r="F221" s="3"/>
      <c r="G221" s="3"/>
      <c r="H221" s="7"/>
    </row>
    <row r="222" spans="1:8" x14ac:dyDescent="0.3">
      <c r="A222" s="2">
        <v>40584</v>
      </c>
      <c r="B222" s="1">
        <v>2226.5100000000002</v>
      </c>
      <c r="C222" s="1">
        <f t="shared" si="4"/>
        <v>2182.8527272727274</v>
      </c>
      <c r="D222" s="11"/>
      <c r="E222" s="1"/>
      <c r="F222" s="3"/>
      <c r="G222" s="3"/>
      <c r="H222" s="7"/>
    </row>
    <row r="223" spans="1:8" x14ac:dyDescent="0.3">
      <c r="A223" s="2">
        <v>40585</v>
      </c>
      <c r="B223" s="1">
        <v>2239.08</v>
      </c>
      <c r="C223" s="1">
        <f t="shared" si="4"/>
        <v>2187.1827272727273</v>
      </c>
      <c r="D223" s="11"/>
      <c r="E223" s="1"/>
      <c r="F223" s="3"/>
      <c r="G223" s="3"/>
      <c r="H223" s="7"/>
    </row>
    <row r="224" spans="1:8" x14ac:dyDescent="0.3">
      <c r="A224" s="2">
        <v>40588</v>
      </c>
      <c r="B224" s="1">
        <v>2244.89</v>
      </c>
      <c r="C224" s="1">
        <f t="shared" si="4"/>
        <v>2190.888636363637</v>
      </c>
      <c r="D224" s="11"/>
      <c r="E224" s="1"/>
      <c r="F224" s="3"/>
      <c r="G224" s="3"/>
      <c r="H224" s="7"/>
    </row>
    <row r="225" spans="1:8" x14ac:dyDescent="0.3">
      <c r="A225" s="2">
        <v>40589</v>
      </c>
      <c r="B225" s="1">
        <v>2237.9</v>
      </c>
      <c r="C225" s="1">
        <f t="shared" si="4"/>
        <v>2194.4450000000002</v>
      </c>
      <c r="D225" s="11"/>
      <c r="E225" s="1"/>
      <c r="F225" s="3"/>
      <c r="G225" s="3"/>
      <c r="H225" s="7"/>
    </row>
    <row r="226" spans="1:8" x14ac:dyDescent="0.3">
      <c r="A226" s="2">
        <v>40590</v>
      </c>
      <c r="B226" s="1">
        <v>2252.3000000000002</v>
      </c>
      <c r="C226" s="1">
        <f t="shared" si="4"/>
        <v>2197.9277272727272</v>
      </c>
      <c r="D226" s="11"/>
      <c r="E226" s="1"/>
      <c r="F226" s="3"/>
      <c r="G226" s="3"/>
      <c r="H226" s="7"/>
    </row>
    <row r="227" spans="1:8" x14ac:dyDescent="0.3">
      <c r="A227" s="2">
        <v>40591</v>
      </c>
      <c r="B227" s="1">
        <v>2259.42</v>
      </c>
      <c r="C227" s="1">
        <f t="shared" si="4"/>
        <v>2201.5959090909096</v>
      </c>
      <c r="D227" s="11"/>
      <c r="E227" s="1"/>
      <c r="F227" s="3"/>
      <c r="G227" s="3"/>
      <c r="H227" s="7"/>
    </row>
    <row r="228" spans="1:8" x14ac:dyDescent="0.3">
      <c r="A228" s="2">
        <v>40592</v>
      </c>
      <c r="B228" s="1">
        <v>2263.79</v>
      </c>
      <c r="C228" s="1">
        <f t="shared" si="4"/>
        <v>2206.451363636364</v>
      </c>
      <c r="D228" s="11"/>
      <c r="E228" s="1"/>
      <c r="F228" s="3"/>
      <c r="G228" s="3"/>
      <c r="H228" s="7"/>
    </row>
    <row r="229" spans="1:8" x14ac:dyDescent="0.3">
      <c r="A229" s="2">
        <v>40596</v>
      </c>
      <c r="B229" s="1">
        <v>2217.35</v>
      </c>
      <c r="C229" s="1">
        <f t="shared" si="4"/>
        <v>2209.3227272727272</v>
      </c>
      <c r="D229" s="11"/>
      <c r="E229" s="1"/>
      <c r="F229" s="3"/>
      <c r="G229" s="3"/>
      <c r="H229" s="7"/>
    </row>
    <row r="230" spans="1:8" x14ac:dyDescent="0.3">
      <c r="A230" s="2">
        <v>40597</v>
      </c>
      <c r="B230" s="1">
        <v>2203.89</v>
      </c>
      <c r="C230" s="1">
        <f t="shared" si="4"/>
        <v>2211.3436363636361</v>
      </c>
      <c r="D230" s="11"/>
      <c r="E230" s="1"/>
      <c r="F230" s="3"/>
      <c r="G230" s="3"/>
      <c r="H230" s="7"/>
    </row>
    <row r="231" spans="1:8" x14ac:dyDescent="0.3">
      <c r="A231" s="2">
        <v>40598</v>
      </c>
      <c r="B231" s="1">
        <v>2202.23</v>
      </c>
      <c r="C231" s="1">
        <f t="shared" si="4"/>
        <v>2212.7163636363639</v>
      </c>
      <c r="D231" s="11"/>
      <c r="E231" s="1"/>
      <c r="F231" s="3"/>
      <c r="G231" s="3"/>
      <c r="H231" s="7"/>
    </row>
    <row r="232" spans="1:8" x14ac:dyDescent="0.3">
      <c r="A232" s="2">
        <v>40599</v>
      </c>
      <c r="B232" s="1">
        <v>2226.0500000000002</v>
      </c>
      <c r="C232" s="1">
        <f t="shared" si="4"/>
        <v>2215.1427272727274</v>
      </c>
      <c r="D232" s="11"/>
      <c r="E232" s="1"/>
      <c r="F232" s="3"/>
      <c r="G232" s="3"/>
      <c r="H232" s="7"/>
    </row>
    <row r="233" spans="1:8" x14ac:dyDescent="0.3">
      <c r="A233" s="2">
        <v>40602</v>
      </c>
      <c r="B233" s="1">
        <v>2238.5500000000002</v>
      </c>
      <c r="C233" s="1">
        <f t="shared" si="4"/>
        <v>2217.7168181818188</v>
      </c>
      <c r="D233" s="11"/>
      <c r="E233" s="1"/>
      <c r="F233" s="3"/>
      <c r="G233" s="3"/>
      <c r="H233" s="7"/>
    </row>
    <row r="234" spans="1:8" x14ac:dyDescent="0.3">
      <c r="A234" s="2">
        <v>40603</v>
      </c>
      <c r="B234" s="1">
        <v>2203.3200000000002</v>
      </c>
      <c r="C234" s="1">
        <f t="shared" si="4"/>
        <v>2218.4618181818187</v>
      </c>
      <c r="D234" s="11"/>
      <c r="E234" s="1"/>
      <c r="F234" s="3"/>
      <c r="G234" s="3"/>
      <c r="H234" s="7"/>
    </row>
    <row r="235" spans="1:8" x14ac:dyDescent="0.3">
      <c r="A235" s="2">
        <v>40604</v>
      </c>
      <c r="B235" s="1">
        <v>2207.2399999999998</v>
      </c>
      <c r="C235" s="1">
        <f t="shared" si="4"/>
        <v>2221.1568181818188</v>
      </c>
      <c r="D235" s="11"/>
      <c r="E235" s="1"/>
      <c r="F235" s="3"/>
      <c r="G235" s="3"/>
      <c r="H235" s="7"/>
    </row>
    <row r="236" spans="1:8" x14ac:dyDescent="0.3">
      <c r="A236" s="2">
        <v>40605</v>
      </c>
      <c r="B236" s="1">
        <v>2245.33</v>
      </c>
      <c r="C236" s="1">
        <f t="shared" si="4"/>
        <v>2224.8354545454549</v>
      </c>
      <c r="D236" s="11"/>
      <c r="E236" s="1"/>
      <c r="F236" s="3"/>
      <c r="G236" s="3"/>
      <c r="H236" s="7"/>
    </row>
    <row r="237" spans="1:8" x14ac:dyDescent="0.3">
      <c r="A237" s="2">
        <v>40606</v>
      </c>
      <c r="B237" s="1">
        <v>2228.7800000000002</v>
      </c>
      <c r="C237" s="1">
        <f t="shared" si="4"/>
        <v>2226.1190909090915</v>
      </c>
      <c r="D237" s="11"/>
      <c r="E237" s="1"/>
      <c r="F237" s="3"/>
      <c r="G237" s="3"/>
      <c r="H237" s="7"/>
    </row>
    <row r="238" spans="1:8" x14ac:dyDescent="0.3">
      <c r="A238" s="2">
        <v>40609</v>
      </c>
      <c r="B238" s="1">
        <v>2210.2600000000002</v>
      </c>
      <c r="C238" s="1">
        <f t="shared" si="4"/>
        <v>2226.8154545454549</v>
      </c>
      <c r="D238" s="11"/>
      <c r="E238" s="1"/>
      <c r="F238" s="3"/>
      <c r="G238" s="3"/>
      <c r="H238" s="7"/>
    </row>
    <row r="239" spans="1:8" x14ac:dyDescent="0.3">
      <c r="A239" s="2">
        <v>40610</v>
      </c>
      <c r="B239" s="1">
        <v>2230.4</v>
      </c>
      <c r="C239" s="1">
        <f t="shared" si="4"/>
        <v>2228.1781818181817</v>
      </c>
      <c r="D239" s="11"/>
      <c r="E239" s="1"/>
      <c r="F239" s="3"/>
      <c r="G239" s="3"/>
      <c r="H239" s="7"/>
    </row>
    <row r="240" spans="1:8" x14ac:dyDescent="0.3">
      <c r="A240" s="2">
        <v>40611</v>
      </c>
      <c r="B240" s="1">
        <v>2227.6999999999998</v>
      </c>
      <c r="C240" s="1">
        <f t="shared" si="4"/>
        <v>2229.1281818181819</v>
      </c>
      <c r="D240" s="11"/>
      <c r="E240" s="1"/>
      <c r="F240" s="3"/>
      <c r="G240" s="3"/>
      <c r="H240" s="7"/>
    </row>
    <row r="241" spans="1:8" x14ac:dyDescent="0.3">
      <c r="A241" s="2">
        <v>40612</v>
      </c>
      <c r="B241" s="1">
        <v>2185.65</v>
      </c>
      <c r="C241" s="1">
        <f t="shared" si="4"/>
        <v>2227.5395454545455</v>
      </c>
      <c r="D241" s="11"/>
      <c r="E241" s="1"/>
      <c r="F241" s="3"/>
      <c r="G241" s="3"/>
      <c r="H241" s="7"/>
    </row>
    <row r="242" spans="1:8" x14ac:dyDescent="0.3">
      <c r="A242" s="2">
        <v>40613</v>
      </c>
      <c r="B242" s="1">
        <v>2201.81</v>
      </c>
      <c r="C242" s="1">
        <f t="shared" si="4"/>
        <v>2226.2313636363633</v>
      </c>
      <c r="D242" s="11"/>
      <c r="E242" s="1"/>
      <c r="F242" s="3"/>
      <c r="G242" s="3"/>
      <c r="H242" s="7"/>
    </row>
    <row r="243" spans="1:8" x14ac:dyDescent="0.3">
      <c r="A243" s="2">
        <v>40616</v>
      </c>
      <c r="B243" s="1">
        <v>2188.56</v>
      </c>
      <c r="C243" s="1">
        <f t="shared" si="4"/>
        <v>2224.5913636363634</v>
      </c>
      <c r="D243" s="11"/>
      <c r="E243" s="1"/>
      <c r="F243" s="3"/>
      <c r="G243" s="3"/>
      <c r="H243" s="7"/>
    </row>
    <row r="244" spans="1:8" x14ac:dyDescent="0.3">
      <c r="A244" s="2">
        <v>40617</v>
      </c>
      <c r="B244" s="1">
        <v>2164.06</v>
      </c>
      <c r="C244" s="1">
        <f t="shared" si="4"/>
        <v>2221.752727272727</v>
      </c>
      <c r="D244" s="11"/>
      <c r="E244" s="1"/>
      <c r="F244" s="3"/>
      <c r="G244" s="3"/>
      <c r="H244" s="7"/>
    </row>
    <row r="245" spans="1:8" x14ac:dyDescent="0.3">
      <c r="A245" s="2">
        <v>40618</v>
      </c>
      <c r="B245" s="1">
        <v>2121.94</v>
      </c>
      <c r="C245" s="1">
        <f t="shared" si="4"/>
        <v>2216.4281818181817</v>
      </c>
      <c r="D245" s="11"/>
      <c r="E245" s="1"/>
      <c r="F245" s="3"/>
      <c r="G245" s="3"/>
      <c r="H245" s="7"/>
    </row>
    <row r="246" spans="1:8" x14ac:dyDescent="0.3">
      <c r="A246" s="2">
        <v>40619</v>
      </c>
      <c r="B246" s="1">
        <v>2150.4299999999998</v>
      </c>
      <c r="C246" s="1">
        <f t="shared" si="4"/>
        <v>2212.1345454545453</v>
      </c>
      <c r="D246" s="11"/>
      <c r="E246" s="1"/>
      <c r="F246" s="3"/>
      <c r="G246" s="3"/>
      <c r="H246" s="7"/>
    </row>
    <row r="247" spans="1:8" x14ac:dyDescent="0.3">
      <c r="A247" s="2">
        <v>40620</v>
      </c>
      <c r="B247" s="1">
        <v>2159.69</v>
      </c>
      <c r="C247" s="1">
        <f t="shared" si="4"/>
        <v>2208.5795454545455</v>
      </c>
      <c r="D247" s="11"/>
      <c r="E247" s="1"/>
      <c r="F247" s="3"/>
      <c r="G247" s="3"/>
      <c r="H247" s="7"/>
    </row>
    <row r="248" spans="1:8" x14ac:dyDescent="0.3">
      <c r="A248" s="2">
        <v>40623</v>
      </c>
      <c r="B248" s="1">
        <v>2192.09</v>
      </c>
      <c r="C248" s="1">
        <f t="shared" si="4"/>
        <v>2205.8427272727272</v>
      </c>
      <c r="D248" s="11"/>
      <c r="E248" s="1"/>
      <c r="F248" s="3"/>
      <c r="G248" s="3"/>
      <c r="H248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8C4C-F3F7-44D1-8F61-02E5A65CD162}">
  <dimension ref="A1:AH2519"/>
  <sheetViews>
    <sheetView showGridLines="0" topLeftCell="C50" zoomScale="85" zoomScaleNormal="85" workbookViewId="0">
      <selection activeCell="P54" sqref="P54"/>
    </sheetView>
  </sheetViews>
  <sheetFormatPr defaultRowHeight="14.4" outlineLevelRow="1" outlineLevelCol="1" x14ac:dyDescent="0.3"/>
  <cols>
    <col min="1" max="1" width="13.109375" hidden="1" customWidth="1" outlineLevel="1"/>
    <col min="2" max="2" width="9.109375" hidden="1" customWidth="1" outlineLevel="1"/>
    <col min="3" max="3" width="10.88671875" style="1" bestFit="1" customWidth="1" collapsed="1"/>
    <col min="4" max="4" width="13.33203125" style="1" customWidth="1"/>
    <col min="5" max="5" width="12.5546875" bestFit="1" customWidth="1"/>
    <col min="7" max="7" width="9.109375" style="8"/>
    <col min="8" max="9" width="9.109375" style="1"/>
    <col min="10" max="10" width="3.33203125" customWidth="1"/>
    <col min="11" max="11" width="12.33203125" style="9" bestFit="1" customWidth="1"/>
    <col min="12" max="12" width="12.33203125" style="1" bestFit="1" customWidth="1"/>
    <col min="13" max="14" width="9.109375" style="1"/>
    <col min="15" max="15" width="6.6640625" style="1" customWidth="1"/>
    <col min="16" max="16" width="27.88671875" bestFit="1" customWidth="1"/>
    <col min="20" max="20" width="15.88671875" style="7" bestFit="1" customWidth="1"/>
  </cols>
  <sheetData>
    <row r="1" spans="1:2" hidden="1" outlineLevel="1" x14ac:dyDescent="0.3">
      <c r="A1" s="1"/>
      <c r="B1" s="1" t="s">
        <v>0</v>
      </c>
    </row>
    <row r="2" spans="1:2" hidden="1" outlineLevel="1" x14ac:dyDescent="0.3">
      <c r="A2" s="2">
        <v>40177</v>
      </c>
      <c r="B2" s="1">
        <v>1856.14</v>
      </c>
    </row>
    <row r="3" spans="1:2" hidden="1" outlineLevel="1" x14ac:dyDescent="0.3">
      <c r="A3" s="2">
        <v>40178</v>
      </c>
      <c r="B3" s="1">
        <v>1837.5</v>
      </c>
    </row>
    <row r="4" spans="1:2" hidden="1" outlineLevel="1" x14ac:dyDescent="0.3">
      <c r="A4" s="2">
        <v>40182</v>
      </c>
      <c r="B4" s="1">
        <v>1867.06</v>
      </c>
    </row>
    <row r="5" spans="1:2" hidden="1" outlineLevel="1" x14ac:dyDescent="0.3">
      <c r="A5" s="2">
        <v>40183</v>
      </c>
      <c r="B5" s="1">
        <v>1872.9</v>
      </c>
    </row>
    <row r="6" spans="1:2" hidden="1" outlineLevel="1" x14ac:dyDescent="0.3">
      <c r="A6" s="2">
        <v>40184</v>
      </c>
      <c r="B6" s="1">
        <v>1874.73</v>
      </c>
    </row>
    <row r="7" spans="1:2" hidden="1" outlineLevel="1" x14ac:dyDescent="0.3">
      <c r="A7" s="2">
        <v>40185</v>
      </c>
      <c r="B7" s="1">
        <v>1882.34</v>
      </c>
    </row>
    <row r="8" spans="1:2" hidden="1" outlineLevel="1" x14ac:dyDescent="0.3">
      <c r="A8" s="2">
        <v>40186</v>
      </c>
      <c r="B8" s="1">
        <v>1887.77</v>
      </c>
    </row>
    <row r="9" spans="1:2" hidden="1" outlineLevel="1" x14ac:dyDescent="0.3">
      <c r="A9" s="2">
        <v>40189</v>
      </c>
      <c r="B9" s="1">
        <v>1891.06</v>
      </c>
    </row>
    <row r="10" spans="1:2" hidden="1" outlineLevel="1" x14ac:dyDescent="0.3">
      <c r="A10" s="2">
        <v>40190</v>
      </c>
      <c r="B10" s="1">
        <v>1873.32</v>
      </c>
    </row>
    <row r="11" spans="1:2" hidden="1" outlineLevel="1" x14ac:dyDescent="0.3">
      <c r="A11" s="2">
        <v>40191</v>
      </c>
      <c r="B11" s="1">
        <v>1889.1</v>
      </c>
    </row>
    <row r="12" spans="1:2" hidden="1" outlineLevel="1" x14ac:dyDescent="0.3">
      <c r="A12" s="2">
        <v>40192</v>
      </c>
      <c r="B12" s="1">
        <v>1893.72</v>
      </c>
    </row>
    <row r="13" spans="1:2" hidden="1" outlineLevel="1" x14ac:dyDescent="0.3">
      <c r="A13" s="2">
        <v>40193</v>
      </c>
      <c r="B13" s="1">
        <v>1873.3</v>
      </c>
    </row>
    <row r="14" spans="1:2" hidden="1" outlineLevel="1" x14ac:dyDescent="0.3">
      <c r="A14" s="2">
        <v>40197</v>
      </c>
      <c r="B14" s="1">
        <v>1896.72</v>
      </c>
    </row>
    <row r="15" spans="1:2" hidden="1" outlineLevel="1" x14ac:dyDescent="0.3">
      <c r="A15" s="2">
        <v>40198</v>
      </c>
      <c r="B15" s="1">
        <v>1876.9</v>
      </c>
    </row>
    <row r="16" spans="1:2" hidden="1" outlineLevel="1" x14ac:dyDescent="0.3">
      <c r="A16" s="2">
        <v>40199</v>
      </c>
      <c r="B16" s="1">
        <v>1841.39</v>
      </c>
    </row>
    <row r="17" spans="1:2" hidden="1" outlineLevel="1" x14ac:dyDescent="0.3">
      <c r="A17" s="2">
        <v>40200</v>
      </c>
      <c r="B17" s="1">
        <v>1800.61</v>
      </c>
    </row>
    <row r="18" spans="1:2" hidden="1" outlineLevel="1" x14ac:dyDescent="0.3">
      <c r="A18" s="2">
        <v>40203</v>
      </c>
      <c r="B18" s="1">
        <v>1808.93</v>
      </c>
    </row>
    <row r="19" spans="1:2" hidden="1" outlineLevel="1" x14ac:dyDescent="0.3">
      <c r="A19" s="2">
        <v>40204</v>
      </c>
      <c r="B19" s="1">
        <v>1801.34</v>
      </c>
    </row>
    <row r="20" spans="1:2" hidden="1" outlineLevel="1" x14ac:dyDescent="0.3">
      <c r="A20" s="2">
        <v>40205</v>
      </c>
      <c r="B20" s="1">
        <v>1810.21</v>
      </c>
    </row>
    <row r="21" spans="1:2" hidden="1" outlineLevel="1" x14ac:dyDescent="0.3">
      <c r="A21" s="2">
        <v>40206</v>
      </c>
      <c r="B21" s="1">
        <v>1788.97</v>
      </c>
    </row>
    <row r="22" spans="1:2" hidden="1" outlineLevel="1" x14ac:dyDescent="0.3">
      <c r="A22" s="2">
        <v>40207</v>
      </c>
      <c r="B22" s="1">
        <v>1771.4</v>
      </c>
    </row>
    <row r="23" spans="1:2" hidden="1" outlineLevel="1" x14ac:dyDescent="0.3">
      <c r="A23" s="2">
        <v>40210</v>
      </c>
      <c r="B23" s="1">
        <v>1796.67</v>
      </c>
    </row>
    <row r="24" spans="1:2" hidden="1" outlineLevel="1" x14ac:dyDescent="0.3">
      <c r="A24" s="2">
        <v>40211</v>
      </c>
      <c r="B24" s="1">
        <v>1819.99</v>
      </c>
    </row>
    <row r="25" spans="1:2" hidden="1" outlineLevel="1" x14ac:dyDescent="0.3">
      <c r="A25" s="2">
        <v>40212</v>
      </c>
      <c r="B25" s="1">
        <v>1810.64</v>
      </c>
    </row>
    <row r="26" spans="1:2" hidden="1" outlineLevel="1" x14ac:dyDescent="0.3">
      <c r="A26" s="2">
        <v>40213</v>
      </c>
      <c r="B26" s="1">
        <v>1754.3</v>
      </c>
    </row>
    <row r="27" spans="1:2" hidden="1" outlineLevel="1" x14ac:dyDescent="0.3">
      <c r="A27" s="2">
        <v>40214</v>
      </c>
      <c r="B27" s="1">
        <v>1759.38</v>
      </c>
    </row>
    <row r="28" spans="1:2" hidden="1" outlineLevel="1" x14ac:dyDescent="0.3">
      <c r="A28" s="2">
        <v>40217</v>
      </c>
      <c r="B28" s="1">
        <v>1744.37</v>
      </c>
    </row>
    <row r="29" spans="1:2" hidden="1" outlineLevel="1" x14ac:dyDescent="0.3">
      <c r="A29" s="2">
        <v>40218</v>
      </c>
      <c r="B29" s="1">
        <v>1767.18</v>
      </c>
    </row>
    <row r="30" spans="1:2" hidden="1" outlineLevel="1" x14ac:dyDescent="0.3">
      <c r="A30" s="2">
        <v>40219</v>
      </c>
      <c r="B30" s="1">
        <v>1763.69</v>
      </c>
    </row>
    <row r="31" spans="1:2" hidden="1" outlineLevel="1" x14ac:dyDescent="0.3">
      <c r="A31" s="2">
        <v>40220</v>
      </c>
      <c r="B31" s="1">
        <v>1781.01</v>
      </c>
    </row>
    <row r="32" spans="1:2" hidden="1" outlineLevel="1" x14ac:dyDescent="0.3">
      <c r="A32" s="2">
        <v>40221</v>
      </c>
      <c r="B32" s="1">
        <v>1776.5</v>
      </c>
    </row>
    <row r="33" spans="1:2" hidden="1" outlineLevel="1" x14ac:dyDescent="0.3">
      <c r="A33" s="2">
        <v>40225</v>
      </c>
      <c r="B33" s="1">
        <v>1808.72</v>
      </c>
    </row>
    <row r="34" spans="1:2" hidden="1" outlineLevel="1" x14ac:dyDescent="0.3">
      <c r="A34" s="2">
        <v>40226</v>
      </c>
      <c r="B34" s="1">
        <v>1816.7</v>
      </c>
    </row>
    <row r="35" spans="1:2" hidden="1" outlineLevel="1" x14ac:dyDescent="0.3">
      <c r="A35" s="2">
        <v>40227</v>
      </c>
      <c r="B35" s="1">
        <v>1828.81</v>
      </c>
    </row>
    <row r="36" spans="1:2" hidden="1" outlineLevel="1" x14ac:dyDescent="0.3">
      <c r="A36" s="2">
        <v>40228</v>
      </c>
      <c r="B36" s="1">
        <v>1833.09</v>
      </c>
    </row>
    <row r="37" spans="1:2" hidden="1" outlineLevel="1" x14ac:dyDescent="0.3">
      <c r="A37" s="2">
        <v>40231</v>
      </c>
      <c r="B37" s="1">
        <v>1831.21</v>
      </c>
    </row>
    <row r="38" spans="1:2" hidden="1" outlineLevel="1" x14ac:dyDescent="0.3">
      <c r="A38" s="2">
        <v>40232</v>
      </c>
      <c r="B38" s="1">
        <v>1809.05</v>
      </c>
    </row>
    <row r="39" spans="1:2" hidden="1" outlineLevel="1" x14ac:dyDescent="0.3">
      <c r="A39" s="2">
        <v>40233</v>
      </c>
      <c r="B39" s="1">
        <v>1826.99</v>
      </c>
    </row>
    <row r="40" spans="1:2" hidden="1" outlineLevel="1" x14ac:dyDescent="0.3">
      <c r="A40" s="2">
        <v>40234</v>
      </c>
      <c r="B40" s="1">
        <v>1823.64</v>
      </c>
    </row>
    <row r="41" spans="1:2" hidden="1" outlineLevel="1" x14ac:dyDescent="0.3">
      <c r="A41" s="2">
        <v>40235</v>
      </c>
      <c r="B41" s="1">
        <v>1826.27</v>
      </c>
    </row>
    <row r="42" spans="1:2" hidden="1" outlineLevel="1" x14ac:dyDescent="0.3">
      <c r="A42" s="2">
        <v>40238</v>
      </c>
      <c r="B42" s="1">
        <v>1844.87</v>
      </c>
    </row>
    <row r="43" spans="1:2" hidden="1" outlineLevel="1" x14ac:dyDescent="0.3">
      <c r="A43" s="2">
        <v>40239</v>
      </c>
      <c r="B43" s="1">
        <v>1849.17</v>
      </c>
    </row>
    <row r="44" spans="1:2" hidden="1" outlineLevel="1" x14ac:dyDescent="0.3">
      <c r="A44" s="2">
        <v>40240</v>
      </c>
      <c r="B44" s="1">
        <v>1850.24</v>
      </c>
    </row>
    <row r="45" spans="1:2" hidden="1" outlineLevel="1" x14ac:dyDescent="0.3">
      <c r="A45" s="2">
        <v>40241</v>
      </c>
      <c r="B45" s="1">
        <v>1857.2</v>
      </c>
    </row>
    <row r="46" spans="1:2" hidden="1" outlineLevel="1" x14ac:dyDescent="0.3">
      <c r="A46" s="2">
        <v>40242</v>
      </c>
      <c r="B46" s="1">
        <v>1883.28</v>
      </c>
    </row>
    <row r="47" spans="1:2" hidden="1" outlineLevel="1" x14ac:dyDescent="0.3">
      <c r="A47" s="2">
        <v>40245</v>
      </c>
      <c r="B47" s="1">
        <v>1883.29</v>
      </c>
    </row>
    <row r="48" spans="1:2" hidden="1" outlineLevel="1" x14ac:dyDescent="0.3">
      <c r="A48" s="2">
        <v>40246</v>
      </c>
      <c r="B48" s="1">
        <v>1886.6</v>
      </c>
    </row>
    <row r="49" spans="1:24" hidden="1" outlineLevel="1" x14ac:dyDescent="0.3">
      <c r="A49" s="2">
        <v>40247</v>
      </c>
      <c r="B49" s="1">
        <v>1895.38</v>
      </c>
    </row>
    <row r="50" spans="1:24" collapsed="1" x14ac:dyDescent="0.3">
      <c r="A50" s="2">
        <v>40248</v>
      </c>
      <c r="B50" s="1">
        <v>1903.68</v>
      </c>
      <c r="D50" s="5" t="s">
        <v>0</v>
      </c>
      <c r="E50" s="5" t="s">
        <v>1</v>
      </c>
      <c r="F50" s="5" t="s">
        <v>2</v>
      </c>
      <c r="G50" s="18" t="s">
        <v>20</v>
      </c>
      <c r="I50" s="5" t="s">
        <v>6</v>
      </c>
      <c r="K50" s="9" t="s">
        <v>7</v>
      </c>
      <c r="L50" s="9" t="s">
        <v>8</v>
      </c>
      <c r="M50" s="9" t="s">
        <v>9</v>
      </c>
      <c r="N50" s="9" t="s">
        <v>10</v>
      </c>
      <c r="T50" s="19" t="s">
        <v>22</v>
      </c>
      <c r="U50" s="19" t="s">
        <v>23</v>
      </c>
    </row>
    <row r="51" spans="1:24" x14ac:dyDescent="0.3">
      <c r="A51" s="2">
        <v>40249</v>
      </c>
      <c r="B51" s="1">
        <v>1903.29</v>
      </c>
      <c r="C51" s="2">
        <f>A51</f>
        <v>40249</v>
      </c>
      <c r="D51" s="1">
        <f>B51</f>
        <v>1903.29</v>
      </c>
      <c r="E51" s="4">
        <f>AVERAGE(B2:B51)</f>
        <v>1836.6124</v>
      </c>
      <c r="F51" s="3">
        <f>D51/E51</f>
        <v>1.0363046661342372</v>
      </c>
      <c r="G51" s="18">
        <f>IF(F51&gt;=$Q$51,1,IF(F51&lt;=$Q$52,-1,0))</f>
        <v>1</v>
      </c>
      <c r="H51" s="7"/>
      <c r="I51" s="7"/>
      <c r="K51" s="12">
        <f>IF(AND(G51=1,G50&lt;&gt;1),MAX($K$50:K50)+1,"")</f>
        <v>1</v>
      </c>
      <c r="L51" s="13" t="str">
        <f>IF(AND(G51&lt;&gt;1,G50=1),MAX($L$50:L50)+1,"")</f>
        <v/>
      </c>
      <c r="M51" s="13" t="str">
        <f>IF(AND(G51=-1,G50&lt;&gt;-1),MAX($M$50:M50)+1,"")</f>
        <v/>
      </c>
      <c r="N51" s="13" t="str">
        <f>IF(AND(G51&lt;&gt;-1,G50=-1),MAX($N$50:N50)+1,"")</f>
        <v/>
      </c>
      <c r="P51" t="s">
        <v>5</v>
      </c>
      <c r="Q51" s="6">
        <v>0.95</v>
      </c>
      <c r="R51" t="s">
        <v>3</v>
      </c>
      <c r="S51" s="1"/>
      <c r="T51" s="7">
        <v>100</v>
      </c>
      <c r="U51">
        <v>100</v>
      </c>
    </row>
    <row r="52" spans="1:24" x14ac:dyDescent="0.3">
      <c r="A52" s="2">
        <v>40252</v>
      </c>
      <c r="B52" s="1">
        <v>1904.19</v>
      </c>
      <c r="C52" s="2">
        <f t="shared" ref="C52:C115" si="0">A52</f>
        <v>40252</v>
      </c>
      <c r="D52" s="1">
        <f t="shared" ref="D52:D115" si="1">B52</f>
        <v>1904.19</v>
      </c>
      <c r="E52" s="4">
        <f t="shared" ref="E52:E115" si="2">AVERAGE(B3:B52)</f>
        <v>1837.5734</v>
      </c>
      <c r="F52" s="3">
        <f t="shared" ref="F52:F115" si="3">D52/E52</f>
        <v>1.0362524838463596</v>
      </c>
      <c r="G52" s="18">
        <f t="shared" ref="G52:G115" si="4">IF(F52&gt;=$Q$51,1,IF(F52&lt;=$Q$52,-1,0))</f>
        <v>1</v>
      </c>
      <c r="H52" s="3">
        <f>D52/D51-1</f>
        <v>4.7286540674318367E-4</v>
      </c>
      <c r="I52" s="3">
        <f>G51*H52</f>
        <v>4.7286540674318367E-4</v>
      </c>
      <c r="K52" s="12" t="str">
        <f>IF(AND(G52=1,G51&lt;&gt;1),MAX($K$50:K51)+1,"")</f>
        <v/>
      </c>
      <c r="L52" s="13" t="str">
        <f>IF(AND(G52&lt;&gt;1,G51=1),MAX($L$50:L51)+1,"")</f>
        <v/>
      </c>
      <c r="M52" s="13" t="str">
        <f>IF(AND(G52=-1,G51&lt;&gt;-1),MAX($M$50:M51)+1,"")</f>
        <v/>
      </c>
      <c r="N52" s="13" t="str">
        <f>IF(AND(G52&lt;&gt;-1,G51=-1),MAX($N$50:N51)+1,"")</f>
        <v/>
      </c>
      <c r="P52" s="1" t="s">
        <v>4</v>
      </c>
      <c r="Q52" s="6">
        <v>0.98</v>
      </c>
      <c r="R52" s="1" t="s">
        <v>3</v>
      </c>
      <c r="T52" s="7">
        <f>T51*(1+I52)</f>
        <v>100.04728654067432</v>
      </c>
      <c r="U52">
        <f>U51*D52/D51</f>
        <v>100.04728654067431</v>
      </c>
      <c r="X52">
        <f>700*1.4</f>
        <v>979.99999999999989</v>
      </c>
    </row>
    <row r="53" spans="1:24" x14ac:dyDescent="0.3">
      <c r="A53" s="2">
        <v>40253</v>
      </c>
      <c r="B53" s="1">
        <v>1919.02</v>
      </c>
      <c r="C53" s="2">
        <f t="shared" si="0"/>
        <v>40253</v>
      </c>
      <c r="D53" s="1">
        <f t="shared" si="1"/>
        <v>1919.02</v>
      </c>
      <c r="E53" s="4">
        <f t="shared" si="2"/>
        <v>1839.2038</v>
      </c>
      <c r="F53" s="3">
        <f t="shared" si="3"/>
        <v>1.0433971482660052</v>
      </c>
      <c r="G53" s="18">
        <f t="shared" si="4"/>
        <v>1</v>
      </c>
      <c r="H53" s="3">
        <f t="shared" ref="H53:H116" si="5">D53/D52-1</f>
        <v>7.7880883735341744E-3</v>
      </c>
      <c r="I53" s="3">
        <f t="shared" ref="I53:I116" si="6">G52*H53</f>
        <v>7.7880883735341744E-3</v>
      </c>
      <c r="K53" s="12" t="str">
        <f>IF(AND(G53=1,G52&lt;&gt;1),MAX($K$50:K52)+1,"")</f>
        <v/>
      </c>
      <c r="L53" s="13" t="str">
        <f>IF(AND(G53&lt;&gt;1,G52=1),MAX($L$50:L52)+1,"")</f>
        <v/>
      </c>
      <c r="M53" s="13" t="str">
        <f>IF(AND(G53=-1,G52&lt;&gt;-1),MAX($M$50:M52)+1,"")</f>
        <v/>
      </c>
      <c r="N53" s="13" t="str">
        <f>IF(AND(G53&lt;&gt;-1,G52=-1),MAX($N$50:N52)+1,"")</f>
        <v/>
      </c>
      <c r="T53" s="7">
        <f t="shared" ref="T53:T116" si="7">T52*(1+I53)</f>
        <v>100.8264636497854</v>
      </c>
      <c r="U53" s="1">
        <f t="shared" ref="U53:U116" si="8">U52*D53/D52</f>
        <v>100.82646364978538</v>
      </c>
    </row>
    <row r="54" spans="1:24" x14ac:dyDescent="0.3">
      <c r="A54" s="2">
        <v>40254</v>
      </c>
      <c r="B54" s="1">
        <v>1930.22</v>
      </c>
      <c r="C54" s="2">
        <f t="shared" si="0"/>
        <v>40254</v>
      </c>
      <c r="D54" s="1">
        <f t="shared" si="1"/>
        <v>1930.22</v>
      </c>
      <c r="E54" s="4">
        <f t="shared" si="2"/>
        <v>1840.4669999999999</v>
      </c>
      <c r="F54" s="3">
        <f t="shared" si="3"/>
        <v>1.0487664272165707</v>
      </c>
      <c r="G54" s="18">
        <f t="shared" si="4"/>
        <v>1</v>
      </c>
      <c r="H54" s="3">
        <f t="shared" si="5"/>
        <v>5.8363122843951842E-3</v>
      </c>
      <c r="I54" s="3">
        <f t="shared" si="6"/>
        <v>5.8363122843951842E-3</v>
      </c>
      <c r="K54" s="12" t="str">
        <f>IF(AND(G54=1,G53&lt;&gt;1),MAX($K$50:K53)+1,"")</f>
        <v/>
      </c>
      <c r="L54" s="13" t="str">
        <f>IF(AND(G54&lt;&gt;1,G53=1),MAX($L$50:L53)+1,"")</f>
        <v/>
      </c>
      <c r="M54" s="13" t="str">
        <f>IF(AND(G54=-1,G53&lt;&gt;-1),MAX($M$50:M53)+1,"")</f>
        <v/>
      </c>
      <c r="N54" s="13" t="str">
        <f>IF(AND(G54&lt;&gt;-1,G53=-1),MAX($N$50:N53)+1,"")</f>
        <v/>
      </c>
      <c r="T54" s="7">
        <f t="shared" si="7"/>
        <v>101.41491837817676</v>
      </c>
      <c r="U54" s="1">
        <f t="shared" si="8"/>
        <v>101.41491837817675</v>
      </c>
    </row>
    <row r="55" spans="1:24" x14ac:dyDescent="0.3">
      <c r="A55" s="2">
        <v>40255</v>
      </c>
      <c r="B55" s="1">
        <v>1929.63</v>
      </c>
      <c r="C55" s="2">
        <f t="shared" si="0"/>
        <v>40255</v>
      </c>
      <c r="D55" s="1">
        <f t="shared" si="1"/>
        <v>1929.63</v>
      </c>
      <c r="E55" s="4">
        <f t="shared" si="2"/>
        <v>1841.6016</v>
      </c>
      <c r="F55" s="3">
        <f t="shared" si="3"/>
        <v>1.0477999150304822</v>
      </c>
      <c r="G55" s="18">
        <f t="shared" si="4"/>
        <v>1</v>
      </c>
      <c r="H55" s="3">
        <f t="shared" si="5"/>
        <v>-3.0566463926384735E-4</v>
      </c>
      <c r="I55" s="3">
        <f t="shared" si="6"/>
        <v>-3.0566463926384735E-4</v>
      </c>
      <c r="K55" s="12" t="str">
        <f>IF(AND(G55=1,G54&lt;&gt;1),MAX($K$50:K54)+1,"")</f>
        <v/>
      </c>
      <c r="L55" s="13" t="str">
        <f>IF(AND(G55&lt;&gt;1,G54=1),MAX($L$50:L54)+1,"")</f>
        <v/>
      </c>
      <c r="M55" s="13" t="str">
        <f>IF(AND(G55=-1,G54&lt;&gt;-1),MAX($M$50:M54)+1,"")</f>
        <v/>
      </c>
      <c r="N55" s="13" t="str">
        <f>IF(AND(G55&lt;&gt;-1,G54=-1),MAX($N$50:N54)+1,"")</f>
        <v/>
      </c>
      <c r="Q55" s="3">
        <f>Trades!G9</f>
        <v>4.4311236352671132E-2</v>
      </c>
      <c r="T55" s="7">
        <f t="shared" si="7"/>
        <v>101.38391942373472</v>
      </c>
      <c r="U55" s="1">
        <f t="shared" si="8"/>
        <v>101.38391942373471</v>
      </c>
    </row>
    <row r="56" spans="1:24" x14ac:dyDescent="0.3">
      <c r="A56" s="2">
        <v>40256</v>
      </c>
      <c r="B56" s="1">
        <v>1919.8</v>
      </c>
      <c r="C56" s="2">
        <f t="shared" si="0"/>
        <v>40256</v>
      </c>
      <c r="D56" s="1">
        <f t="shared" si="1"/>
        <v>1919.8</v>
      </c>
      <c r="E56" s="4">
        <f t="shared" si="2"/>
        <v>1842.5029999999999</v>
      </c>
      <c r="F56" s="3">
        <f t="shared" si="3"/>
        <v>1.0419521704985013</v>
      </c>
      <c r="G56" s="18">
        <f t="shared" si="4"/>
        <v>1</v>
      </c>
      <c r="H56" s="3">
        <f t="shared" si="5"/>
        <v>-5.0942408648291249E-3</v>
      </c>
      <c r="I56" s="3">
        <f t="shared" si="6"/>
        <v>-5.0942408648291249E-3</v>
      </c>
      <c r="K56" s="12" t="str">
        <f>IF(AND(G56=1,G55&lt;&gt;1),MAX($K$50:K55)+1,"")</f>
        <v/>
      </c>
      <c r="L56" s="13" t="str">
        <f>IF(AND(G56&lt;&gt;1,G55=1),MAX($L$50:L55)+1,"")</f>
        <v/>
      </c>
      <c r="M56" s="13" t="str">
        <f>IF(AND(G56=-1,G55&lt;&gt;-1),MAX($M$50:M55)+1,"")</f>
        <v/>
      </c>
      <c r="N56" s="13" t="str">
        <f>IF(AND(G56&lt;&gt;-1,G55=-1),MAX($N$50:N55)+1,"")</f>
        <v/>
      </c>
      <c r="T56" s="7">
        <f t="shared" si="7"/>
        <v>100.86744531836979</v>
      </c>
      <c r="U56" s="1">
        <f t="shared" si="8"/>
        <v>100.86744531836978</v>
      </c>
    </row>
    <row r="57" spans="1:24" x14ac:dyDescent="0.3">
      <c r="A57" s="2">
        <v>40259</v>
      </c>
      <c r="B57" s="1">
        <v>1929.64</v>
      </c>
      <c r="C57" s="2">
        <f t="shared" si="0"/>
        <v>40259</v>
      </c>
      <c r="D57" s="1">
        <f t="shared" si="1"/>
        <v>1929.64</v>
      </c>
      <c r="E57" s="4">
        <f t="shared" si="2"/>
        <v>1843.4490000000003</v>
      </c>
      <c r="F57" s="3">
        <f t="shared" si="3"/>
        <v>1.046755294016813</v>
      </c>
      <c r="G57" s="18">
        <f t="shared" si="4"/>
        <v>1</v>
      </c>
      <c r="H57" s="3">
        <f t="shared" si="5"/>
        <v>5.1255339097824315E-3</v>
      </c>
      <c r="I57" s="3">
        <f t="shared" si="6"/>
        <v>5.1255339097824315E-3</v>
      </c>
      <c r="K57" s="12" t="str">
        <f>IF(AND(G57=1,G56&lt;&gt;1),MAX($K$50:K56)+1,"")</f>
        <v/>
      </c>
      <c r="L57" s="13" t="str">
        <f>IF(AND(G57&lt;&gt;1,G56=1),MAX($L$50:L56)+1,"")</f>
        <v/>
      </c>
      <c r="M57" s="13" t="str">
        <f>IF(AND(G57=-1,G56&lt;&gt;-1),MAX($M$50:M56)+1,"")</f>
        <v/>
      </c>
      <c r="N57" s="13" t="str">
        <f>IF(AND(G57&lt;&gt;-1,G56=-1),MAX($N$50:N56)+1,"")</f>
        <v/>
      </c>
      <c r="T57" s="7">
        <f t="shared" si="7"/>
        <v>101.38444482974222</v>
      </c>
      <c r="U57" s="1">
        <f t="shared" si="8"/>
        <v>101.38444482974219</v>
      </c>
    </row>
    <row r="58" spans="1:24" x14ac:dyDescent="0.3">
      <c r="A58" s="2">
        <v>40260</v>
      </c>
      <c r="B58" s="1">
        <v>1943.7</v>
      </c>
      <c r="C58" s="2">
        <f t="shared" si="0"/>
        <v>40260</v>
      </c>
      <c r="D58" s="1">
        <f t="shared" si="1"/>
        <v>1943.7</v>
      </c>
      <c r="E58" s="4">
        <f t="shared" si="2"/>
        <v>1844.5675999999999</v>
      </c>
      <c r="F58" s="3">
        <f t="shared" si="3"/>
        <v>1.0537428934564395</v>
      </c>
      <c r="G58" s="18">
        <f t="shared" si="4"/>
        <v>1</v>
      </c>
      <c r="H58" s="3">
        <f t="shared" si="5"/>
        <v>7.2863332020480787E-3</v>
      </c>
      <c r="I58" s="3">
        <f t="shared" si="6"/>
        <v>7.2863332020480787E-3</v>
      </c>
      <c r="K58" s="12" t="str">
        <f>IF(AND(G58=1,G57&lt;&gt;1),MAX($K$50:K57)+1,"")</f>
        <v/>
      </c>
      <c r="L58" s="13" t="str">
        <f>IF(AND(G58&lt;&gt;1,G57=1),MAX($L$50:L57)+1,"")</f>
        <v/>
      </c>
      <c r="M58" s="13" t="str">
        <f>IF(AND(G58=-1,G57&lt;&gt;-1),MAX($M$50:M57)+1,"")</f>
        <v/>
      </c>
      <c r="N58" s="13" t="str">
        <f>IF(AND(G58&lt;&gt;-1,G57=-1),MAX($N$50:N57)+1,"")</f>
        <v/>
      </c>
      <c r="T58" s="7">
        <f t="shared" si="7"/>
        <v>102.12316567627639</v>
      </c>
      <c r="U58" s="1">
        <f t="shared" si="8"/>
        <v>102.12316567627634</v>
      </c>
    </row>
    <row r="59" spans="1:24" x14ac:dyDescent="0.3">
      <c r="A59" s="2">
        <v>40261</v>
      </c>
      <c r="B59" s="1">
        <v>1933.04</v>
      </c>
      <c r="C59" s="2">
        <f t="shared" si="0"/>
        <v>40261</v>
      </c>
      <c r="D59" s="1">
        <f t="shared" si="1"/>
        <v>1933.04</v>
      </c>
      <c r="E59" s="4">
        <f t="shared" si="2"/>
        <v>1845.4071999999996</v>
      </c>
      <c r="F59" s="3">
        <f t="shared" si="3"/>
        <v>1.0474869719810351</v>
      </c>
      <c r="G59" s="18">
        <f t="shared" si="4"/>
        <v>1</v>
      </c>
      <c r="H59" s="3">
        <f t="shared" si="5"/>
        <v>-5.4843854504296186E-3</v>
      </c>
      <c r="I59" s="3">
        <f>G58*H59</f>
        <v>-5.4843854504296186E-3</v>
      </c>
      <c r="K59" s="12" t="str">
        <f>IF(AND(G59=1,G58&lt;&gt;1),MAX($K$50:K58)+1,"")</f>
        <v/>
      </c>
      <c r="L59" s="13" t="str">
        <f>IF(AND(G59&lt;&gt;1,G58=1),MAX($L$50:L58)+1,"")</f>
        <v/>
      </c>
      <c r="M59" s="13" t="str">
        <f>IF(AND(G59=-1,G58&lt;&gt;-1),MAX($M$50:M58)+1,"")</f>
        <v/>
      </c>
      <c r="N59" s="13" t="str">
        <f>IF(AND(G59&lt;&gt;-1,G58=-1),MAX($N$50:N58)+1,"")</f>
        <v/>
      </c>
      <c r="T59" s="7">
        <f t="shared" si="7"/>
        <v>101.5630828722896</v>
      </c>
      <c r="U59" s="1">
        <f t="shared" si="8"/>
        <v>101.56308287228956</v>
      </c>
    </row>
    <row r="60" spans="1:24" x14ac:dyDescent="0.3">
      <c r="A60" s="2">
        <v>40262</v>
      </c>
      <c r="B60" s="1">
        <v>1929.75</v>
      </c>
      <c r="C60" s="2">
        <f t="shared" si="0"/>
        <v>40262</v>
      </c>
      <c r="D60" s="1">
        <f t="shared" si="1"/>
        <v>1929.75</v>
      </c>
      <c r="E60" s="4">
        <f t="shared" si="2"/>
        <v>1846.5357999999999</v>
      </c>
      <c r="F60" s="3">
        <f t="shared" si="3"/>
        <v>1.0450650347531849</v>
      </c>
      <c r="G60" s="18">
        <f t="shared" si="4"/>
        <v>1</v>
      </c>
      <c r="H60" s="3">
        <f t="shared" si="5"/>
        <v>-1.7019823697388414E-3</v>
      </c>
      <c r="I60" s="3">
        <f t="shared" si="6"/>
        <v>-1.7019823697388414E-3</v>
      </c>
      <c r="K60" s="12" t="str">
        <f>IF(AND(G60=1,G59&lt;&gt;1),MAX($K$50:K59)+1,"")</f>
        <v/>
      </c>
      <c r="L60" s="13" t="str">
        <f>IF(AND(G60&lt;&gt;1,G59=1),MAX($L$50:L59)+1,"")</f>
        <v/>
      </c>
      <c r="M60" s="13" t="str">
        <f>IF(AND(G60=-1,G59&lt;&gt;-1),MAX($M$50:M59)+1,"")</f>
        <v/>
      </c>
      <c r="N60" s="13" t="str">
        <f>IF(AND(G60&lt;&gt;-1,G59=-1),MAX($N$50:N59)+1,"")</f>
        <v/>
      </c>
      <c r="T60" s="7">
        <f t="shared" si="7"/>
        <v>101.39022429582464</v>
      </c>
      <c r="U60" s="1">
        <f t="shared" si="8"/>
        <v>101.39022429582459</v>
      </c>
    </row>
    <row r="61" spans="1:24" x14ac:dyDescent="0.3">
      <c r="A61" s="2">
        <v>40263</v>
      </c>
      <c r="B61" s="1">
        <v>1931.18</v>
      </c>
      <c r="C61" s="2">
        <f t="shared" si="0"/>
        <v>40263</v>
      </c>
      <c r="D61" s="1">
        <f t="shared" si="1"/>
        <v>1931.18</v>
      </c>
      <c r="E61" s="4">
        <f t="shared" si="2"/>
        <v>1847.3773999999996</v>
      </c>
      <c r="F61" s="3">
        <f t="shared" si="3"/>
        <v>1.0453630102869076</v>
      </c>
      <c r="G61" s="18">
        <f t="shared" si="4"/>
        <v>1</v>
      </c>
      <c r="H61" s="3">
        <f t="shared" si="5"/>
        <v>7.4102863065172997E-4</v>
      </c>
      <c r="I61" s="3">
        <f t="shared" si="6"/>
        <v>7.4102863065172997E-4</v>
      </c>
      <c r="K61" s="12" t="str">
        <f>IF(AND(G61=1,G60&lt;&gt;1),MAX($K$50:K60)+1,"")</f>
        <v/>
      </c>
      <c r="L61" s="13" t="str">
        <f>IF(AND(G61&lt;&gt;1,G60=1),MAX($L$50:L60)+1,"")</f>
        <v/>
      </c>
      <c r="M61" s="13" t="str">
        <f>IF(AND(G61=-1,G60&lt;&gt;-1),MAX($M$50:M60)+1,"")</f>
        <v/>
      </c>
      <c r="N61" s="13" t="str">
        <f>IF(AND(G61&lt;&gt;-1,G60=-1),MAX($N$50:N60)+1,"")</f>
        <v/>
      </c>
      <c r="T61" s="7">
        <f t="shared" si="7"/>
        <v>101.46535735489604</v>
      </c>
      <c r="U61" s="1">
        <f t="shared" si="8"/>
        <v>101.465357354896</v>
      </c>
    </row>
    <row r="62" spans="1:24" x14ac:dyDescent="0.3">
      <c r="A62" s="2">
        <v>40266</v>
      </c>
      <c r="B62" s="1">
        <v>1942.51</v>
      </c>
      <c r="C62" s="2">
        <f t="shared" si="0"/>
        <v>40266</v>
      </c>
      <c r="D62" s="1">
        <f t="shared" si="1"/>
        <v>1942.51</v>
      </c>
      <c r="E62" s="4">
        <f t="shared" si="2"/>
        <v>1848.3531999999991</v>
      </c>
      <c r="F62" s="3">
        <f t="shared" si="3"/>
        <v>1.0509409132410412</v>
      </c>
      <c r="G62" s="18">
        <f t="shared" si="4"/>
        <v>1</v>
      </c>
      <c r="H62" s="3">
        <f t="shared" si="5"/>
        <v>5.8668793173084488E-3</v>
      </c>
      <c r="I62" s="3">
        <f t="shared" si="6"/>
        <v>5.8668793173084488E-3</v>
      </c>
      <c r="K62" s="12" t="str">
        <f>IF(AND(G62=1,G61&lt;&gt;1),MAX($K$50:K61)+1,"")</f>
        <v/>
      </c>
      <c r="L62" s="13" t="str">
        <f>IF(AND(G62&lt;&gt;1,G61=1),MAX($L$50:L61)+1,"")</f>
        <v/>
      </c>
      <c r="M62" s="13" t="str">
        <f>IF(AND(G62=-1,G61&lt;&gt;-1),MAX($M$50:M61)+1,"")</f>
        <v/>
      </c>
      <c r="N62" s="13" t="str">
        <f>IF(AND(G62&lt;&gt;-1,G61=-1),MAX($N$50:N61)+1,"")</f>
        <v/>
      </c>
      <c r="T62" s="7">
        <f t="shared" si="7"/>
        <v>102.06064236138479</v>
      </c>
      <c r="U62" s="1">
        <f t="shared" si="8"/>
        <v>102.06064236138477</v>
      </c>
    </row>
    <row r="63" spans="1:24" x14ac:dyDescent="0.3">
      <c r="A63" s="2">
        <v>40267</v>
      </c>
      <c r="B63" s="1">
        <v>1942.81</v>
      </c>
      <c r="C63" s="2">
        <f t="shared" si="0"/>
        <v>40267</v>
      </c>
      <c r="D63" s="1">
        <f t="shared" si="1"/>
        <v>1942.81</v>
      </c>
      <c r="E63" s="4">
        <f t="shared" si="2"/>
        <v>1849.7433999999992</v>
      </c>
      <c r="F63" s="3">
        <f t="shared" si="3"/>
        <v>1.0503132488538685</v>
      </c>
      <c r="G63" s="18">
        <f t="shared" si="4"/>
        <v>1</v>
      </c>
      <c r="H63" s="3">
        <f t="shared" si="5"/>
        <v>1.5443935938552755E-4</v>
      </c>
      <c r="I63" s="3">
        <f t="shared" si="6"/>
        <v>1.5443935938552755E-4</v>
      </c>
      <c r="K63" s="12" t="str">
        <f>IF(AND(G63=1,G62&lt;&gt;1),MAX($K$50:K62)+1,"")</f>
        <v/>
      </c>
      <c r="L63" s="13" t="str">
        <f>IF(AND(G63&lt;&gt;1,G62=1),MAX($L$50:L62)+1,"")</f>
        <v/>
      </c>
      <c r="M63" s="13" t="str">
        <f>IF(AND(G63=-1,G62&lt;&gt;-1),MAX($M$50:M62)+1,"")</f>
        <v/>
      </c>
      <c r="N63" s="13" t="str">
        <f>IF(AND(G63&lt;&gt;-1,G62=-1),MAX($N$50:N62)+1,"")</f>
        <v/>
      </c>
      <c r="T63" s="7">
        <f t="shared" si="7"/>
        <v>102.07640454160956</v>
      </c>
      <c r="U63" s="1">
        <f t="shared" si="8"/>
        <v>102.07640454160953</v>
      </c>
    </row>
    <row r="64" spans="1:24" x14ac:dyDescent="0.3">
      <c r="A64" s="2">
        <v>40268</v>
      </c>
      <c r="B64" s="1">
        <v>1936.48</v>
      </c>
      <c r="C64" s="2">
        <f t="shared" si="0"/>
        <v>40268</v>
      </c>
      <c r="D64" s="1">
        <f t="shared" si="1"/>
        <v>1936.48</v>
      </c>
      <c r="E64" s="4">
        <f t="shared" si="2"/>
        <v>1850.5385999999992</v>
      </c>
      <c r="F64" s="3">
        <f t="shared" si="3"/>
        <v>1.0464412901195366</v>
      </c>
      <c r="G64" s="18">
        <f t="shared" si="4"/>
        <v>1</v>
      </c>
      <c r="H64" s="3">
        <f t="shared" si="5"/>
        <v>-3.2581672937651573E-3</v>
      </c>
      <c r="I64" s="3">
        <f t="shared" si="6"/>
        <v>-3.2581672937651573E-3</v>
      </c>
      <c r="K64" s="12" t="str">
        <f>IF(AND(G64=1,G63&lt;&gt;1),MAX($K$50:K63)+1,"")</f>
        <v/>
      </c>
      <c r="L64" s="13" t="str">
        <f>IF(AND(G64&lt;&gt;1,G63=1),MAX($L$50:L63)+1,"")</f>
        <v/>
      </c>
      <c r="M64" s="13" t="str">
        <f>IF(AND(G64=-1,G63&lt;&gt;-1),MAX($M$50:M63)+1,"")</f>
        <v/>
      </c>
      <c r="N64" s="13" t="str">
        <f>IF(AND(G64&lt;&gt;-1,G63=-1),MAX($N$50:N63)+1,"")</f>
        <v/>
      </c>
      <c r="T64" s="7">
        <f t="shared" si="7"/>
        <v>101.74382253886695</v>
      </c>
      <c r="U64" s="1">
        <f t="shared" si="8"/>
        <v>101.74382253886692</v>
      </c>
    </row>
    <row r="65" spans="1:34" x14ac:dyDescent="0.3">
      <c r="A65" s="2">
        <v>40269</v>
      </c>
      <c r="B65" s="1">
        <v>1950.91</v>
      </c>
      <c r="C65" s="2">
        <f t="shared" si="0"/>
        <v>40269</v>
      </c>
      <c r="D65" s="1">
        <f t="shared" si="1"/>
        <v>1950.91</v>
      </c>
      <c r="E65" s="4">
        <f t="shared" si="2"/>
        <v>1852.0187999999991</v>
      </c>
      <c r="F65" s="3">
        <f t="shared" si="3"/>
        <v>1.053396434204664</v>
      </c>
      <c r="G65" s="18">
        <f t="shared" si="4"/>
        <v>1</v>
      </c>
      <c r="H65" s="3">
        <f t="shared" si="5"/>
        <v>7.45166487647686E-3</v>
      </c>
      <c r="I65" s="3">
        <f t="shared" si="6"/>
        <v>7.45166487647686E-3</v>
      </c>
      <c r="K65" s="12" t="str">
        <f>IF(AND(G65=1,G64&lt;&gt;1),MAX($K$50:K64)+1,"")</f>
        <v/>
      </c>
      <c r="L65" s="13" t="str">
        <f>IF(AND(G65&lt;&gt;1,G64=1),MAX($L$50:L64)+1,"")</f>
        <v/>
      </c>
      <c r="M65" s="13" t="str">
        <f>IF(AND(G65=-1,G64&lt;&gt;-1),MAX($M$50:M64)+1,"")</f>
        <v/>
      </c>
      <c r="N65" s="13" t="str">
        <f>IF(AND(G65&lt;&gt;-1,G64=-1),MAX($N$50:N64)+1,"")</f>
        <v/>
      </c>
      <c r="T65" s="7">
        <f t="shared" si="7"/>
        <v>102.50198340767832</v>
      </c>
      <c r="U65" s="1">
        <f t="shared" si="8"/>
        <v>102.5019834076783</v>
      </c>
    </row>
    <row r="66" spans="1:34" x14ac:dyDescent="0.3">
      <c r="A66" s="2">
        <v>40273</v>
      </c>
      <c r="B66" s="1">
        <v>1966.44</v>
      </c>
      <c r="C66" s="2">
        <f t="shared" si="0"/>
        <v>40273</v>
      </c>
      <c r="D66" s="1">
        <f t="shared" si="1"/>
        <v>1966.44</v>
      </c>
      <c r="E66" s="4">
        <f t="shared" si="2"/>
        <v>1854.5197999999996</v>
      </c>
      <c r="F66" s="3">
        <f t="shared" si="3"/>
        <v>1.0603499622921257</v>
      </c>
      <c r="G66" s="18">
        <f t="shared" si="4"/>
        <v>1</v>
      </c>
      <c r="H66" s="3">
        <f t="shared" si="5"/>
        <v>7.960387716501538E-3</v>
      </c>
      <c r="I66" s="3">
        <f t="shared" si="6"/>
        <v>7.960387716501538E-3</v>
      </c>
      <c r="K66" s="12" t="str">
        <f>IF(AND(G66=1,G65&lt;&gt;1),MAX($K$50:K65)+1,"")</f>
        <v/>
      </c>
      <c r="L66" s="13" t="str">
        <f>IF(AND(G66&lt;&gt;1,G65=1),MAX($L$50:L65)+1,"")</f>
        <v/>
      </c>
      <c r="M66" s="13" t="str">
        <f>IF(AND(G66=-1,G65&lt;&gt;-1),MAX($M$50:M65)+1,"")</f>
        <v/>
      </c>
      <c r="N66" s="13" t="str">
        <f>IF(AND(G66&lt;&gt;-1,G65=-1),MAX($N$50:N65)+1,"")</f>
        <v/>
      </c>
      <c r="T66" s="7">
        <f t="shared" si="7"/>
        <v>103.31793893731385</v>
      </c>
      <c r="U66" s="1">
        <f t="shared" si="8"/>
        <v>103.31793893731381</v>
      </c>
    </row>
    <row r="67" spans="1:34" x14ac:dyDescent="0.3">
      <c r="A67" s="2">
        <v>40274</v>
      </c>
      <c r="B67" s="1">
        <v>1969.76</v>
      </c>
      <c r="C67" s="2">
        <f t="shared" si="0"/>
        <v>40274</v>
      </c>
      <c r="D67" s="1">
        <f t="shared" si="1"/>
        <v>1969.76</v>
      </c>
      <c r="E67" s="4">
        <f t="shared" si="2"/>
        <v>1857.9027999999994</v>
      </c>
      <c r="F67" s="3">
        <f t="shared" si="3"/>
        <v>1.0602061636378397</v>
      </c>
      <c r="G67" s="18">
        <f t="shared" si="4"/>
        <v>1</v>
      </c>
      <c r="H67" s="3">
        <f t="shared" si="5"/>
        <v>1.6883301804275774E-3</v>
      </c>
      <c r="I67" s="3">
        <f t="shared" si="6"/>
        <v>1.6883301804275774E-3</v>
      </c>
      <c r="K67" s="12" t="str">
        <f>IF(AND(G67=1,G66&lt;&gt;1),MAX($K$50:K66)+1,"")</f>
        <v/>
      </c>
      <c r="L67" s="13" t="str">
        <f>IF(AND(G67&lt;&gt;1,G66=1),MAX($L$50:L66)+1,"")</f>
        <v/>
      </c>
      <c r="M67" s="13" t="str">
        <f>IF(AND(G67=-1,G66&lt;&gt;-1),MAX($M$50:M66)+1,"")</f>
        <v/>
      </c>
      <c r="N67" s="13" t="str">
        <f>IF(AND(G67&lt;&gt;-1,G66=-1),MAX($N$50:N66)+1,"")</f>
        <v/>
      </c>
      <c r="T67" s="7">
        <f t="shared" si="7"/>
        <v>103.49237373180129</v>
      </c>
      <c r="U67" s="1">
        <f t="shared" si="8"/>
        <v>103.49237373180125</v>
      </c>
    </row>
    <row r="68" spans="1:34" x14ac:dyDescent="0.3">
      <c r="A68" s="2">
        <v>40275</v>
      </c>
      <c r="B68" s="1">
        <v>1959.04</v>
      </c>
      <c r="C68" s="2">
        <f t="shared" si="0"/>
        <v>40275</v>
      </c>
      <c r="D68" s="1">
        <f t="shared" si="1"/>
        <v>1959.04</v>
      </c>
      <c r="E68" s="4">
        <f t="shared" si="2"/>
        <v>1860.9049999999991</v>
      </c>
      <c r="F68" s="3">
        <f t="shared" si="3"/>
        <v>1.0527350939462257</v>
      </c>
      <c r="G68" s="18">
        <f t="shared" si="4"/>
        <v>1</v>
      </c>
      <c r="H68" s="3">
        <f t="shared" si="5"/>
        <v>-5.4422873852651987E-3</v>
      </c>
      <c r="I68" s="3">
        <f t="shared" si="6"/>
        <v>-5.4422873852651987E-3</v>
      </c>
      <c r="K68" s="12" t="str">
        <f>IF(AND(G68=1,G67&lt;&gt;1),MAX($K$50:K67)+1,"")</f>
        <v/>
      </c>
      <c r="L68" s="13" t="str">
        <f>IF(AND(G68&lt;&gt;1,G67=1),MAX($L$50:L67)+1,"")</f>
        <v/>
      </c>
      <c r="M68" s="13" t="str">
        <f>IF(AND(G68=-1,G67&lt;&gt;-1),MAX($M$50:M67)+1,"")</f>
        <v/>
      </c>
      <c r="N68" s="13" t="str">
        <f>IF(AND(G68&lt;&gt;-1,G67=-1),MAX($N$50:N67)+1,"")</f>
        <v/>
      </c>
      <c r="T68" s="7">
        <f t="shared" si="7"/>
        <v>102.92913849176956</v>
      </c>
      <c r="U68" s="1">
        <f t="shared" si="8"/>
        <v>102.92913849176951</v>
      </c>
    </row>
    <row r="69" spans="1:34" x14ac:dyDescent="0.3">
      <c r="A69" s="2">
        <v>40276</v>
      </c>
      <c r="B69" s="1">
        <v>1965.72</v>
      </c>
      <c r="C69" s="2">
        <f t="shared" si="0"/>
        <v>40276</v>
      </c>
      <c r="D69" s="1">
        <f t="shared" si="1"/>
        <v>1965.72</v>
      </c>
      <c r="E69" s="4">
        <f t="shared" si="2"/>
        <v>1864.1925999999992</v>
      </c>
      <c r="F69" s="3">
        <f t="shared" si="3"/>
        <v>1.0544618619342234</v>
      </c>
      <c r="G69" s="18">
        <f t="shared" si="4"/>
        <v>1</v>
      </c>
      <c r="H69" s="3">
        <f t="shared" si="5"/>
        <v>3.4098333877818909E-3</v>
      </c>
      <c r="I69" s="3">
        <f t="shared" si="6"/>
        <v>3.4098333877818909E-3</v>
      </c>
      <c r="K69" s="12" t="str">
        <f>IF(AND(G69=1,G68&lt;&gt;1),MAX($K$50:K68)+1,"")</f>
        <v/>
      </c>
      <c r="L69" s="13" t="str">
        <f>IF(AND(G69&lt;&gt;1,G68=1),MAX($L$50:L68)+1,"")</f>
        <v/>
      </c>
      <c r="M69" s="13" t="str">
        <f>IF(AND(G69=-1,G68&lt;&gt;-1),MAX($M$50:M68)+1,"")</f>
        <v/>
      </c>
      <c r="N69" s="13" t="str">
        <f>IF(AND(G69&lt;&gt;-1,G68=-1),MAX($N$50:N68)+1,"")</f>
        <v/>
      </c>
      <c r="T69" s="7">
        <f t="shared" si="7"/>
        <v>103.28010970477443</v>
      </c>
      <c r="U69" s="1">
        <f t="shared" si="8"/>
        <v>103.28010970477436</v>
      </c>
    </row>
    <row r="70" spans="1:34" x14ac:dyDescent="0.3">
      <c r="A70" s="2">
        <v>40277</v>
      </c>
      <c r="B70" s="1">
        <v>1978.86</v>
      </c>
      <c r="C70" s="2">
        <f t="shared" si="0"/>
        <v>40277</v>
      </c>
      <c r="D70" s="1">
        <f t="shared" si="1"/>
        <v>1978.86</v>
      </c>
      <c r="E70" s="4">
        <f t="shared" si="2"/>
        <v>1867.565599999999</v>
      </c>
      <c r="F70" s="3">
        <f t="shared" si="3"/>
        <v>1.0595933015686307</v>
      </c>
      <c r="G70" s="18">
        <f t="shared" si="4"/>
        <v>1</v>
      </c>
      <c r="H70" s="3">
        <f t="shared" si="5"/>
        <v>6.6845735913558801E-3</v>
      </c>
      <c r="I70" s="3">
        <f t="shared" si="6"/>
        <v>6.6845735913558801E-3</v>
      </c>
      <c r="K70" s="12" t="str">
        <f>IF(AND(G70=1,G69&lt;&gt;1),MAX($K$50:K69)+1,"")</f>
        <v/>
      </c>
      <c r="L70" s="13" t="str">
        <f>IF(AND(G70&lt;&gt;1,G69=1),MAX($L$50:L69)+1,"")</f>
        <v/>
      </c>
      <c r="M70" s="13" t="str">
        <f>IF(AND(G70=-1,G69&lt;&gt;-1),MAX($M$50:M69)+1,"")</f>
        <v/>
      </c>
      <c r="N70" s="13" t="str">
        <f>IF(AND(G70&lt;&gt;-1,G69=-1),MAX($N$50:N69)+1,"")</f>
        <v/>
      </c>
      <c r="T70" s="7">
        <f t="shared" si="7"/>
        <v>103.97049319861931</v>
      </c>
      <c r="U70" s="1">
        <f t="shared" si="8"/>
        <v>103.97049319861922</v>
      </c>
      <c r="AH70" s="1"/>
    </row>
    <row r="71" spans="1:34" x14ac:dyDescent="0.3">
      <c r="A71" s="2">
        <v>40280</v>
      </c>
      <c r="B71" s="1">
        <v>1982.4</v>
      </c>
      <c r="C71" s="2">
        <f t="shared" si="0"/>
        <v>40280</v>
      </c>
      <c r="D71" s="1">
        <f t="shared" si="1"/>
        <v>1982.4</v>
      </c>
      <c r="E71" s="4">
        <f t="shared" si="2"/>
        <v>1871.4341999999992</v>
      </c>
      <c r="F71" s="3">
        <f t="shared" si="3"/>
        <v>1.0592945239538749</v>
      </c>
      <c r="G71" s="18">
        <f t="shared" si="4"/>
        <v>1</v>
      </c>
      <c r="H71" s="3">
        <f t="shared" si="5"/>
        <v>1.7889087656530744E-3</v>
      </c>
      <c r="I71" s="3">
        <f t="shared" si="6"/>
        <v>1.7889087656530744E-3</v>
      </c>
      <c r="K71" s="12" t="str">
        <f>IF(AND(G71=1,G70&lt;&gt;1),MAX($K$50:K70)+1,"")</f>
        <v/>
      </c>
      <c r="L71" s="13" t="str">
        <f>IF(AND(G71&lt;&gt;1,G70=1),MAX($L$50:L70)+1,"")</f>
        <v/>
      </c>
      <c r="M71" s="13" t="str">
        <f>IF(AND(G71=-1,G70&lt;&gt;-1),MAX($M$50:M70)+1,"")</f>
        <v/>
      </c>
      <c r="N71" s="13" t="str">
        <f>IF(AND(G71&lt;&gt;-1,G70=-1),MAX($N$50:N70)+1,"")</f>
        <v/>
      </c>
      <c r="T71" s="7">
        <f t="shared" si="7"/>
        <v>104.15648692527159</v>
      </c>
      <c r="U71" s="1">
        <f t="shared" si="8"/>
        <v>104.15648692527149</v>
      </c>
    </row>
    <row r="72" spans="1:34" x14ac:dyDescent="0.3">
      <c r="A72" s="2">
        <v>40281</v>
      </c>
      <c r="B72" s="1">
        <v>1983.91</v>
      </c>
      <c r="C72" s="2">
        <f t="shared" si="0"/>
        <v>40281</v>
      </c>
      <c r="D72" s="1">
        <f t="shared" si="1"/>
        <v>1983.91</v>
      </c>
      <c r="E72" s="4">
        <f t="shared" si="2"/>
        <v>1875.6843999999992</v>
      </c>
      <c r="F72" s="3">
        <f t="shared" si="3"/>
        <v>1.0576992590011416</v>
      </c>
      <c r="G72" s="18">
        <f t="shared" si="4"/>
        <v>1</v>
      </c>
      <c r="H72" s="3">
        <f t="shared" si="5"/>
        <v>7.6170298627920019E-4</v>
      </c>
      <c r="I72" s="3">
        <f t="shared" si="6"/>
        <v>7.6170298627920019E-4</v>
      </c>
      <c r="K72" s="12" t="str">
        <f>IF(AND(G72=1,G71&lt;&gt;1),MAX($K$50:K71)+1,"")</f>
        <v/>
      </c>
      <c r="L72" s="13" t="str">
        <f>IF(AND(G72&lt;&gt;1,G71=1),MAX($L$50:L71)+1,"")</f>
        <v/>
      </c>
      <c r="M72" s="13" t="str">
        <f>IF(AND(G72=-1,G71&lt;&gt;-1),MAX($M$50:M71)+1,"")</f>
        <v/>
      </c>
      <c r="N72" s="13" t="str">
        <f>IF(AND(G72&lt;&gt;-1,G71=-1),MAX($N$50:N71)+1,"")</f>
        <v/>
      </c>
      <c r="T72" s="7">
        <f t="shared" si="7"/>
        <v>104.23582323240292</v>
      </c>
      <c r="U72" s="1">
        <f t="shared" si="8"/>
        <v>104.23582323240282</v>
      </c>
    </row>
    <row r="73" spans="1:34" x14ac:dyDescent="0.3">
      <c r="A73" s="2">
        <v>40282</v>
      </c>
      <c r="B73" s="1">
        <v>2006.06</v>
      </c>
      <c r="C73" s="2">
        <f t="shared" si="0"/>
        <v>40282</v>
      </c>
      <c r="D73" s="1">
        <f t="shared" si="1"/>
        <v>2006.06</v>
      </c>
      <c r="E73" s="4">
        <f t="shared" si="2"/>
        <v>1879.8721999999991</v>
      </c>
      <c r="F73" s="3">
        <f t="shared" si="3"/>
        <v>1.0671257333344262</v>
      </c>
      <c r="G73" s="18">
        <f t="shared" si="4"/>
        <v>1</v>
      </c>
      <c r="H73" s="3">
        <f t="shared" si="5"/>
        <v>1.1164820984822743E-2</v>
      </c>
      <c r="I73" s="3">
        <f t="shared" si="6"/>
        <v>1.1164820984822743E-2</v>
      </c>
      <c r="K73" s="12" t="str">
        <f>IF(AND(G73=1,G72&lt;&gt;1),MAX($K$50:K72)+1,"")</f>
        <v/>
      </c>
      <c r="L73" s="13" t="str">
        <f>IF(AND(G73&lt;&gt;1,G72=1),MAX($L$50:L72)+1,"")</f>
        <v/>
      </c>
      <c r="M73" s="13" t="str">
        <f>IF(AND(G73=-1,G72&lt;&gt;-1),MAX($M$50:M72)+1,"")</f>
        <v/>
      </c>
      <c r="N73" s="13" t="str">
        <f>IF(AND(G73&lt;&gt;-1,G72=-1),MAX($N$50:N72)+1,"")</f>
        <v/>
      </c>
      <c r="T73" s="7">
        <f t="shared" si="7"/>
        <v>105.39959753899832</v>
      </c>
      <c r="U73" s="1">
        <f t="shared" si="8"/>
        <v>105.39959753899824</v>
      </c>
    </row>
    <row r="74" spans="1:34" x14ac:dyDescent="0.3">
      <c r="A74" s="2">
        <v>40283</v>
      </c>
      <c r="B74" s="1">
        <v>2007.74</v>
      </c>
      <c r="C74" s="2">
        <f t="shared" si="0"/>
        <v>40283</v>
      </c>
      <c r="D74" s="1">
        <f t="shared" si="1"/>
        <v>2007.74</v>
      </c>
      <c r="E74" s="4">
        <f t="shared" si="2"/>
        <v>1883.6271999999992</v>
      </c>
      <c r="F74" s="3">
        <f t="shared" si="3"/>
        <v>1.0658903205475059</v>
      </c>
      <c r="G74" s="18">
        <f t="shared" si="4"/>
        <v>1</v>
      </c>
      <c r="H74" s="3">
        <f t="shared" si="5"/>
        <v>8.3746248865934625E-4</v>
      </c>
      <c r="I74" s="3">
        <f t="shared" si="6"/>
        <v>8.3746248865934625E-4</v>
      </c>
      <c r="K74" s="12" t="str">
        <f>IF(AND(G74=1,G73&lt;&gt;1),MAX($K$50:K73)+1,"")</f>
        <v/>
      </c>
      <c r="L74" s="13" t="str">
        <f>IF(AND(G74&lt;&gt;1,G73=1),MAX($L$50:L73)+1,"")</f>
        <v/>
      </c>
      <c r="M74" s="13" t="str">
        <f>IF(AND(G74=-1,G73&lt;&gt;-1),MAX($M$50:M73)+1,"")</f>
        <v/>
      </c>
      <c r="N74" s="13" t="str">
        <f>IF(AND(G74&lt;&gt;-1,G73=-1),MAX($N$50:N73)+1,"")</f>
        <v/>
      </c>
      <c r="T74" s="7">
        <f t="shared" si="7"/>
        <v>105.48786574825702</v>
      </c>
      <c r="U74" s="1">
        <f t="shared" si="8"/>
        <v>105.48786574825695</v>
      </c>
    </row>
    <row r="75" spans="1:34" x14ac:dyDescent="0.3">
      <c r="A75" s="2">
        <v>40284</v>
      </c>
      <c r="B75" s="1">
        <v>1975.36</v>
      </c>
      <c r="C75" s="2">
        <f t="shared" si="0"/>
        <v>40284</v>
      </c>
      <c r="D75" s="1">
        <f t="shared" si="1"/>
        <v>1975.36</v>
      </c>
      <c r="E75" s="4">
        <f t="shared" si="2"/>
        <v>1886.9215999999994</v>
      </c>
      <c r="F75" s="3">
        <f t="shared" si="3"/>
        <v>1.0468691439008386</v>
      </c>
      <c r="G75" s="18">
        <f t="shared" si="4"/>
        <v>1</v>
      </c>
      <c r="H75" s="3">
        <f t="shared" si="5"/>
        <v>-1.6127586241246439E-2</v>
      </c>
      <c r="I75" s="3">
        <f t="shared" si="6"/>
        <v>-1.6127586241246439E-2</v>
      </c>
      <c r="K75" s="12" t="str">
        <f>IF(AND(G75=1,G74&lt;&gt;1),MAX($K$50:K74)+1,"")</f>
        <v/>
      </c>
      <c r="L75" s="13" t="str">
        <f>IF(AND(G75&lt;&gt;1,G74=1),MAX($L$50:L74)+1,"")</f>
        <v/>
      </c>
      <c r="M75" s="13" t="str">
        <f>IF(AND(G75=-1,G74&lt;&gt;-1),MAX($M$50:M74)+1,"")</f>
        <v/>
      </c>
      <c r="N75" s="13" t="str">
        <f>IF(AND(G75&lt;&gt;-1,G74=-1),MAX($N$50:N74)+1,"")</f>
        <v/>
      </c>
      <c r="T75" s="7">
        <f t="shared" si="7"/>
        <v>103.78660109599699</v>
      </c>
      <c r="U75" s="1">
        <f t="shared" si="8"/>
        <v>103.78660109599691</v>
      </c>
    </row>
    <row r="76" spans="1:34" x14ac:dyDescent="0.3">
      <c r="A76" s="2">
        <v>40287</v>
      </c>
      <c r="B76" s="1">
        <v>1984.32</v>
      </c>
      <c r="C76" s="2">
        <f t="shared" si="0"/>
        <v>40287</v>
      </c>
      <c r="D76" s="1">
        <f t="shared" si="1"/>
        <v>1984.32</v>
      </c>
      <c r="E76" s="4">
        <f t="shared" si="2"/>
        <v>1891.5219999999999</v>
      </c>
      <c r="F76" s="3">
        <f t="shared" si="3"/>
        <v>1.0490599633522635</v>
      </c>
      <c r="G76" s="18">
        <f t="shared" si="4"/>
        <v>1</v>
      </c>
      <c r="H76" s="3">
        <f t="shared" si="5"/>
        <v>4.5358820670662325E-3</v>
      </c>
      <c r="I76" s="3">
        <f t="shared" si="6"/>
        <v>4.5358820670662325E-3</v>
      </c>
      <c r="K76" s="12" t="str">
        <f>IF(AND(G76=1,G75&lt;&gt;1),MAX($K$50:K75)+1,"")</f>
        <v/>
      </c>
      <c r="L76" s="13" t="str">
        <f>IF(AND(G76&lt;&gt;1,G75=1),MAX($L$50:L75)+1,"")</f>
        <v/>
      </c>
      <c r="M76" s="13" t="str">
        <f>IF(AND(G76=-1,G75&lt;&gt;-1),MAX($M$50:M75)+1,"")</f>
        <v/>
      </c>
      <c r="N76" s="13" t="str">
        <f>IF(AND(G76&lt;&gt;-1,G75=-1),MAX($N$50:N75)+1,"")</f>
        <v/>
      </c>
      <c r="T76" s="7">
        <f t="shared" si="7"/>
        <v>104.25736487871008</v>
      </c>
      <c r="U76" s="1">
        <f t="shared" si="8"/>
        <v>104.25736487871001</v>
      </c>
    </row>
    <row r="77" spans="1:34" x14ac:dyDescent="0.3">
      <c r="A77" s="2">
        <v>40288</v>
      </c>
      <c r="B77" s="1">
        <v>2000.33</v>
      </c>
      <c r="C77" s="2">
        <f t="shared" si="0"/>
        <v>40288</v>
      </c>
      <c r="D77" s="1">
        <f t="shared" si="1"/>
        <v>2000.33</v>
      </c>
      <c r="E77" s="4">
        <f t="shared" si="2"/>
        <v>1896.3410000000001</v>
      </c>
      <c r="F77" s="3">
        <f t="shared" si="3"/>
        <v>1.0548366564874143</v>
      </c>
      <c r="G77" s="18">
        <f t="shared" si="4"/>
        <v>1</v>
      </c>
      <c r="H77" s="3">
        <f t="shared" si="5"/>
        <v>8.0682551201418651E-3</v>
      </c>
      <c r="I77" s="3">
        <f t="shared" si="6"/>
        <v>8.0682551201418651E-3</v>
      </c>
      <c r="K77" s="12" t="str">
        <f>IF(AND(G77=1,G76&lt;&gt;1),MAX($K$50:K76)+1,"")</f>
        <v/>
      </c>
      <c r="L77" s="13" t="str">
        <f>IF(AND(G77&lt;&gt;1,G76=1),MAX($L$50:L76)+1,"")</f>
        <v/>
      </c>
      <c r="M77" s="13" t="str">
        <f>IF(AND(G77=-1,G76&lt;&gt;-1),MAX($M$50:M76)+1,"")</f>
        <v/>
      </c>
      <c r="N77" s="13" t="str">
        <f>IF(AND(G77&lt;&gt;-1,G76=-1),MAX($N$50:N76)+1,"")</f>
        <v/>
      </c>
      <c r="T77" s="7">
        <f t="shared" si="7"/>
        <v>105.09853989670523</v>
      </c>
      <c r="U77" s="1">
        <f t="shared" si="8"/>
        <v>105.09853989670515</v>
      </c>
    </row>
    <row r="78" spans="1:34" x14ac:dyDescent="0.3">
      <c r="A78" s="2">
        <v>40289</v>
      </c>
      <c r="B78" s="1">
        <v>1998.31</v>
      </c>
      <c r="C78" s="2">
        <f t="shared" si="0"/>
        <v>40289</v>
      </c>
      <c r="D78" s="1">
        <f t="shared" si="1"/>
        <v>1998.31</v>
      </c>
      <c r="E78" s="4">
        <f t="shared" si="2"/>
        <v>1901.4198000000001</v>
      </c>
      <c r="F78" s="3">
        <f t="shared" si="3"/>
        <v>1.0509567639928856</v>
      </c>
      <c r="G78" s="18">
        <f t="shared" si="4"/>
        <v>1</v>
      </c>
      <c r="H78" s="3">
        <f t="shared" si="5"/>
        <v>-1.0098333774927193E-3</v>
      </c>
      <c r="I78" s="3">
        <f t="shared" si="6"/>
        <v>-1.0098333774927193E-3</v>
      </c>
      <c r="K78" s="12" t="str">
        <f>IF(AND(G78=1,G77&lt;&gt;1),MAX($K$50:K77)+1,"")</f>
        <v/>
      </c>
      <c r="L78" s="13" t="str">
        <f>IF(AND(G78&lt;&gt;1,G77=1),MAX($L$50:L77)+1,"")</f>
        <v/>
      </c>
      <c r="M78" s="13" t="str">
        <f>IF(AND(G78=-1,G77&lt;&gt;-1),MAX($M$50:M77)+1,"")</f>
        <v/>
      </c>
      <c r="N78" s="13" t="str">
        <f>IF(AND(G78&lt;&gt;-1,G77=-1),MAX($N$50:N77)+1,"")</f>
        <v/>
      </c>
      <c r="T78" s="7">
        <f t="shared" si="7"/>
        <v>104.99240788319179</v>
      </c>
      <c r="U78" s="1">
        <f t="shared" si="8"/>
        <v>104.9924078831917</v>
      </c>
    </row>
    <row r="79" spans="1:34" x14ac:dyDescent="0.3">
      <c r="A79" s="2">
        <v>40290</v>
      </c>
      <c r="B79" s="1">
        <v>2002.93</v>
      </c>
      <c r="C79" s="2">
        <f t="shared" si="0"/>
        <v>40290</v>
      </c>
      <c r="D79" s="1">
        <f t="shared" si="1"/>
        <v>2002.93</v>
      </c>
      <c r="E79" s="4">
        <f t="shared" si="2"/>
        <v>1906.1347999999998</v>
      </c>
      <c r="F79" s="3">
        <f t="shared" si="3"/>
        <v>1.0507808786660839</v>
      </c>
      <c r="G79" s="18">
        <f t="shared" si="4"/>
        <v>1</v>
      </c>
      <c r="H79" s="3">
        <f t="shared" si="5"/>
        <v>2.3119536007927266E-3</v>
      </c>
      <c r="I79" s="3">
        <f t="shared" si="6"/>
        <v>2.3119536007927266E-3</v>
      </c>
      <c r="K79" s="12" t="str">
        <f>IF(AND(G79=1,G78&lt;&gt;1),MAX($K$50:K78)+1,"")</f>
        <v/>
      </c>
      <c r="L79" s="13" t="str">
        <f>IF(AND(G79&lt;&gt;1,G78=1),MAX($L$50:L78)+1,"")</f>
        <v/>
      </c>
      <c r="M79" s="13" t="str">
        <f>IF(AND(G79=-1,G78&lt;&gt;-1),MAX($M$50:M78)+1,"")</f>
        <v/>
      </c>
      <c r="N79" s="13" t="str">
        <f>IF(AND(G79&lt;&gt;-1,G78=-1),MAX($N$50:N78)+1,"")</f>
        <v/>
      </c>
      <c r="T79" s="7">
        <f t="shared" si="7"/>
        <v>105.23514545865324</v>
      </c>
      <c r="U79" s="1">
        <f t="shared" si="8"/>
        <v>105.23514545865314</v>
      </c>
    </row>
    <row r="80" spans="1:34" x14ac:dyDescent="0.3">
      <c r="A80" s="2">
        <v>40291</v>
      </c>
      <c r="B80" s="1">
        <v>2017.19</v>
      </c>
      <c r="C80" s="2">
        <f t="shared" si="0"/>
        <v>40291</v>
      </c>
      <c r="D80" s="1">
        <f t="shared" si="1"/>
        <v>2017.19</v>
      </c>
      <c r="E80" s="4">
        <f t="shared" si="2"/>
        <v>1911.2047999999998</v>
      </c>
      <c r="F80" s="3">
        <f t="shared" si="3"/>
        <v>1.0554546535253575</v>
      </c>
      <c r="G80" s="18">
        <f t="shared" si="4"/>
        <v>1</v>
      </c>
      <c r="H80" s="3">
        <f t="shared" si="5"/>
        <v>7.1195698301986798E-3</v>
      </c>
      <c r="I80" s="3">
        <f t="shared" si="6"/>
        <v>7.1195698301986798E-3</v>
      </c>
      <c r="K80" s="12" t="str">
        <f>IF(AND(G80=1,G79&lt;&gt;1),MAX($K$50:K79)+1,"")</f>
        <v/>
      </c>
      <c r="L80" s="13" t="str">
        <f>IF(AND(G80&lt;&gt;1,G79=1),MAX($L$50:L79)+1,"")</f>
        <v/>
      </c>
      <c r="M80" s="13" t="str">
        <f>IF(AND(G80=-1,G79&lt;&gt;-1),MAX($M$50:M79)+1,"")</f>
        <v/>
      </c>
      <c r="N80" s="13" t="str">
        <f>IF(AND(G80&lt;&gt;-1,G79=-1),MAX($N$50:N79)+1,"")</f>
        <v/>
      </c>
      <c r="T80" s="7">
        <f t="shared" si="7"/>
        <v>105.98437442533724</v>
      </c>
      <c r="U80" s="1">
        <f t="shared" si="8"/>
        <v>105.98437442533714</v>
      </c>
    </row>
    <row r="81" spans="1:21" x14ac:dyDescent="0.3">
      <c r="A81" s="2">
        <v>40294</v>
      </c>
      <c r="B81" s="1">
        <v>2008.55</v>
      </c>
      <c r="C81" s="2">
        <f t="shared" si="0"/>
        <v>40294</v>
      </c>
      <c r="D81" s="1">
        <f t="shared" si="1"/>
        <v>2008.55</v>
      </c>
      <c r="E81" s="4">
        <f t="shared" si="2"/>
        <v>1915.7556</v>
      </c>
      <c r="F81" s="3">
        <f t="shared" si="3"/>
        <v>1.0484374938014014</v>
      </c>
      <c r="G81" s="18">
        <f t="shared" si="4"/>
        <v>1</v>
      </c>
      <c r="H81" s="3">
        <f t="shared" si="5"/>
        <v>-4.2831860161909319E-3</v>
      </c>
      <c r="I81" s="3">
        <f t="shared" si="6"/>
        <v>-4.2831860161909319E-3</v>
      </c>
      <c r="K81" s="12" t="str">
        <f>IF(AND(G81=1,G80&lt;&gt;1),MAX($K$50:K80)+1,"")</f>
        <v/>
      </c>
      <c r="L81" s="13" t="str">
        <f>IF(AND(G81&lt;&gt;1,G80=1),MAX($L$50:L80)+1,"")</f>
        <v/>
      </c>
      <c r="M81" s="13" t="str">
        <f>IF(AND(G81=-1,G80&lt;&gt;-1),MAX($M$50:M80)+1,"")</f>
        <v/>
      </c>
      <c r="N81" s="13" t="str">
        <f>IF(AND(G81&lt;&gt;-1,G80=-1),MAX($N$50:N80)+1,"")</f>
        <v/>
      </c>
      <c r="T81" s="7">
        <f t="shared" si="7"/>
        <v>105.53042363486389</v>
      </c>
      <c r="U81" s="1">
        <f t="shared" si="8"/>
        <v>105.53042363486379</v>
      </c>
    </row>
    <row r="82" spans="1:21" x14ac:dyDescent="0.3">
      <c r="A82" s="2">
        <v>40295</v>
      </c>
      <c r="B82" s="1">
        <v>1961.6</v>
      </c>
      <c r="C82" s="2">
        <f t="shared" si="0"/>
        <v>40295</v>
      </c>
      <c r="D82" s="1">
        <f t="shared" si="1"/>
        <v>1961.6</v>
      </c>
      <c r="E82" s="4">
        <f t="shared" si="2"/>
        <v>1919.4576000000002</v>
      </c>
      <c r="F82" s="3">
        <f t="shared" si="3"/>
        <v>1.0219553690584255</v>
      </c>
      <c r="G82" s="18">
        <f t="shared" si="4"/>
        <v>1</v>
      </c>
      <c r="H82" s="3">
        <f t="shared" si="5"/>
        <v>-2.3375071569042394E-2</v>
      </c>
      <c r="I82" s="3">
        <f t="shared" si="6"/>
        <v>-2.3375071569042394E-2</v>
      </c>
      <c r="K82" s="12" t="str">
        <f>IF(AND(G82=1,G81&lt;&gt;1),MAX($K$50:K81)+1,"")</f>
        <v/>
      </c>
      <c r="L82" s="13" t="str">
        <f>IF(AND(G82&lt;&gt;1,G81=1),MAX($L$50:L81)+1,"")</f>
        <v/>
      </c>
      <c r="M82" s="13" t="str">
        <f>IF(AND(G82=-1,G81&lt;&gt;-1),MAX($M$50:M81)+1,"")</f>
        <v/>
      </c>
      <c r="N82" s="13" t="str">
        <f>IF(AND(G82&lt;&gt;-1,G81=-1),MAX($N$50:N81)+1,"")</f>
        <v/>
      </c>
      <c r="T82" s="7">
        <f t="shared" si="7"/>
        <v>103.06364242968759</v>
      </c>
      <c r="U82" s="1">
        <f t="shared" si="8"/>
        <v>103.06364242968749</v>
      </c>
    </row>
    <row r="83" spans="1:21" x14ac:dyDescent="0.3">
      <c r="A83" s="2">
        <v>40296</v>
      </c>
      <c r="B83" s="1">
        <v>1974.63</v>
      </c>
      <c r="C83" s="2">
        <f t="shared" si="0"/>
        <v>40296</v>
      </c>
      <c r="D83" s="1">
        <f t="shared" si="1"/>
        <v>1974.63</v>
      </c>
      <c r="E83" s="4">
        <f t="shared" si="2"/>
        <v>1922.7758000000003</v>
      </c>
      <c r="F83" s="3">
        <f t="shared" si="3"/>
        <v>1.0269684068210134</v>
      </c>
      <c r="G83" s="18">
        <f t="shared" si="4"/>
        <v>1</v>
      </c>
      <c r="H83" s="3">
        <f t="shared" si="5"/>
        <v>6.642536704730917E-3</v>
      </c>
      <c r="I83" s="3">
        <f t="shared" si="6"/>
        <v>6.642536704730917E-3</v>
      </c>
      <c r="K83" s="12" t="str">
        <f>IF(AND(G83=1,G82&lt;&gt;1),MAX($K$50:K82)+1,"")</f>
        <v/>
      </c>
      <c r="L83" s="13" t="str">
        <f>IF(AND(G83&lt;&gt;1,G82=1),MAX($L$50:L82)+1,"")</f>
        <v/>
      </c>
      <c r="M83" s="13" t="str">
        <f>IF(AND(G83=-1,G82&lt;&gt;-1),MAX($M$50:M82)+1,"")</f>
        <v/>
      </c>
      <c r="N83" s="13" t="str">
        <f>IF(AND(G83&lt;&gt;-1,G82=-1),MAX($N$50:N82)+1,"")</f>
        <v/>
      </c>
      <c r="T83" s="7">
        <f t="shared" si="7"/>
        <v>103.74824645745005</v>
      </c>
      <c r="U83" s="1">
        <f t="shared" si="8"/>
        <v>103.74824645744997</v>
      </c>
    </row>
    <row r="84" spans="1:21" x14ac:dyDescent="0.3">
      <c r="A84" s="2">
        <v>40297</v>
      </c>
      <c r="B84" s="1">
        <v>2000.34</v>
      </c>
      <c r="C84" s="2">
        <f t="shared" si="0"/>
        <v>40297</v>
      </c>
      <c r="D84" s="1">
        <f t="shared" si="1"/>
        <v>2000.34</v>
      </c>
      <c r="E84" s="4">
        <f t="shared" si="2"/>
        <v>1926.4486000000004</v>
      </c>
      <c r="F84" s="3">
        <f t="shared" si="3"/>
        <v>1.0383562790099874</v>
      </c>
      <c r="G84" s="18">
        <f t="shared" si="4"/>
        <v>1</v>
      </c>
      <c r="H84" s="3">
        <f t="shared" si="5"/>
        <v>1.3020160738973718E-2</v>
      </c>
      <c r="I84" s="3">
        <f t="shared" si="6"/>
        <v>1.3020160738973718E-2</v>
      </c>
      <c r="K84" s="12" t="str">
        <f>IF(AND(G84=1,G83&lt;&gt;1),MAX($K$50:K83)+1,"")</f>
        <v/>
      </c>
      <c r="L84" s="13" t="str">
        <f>IF(AND(G84&lt;&gt;1,G83=1),MAX($L$50:L83)+1,"")</f>
        <v/>
      </c>
      <c r="M84" s="13" t="str">
        <f>IF(AND(G84=-1,G83&lt;&gt;-1),MAX($M$50:M83)+1,"")</f>
        <v/>
      </c>
      <c r="N84" s="13" t="str">
        <f>IF(AND(G84&lt;&gt;-1,G83=-1),MAX($N$50:N83)+1,"")</f>
        <v/>
      </c>
      <c r="T84" s="7">
        <f t="shared" si="7"/>
        <v>105.09906530271272</v>
      </c>
      <c r="U84" s="1">
        <f t="shared" si="8"/>
        <v>105.09906530271263</v>
      </c>
    </row>
    <row r="85" spans="1:21" x14ac:dyDescent="0.3">
      <c r="A85" s="2">
        <v>40298</v>
      </c>
      <c r="B85" s="1">
        <v>1967.05</v>
      </c>
      <c r="C85" s="2">
        <f t="shared" si="0"/>
        <v>40298</v>
      </c>
      <c r="D85" s="1">
        <f t="shared" si="1"/>
        <v>1967.05</v>
      </c>
      <c r="E85" s="4">
        <f t="shared" si="2"/>
        <v>1929.2134000000005</v>
      </c>
      <c r="F85" s="3">
        <f t="shared" si="3"/>
        <v>1.0196124493018757</v>
      </c>
      <c r="G85" s="18">
        <f t="shared" si="4"/>
        <v>1</v>
      </c>
      <c r="H85" s="3">
        <f t="shared" si="5"/>
        <v>-1.6642170830958758E-2</v>
      </c>
      <c r="I85" s="3">
        <f t="shared" si="6"/>
        <v>-1.6642170830958758E-2</v>
      </c>
      <c r="K85" s="12" t="str">
        <f>IF(AND(G85=1,G84&lt;&gt;1),MAX($K$50:K84)+1,"")</f>
        <v/>
      </c>
      <c r="L85" s="13" t="str">
        <f>IF(AND(G85&lt;&gt;1,G84=1),MAX($L$50:L84)+1,"")</f>
        <v/>
      </c>
      <c r="M85" s="13" t="str">
        <f>IF(AND(G85=-1,G84&lt;&gt;-1),MAX($M$50:M84)+1,"")</f>
        <v/>
      </c>
      <c r="N85" s="13" t="str">
        <f>IF(AND(G85&lt;&gt;-1,G84=-1),MAX($N$50:N84)+1,"")</f>
        <v/>
      </c>
      <c r="T85" s="7">
        <f t="shared" si="7"/>
        <v>103.34998870377088</v>
      </c>
      <c r="U85" s="1">
        <f t="shared" si="8"/>
        <v>103.3499887037708</v>
      </c>
    </row>
    <row r="86" spans="1:21" x14ac:dyDescent="0.3">
      <c r="A86" s="2">
        <v>40301</v>
      </c>
      <c r="B86" s="1">
        <v>1992.87</v>
      </c>
      <c r="C86" s="2">
        <f t="shared" si="0"/>
        <v>40301</v>
      </c>
      <c r="D86" s="1">
        <f t="shared" si="1"/>
        <v>1992.87</v>
      </c>
      <c r="E86" s="4">
        <f t="shared" si="2"/>
        <v>1932.4090000000006</v>
      </c>
      <c r="F86" s="3">
        <f t="shared" si="3"/>
        <v>1.0312878898825246</v>
      </c>
      <c r="G86" s="18">
        <f t="shared" si="4"/>
        <v>1</v>
      </c>
      <c r="H86" s="3">
        <f t="shared" si="5"/>
        <v>1.3126255051981284E-2</v>
      </c>
      <c r="I86" s="3">
        <f t="shared" si="6"/>
        <v>1.3126255051981284E-2</v>
      </c>
      <c r="K86" s="12" t="str">
        <f>IF(AND(G86=1,G85&lt;&gt;1),MAX($K$50:K85)+1,"")</f>
        <v/>
      </c>
      <c r="L86" s="13" t="str">
        <f>IF(AND(G86&lt;&gt;1,G85=1),MAX($L$50:L85)+1,"")</f>
        <v/>
      </c>
      <c r="M86" s="13" t="str">
        <f>IF(AND(G86=-1,G85&lt;&gt;-1),MAX($M$50:M85)+1,"")</f>
        <v/>
      </c>
      <c r="N86" s="13" t="str">
        <f>IF(AND(G86&lt;&gt;-1,G85=-1),MAX($N$50:N85)+1,"")</f>
        <v/>
      </c>
      <c r="T86" s="7">
        <f t="shared" si="7"/>
        <v>104.70658701511596</v>
      </c>
      <c r="U86" s="1">
        <f t="shared" si="8"/>
        <v>104.70658701511589</v>
      </c>
    </row>
    <row r="87" spans="1:21" x14ac:dyDescent="0.3">
      <c r="A87" s="2">
        <v>40302</v>
      </c>
      <c r="B87" s="1">
        <v>1945.37</v>
      </c>
      <c r="C87" s="2">
        <f t="shared" si="0"/>
        <v>40302</v>
      </c>
      <c r="D87" s="1">
        <f t="shared" si="1"/>
        <v>1945.37</v>
      </c>
      <c r="E87" s="4">
        <f t="shared" si="2"/>
        <v>1934.6922000000006</v>
      </c>
      <c r="F87" s="3">
        <f t="shared" si="3"/>
        <v>1.0055191208193217</v>
      </c>
      <c r="G87" s="18">
        <f t="shared" si="4"/>
        <v>1</v>
      </c>
      <c r="H87" s="3">
        <f t="shared" si="5"/>
        <v>-2.3834971674017824E-2</v>
      </c>
      <c r="I87" s="3">
        <f t="shared" si="6"/>
        <v>-2.3834971674017824E-2</v>
      </c>
      <c r="K87" s="12" t="str">
        <f>IF(AND(G87=1,G86&lt;&gt;1),MAX($K$50:K86)+1,"")</f>
        <v/>
      </c>
      <c r="L87" s="13" t="str">
        <f>IF(AND(G87&lt;&gt;1,G86=1),MAX($L$50:L86)+1,"")</f>
        <v/>
      </c>
      <c r="M87" s="13" t="str">
        <f>IF(AND(G87=-1,G86&lt;&gt;-1),MAX($M$50:M86)+1,"")</f>
        <v/>
      </c>
      <c r="N87" s="13" t="str">
        <f>IF(AND(G87&lt;&gt;-1,G86=-1),MAX($N$50:N86)+1,"")</f>
        <v/>
      </c>
      <c r="T87" s="7">
        <f t="shared" si="7"/>
        <v>102.21090847952759</v>
      </c>
      <c r="U87" s="1">
        <f t="shared" si="8"/>
        <v>102.21090847952752</v>
      </c>
    </row>
    <row r="88" spans="1:21" x14ac:dyDescent="0.3">
      <c r="A88" s="2">
        <v>40303</v>
      </c>
      <c r="B88" s="1">
        <v>1933.25</v>
      </c>
      <c r="C88" s="2">
        <f t="shared" si="0"/>
        <v>40303</v>
      </c>
      <c r="D88" s="1">
        <f t="shared" si="1"/>
        <v>1933.25</v>
      </c>
      <c r="E88" s="4">
        <f t="shared" si="2"/>
        <v>1937.1762000000006</v>
      </c>
      <c r="F88" s="3">
        <f t="shared" si="3"/>
        <v>0.99797323547543038</v>
      </c>
      <c r="G88" s="18">
        <f t="shared" si="4"/>
        <v>1</v>
      </c>
      <c r="H88" s="3">
        <f t="shared" si="5"/>
        <v>-6.2301772927514376E-3</v>
      </c>
      <c r="I88" s="3">
        <f t="shared" si="6"/>
        <v>-6.2301772927514376E-3</v>
      </c>
      <c r="K88" s="12" t="str">
        <f>IF(AND(G88=1,G87&lt;&gt;1),MAX($K$50:K87)+1,"")</f>
        <v/>
      </c>
      <c r="L88" s="13" t="str">
        <f>IF(AND(G88&lt;&gt;1,G87=1),MAX($L$50:L87)+1,"")</f>
        <v/>
      </c>
      <c r="M88" s="13" t="str">
        <f>IF(AND(G88=-1,G87&lt;&gt;-1),MAX($M$50:M87)+1,"")</f>
        <v/>
      </c>
      <c r="N88" s="13" t="str">
        <f>IF(AND(G88&lt;&gt;-1,G87=-1),MAX($N$50:N87)+1,"")</f>
        <v/>
      </c>
      <c r="T88" s="7">
        <f t="shared" si="7"/>
        <v>101.57411639844695</v>
      </c>
      <c r="U88" s="1">
        <f t="shared" si="8"/>
        <v>101.57411639844688</v>
      </c>
    </row>
    <row r="89" spans="1:21" x14ac:dyDescent="0.3">
      <c r="A89" s="2">
        <v>40304</v>
      </c>
      <c r="B89" s="1">
        <v>1870.95</v>
      </c>
      <c r="C89" s="2">
        <f t="shared" si="0"/>
        <v>40304</v>
      </c>
      <c r="D89" s="1">
        <f t="shared" si="1"/>
        <v>1870.95</v>
      </c>
      <c r="E89" s="4">
        <f t="shared" si="2"/>
        <v>1938.0554000000004</v>
      </c>
      <c r="F89" s="3">
        <f t="shared" si="3"/>
        <v>0.96537488040847519</v>
      </c>
      <c r="G89" s="18">
        <f t="shared" si="4"/>
        <v>1</v>
      </c>
      <c r="H89" s="3">
        <f t="shared" si="5"/>
        <v>-3.2225526962369022E-2</v>
      </c>
      <c r="I89" s="3">
        <f t="shared" si="6"/>
        <v>-3.2225526962369022E-2</v>
      </c>
      <c r="K89" s="12" t="str">
        <f>IF(AND(G89=1,G88&lt;&gt;1),MAX($K$50:K88)+1,"")</f>
        <v/>
      </c>
      <c r="L89" s="13" t="str">
        <f>IF(AND(G89&lt;&gt;1,G88=1),MAX($L$50:L88)+1,"")</f>
        <v/>
      </c>
      <c r="M89" s="13" t="str">
        <f>IF(AND(G89=-1,G88&lt;&gt;-1),MAX($M$50:M88)+1,"")</f>
        <v/>
      </c>
      <c r="N89" s="13" t="str">
        <f>IF(AND(G89&lt;&gt;-1,G88=-1),MAX($N$50:N88)+1,"")</f>
        <v/>
      </c>
      <c r="T89" s="7">
        <f t="shared" si="7"/>
        <v>98.300836971769982</v>
      </c>
      <c r="U89" s="1">
        <f t="shared" si="8"/>
        <v>98.300836971769911</v>
      </c>
    </row>
    <row r="90" spans="1:21" x14ac:dyDescent="0.3">
      <c r="A90" s="2">
        <v>40305</v>
      </c>
      <c r="B90" s="1">
        <v>1842.32</v>
      </c>
      <c r="C90" s="2">
        <f t="shared" si="0"/>
        <v>40305</v>
      </c>
      <c r="D90" s="1">
        <f t="shared" si="1"/>
        <v>1842.32</v>
      </c>
      <c r="E90" s="4">
        <f t="shared" si="2"/>
        <v>1938.4290000000005</v>
      </c>
      <c r="F90" s="3">
        <f t="shared" si="3"/>
        <v>0.95041912806710971</v>
      </c>
      <c r="G90" s="18">
        <f t="shared" si="4"/>
        <v>1</v>
      </c>
      <c r="H90" s="3">
        <f t="shared" si="5"/>
        <v>-1.5302386488147746E-2</v>
      </c>
      <c r="I90" s="3">
        <f t="shared" si="6"/>
        <v>-1.5302386488147746E-2</v>
      </c>
      <c r="K90" s="12" t="str">
        <f>IF(AND(G90=1,G89&lt;&gt;1),MAX($K$50:K89)+1,"")</f>
        <v/>
      </c>
      <c r="L90" s="13" t="str">
        <f>IF(AND(G90&lt;&gt;1,G89=1),MAX($L$50:L89)+1,"")</f>
        <v/>
      </c>
      <c r="M90" s="13" t="str">
        <f>IF(AND(G90=-1,G89&lt;&gt;-1),MAX($M$50:M89)+1,"")</f>
        <v/>
      </c>
      <c r="N90" s="13" t="str">
        <f>IF(AND(G90&lt;&gt;-1,G89=-1),MAX($N$50:N89)+1,"")</f>
        <v/>
      </c>
      <c r="T90" s="7">
        <f t="shared" si="7"/>
        <v>96.79659957231955</v>
      </c>
      <c r="U90" s="1">
        <f t="shared" si="8"/>
        <v>96.796599572319479</v>
      </c>
    </row>
    <row r="91" spans="1:21" x14ac:dyDescent="0.3">
      <c r="A91" s="2">
        <v>40308</v>
      </c>
      <c r="B91" s="1">
        <v>1923.39</v>
      </c>
      <c r="C91" s="2">
        <f t="shared" si="0"/>
        <v>40308</v>
      </c>
      <c r="D91" s="1">
        <f t="shared" si="1"/>
        <v>1923.39</v>
      </c>
      <c r="E91" s="4">
        <f t="shared" si="2"/>
        <v>1940.3714000000004</v>
      </c>
      <c r="F91" s="3">
        <f t="shared" si="3"/>
        <v>0.99124837647060748</v>
      </c>
      <c r="G91" s="18">
        <f t="shared" si="4"/>
        <v>1</v>
      </c>
      <c r="H91" s="3">
        <f t="shared" si="5"/>
        <v>4.40042989274394E-2</v>
      </c>
      <c r="I91" s="3">
        <f t="shared" si="6"/>
        <v>4.40042989274394E-2</v>
      </c>
      <c r="K91" s="12" t="str">
        <f>IF(AND(G91=1,G90&lt;&gt;1),MAX($K$50:K90)+1,"")</f>
        <v/>
      </c>
      <c r="L91" s="13" t="str">
        <f>IF(AND(G91&lt;&gt;1,G90=1),MAX($L$50:L90)+1,"")</f>
        <v/>
      </c>
      <c r="M91" s="13" t="str">
        <f>IF(AND(G91=-1,G90&lt;&gt;-1),MAX($M$50:M90)+1,"")</f>
        <v/>
      </c>
      <c r="N91" s="13" t="str">
        <f>IF(AND(G91&lt;&gt;-1,G90=-1),MAX($N$50:N90)+1,"")</f>
        <v/>
      </c>
      <c r="T91" s="7">
        <f t="shared" si="7"/>
        <v>101.05606607505955</v>
      </c>
      <c r="U91" s="1">
        <f t="shared" si="8"/>
        <v>101.05606607505948</v>
      </c>
    </row>
    <row r="92" spans="1:21" x14ac:dyDescent="0.3">
      <c r="A92" s="2">
        <v>40309</v>
      </c>
      <c r="B92" s="1">
        <v>1917.25</v>
      </c>
      <c r="C92" s="2">
        <f t="shared" si="0"/>
        <v>40309</v>
      </c>
      <c r="D92" s="1">
        <f t="shared" si="1"/>
        <v>1917.25</v>
      </c>
      <c r="E92" s="4">
        <f t="shared" si="2"/>
        <v>1941.8190000000004</v>
      </c>
      <c r="F92" s="3">
        <f t="shared" si="3"/>
        <v>0.98734743042477158</v>
      </c>
      <c r="G92" s="18">
        <f t="shared" si="4"/>
        <v>1</v>
      </c>
      <c r="H92" s="3">
        <f t="shared" si="5"/>
        <v>-3.1922802967677688E-3</v>
      </c>
      <c r="I92" s="3">
        <f t="shared" si="6"/>
        <v>-3.1922802967677688E-3</v>
      </c>
      <c r="K92" s="12" t="str">
        <f>IF(AND(G92=1,G91&lt;&gt;1),MAX($K$50:K91)+1,"")</f>
        <v/>
      </c>
      <c r="L92" s="13" t="str">
        <f>IF(AND(G92&lt;&gt;1,G91=1),MAX($L$50:L91)+1,"")</f>
        <v/>
      </c>
      <c r="M92" s="13" t="str">
        <f>IF(AND(G92=-1,G91&lt;&gt;-1),MAX($M$50:M91)+1,"")</f>
        <v/>
      </c>
      <c r="N92" s="13" t="str">
        <f>IF(AND(G92&lt;&gt;-1,G91=-1),MAX($N$50:N91)+1,"")</f>
        <v/>
      </c>
      <c r="T92" s="7">
        <f t="shared" si="7"/>
        <v>100.73346678645927</v>
      </c>
      <c r="U92" s="1">
        <f t="shared" si="8"/>
        <v>100.7334667864592</v>
      </c>
    </row>
    <row r="93" spans="1:21" x14ac:dyDescent="0.3">
      <c r="A93" s="2">
        <v>40310</v>
      </c>
      <c r="B93" s="1">
        <v>1944.25</v>
      </c>
      <c r="C93" s="2">
        <f t="shared" si="0"/>
        <v>40310</v>
      </c>
      <c r="D93" s="1">
        <f t="shared" si="1"/>
        <v>1944.25</v>
      </c>
      <c r="E93" s="4">
        <f t="shared" si="2"/>
        <v>1943.7206000000003</v>
      </c>
      <c r="F93" s="3">
        <f t="shared" si="3"/>
        <v>1.0002723642482358</v>
      </c>
      <c r="G93" s="18">
        <f t="shared" si="4"/>
        <v>1</v>
      </c>
      <c r="H93" s="3">
        <f t="shared" si="5"/>
        <v>1.4082670491589511E-2</v>
      </c>
      <c r="I93" s="3">
        <f t="shared" si="6"/>
        <v>1.4082670491589511E-2</v>
      </c>
      <c r="K93" s="12" t="str">
        <f>IF(AND(G93=1,G92&lt;&gt;1),MAX($K$50:K92)+1,"")</f>
        <v/>
      </c>
      <c r="L93" s="13" t="str">
        <f>IF(AND(G93&lt;&gt;1,G92=1),MAX($L$50:L92)+1,"")</f>
        <v/>
      </c>
      <c r="M93" s="13" t="str">
        <f>IF(AND(G93=-1,G92&lt;&gt;-1),MAX($M$50:M92)+1,"")</f>
        <v/>
      </c>
      <c r="N93" s="13" t="str">
        <f>IF(AND(G93&lt;&gt;-1,G92=-1),MAX($N$50:N92)+1,"")</f>
        <v/>
      </c>
      <c r="T93" s="7">
        <f t="shared" si="7"/>
        <v>102.15206300668845</v>
      </c>
      <c r="U93" s="1">
        <f t="shared" si="8"/>
        <v>102.15206300668838</v>
      </c>
    </row>
    <row r="94" spans="1:21" x14ac:dyDescent="0.3">
      <c r="A94" s="2">
        <v>40311</v>
      </c>
      <c r="B94" s="1">
        <v>1920.76</v>
      </c>
      <c r="C94" s="2">
        <f t="shared" si="0"/>
        <v>40311</v>
      </c>
      <c r="D94" s="1">
        <f t="shared" si="1"/>
        <v>1920.76</v>
      </c>
      <c r="E94" s="4">
        <f t="shared" si="2"/>
        <v>1945.1310000000003</v>
      </c>
      <c r="F94" s="3">
        <f t="shared" si="3"/>
        <v>0.98747076675041412</v>
      </c>
      <c r="G94" s="18">
        <f t="shared" si="4"/>
        <v>1</v>
      </c>
      <c r="H94" s="3">
        <f t="shared" si="5"/>
        <v>-1.2081779606532117E-2</v>
      </c>
      <c r="I94" s="3">
        <f t="shared" si="6"/>
        <v>-1.2081779606532117E-2</v>
      </c>
      <c r="K94" s="12" t="str">
        <f>IF(AND(G94=1,G93&lt;&gt;1),MAX($K$50:K93)+1,"")</f>
        <v/>
      </c>
      <c r="L94" s="13" t="str">
        <f>IF(AND(G94&lt;&gt;1,G93=1),MAX($L$50:L93)+1,"")</f>
        <v/>
      </c>
      <c r="M94" s="13" t="str">
        <f>IF(AND(G94=-1,G93&lt;&gt;-1),MAX($M$50:M93)+1,"")</f>
        <v/>
      </c>
      <c r="N94" s="13" t="str">
        <f>IF(AND(G94&lt;&gt;-1,G93=-1),MAX($N$50:N93)+1,"")</f>
        <v/>
      </c>
      <c r="T94" s="7">
        <f t="shared" si="7"/>
        <v>100.91788429508905</v>
      </c>
      <c r="U94" s="1">
        <f t="shared" si="8"/>
        <v>100.917884295089</v>
      </c>
    </row>
    <row r="95" spans="1:21" x14ac:dyDescent="0.3">
      <c r="A95" s="2">
        <v>40312</v>
      </c>
      <c r="B95" s="1">
        <v>1884.67</v>
      </c>
      <c r="C95" s="2">
        <f t="shared" si="0"/>
        <v>40312</v>
      </c>
      <c r="D95" s="1">
        <f t="shared" si="1"/>
        <v>1884.67</v>
      </c>
      <c r="E95" s="4">
        <f t="shared" si="2"/>
        <v>1945.6804000000004</v>
      </c>
      <c r="F95" s="3">
        <f t="shared" si="3"/>
        <v>0.96864315434333392</v>
      </c>
      <c r="G95" s="18">
        <f t="shared" si="4"/>
        <v>1</v>
      </c>
      <c r="H95" s="3">
        <f t="shared" si="5"/>
        <v>-1.8789437514317164E-2</v>
      </c>
      <c r="I95" s="3">
        <f t="shared" si="6"/>
        <v>-1.8789437514317164E-2</v>
      </c>
      <c r="K95" s="12" t="str">
        <f>IF(AND(G95=1,G94&lt;&gt;1),MAX($K$50:K94)+1,"")</f>
        <v/>
      </c>
      <c r="L95" s="13" t="str">
        <f>IF(AND(G95&lt;&gt;1,G94=1),MAX($L$50:L94)+1,"")</f>
        <v/>
      </c>
      <c r="M95" s="13" t="str">
        <f>IF(AND(G95=-1,G94&lt;&gt;-1),MAX($M$50:M94)+1,"")</f>
        <v/>
      </c>
      <c r="N95" s="13" t="str">
        <f>IF(AND(G95&lt;&gt;-1,G94=-1),MAX($N$50:N94)+1,"")</f>
        <v/>
      </c>
      <c r="T95" s="7">
        <f t="shared" si="7"/>
        <v>99.021694014049388</v>
      </c>
      <c r="U95" s="1">
        <f t="shared" si="8"/>
        <v>99.021694014049331</v>
      </c>
    </row>
    <row r="96" spans="1:21" x14ac:dyDescent="0.3">
      <c r="A96" s="2">
        <v>40315</v>
      </c>
      <c r="B96" s="1">
        <v>1887.11</v>
      </c>
      <c r="C96" s="2">
        <f t="shared" si="0"/>
        <v>40315</v>
      </c>
      <c r="D96" s="1">
        <f t="shared" si="1"/>
        <v>1887.11</v>
      </c>
      <c r="E96" s="4">
        <f t="shared" si="2"/>
        <v>1945.7570000000005</v>
      </c>
      <c r="F96" s="3">
        <f t="shared" si="3"/>
        <v>0.96985903172903887</v>
      </c>
      <c r="G96" s="18">
        <f t="shared" si="4"/>
        <v>1</v>
      </c>
      <c r="H96" s="3">
        <f t="shared" si="5"/>
        <v>1.2946563589379956E-3</v>
      </c>
      <c r="I96" s="3">
        <f t="shared" si="6"/>
        <v>1.2946563589379956E-3</v>
      </c>
      <c r="K96" s="12" t="str">
        <f>IF(AND(G96=1,G95&lt;&gt;1),MAX($K$50:K95)+1,"")</f>
        <v/>
      </c>
      <c r="L96" s="13" t="str">
        <f>IF(AND(G96&lt;&gt;1,G95=1),MAX($L$50:L95)+1,"")</f>
        <v/>
      </c>
      <c r="M96" s="13" t="str">
        <f>IF(AND(G96=-1,G95&lt;&gt;-1),MAX($M$50:M95)+1,"")</f>
        <v/>
      </c>
      <c r="N96" s="13" t="str">
        <f>IF(AND(G96&lt;&gt;-1,G95=-1),MAX($N$50:N95)+1,"")</f>
        <v/>
      </c>
      <c r="T96" s="7">
        <f t="shared" si="7"/>
        <v>99.149893079877486</v>
      </c>
      <c r="U96" s="1">
        <f t="shared" si="8"/>
        <v>99.149893079877444</v>
      </c>
    </row>
    <row r="97" spans="1:21" x14ac:dyDescent="0.3">
      <c r="A97" s="2">
        <v>40316</v>
      </c>
      <c r="B97" s="1">
        <v>1860.65</v>
      </c>
      <c r="C97" s="2">
        <f t="shared" si="0"/>
        <v>40316</v>
      </c>
      <c r="D97" s="1">
        <f t="shared" si="1"/>
        <v>1860.65</v>
      </c>
      <c r="E97" s="4">
        <f t="shared" si="2"/>
        <v>1945.3042</v>
      </c>
      <c r="F97" s="3">
        <f t="shared" si="3"/>
        <v>0.95648279585270013</v>
      </c>
      <c r="G97" s="18">
        <f t="shared" si="4"/>
        <v>1</v>
      </c>
      <c r="H97" s="3">
        <f t="shared" si="5"/>
        <v>-1.4021440191615664E-2</v>
      </c>
      <c r="I97" s="3">
        <f t="shared" si="6"/>
        <v>-1.4021440191615664E-2</v>
      </c>
      <c r="K97" s="12" t="str">
        <f>IF(AND(G97=1,G96&lt;&gt;1),MAX($K$50:K96)+1,"")</f>
        <v/>
      </c>
      <c r="L97" s="13" t="str">
        <f>IF(AND(G97&lt;&gt;1,G96=1),MAX($L$50:L96)+1,"")</f>
        <v/>
      </c>
      <c r="M97" s="13" t="str">
        <f>IF(AND(G97=-1,G96&lt;&gt;-1),MAX($M$50:M96)+1,"")</f>
        <v/>
      </c>
      <c r="N97" s="13" t="str">
        <f>IF(AND(G97&lt;&gt;-1,G96=-1),MAX($N$50:N96)+1,"")</f>
        <v/>
      </c>
      <c r="T97" s="7">
        <f t="shared" si="7"/>
        <v>97.759668784052892</v>
      </c>
      <c r="U97" s="1">
        <f t="shared" si="8"/>
        <v>97.759668784052863</v>
      </c>
    </row>
    <row r="98" spans="1:21" x14ac:dyDescent="0.3">
      <c r="A98" s="2">
        <v>40317</v>
      </c>
      <c r="B98" s="1">
        <v>1851.28</v>
      </c>
      <c r="C98" s="2">
        <f t="shared" si="0"/>
        <v>40317</v>
      </c>
      <c r="D98" s="1">
        <f t="shared" si="1"/>
        <v>1851.28</v>
      </c>
      <c r="E98" s="4">
        <f t="shared" si="2"/>
        <v>1944.5978</v>
      </c>
      <c r="F98" s="3">
        <f t="shared" si="3"/>
        <v>0.95201177333431108</v>
      </c>
      <c r="G98" s="18">
        <f t="shared" si="4"/>
        <v>1</v>
      </c>
      <c r="H98" s="3">
        <f t="shared" si="5"/>
        <v>-5.0358745599656807E-3</v>
      </c>
      <c r="I98" s="3">
        <f t="shared" si="6"/>
        <v>-5.0358745599656807E-3</v>
      </c>
      <c r="K98" s="12" t="str">
        <f>IF(AND(G98=1,G97&lt;&gt;1),MAX($K$50:K97)+1,"")</f>
        <v/>
      </c>
      <c r="L98" s="13" t="str">
        <f>IF(AND(G98&lt;&gt;1,G97=1),MAX($L$50:L97)+1,"")</f>
        <v/>
      </c>
      <c r="M98" s="13" t="str">
        <f>IF(AND(G98=-1,G97&lt;&gt;-1),MAX($M$50:M97)+1,"")</f>
        <v/>
      </c>
      <c r="N98" s="13" t="str">
        <f>IF(AND(G98&lt;&gt;-1,G97=-1),MAX($N$50:N97)+1,"")</f>
        <v/>
      </c>
      <c r="T98" s="7">
        <f t="shared" si="7"/>
        <v>97.267363355032614</v>
      </c>
      <c r="U98" s="1">
        <f t="shared" si="8"/>
        <v>97.267363355032586</v>
      </c>
    </row>
    <row r="99" spans="1:21" x14ac:dyDescent="0.3">
      <c r="A99" s="2">
        <v>40318</v>
      </c>
      <c r="B99" s="1">
        <v>1779.3</v>
      </c>
      <c r="C99" s="2">
        <f t="shared" si="0"/>
        <v>40318</v>
      </c>
      <c r="D99" s="1">
        <f t="shared" si="1"/>
        <v>1779.3</v>
      </c>
      <c r="E99" s="4">
        <f t="shared" si="2"/>
        <v>1942.2762</v>
      </c>
      <c r="F99" s="3">
        <f t="shared" si="3"/>
        <v>0.9160901008826654</v>
      </c>
      <c r="G99" s="18">
        <f t="shared" si="4"/>
        <v>-1</v>
      </c>
      <c r="H99" s="3">
        <f t="shared" si="5"/>
        <v>-3.8881206516572342E-2</v>
      </c>
      <c r="I99" s="3">
        <f t="shared" si="6"/>
        <v>-3.8881206516572342E-2</v>
      </c>
      <c r="K99" s="12" t="str">
        <f>IF(AND(G99=1,G98&lt;&gt;1),MAX($K$50:K98)+1,"")</f>
        <v/>
      </c>
      <c r="L99" s="13">
        <f>IF(AND(G99&lt;&gt;1,G98=1),MAX($L$50:L98)+1,"")</f>
        <v>1</v>
      </c>
      <c r="M99" s="13">
        <f>IF(AND(G99=-1,G98&lt;&gt;-1),MAX($M$50:M98)+1,"")</f>
        <v>1</v>
      </c>
      <c r="N99" s="13" t="str">
        <f>IF(AND(G99&lt;&gt;-1,G98=-1),MAX($N$50:N98)+1,"")</f>
        <v/>
      </c>
      <c r="T99" s="7">
        <f t="shared" si="7"/>
        <v>93.485490913103106</v>
      </c>
      <c r="U99" s="1">
        <f t="shared" si="8"/>
        <v>93.485490913103078</v>
      </c>
    </row>
    <row r="100" spans="1:21" x14ac:dyDescent="0.3">
      <c r="A100" s="2">
        <v>40319</v>
      </c>
      <c r="B100" s="1">
        <v>1806.05</v>
      </c>
      <c r="C100" s="2">
        <f t="shared" si="0"/>
        <v>40319</v>
      </c>
      <c r="D100" s="1">
        <f t="shared" si="1"/>
        <v>1806.05</v>
      </c>
      <c r="E100" s="4">
        <f t="shared" si="2"/>
        <v>1940.3235999999999</v>
      </c>
      <c r="F100" s="3">
        <f t="shared" si="3"/>
        <v>0.93079834724475852</v>
      </c>
      <c r="G100" s="18">
        <f t="shared" si="4"/>
        <v>-1</v>
      </c>
      <c r="H100" s="3">
        <f t="shared" si="5"/>
        <v>1.5034002135671409E-2</v>
      </c>
      <c r="I100" s="3">
        <f t="shared" si="6"/>
        <v>-1.5034002135671409E-2</v>
      </c>
      <c r="K100" s="12" t="str">
        <f>IF(AND(G100=1,G99&lt;&gt;1),MAX($K$50:K99)+1,"")</f>
        <v/>
      </c>
      <c r="L100" s="13" t="str">
        <f>IF(AND(G100&lt;&gt;1,G99=1),MAX($L$50:L99)+1,"")</f>
        <v/>
      </c>
      <c r="M100" s="13" t="str">
        <f>IF(AND(G100=-1,G99&lt;&gt;-1),MAX($M$50:M99)+1,"")</f>
        <v/>
      </c>
      <c r="N100" s="13" t="str">
        <f>IF(AND(G100&lt;&gt;-1,G99=-1),MAX($N$50:N99)+1,"")</f>
        <v/>
      </c>
      <c r="T100" s="7">
        <f t="shared" si="7"/>
        <v>92.080029843061226</v>
      </c>
      <c r="U100" s="1">
        <f t="shared" si="8"/>
        <v>94.890951983144944</v>
      </c>
    </row>
    <row r="101" spans="1:21" x14ac:dyDescent="0.3">
      <c r="A101" s="2">
        <v>40322</v>
      </c>
      <c r="B101" s="1">
        <v>1782.77</v>
      </c>
      <c r="C101" s="2">
        <f t="shared" si="0"/>
        <v>40322</v>
      </c>
      <c r="D101" s="1">
        <f t="shared" si="1"/>
        <v>1782.77</v>
      </c>
      <c r="E101" s="4">
        <f t="shared" si="2"/>
        <v>1937.9131999999997</v>
      </c>
      <c r="F101" s="3">
        <f t="shared" si="3"/>
        <v>0.91994316360505735</v>
      </c>
      <c r="G101" s="18">
        <f t="shared" si="4"/>
        <v>-1</v>
      </c>
      <c r="H101" s="3">
        <f t="shared" si="5"/>
        <v>-1.2890008582265189E-2</v>
      </c>
      <c r="I101" s="3">
        <f t="shared" si="6"/>
        <v>1.2890008582265189E-2</v>
      </c>
      <c r="K101" s="12" t="str">
        <f>IF(AND(G101=1,G100&lt;&gt;1),MAX($K$50:K100)+1,"")</f>
        <v/>
      </c>
      <c r="L101" s="13" t="str">
        <f>IF(AND(G101&lt;&gt;1,G100=1),MAX($L$50:L100)+1,"")</f>
        <v/>
      </c>
      <c r="M101" s="13" t="str">
        <f>IF(AND(G101=-1,G100&lt;&gt;-1),MAX($M$50:M100)+1,"")</f>
        <v/>
      </c>
      <c r="N101" s="13" t="str">
        <f>IF(AND(G101&lt;&gt;-1,G100=-1),MAX($N$50:N100)+1,"")</f>
        <v/>
      </c>
      <c r="T101" s="7">
        <f t="shared" si="7"/>
        <v>93.266942217993517</v>
      </c>
      <c r="U101" s="1">
        <f t="shared" si="8"/>
        <v>93.667806797702895</v>
      </c>
    </row>
    <row r="102" spans="1:21" x14ac:dyDescent="0.3">
      <c r="A102" s="2">
        <v>40323</v>
      </c>
      <c r="B102" s="1">
        <v>1783.4</v>
      </c>
      <c r="C102" s="2">
        <f t="shared" si="0"/>
        <v>40323</v>
      </c>
      <c r="D102" s="1">
        <f t="shared" si="1"/>
        <v>1783.4</v>
      </c>
      <c r="E102" s="4">
        <f t="shared" si="2"/>
        <v>1935.4973999999995</v>
      </c>
      <c r="F102" s="3">
        <f t="shared" si="3"/>
        <v>0.92141689262925408</v>
      </c>
      <c r="G102" s="18">
        <f t="shared" si="4"/>
        <v>-1</v>
      </c>
      <c r="H102" s="3">
        <f t="shared" si="5"/>
        <v>3.5338265732542951E-4</v>
      </c>
      <c r="I102" s="3">
        <f t="shared" si="6"/>
        <v>-3.5338265732542951E-4</v>
      </c>
      <c r="K102" s="12" t="str">
        <f>IF(AND(G102=1,G101&lt;&gt;1),MAX($K$50:K101)+1,"")</f>
        <v/>
      </c>
      <c r="L102" s="13" t="str">
        <f>IF(AND(G102&lt;&gt;1,G101=1),MAX($L$50:L101)+1,"")</f>
        <v/>
      </c>
      <c r="M102" s="13" t="str">
        <f>IF(AND(G102=-1,G101&lt;&gt;-1),MAX($M$50:M101)+1,"")</f>
        <v/>
      </c>
      <c r="N102" s="13" t="str">
        <f>IF(AND(G102&lt;&gt;-1,G101=-1),MAX($N$50:N101)+1,"")</f>
        <v/>
      </c>
      <c r="T102" s="7">
        <f t="shared" si="7"/>
        <v>93.233983298111909</v>
      </c>
      <c r="U102" s="1">
        <f t="shared" si="8"/>
        <v>93.700907376174911</v>
      </c>
    </row>
    <row r="103" spans="1:21" x14ac:dyDescent="0.3">
      <c r="A103" s="2">
        <v>40324</v>
      </c>
      <c r="B103" s="1">
        <v>1773.65</v>
      </c>
      <c r="C103" s="2">
        <f t="shared" si="0"/>
        <v>40324</v>
      </c>
      <c r="D103" s="1">
        <f t="shared" si="1"/>
        <v>1773.65</v>
      </c>
      <c r="E103" s="4">
        <f t="shared" si="2"/>
        <v>1932.5899999999997</v>
      </c>
      <c r="F103" s="3">
        <f t="shared" si="3"/>
        <v>0.9177580345546652</v>
      </c>
      <c r="G103" s="18">
        <f t="shared" si="4"/>
        <v>-1</v>
      </c>
      <c r="H103" s="3">
        <f t="shared" si="5"/>
        <v>-5.4670853426039834E-3</v>
      </c>
      <c r="I103" s="3">
        <f t="shared" si="6"/>
        <v>5.4670853426039834E-3</v>
      </c>
      <c r="K103" s="12" t="str">
        <f>IF(AND(G103=1,G102&lt;&gt;1),MAX($K$50:K102)+1,"")</f>
        <v/>
      </c>
      <c r="L103" s="13" t="str">
        <f>IF(AND(G103&lt;&gt;1,G102=1),MAX($L$50:L102)+1,"")</f>
        <v/>
      </c>
      <c r="M103" s="13" t="str">
        <f>IF(AND(G103=-1,G102&lt;&gt;-1),MAX($M$50:M102)+1,"")</f>
        <v/>
      </c>
      <c r="N103" s="13" t="str">
        <f>IF(AND(G103&lt;&gt;-1,G102=-1),MAX($N$50:N102)+1,"")</f>
        <v/>
      </c>
      <c r="T103" s="7">
        <f t="shared" si="7"/>
        <v>93.743701441633604</v>
      </c>
      <c r="U103" s="1">
        <f t="shared" si="8"/>
        <v>93.188636518869927</v>
      </c>
    </row>
    <row r="104" spans="1:21" x14ac:dyDescent="0.3">
      <c r="A104" s="2">
        <v>40325</v>
      </c>
      <c r="B104" s="1">
        <v>1832.61</v>
      </c>
      <c r="C104" s="2">
        <f t="shared" si="0"/>
        <v>40325</v>
      </c>
      <c r="D104" s="1">
        <f t="shared" si="1"/>
        <v>1832.61</v>
      </c>
      <c r="E104" s="4">
        <f t="shared" si="2"/>
        <v>1930.6378</v>
      </c>
      <c r="F104" s="3">
        <f t="shared" si="3"/>
        <v>0.94922517315262345</v>
      </c>
      <c r="G104" s="18">
        <f t="shared" si="4"/>
        <v>-1</v>
      </c>
      <c r="H104" s="3">
        <f t="shared" si="5"/>
        <v>3.3242184196430991E-2</v>
      </c>
      <c r="I104" s="3">
        <f t="shared" si="6"/>
        <v>-3.3242184196430991E-2</v>
      </c>
      <c r="K104" s="12" t="str">
        <f>IF(AND(G104=1,G103&lt;&gt;1),MAX($K$50:K103)+1,"")</f>
        <v/>
      </c>
      <c r="L104" s="13" t="str">
        <f>IF(AND(G104&lt;&gt;1,G103=1),MAX($L$50:L103)+1,"")</f>
        <v/>
      </c>
      <c r="M104" s="13" t="str">
        <f>IF(AND(G104=-1,G103&lt;&gt;-1),MAX($M$50:M103)+1,"")</f>
        <v/>
      </c>
      <c r="N104" s="13" t="str">
        <f>IF(AND(G104&lt;&gt;-1,G103=-1),MAX($N$50:N103)+1,"")</f>
        <v/>
      </c>
      <c r="T104" s="7">
        <f t="shared" si="7"/>
        <v>90.627456051055589</v>
      </c>
      <c r="U104" s="1">
        <f t="shared" si="8"/>
        <v>96.286430339044458</v>
      </c>
    </row>
    <row r="105" spans="1:21" x14ac:dyDescent="0.3">
      <c r="A105" s="2">
        <v>40326</v>
      </c>
      <c r="B105" s="1">
        <v>1809.98</v>
      </c>
      <c r="C105" s="2">
        <f t="shared" si="0"/>
        <v>40326</v>
      </c>
      <c r="D105" s="1">
        <f t="shared" si="1"/>
        <v>1809.98</v>
      </c>
      <c r="E105" s="4">
        <f t="shared" si="2"/>
        <v>1928.2447999999997</v>
      </c>
      <c r="F105" s="3">
        <f t="shared" si="3"/>
        <v>0.93866712359343596</v>
      </c>
      <c r="G105" s="18">
        <f t="shared" si="4"/>
        <v>-1</v>
      </c>
      <c r="H105" s="3">
        <f t="shared" si="5"/>
        <v>-1.2348508411500481E-2</v>
      </c>
      <c r="I105" s="3">
        <f t="shared" si="6"/>
        <v>1.2348508411500481E-2</v>
      </c>
      <c r="K105" s="12" t="str">
        <f>IF(AND(G105=1,G104&lt;&gt;1),MAX($K$50:K104)+1,"")</f>
        <v/>
      </c>
      <c r="L105" s="13" t="str">
        <f>IF(AND(G105&lt;&gt;1,G104=1),MAX($L$50:L104)+1,"")</f>
        <v/>
      </c>
      <c r="M105" s="13" t="str">
        <f>IF(AND(G105=-1,G104&lt;&gt;-1),MAX($M$50:M104)+1,"")</f>
        <v/>
      </c>
      <c r="N105" s="13" t="str">
        <f>IF(AND(G105&lt;&gt;-1,G104=-1),MAX($N$50:N104)+1,"")</f>
        <v/>
      </c>
      <c r="T105" s="7">
        <f t="shared" si="7"/>
        <v>91.746569954414937</v>
      </c>
      <c r="U105" s="1">
        <f t="shared" si="8"/>
        <v>95.097436544089419</v>
      </c>
    </row>
    <row r="106" spans="1:21" x14ac:dyDescent="0.3">
      <c r="A106" s="2">
        <v>40330</v>
      </c>
      <c r="B106" s="1">
        <v>1778.99</v>
      </c>
      <c r="C106" s="2">
        <f t="shared" si="0"/>
        <v>40330</v>
      </c>
      <c r="D106" s="1">
        <f t="shared" si="1"/>
        <v>1778.99</v>
      </c>
      <c r="E106" s="4">
        <f t="shared" si="2"/>
        <v>1925.4286</v>
      </c>
      <c r="F106" s="3">
        <f t="shared" si="3"/>
        <v>0.92394493361114505</v>
      </c>
      <c r="G106" s="18">
        <f t="shared" si="4"/>
        <v>-1</v>
      </c>
      <c r="H106" s="3">
        <f t="shared" si="5"/>
        <v>-1.7121736151780698E-2</v>
      </c>
      <c r="I106" s="3">
        <f t="shared" si="6"/>
        <v>1.7121736151780698E-2</v>
      </c>
      <c r="K106" s="12" t="str">
        <f>IF(AND(G106=1,G105&lt;&gt;1),MAX($K$50:K105)+1,"")</f>
        <v/>
      </c>
      <c r="L106" s="13" t="str">
        <f>IF(AND(G106&lt;&gt;1,G105=1),MAX($L$50:L105)+1,"")</f>
        <v/>
      </c>
      <c r="M106" s="13" t="str">
        <f>IF(AND(G106=-1,G105&lt;&gt;-1),MAX($M$50:M105)+1,"")</f>
        <v/>
      </c>
      <c r="N106" s="13" t="str">
        <f>IF(AND(G106&lt;&gt;-1,G105=-1),MAX($N$50:N105)+1,"")</f>
        <v/>
      </c>
      <c r="T106" s="7">
        <f t="shared" si="7"/>
        <v>93.317430518005324</v>
      </c>
      <c r="U106" s="1">
        <f t="shared" si="8"/>
        <v>93.469203326870812</v>
      </c>
    </row>
    <row r="107" spans="1:21" x14ac:dyDescent="0.3">
      <c r="A107" s="2">
        <v>40331</v>
      </c>
      <c r="B107" s="1">
        <v>1825.25</v>
      </c>
      <c r="C107" s="2">
        <f t="shared" si="0"/>
        <v>40331</v>
      </c>
      <c r="D107" s="1">
        <f t="shared" si="1"/>
        <v>1825.25</v>
      </c>
      <c r="E107" s="4">
        <f t="shared" si="2"/>
        <v>1923.3407999999999</v>
      </c>
      <c r="F107" s="3">
        <f t="shared" si="3"/>
        <v>0.94899978204590685</v>
      </c>
      <c r="G107" s="18">
        <f t="shared" si="4"/>
        <v>-1</v>
      </c>
      <c r="H107" s="3">
        <f t="shared" si="5"/>
        <v>2.6003518850583829E-2</v>
      </c>
      <c r="I107" s="3">
        <f t="shared" si="6"/>
        <v>-2.6003518850583829E-2</v>
      </c>
      <c r="K107" s="12" t="str">
        <f>IF(AND(G107=1,G106&lt;&gt;1),MAX($K$50:K106)+1,"")</f>
        <v/>
      </c>
      <c r="L107" s="13" t="str">
        <f>IF(AND(G107&lt;&gt;1,G106=1),MAX($L$50:L106)+1,"")</f>
        <v/>
      </c>
      <c r="M107" s="13" t="str">
        <f>IF(AND(G107=-1,G106&lt;&gt;-1),MAX($M$50:M106)+1,"")</f>
        <v/>
      </c>
      <c r="N107" s="13" t="str">
        <f>IF(AND(G107&lt;&gt;-1,G106=-1),MAX($N$50:N106)+1,"")</f>
        <v/>
      </c>
      <c r="T107" s="7">
        <f t="shared" si="7"/>
        <v>90.890848954442319</v>
      </c>
      <c r="U107" s="1">
        <f t="shared" si="8"/>
        <v>95.899731517530142</v>
      </c>
    </row>
    <row r="108" spans="1:21" x14ac:dyDescent="0.3">
      <c r="A108" s="2">
        <v>40332</v>
      </c>
      <c r="B108" s="1">
        <v>1832.72</v>
      </c>
      <c r="C108" s="2">
        <f t="shared" si="0"/>
        <v>40332</v>
      </c>
      <c r="D108" s="1">
        <f t="shared" si="1"/>
        <v>1832.72</v>
      </c>
      <c r="E108" s="4">
        <f t="shared" si="2"/>
        <v>1921.1212</v>
      </c>
      <c r="F108" s="3">
        <f t="shared" si="3"/>
        <v>0.95398457942164194</v>
      </c>
      <c r="G108" s="18">
        <f t="shared" si="4"/>
        <v>1</v>
      </c>
      <c r="H108" s="3">
        <f t="shared" si="5"/>
        <v>4.0925900561568085E-3</v>
      </c>
      <c r="I108" s="3">
        <f t="shared" si="6"/>
        <v>-4.0925900561568085E-3</v>
      </c>
      <c r="K108" s="12">
        <f>IF(AND(G108=1,G107&lt;&gt;1),MAX($K$50:K107)+1,"")</f>
        <v>2</v>
      </c>
      <c r="L108" s="13" t="str">
        <f>IF(AND(G108&lt;&gt;1,G107=1),MAX($L$50:L107)+1,"")</f>
        <v/>
      </c>
      <c r="M108" s="13" t="str">
        <f>IF(AND(G108=-1,G107&lt;&gt;-1),MAX($M$50:M107)+1,"")</f>
        <v/>
      </c>
      <c r="N108" s="13">
        <f>IF(AND(G108&lt;&gt;-1,G107=-1),MAX($N$50:N107)+1,"")</f>
        <v>1</v>
      </c>
      <c r="T108" s="7">
        <f t="shared" si="7"/>
        <v>90.518869969815711</v>
      </c>
      <c r="U108" s="1">
        <f t="shared" si="8"/>
        <v>96.292209805126873</v>
      </c>
    </row>
    <row r="109" spans="1:21" x14ac:dyDescent="0.3">
      <c r="A109" s="2">
        <v>40333</v>
      </c>
      <c r="B109" s="1">
        <v>1769.72</v>
      </c>
      <c r="C109" s="2">
        <f t="shared" si="0"/>
        <v>40333</v>
      </c>
      <c r="D109" s="1">
        <f t="shared" si="1"/>
        <v>1769.72</v>
      </c>
      <c r="E109" s="4">
        <f t="shared" si="2"/>
        <v>1917.8548000000001</v>
      </c>
      <c r="F109" s="3">
        <f t="shared" si="3"/>
        <v>0.92276015890254048</v>
      </c>
      <c r="G109" s="18">
        <f t="shared" si="4"/>
        <v>-1</v>
      </c>
      <c r="H109" s="3">
        <f t="shared" si="5"/>
        <v>-3.4375136409271478E-2</v>
      </c>
      <c r="I109" s="3">
        <f t="shared" si="6"/>
        <v>-3.4375136409271478E-2</v>
      </c>
      <c r="K109" s="12" t="str">
        <f>IF(AND(G109=1,G108&lt;&gt;1),MAX($K$50:K108)+1,"")</f>
        <v/>
      </c>
      <c r="L109" s="13">
        <f>IF(AND(G109&lt;&gt;1,G108=1),MAX($L$50:L108)+1,"")</f>
        <v>2</v>
      </c>
      <c r="M109" s="13">
        <f>IF(AND(G109=-1,G108&lt;&gt;-1),MAX($M$50:M108)+1,"")</f>
        <v>2</v>
      </c>
      <c r="N109" s="13" t="str">
        <f>IF(AND(G109&lt;&gt;-1,G108=-1),MAX($N$50:N108)+1,"")</f>
        <v/>
      </c>
      <c r="T109" s="7">
        <f t="shared" si="7"/>
        <v>87.407271466990181</v>
      </c>
      <c r="U109" s="1">
        <f t="shared" si="8"/>
        <v>92.982151957925439</v>
      </c>
    </row>
    <row r="110" spans="1:21" x14ac:dyDescent="0.3">
      <c r="A110" s="2">
        <v>40336</v>
      </c>
      <c r="B110" s="1">
        <v>1745.87</v>
      </c>
      <c r="C110" s="2">
        <f t="shared" si="0"/>
        <v>40336</v>
      </c>
      <c r="D110" s="1">
        <f t="shared" si="1"/>
        <v>1745.87</v>
      </c>
      <c r="E110" s="4">
        <f t="shared" si="2"/>
        <v>1914.1772000000001</v>
      </c>
      <c r="F110" s="3">
        <f t="shared" si="3"/>
        <v>0.91207334409792351</v>
      </c>
      <c r="G110" s="18">
        <f t="shared" si="4"/>
        <v>-1</v>
      </c>
      <c r="H110" s="3">
        <f t="shared" si="5"/>
        <v>-1.3476708179825159E-2</v>
      </c>
      <c r="I110" s="3">
        <f t="shared" si="6"/>
        <v>1.3476708179825159E-2</v>
      </c>
      <c r="K110" s="12" t="str">
        <f>IF(AND(G110=1,G109&lt;&gt;1),MAX($K$50:K109)+1,"")</f>
        <v/>
      </c>
      <c r="L110" s="13" t="str">
        <f>IF(AND(G110&lt;&gt;1,G109=1),MAX($L$50:L109)+1,"")</f>
        <v/>
      </c>
      <c r="M110" s="13" t="str">
        <f>IF(AND(G110=-1,G109&lt;&gt;-1),MAX($M$50:M109)+1,"")</f>
        <v/>
      </c>
      <c r="N110" s="13" t="str">
        <f>IF(AND(G110&lt;&gt;-1,G109=-1),MAX($N$50:N109)+1,"")</f>
        <v/>
      </c>
      <c r="T110" s="7">
        <f t="shared" si="7"/>
        <v>88.585233757345577</v>
      </c>
      <c r="U110" s="1">
        <f t="shared" si="8"/>
        <v>91.729058630056329</v>
      </c>
    </row>
    <row r="111" spans="1:21" x14ac:dyDescent="0.3">
      <c r="A111" s="2">
        <v>40337</v>
      </c>
      <c r="B111" s="1">
        <v>1765.29</v>
      </c>
      <c r="C111" s="2">
        <f t="shared" si="0"/>
        <v>40337</v>
      </c>
      <c r="D111" s="1">
        <f t="shared" si="1"/>
        <v>1765.29</v>
      </c>
      <c r="E111" s="4">
        <f t="shared" si="2"/>
        <v>1910.8593999999998</v>
      </c>
      <c r="F111" s="3">
        <f t="shared" si="3"/>
        <v>0.92381993149260488</v>
      </c>
      <c r="G111" s="18">
        <f t="shared" si="4"/>
        <v>-1</v>
      </c>
      <c r="H111" s="3">
        <f t="shared" si="5"/>
        <v>1.1123394067141357E-2</v>
      </c>
      <c r="I111" s="3">
        <f t="shared" si="6"/>
        <v>-1.1123394067141357E-2</v>
      </c>
      <c r="K111" s="12" t="str">
        <f>IF(AND(G111=1,G110&lt;&gt;1),MAX($K$50:K110)+1,"")</f>
        <v/>
      </c>
      <c r="L111" s="13" t="str">
        <f>IF(AND(G111&lt;&gt;1,G110=1),MAX($L$50:L110)+1,"")</f>
        <v/>
      </c>
      <c r="M111" s="13" t="str">
        <f>IF(AND(G111=-1,G110&lt;&gt;-1),MAX($M$50:M110)+1,"")</f>
        <v/>
      </c>
      <c r="N111" s="13" t="str">
        <f>IF(AND(G111&lt;&gt;-1,G110=-1),MAX($N$50:N110)+1,"")</f>
        <v/>
      </c>
      <c r="T111" s="7">
        <f t="shared" si="7"/>
        <v>87.59986529373279</v>
      </c>
      <c r="U111" s="1">
        <f t="shared" si="8"/>
        <v>92.749397096606359</v>
      </c>
    </row>
    <row r="112" spans="1:21" x14ac:dyDescent="0.3">
      <c r="A112" s="2">
        <v>40338</v>
      </c>
      <c r="B112" s="1">
        <v>1754.91</v>
      </c>
      <c r="C112" s="2">
        <f t="shared" si="0"/>
        <v>40338</v>
      </c>
      <c r="D112" s="1">
        <f t="shared" si="1"/>
        <v>1754.91</v>
      </c>
      <c r="E112" s="4">
        <f t="shared" si="2"/>
        <v>1907.1073999999996</v>
      </c>
      <c r="F112" s="3">
        <f t="shared" si="3"/>
        <v>0.92019463612799179</v>
      </c>
      <c r="G112" s="18">
        <f t="shared" si="4"/>
        <v>-1</v>
      </c>
      <c r="H112" s="3">
        <f t="shared" si="5"/>
        <v>-5.8800537022244415E-3</v>
      </c>
      <c r="I112" s="3">
        <f t="shared" si="6"/>
        <v>5.8800537022244415E-3</v>
      </c>
      <c r="K112" s="12" t="str">
        <f>IF(AND(G112=1,G111&lt;&gt;1),MAX($K$50:K111)+1,"")</f>
        <v/>
      </c>
      <c r="L112" s="13" t="str">
        <f>IF(AND(G112&lt;&gt;1,G111=1),MAX($L$50:L111)+1,"")</f>
        <v/>
      </c>
      <c r="M112" s="13" t="str">
        <f>IF(AND(G112=-1,G111&lt;&gt;-1),MAX($M$50:M111)+1,"")</f>
        <v/>
      </c>
      <c r="N112" s="13" t="str">
        <f>IF(AND(G112&lt;&gt;-1,G111=-1),MAX($N$50:N111)+1,"")</f>
        <v/>
      </c>
      <c r="T112" s="7">
        <f t="shared" si="7"/>
        <v>88.114957205967556</v>
      </c>
      <c r="U112" s="1">
        <f t="shared" si="8"/>
        <v>92.204025660829373</v>
      </c>
    </row>
    <row r="113" spans="1:21" x14ac:dyDescent="0.3">
      <c r="A113" s="2">
        <v>40339</v>
      </c>
      <c r="B113" s="1">
        <v>1806.69</v>
      </c>
      <c r="C113" s="2">
        <f t="shared" si="0"/>
        <v>40339</v>
      </c>
      <c r="D113" s="1">
        <f t="shared" si="1"/>
        <v>1806.69</v>
      </c>
      <c r="E113" s="4">
        <f t="shared" si="2"/>
        <v>1904.385</v>
      </c>
      <c r="F113" s="3">
        <f t="shared" si="3"/>
        <v>0.94869997400735673</v>
      </c>
      <c r="G113" s="18">
        <f t="shared" si="4"/>
        <v>-1</v>
      </c>
      <c r="H113" s="3">
        <f t="shared" si="5"/>
        <v>2.9505786621536023E-2</v>
      </c>
      <c r="I113" s="3">
        <f t="shared" si="6"/>
        <v>-2.9505786621536023E-2</v>
      </c>
      <c r="K113" s="12" t="str">
        <f>IF(AND(G113=1,G112&lt;&gt;1),MAX($K$50:K112)+1,"")</f>
        <v/>
      </c>
      <c r="L113" s="13" t="str">
        <f>IF(AND(G113&lt;&gt;1,G112=1),MAX($L$50:L112)+1,"")</f>
        <v/>
      </c>
      <c r="M113" s="13" t="str">
        <f>IF(AND(G113=-1,G112&lt;&gt;-1),MAX($M$50:M112)+1,"")</f>
        <v/>
      </c>
      <c r="N113" s="13" t="str">
        <f>IF(AND(G113&lt;&gt;-1,G112=-1),MAX($N$50:N112)+1,"")</f>
        <v/>
      </c>
      <c r="T113" s="7">
        <f t="shared" si="7"/>
        <v>85.515056080482495</v>
      </c>
      <c r="U113" s="1">
        <f t="shared" si="8"/>
        <v>94.924577967624444</v>
      </c>
    </row>
    <row r="114" spans="1:21" x14ac:dyDescent="0.3">
      <c r="A114" s="2">
        <v>40340</v>
      </c>
      <c r="B114" s="1">
        <v>1815.26</v>
      </c>
      <c r="C114" s="2">
        <f t="shared" si="0"/>
        <v>40340</v>
      </c>
      <c r="D114" s="1">
        <f t="shared" si="1"/>
        <v>1815.26</v>
      </c>
      <c r="E114" s="4">
        <f t="shared" si="2"/>
        <v>1901.9605999999999</v>
      </c>
      <c r="F114" s="3">
        <f t="shared" si="3"/>
        <v>0.95441514403610683</v>
      </c>
      <c r="G114" s="18">
        <f t="shared" si="4"/>
        <v>1</v>
      </c>
      <c r="H114" s="3">
        <f t="shared" si="5"/>
        <v>4.7434811727522508E-3</v>
      </c>
      <c r="I114" s="3">
        <f t="shared" si="6"/>
        <v>-4.7434811727522508E-3</v>
      </c>
      <c r="K114" s="12">
        <f>IF(AND(G114=1,G113&lt;&gt;1),MAX($K$50:K113)+1,"")</f>
        <v>3</v>
      </c>
      <c r="L114" s="13" t="str">
        <f>IF(AND(G114&lt;&gt;1,G113=1),MAX($L$50:L113)+1,"")</f>
        <v/>
      </c>
      <c r="M114" s="13" t="str">
        <f>IF(AND(G114=-1,G113&lt;&gt;-1),MAX($M$50:M113)+1,"")</f>
        <v/>
      </c>
      <c r="N114" s="13">
        <f>IF(AND(G114&lt;&gt;-1,G113=-1),MAX($N$50:N113)+1,"")</f>
        <v>2</v>
      </c>
      <c r="T114" s="7">
        <f t="shared" si="7"/>
        <v>85.109417021977876</v>
      </c>
      <c r="U114" s="1">
        <f t="shared" si="8"/>
        <v>95.374850916045332</v>
      </c>
    </row>
    <row r="115" spans="1:21" x14ac:dyDescent="0.3">
      <c r="A115" s="2">
        <v>40343</v>
      </c>
      <c r="B115" s="1">
        <v>1812.02</v>
      </c>
      <c r="C115" s="2">
        <f t="shared" si="0"/>
        <v>40343</v>
      </c>
      <c r="D115" s="1">
        <f t="shared" si="1"/>
        <v>1812.02</v>
      </c>
      <c r="E115" s="4">
        <f t="shared" si="2"/>
        <v>1899.1828</v>
      </c>
      <c r="F115" s="3">
        <f t="shared" si="3"/>
        <v>0.95410510246828262</v>
      </c>
      <c r="G115" s="18">
        <f t="shared" si="4"/>
        <v>1</v>
      </c>
      <c r="H115" s="3">
        <f t="shared" si="5"/>
        <v>-1.7848682833313534E-3</v>
      </c>
      <c r="I115" s="3">
        <f t="shared" si="6"/>
        <v>-1.7848682833313534E-3</v>
      </c>
      <c r="K115" s="12" t="str">
        <f>IF(AND(G115=1,G114&lt;&gt;1),MAX($K$50:K114)+1,"")</f>
        <v/>
      </c>
      <c r="L115" s="13" t="str">
        <f>IF(AND(G115&lt;&gt;1,G114=1),MAX($L$50:L114)+1,"")</f>
        <v/>
      </c>
      <c r="M115" s="13" t="str">
        <f>IF(AND(G115=-1,G114&lt;&gt;-1),MAX($M$50:M114)+1,"")</f>
        <v/>
      </c>
      <c r="N115" s="13" t="str">
        <f>IF(AND(G115&lt;&gt;-1,G114=-1),MAX($N$50:N114)+1,"")</f>
        <v/>
      </c>
      <c r="T115" s="7">
        <f t="shared" si="7"/>
        <v>84.957507922922531</v>
      </c>
      <c r="U115" s="1">
        <f t="shared" si="8"/>
        <v>95.204619369617831</v>
      </c>
    </row>
    <row r="116" spans="1:21" x14ac:dyDescent="0.3">
      <c r="A116" s="2">
        <v>40344</v>
      </c>
      <c r="B116" s="1">
        <v>1854.61</v>
      </c>
      <c r="C116" s="2">
        <f t="shared" ref="C116:C179" si="9">A116</f>
        <v>40344</v>
      </c>
      <c r="D116" s="1">
        <f t="shared" ref="D116:D179" si="10">B116</f>
        <v>1854.61</v>
      </c>
      <c r="E116" s="4">
        <f t="shared" ref="E116:E179" si="11">AVERAGE(B67:B116)</f>
        <v>1896.9461999999999</v>
      </c>
      <c r="F116" s="3">
        <f t="shared" ref="F116:F179" si="12">D116/E116</f>
        <v>0.97768191844344343</v>
      </c>
      <c r="G116" s="18">
        <f t="shared" ref="G116:G179" si="13">IF(F116&gt;=$Q$51,1,IF(F116&lt;=$Q$52,-1,0))</f>
        <v>1</v>
      </c>
      <c r="H116" s="3">
        <f t="shared" si="5"/>
        <v>2.3504155583271569E-2</v>
      </c>
      <c r="I116" s="3">
        <f t="shared" si="6"/>
        <v>2.3504155583271569E-2</v>
      </c>
      <c r="K116" s="12" t="str">
        <f>IF(AND(G116=1,G115&lt;&gt;1),MAX($K$50:K115)+1,"")</f>
        <v/>
      </c>
      <c r="L116" s="13" t="str">
        <f>IF(AND(G116&lt;&gt;1,G115=1),MAX($L$50:L115)+1,"")</f>
        <v/>
      </c>
      <c r="M116" s="13" t="str">
        <f>IF(AND(G116=-1,G115&lt;&gt;-1),MAX($M$50:M115)+1,"")</f>
        <v/>
      </c>
      <c r="N116" s="13" t="str">
        <f>IF(AND(G116&lt;&gt;-1,G115=-1),MAX($N$50:N115)+1,"")</f>
        <v/>
      </c>
      <c r="T116" s="7">
        <f t="shared" si="7"/>
        <v>86.954362407109926</v>
      </c>
      <c r="U116" s="1">
        <f t="shared" si="8"/>
        <v>97.44232355552748</v>
      </c>
    </row>
    <row r="117" spans="1:21" x14ac:dyDescent="0.3">
      <c r="A117" s="2">
        <v>40345</v>
      </c>
      <c r="B117" s="1">
        <v>1853.62</v>
      </c>
      <c r="C117" s="2">
        <f t="shared" si="9"/>
        <v>40345</v>
      </c>
      <c r="D117" s="1">
        <f t="shared" si="10"/>
        <v>1853.62</v>
      </c>
      <c r="E117" s="4">
        <f t="shared" si="11"/>
        <v>1894.6233999999997</v>
      </c>
      <c r="F117" s="3">
        <f t="shared" si="12"/>
        <v>0.9783580209132855</v>
      </c>
      <c r="G117" s="18">
        <f t="shared" si="13"/>
        <v>1</v>
      </c>
      <c r="H117" s="3">
        <f t="shared" ref="H117:H180" si="14">D117/D116-1</f>
        <v>-5.338049509061582E-4</v>
      </c>
      <c r="I117" s="3">
        <f t="shared" ref="I117:I180" si="15">G116*H117</f>
        <v>-5.338049509061582E-4</v>
      </c>
      <c r="K117" s="12" t="str">
        <f>IF(AND(G117=1,G116&lt;&gt;1),MAX($K$50:K116)+1,"")</f>
        <v/>
      </c>
      <c r="L117" s="13" t="str">
        <f>IF(AND(G117&lt;&gt;1,G116=1),MAX($L$50:L116)+1,"")</f>
        <v/>
      </c>
      <c r="M117" s="13" t="str">
        <f>IF(AND(G117=-1,G116&lt;&gt;-1),MAX($M$50:M116)+1,"")</f>
        <v/>
      </c>
      <c r="N117" s="13" t="str">
        <f>IF(AND(G117&lt;&gt;-1,G116=-1),MAX($N$50:N116)+1,"")</f>
        <v/>
      </c>
      <c r="T117" s="7">
        <f t="shared" ref="T117:T180" si="16">T116*(1+I117)</f>
        <v>86.907945737954122</v>
      </c>
      <c r="U117" s="1">
        <f t="shared" ref="U117:U180" si="17">U116*D117/D116</f>
        <v>97.390308360785738</v>
      </c>
    </row>
    <row r="118" spans="1:21" x14ac:dyDescent="0.3">
      <c r="A118" s="2">
        <v>40346</v>
      </c>
      <c r="B118" s="1">
        <v>1856.25</v>
      </c>
      <c r="C118" s="2">
        <f t="shared" si="9"/>
        <v>40346</v>
      </c>
      <c r="D118" s="1">
        <f t="shared" si="10"/>
        <v>1856.25</v>
      </c>
      <c r="E118" s="4">
        <f t="shared" si="11"/>
        <v>1892.5675999999999</v>
      </c>
      <c r="F118" s="3">
        <f t="shared" si="12"/>
        <v>0.98081040804037867</v>
      </c>
      <c r="G118" s="18">
        <f t="shared" si="13"/>
        <v>1</v>
      </c>
      <c r="H118" s="3">
        <f t="shared" si="14"/>
        <v>1.4188452865204759E-3</v>
      </c>
      <c r="I118" s="3">
        <f t="shared" si="15"/>
        <v>1.4188452865204759E-3</v>
      </c>
      <c r="K118" s="12" t="str">
        <f>IF(AND(G118=1,G117&lt;&gt;1),MAX($K$50:K117)+1,"")</f>
        <v/>
      </c>
      <c r="L118" s="13" t="str">
        <f>IF(AND(G118&lt;&gt;1,G117=1),MAX($L$50:L117)+1,"")</f>
        <v/>
      </c>
      <c r="M118" s="13" t="str">
        <f>IF(AND(G118=-1,G117&lt;&gt;-1),MAX($M$50:M117)+1,"")</f>
        <v/>
      </c>
      <c r="N118" s="13" t="str">
        <f>IF(AND(G118&lt;&gt;-1,G117=-1),MAX($N$50:N117)+1,"")</f>
        <v/>
      </c>
      <c r="T118" s="7">
        <f t="shared" si="16"/>
        <v>87.031254667125594</v>
      </c>
      <c r="U118" s="1">
        <f t="shared" si="17"/>
        <v>97.528490140756219</v>
      </c>
    </row>
    <row r="119" spans="1:21" x14ac:dyDescent="0.3">
      <c r="A119" s="2">
        <v>40347</v>
      </c>
      <c r="B119" s="1">
        <v>1858.7</v>
      </c>
      <c r="C119" s="2">
        <f t="shared" si="9"/>
        <v>40347</v>
      </c>
      <c r="D119" s="1">
        <f t="shared" si="10"/>
        <v>1858.7</v>
      </c>
      <c r="E119" s="4">
        <f t="shared" si="11"/>
        <v>1890.4271999999996</v>
      </c>
      <c r="F119" s="3">
        <f t="shared" si="12"/>
        <v>0.98321691520308241</v>
      </c>
      <c r="G119" s="18">
        <f t="shared" si="13"/>
        <v>1</v>
      </c>
      <c r="H119" s="3">
        <f t="shared" si="14"/>
        <v>1.3198653198653876E-3</v>
      </c>
      <c r="I119" s="3">
        <f t="shared" si="15"/>
        <v>1.3198653198653876E-3</v>
      </c>
      <c r="K119" s="12" t="str">
        <f>IF(AND(G119=1,G118&lt;&gt;1),MAX($K$50:K118)+1,"")</f>
        <v/>
      </c>
      <c r="L119" s="13" t="str">
        <f>IF(AND(G119&lt;&gt;1,G118=1),MAX($L$50:L118)+1,"")</f>
        <v/>
      </c>
      <c r="M119" s="13" t="str">
        <f>IF(AND(G119=-1,G118&lt;&gt;-1),MAX($M$50:M118)+1,"")</f>
        <v/>
      </c>
      <c r="N119" s="13" t="str">
        <f>IF(AND(G119&lt;&gt;-1,G118=-1),MAX($N$50:N118)+1,"")</f>
        <v/>
      </c>
      <c r="T119" s="7">
        <f t="shared" si="16"/>
        <v>87.14612420190511</v>
      </c>
      <c r="U119" s="1">
        <f t="shared" si="17"/>
        <v>97.657214612591829</v>
      </c>
    </row>
    <row r="120" spans="1:21" x14ac:dyDescent="0.3">
      <c r="A120" s="2">
        <v>40350</v>
      </c>
      <c r="B120" s="1">
        <v>1851.55</v>
      </c>
      <c r="C120" s="2">
        <f t="shared" si="9"/>
        <v>40350</v>
      </c>
      <c r="D120" s="1">
        <f t="shared" si="10"/>
        <v>1851.55</v>
      </c>
      <c r="E120" s="4">
        <f t="shared" si="11"/>
        <v>1887.8810000000001</v>
      </c>
      <c r="F120" s="3">
        <f t="shared" si="12"/>
        <v>0.98075567262978958</v>
      </c>
      <c r="G120" s="18">
        <f t="shared" si="13"/>
        <v>1</v>
      </c>
      <c r="H120" s="3">
        <f t="shared" si="14"/>
        <v>-3.8467746274277737E-3</v>
      </c>
      <c r="I120" s="3">
        <f t="shared" si="15"/>
        <v>-3.8467746274277737E-3</v>
      </c>
      <c r="K120" s="12" t="str">
        <f>IF(AND(G120=1,G119&lt;&gt;1),MAX($K$50:K119)+1,"")</f>
        <v/>
      </c>
      <c r="L120" s="13" t="str">
        <f>IF(AND(G120&lt;&gt;1,G119=1),MAX($L$50:L119)+1,"")</f>
        <v/>
      </c>
      <c r="M120" s="13" t="str">
        <f>IF(AND(G120=-1,G119&lt;&gt;-1),MAX($M$50:M119)+1,"")</f>
        <v/>
      </c>
      <c r="N120" s="13" t="str">
        <f>IF(AND(G120&lt;&gt;-1,G119=-1),MAX($N$50:N119)+1,"")</f>
        <v/>
      </c>
      <c r="T120" s="7">
        <f t="shared" si="16"/>
        <v>86.810892702446552</v>
      </c>
      <c r="U120" s="1">
        <f t="shared" si="17"/>
        <v>97.281549317234834</v>
      </c>
    </row>
    <row r="121" spans="1:21" x14ac:dyDescent="0.3">
      <c r="A121" s="2">
        <v>40351</v>
      </c>
      <c r="B121" s="1">
        <v>1822.05</v>
      </c>
      <c r="C121" s="2">
        <f t="shared" si="9"/>
        <v>40351</v>
      </c>
      <c r="D121" s="1">
        <f t="shared" si="10"/>
        <v>1822.05</v>
      </c>
      <c r="E121" s="4">
        <f t="shared" si="11"/>
        <v>1884.674</v>
      </c>
      <c r="F121" s="3">
        <f t="shared" si="12"/>
        <v>0.96677197223498601</v>
      </c>
      <c r="G121" s="18">
        <f t="shared" si="13"/>
        <v>1</v>
      </c>
      <c r="H121" s="3">
        <f t="shared" si="14"/>
        <v>-1.5932597013313177E-2</v>
      </c>
      <c r="I121" s="3">
        <f t="shared" si="15"/>
        <v>-1.5932597013313177E-2</v>
      </c>
      <c r="K121" s="12" t="str">
        <f>IF(AND(G121=1,G120&lt;&gt;1),MAX($K$50:K120)+1,"")</f>
        <v/>
      </c>
      <c r="L121" s="13" t="str">
        <f>IF(AND(G121&lt;&gt;1,G120=1),MAX($L$50:L120)+1,"")</f>
        <v/>
      </c>
      <c r="M121" s="13" t="str">
        <f>IF(AND(G121=-1,G120&lt;&gt;-1),MAX($M$50:M120)+1,"")</f>
        <v/>
      </c>
      <c r="N121" s="13" t="str">
        <f>IF(AND(G121&lt;&gt;-1,G120=-1),MAX($N$50:N120)+1,"")</f>
        <v/>
      </c>
      <c r="T121" s="7">
        <f t="shared" si="16"/>
        <v>85.427769732652507</v>
      </c>
      <c r="U121" s="1">
        <f t="shared" si="17"/>
        <v>95.731601595132574</v>
      </c>
    </row>
    <row r="122" spans="1:21" x14ac:dyDescent="0.3">
      <c r="A122" s="2">
        <v>40352</v>
      </c>
      <c r="B122" s="1">
        <v>1816.65</v>
      </c>
      <c r="C122" s="2">
        <f t="shared" si="9"/>
        <v>40352</v>
      </c>
      <c r="D122" s="1">
        <f t="shared" si="10"/>
        <v>1816.65</v>
      </c>
      <c r="E122" s="4">
        <f t="shared" si="11"/>
        <v>1881.3287999999998</v>
      </c>
      <c r="F122" s="3">
        <f t="shared" si="12"/>
        <v>0.96562068257287104</v>
      </c>
      <c r="G122" s="18">
        <f t="shared" si="13"/>
        <v>1</v>
      </c>
      <c r="H122" s="3">
        <f t="shared" si="14"/>
        <v>-2.9636947394418023E-3</v>
      </c>
      <c r="I122" s="3">
        <f t="shared" si="15"/>
        <v>-2.9636947394418023E-3</v>
      </c>
      <c r="K122" s="12" t="str">
        <f>IF(AND(G122=1,G121&lt;&gt;1),MAX($K$50:K121)+1,"")</f>
        <v/>
      </c>
      <c r="L122" s="13" t="str">
        <f>IF(AND(G122&lt;&gt;1,G121=1),MAX($L$50:L121)+1,"")</f>
        <v/>
      </c>
      <c r="M122" s="13" t="str">
        <f>IF(AND(G122=-1,G121&lt;&gt;-1),MAX($M$50:M121)+1,"")</f>
        <v/>
      </c>
      <c r="N122" s="13" t="str">
        <f>IF(AND(G122&lt;&gt;-1,G121=-1),MAX($N$50:N121)+1,"")</f>
        <v/>
      </c>
      <c r="T122" s="7">
        <f t="shared" si="16"/>
        <v>85.174587900893599</v>
      </c>
      <c r="U122" s="1">
        <f t="shared" si="17"/>
        <v>95.447882351086747</v>
      </c>
    </row>
    <row r="123" spans="1:21" x14ac:dyDescent="0.3">
      <c r="A123" s="2">
        <v>40353</v>
      </c>
      <c r="B123" s="1">
        <v>1786.13</v>
      </c>
      <c r="C123" s="2">
        <f t="shared" si="9"/>
        <v>40353</v>
      </c>
      <c r="D123" s="1">
        <f t="shared" si="10"/>
        <v>1786.13</v>
      </c>
      <c r="E123" s="4">
        <f t="shared" si="11"/>
        <v>1876.9301999999998</v>
      </c>
      <c r="F123" s="3">
        <f t="shared" si="12"/>
        <v>0.95162302785686981</v>
      </c>
      <c r="G123" s="18">
        <f t="shared" si="13"/>
        <v>1</v>
      </c>
      <c r="H123" s="3">
        <f t="shared" si="14"/>
        <v>-1.6800154129854361E-2</v>
      </c>
      <c r="I123" s="3">
        <f t="shared" si="15"/>
        <v>-1.6800154129854361E-2</v>
      </c>
      <c r="K123" s="12" t="str">
        <f>IF(AND(G123=1,G122&lt;&gt;1),MAX($K$50:K122)+1,"")</f>
        <v/>
      </c>
      <c r="L123" s="13" t="str">
        <f>IF(AND(G123&lt;&gt;1,G122=1),MAX($L$50:L122)+1,"")</f>
        <v/>
      </c>
      <c r="M123" s="13" t="str">
        <f>IF(AND(G123=-1,G122&lt;&gt;-1),MAX($M$50:M122)+1,"")</f>
        <v/>
      </c>
      <c r="N123" s="13" t="str">
        <f>IF(AND(G123&lt;&gt;-1,G122=-1),MAX($N$50:N122)+1,"")</f>
        <v/>
      </c>
      <c r="T123" s="7">
        <f t="shared" si="16"/>
        <v>83.743641696211753</v>
      </c>
      <c r="U123" s="1">
        <f t="shared" si="17"/>
        <v>93.844343216220281</v>
      </c>
    </row>
    <row r="124" spans="1:21" x14ac:dyDescent="0.3">
      <c r="A124" s="2">
        <v>40354</v>
      </c>
      <c r="B124" s="1">
        <v>1791.24</v>
      </c>
      <c r="C124" s="2">
        <f t="shared" si="9"/>
        <v>40354</v>
      </c>
      <c r="D124" s="1">
        <f t="shared" si="10"/>
        <v>1791.24</v>
      </c>
      <c r="E124" s="4">
        <f t="shared" si="11"/>
        <v>1872.6002000000001</v>
      </c>
      <c r="F124" s="3">
        <f t="shared" si="12"/>
        <v>0.9565522848924185</v>
      </c>
      <c r="G124" s="18">
        <f t="shared" si="13"/>
        <v>1</v>
      </c>
      <c r="H124" s="3">
        <f t="shared" si="14"/>
        <v>2.8609339745706563E-3</v>
      </c>
      <c r="I124" s="3">
        <f t="shared" si="15"/>
        <v>2.8609339745706563E-3</v>
      </c>
      <c r="K124" s="12" t="str">
        <f>IF(AND(G124=1,G123&lt;&gt;1),MAX($K$50:K123)+1,"")</f>
        <v/>
      </c>
      <c r="L124" s="13" t="str">
        <f>IF(AND(G124&lt;&gt;1,G123=1),MAX($L$50:L123)+1,"")</f>
        <v/>
      </c>
      <c r="M124" s="13" t="str">
        <f>IF(AND(G124=-1,G123&lt;&gt;-1),MAX($M$50:M123)+1,"")</f>
        <v/>
      </c>
      <c r="N124" s="13" t="str">
        <f>IF(AND(G124&lt;&gt;-1,G123=-1),MAX($N$50:N123)+1,"")</f>
        <v/>
      </c>
      <c r="T124" s="7">
        <f t="shared" si="16"/>
        <v>83.983226725894724</v>
      </c>
      <c r="U124" s="1">
        <f t="shared" si="17"/>
        <v>94.112825686048836</v>
      </c>
    </row>
    <row r="125" spans="1:21" x14ac:dyDescent="0.3">
      <c r="A125" s="2">
        <v>40357</v>
      </c>
      <c r="B125" s="1">
        <v>1787.94</v>
      </c>
      <c r="C125" s="2">
        <f t="shared" si="9"/>
        <v>40357</v>
      </c>
      <c r="D125" s="1">
        <f t="shared" si="10"/>
        <v>1787.94</v>
      </c>
      <c r="E125" s="4">
        <f t="shared" si="11"/>
        <v>1868.8518000000001</v>
      </c>
      <c r="F125" s="3">
        <f t="shared" si="12"/>
        <v>0.95670507420652617</v>
      </c>
      <c r="G125" s="18">
        <f t="shared" si="13"/>
        <v>1</v>
      </c>
      <c r="H125" s="3">
        <f t="shared" si="14"/>
        <v>-1.8422991893883855E-3</v>
      </c>
      <c r="I125" s="3">
        <f t="shared" si="15"/>
        <v>-1.8422991893883855E-3</v>
      </c>
      <c r="K125" s="12" t="str">
        <f>IF(AND(G125=1,G124&lt;&gt;1),MAX($K$50:K124)+1,"")</f>
        <v/>
      </c>
      <c r="L125" s="13" t="str">
        <f>IF(AND(G125&lt;&gt;1,G124=1),MAX($L$50:L124)+1,"")</f>
        <v/>
      </c>
      <c r="M125" s="13" t="str">
        <f>IF(AND(G125=-1,G124&lt;&gt;-1),MAX($M$50:M124)+1,"")</f>
        <v/>
      </c>
      <c r="N125" s="13" t="str">
        <f>IF(AND(G125&lt;&gt;-1,G124=-1),MAX($N$50:N124)+1,"")</f>
        <v/>
      </c>
      <c r="T125" s="7">
        <f t="shared" si="16"/>
        <v>83.828504495375384</v>
      </c>
      <c r="U125" s="1">
        <f t="shared" si="17"/>
        <v>93.939441703576378</v>
      </c>
    </row>
    <row r="126" spans="1:21" x14ac:dyDescent="0.3">
      <c r="A126" s="2">
        <v>40358</v>
      </c>
      <c r="B126" s="1">
        <v>1732.55</v>
      </c>
      <c r="C126" s="2">
        <f t="shared" si="9"/>
        <v>40358</v>
      </c>
      <c r="D126" s="1">
        <f t="shared" si="10"/>
        <v>1732.55</v>
      </c>
      <c r="E126" s="4">
        <f t="shared" si="11"/>
        <v>1863.8164000000004</v>
      </c>
      <c r="F126" s="3">
        <f t="shared" si="12"/>
        <v>0.92957117449980564</v>
      </c>
      <c r="G126" s="18">
        <f t="shared" si="13"/>
        <v>-1</v>
      </c>
      <c r="H126" s="3">
        <f t="shared" si="14"/>
        <v>-3.097978679374036E-2</v>
      </c>
      <c r="I126" s="3">
        <f t="shared" si="15"/>
        <v>-3.097978679374036E-2</v>
      </c>
      <c r="K126" s="12" t="str">
        <f>IF(AND(G126=1,G125&lt;&gt;1),MAX($K$50:K125)+1,"")</f>
        <v/>
      </c>
      <c r="L126" s="13">
        <f>IF(AND(G126&lt;&gt;1,G125=1),MAX($L$50:L125)+1,"")</f>
        <v>3</v>
      </c>
      <c r="M126" s="13">
        <f>IF(AND(G126=-1,G125&lt;&gt;-1),MAX($M$50:M125)+1,"")</f>
        <v>3</v>
      </c>
      <c r="N126" s="13" t="str">
        <f>IF(AND(G126&lt;&gt;-1,G125=-1),MAX($N$50:N125)+1,"")</f>
        <v/>
      </c>
      <c r="T126" s="7">
        <f t="shared" si="16"/>
        <v>81.231515298870548</v>
      </c>
      <c r="U126" s="1">
        <f t="shared" si="17"/>
        <v>91.029217828076582</v>
      </c>
    </row>
    <row r="127" spans="1:21" x14ac:dyDescent="0.3">
      <c r="A127" s="2">
        <v>40359</v>
      </c>
      <c r="B127" s="1">
        <v>1715.23</v>
      </c>
      <c r="C127" s="2">
        <f t="shared" si="9"/>
        <v>40359</v>
      </c>
      <c r="D127" s="1">
        <f t="shared" si="10"/>
        <v>1715.23</v>
      </c>
      <c r="E127" s="4">
        <f t="shared" si="11"/>
        <v>1858.1144000000004</v>
      </c>
      <c r="F127" s="3">
        <f t="shared" si="12"/>
        <v>0.92310247420718539</v>
      </c>
      <c r="G127" s="18">
        <f t="shared" si="13"/>
        <v>-1</v>
      </c>
      <c r="H127" s="3">
        <f t="shared" si="14"/>
        <v>-9.9968254884418295E-3</v>
      </c>
      <c r="I127" s="3">
        <f t="shared" si="15"/>
        <v>9.9968254884418295E-3</v>
      </c>
      <c r="K127" s="12" t="str">
        <f>IF(AND(G127=1,G126&lt;&gt;1),MAX($K$50:K126)+1,"")</f>
        <v/>
      </c>
      <c r="L127" s="13" t="str">
        <f>IF(AND(G127&lt;&gt;1,G126=1),MAX($L$50:L126)+1,"")</f>
        <v/>
      </c>
      <c r="M127" s="13" t="str">
        <f>IF(AND(G127=-1,G126&lt;&gt;-1),MAX($M$50:M126)+1,"")</f>
        <v/>
      </c>
      <c r="N127" s="13" t="str">
        <f>IF(AND(G127&lt;&gt;-1,G126=-1),MAX($N$50:N126)+1,"")</f>
        <v/>
      </c>
      <c r="T127" s="7">
        <f t="shared" si="16"/>
        <v>82.043572581475047</v>
      </c>
      <c r="U127" s="1">
        <f t="shared" si="17"/>
        <v>90.119214623099936</v>
      </c>
    </row>
    <row r="128" spans="1:21" x14ac:dyDescent="0.3">
      <c r="A128" s="2">
        <v>40360</v>
      </c>
      <c r="B128" s="1">
        <v>1709.77</v>
      </c>
      <c r="C128" s="2">
        <f t="shared" si="9"/>
        <v>40360</v>
      </c>
      <c r="D128" s="1">
        <f t="shared" si="10"/>
        <v>1709.77</v>
      </c>
      <c r="E128" s="4">
        <f t="shared" si="11"/>
        <v>1852.3436000000004</v>
      </c>
      <c r="F128" s="3">
        <f t="shared" si="12"/>
        <v>0.92303069473719646</v>
      </c>
      <c r="G128" s="18">
        <f t="shared" si="13"/>
        <v>-1</v>
      </c>
      <c r="H128" s="3">
        <f t="shared" si="14"/>
        <v>-3.1832465616856709E-3</v>
      </c>
      <c r="I128" s="3">
        <f t="shared" si="15"/>
        <v>3.1832465616856709E-3</v>
      </c>
      <c r="K128" s="12" t="str">
        <f>IF(AND(G128=1,G127&lt;&gt;1),MAX($K$50:K127)+1,"")</f>
        <v/>
      </c>
      <c r="L128" s="13" t="str">
        <f>IF(AND(G128&lt;&gt;1,G127=1),MAX($L$50:L127)+1,"")</f>
        <v/>
      </c>
      <c r="M128" s="13" t="str">
        <f>IF(AND(G128=-1,G127&lt;&gt;-1),MAX($M$50:M127)+1,"")</f>
        <v/>
      </c>
      <c r="N128" s="13" t="str">
        <f>IF(AND(G128&lt;&gt;-1,G127=-1),MAX($N$50:N127)+1,"")</f>
        <v/>
      </c>
      <c r="T128" s="7">
        <f t="shared" si="16"/>
        <v>82.30473750180343</v>
      </c>
      <c r="U128" s="1">
        <f t="shared" si="17"/>
        <v>89.832342943009138</v>
      </c>
    </row>
    <row r="129" spans="1:21" x14ac:dyDescent="0.3">
      <c r="A129" s="2">
        <v>40361</v>
      </c>
      <c r="B129" s="1">
        <v>1701.86</v>
      </c>
      <c r="C129" s="2">
        <f t="shared" si="9"/>
        <v>40361</v>
      </c>
      <c r="D129" s="1">
        <f t="shared" si="10"/>
        <v>1701.86</v>
      </c>
      <c r="E129" s="4">
        <f t="shared" si="11"/>
        <v>1846.3222000000005</v>
      </c>
      <c r="F129" s="3">
        <f t="shared" si="12"/>
        <v>0.92175677679659562</v>
      </c>
      <c r="G129" s="18">
        <f t="shared" si="13"/>
        <v>-1</v>
      </c>
      <c r="H129" s="3">
        <f t="shared" si="14"/>
        <v>-4.6263532521918505E-3</v>
      </c>
      <c r="I129" s="3">
        <f t="shared" si="15"/>
        <v>4.6263532521918505E-3</v>
      </c>
      <c r="K129" s="12" t="str">
        <f>IF(AND(G129=1,G128&lt;&gt;1),MAX($K$50:K128)+1,"")</f>
        <v/>
      </c>
      <c r="L129" s="13" t="str">
        <f>IF(AND(G129&lt;&gt;1,G128=1),MAX($L$50:L128)+1,"")</f>
        <v/>
      </c>
      <c r="M129" s="13" t="str">
        <f>IF(AND(G129=-1,G128&lt;&gt;-1),MAX($M$50:M128)+1,"")</f>
        <v/>
      </c>
      <c r="N129" s="13" t="str">
        <f>IF(AND(G129&lt;&gt;-1,G128=-1),MAX($N$50:N128)+1,"")</f>
        <v/>
      </c>
      <c r="T129" s="7">
        <f t="shared" si="16"/>
        <v>82.685508291815708</v>
      </c>
      <c r="U129" s="1">
        <f t="shared" si="17"/>
        <v>89.41674679108273</v>
      </c>
    </row>
    <row r="130" spans="1:21" x14ac:dyDescent="0.3">
      <c r="A130" s="2">
        <v>40365</v>
      </c>
      <c r="B130" s="1">
        <v>1710.97</v>
      </c>
      <c r="C130" s="2">
        <f t="shared" si="9"/>
        <v>40365</v>
      </c>
      <c r="D130" s="1">
        <f t="shared" si="10"/>
        <v>1710.97</v>
      </c>
      <c r="E130" s="4">
        <f t="shared" si="11"/>
        <v>1840.1978000000006</v>
      </c>
      <c r="F130" s="3">
        <f t="shared" si="12"/>
        <v>0.92977504918221265</v>
      </c>
      <c r="G130" s="18">
        <f t="shared" si="13"/>
        <v>-1</v>
      </c>
      <c r="H130" s="3">
        <f t="shared" si="14"/>
        <v>5.3529667540221926E-3</v>
      </c>
      <c r="I130" s="3">
        <f t="shared" si="15"/>
        <v>-5.3529667540221926E-3</v>
      </c>
      <c r="K130" s="12" t="str">
        <f>IF(AND(G130=1,G129&lt;&gt;1),MAX($K$50:K129)+1,"")</f>
        <v/>
      </c>
      <c r="L130" s="13" t="str">
        <f>IF(AND(G130&lt;&gt;1,G129=1),MAX($L$50:L129)+1,"")</f>
        <v/>
      </c>
      <c r="M130" s="13" t="str">
        <f>IF(AND(G130=-1,G129&lt;&gt;-1),MAX($M$50:M129)+1,"")</f>
        <v/>
      </c>
      <c r="N130" s="13" t="str">
        <f>IF(AND(G130&lt;&gt;-1,G129=-1),MAX($N$50:N129)+1,"")</f>
        <v/>
      </c>
      <c r="T130" s="7">
        <f t="shared" si="16"/>
        <v>82.242895514890193</v>
      </c>
      <c r="U130" s="1">
        <f t="shared" si="17"/>
        <v>89.895391663908214</v>
      </c>
    </row>
    <row r="131" spans="1:21" x14ac:dyDescent="0.3">
      <c r="A131" s="2">
        <v>40366</v>
      </c>
      <c r="B131" s="1">
        <v>1765.42</v>
      </c>
      <c r="C131" s="2">
        <f t="shared" si="9"/>
        <v>40366</v>
      </c>
      <c r="D131" s="1">
        <f t="shared" si="10"/>
        <v>1765.42</v>
      </c>
      <c r="E131" s="4">
        <f t="shared" si="11"/>
        <v>1835.3352000000004</v>
      </c>
      <c r="F131" s="3">
        <f t="shared" si="12"/>
        <v>0.9619060322059968</v>
      </c>
      <c r="G131" s="18">
        <f t="shared" si="13"/>
        <v>1</v>
      </c>
      <c r="H131" s="3">
        <f t="shared" si="14"/>
        <v>3.1824053022554422E-2</v>
      </c>
      <c r="I131" s="3">
        <f t="shared" si="15"/>
        <v>-3.1824053022554422E-2</v>
      </c>
      <c r="K131" s="12">
        <f>IF(AND(G131=1,G130&lt;&gt;1),MAX($K$50:K130)+1,"")</f>
        <v>4</v>
      </c>
      <c r="L131" s="13" t="str">
        <f>IF(AND(G131&lt;&gt;1,G130=1),MAX($L$50:L130)+1,"")</f>
        <v/>
      </c>
      <c r="M131" s="13" t="str">
        <f>IF(AND(G131=-1,G130&lt;&gt;-1),MAX($M$50:M130)+1,"")</f>
        <v/>
      </c>
      <c r="N131" s="13">
        <f>IF(AND(G131&lt;&gt;-1,G130=-1),MAX($N$50:N130)+1,"")</f>
        <v>3</v>
      </c>
      <c r="T131" s="7">
        <f t="shared" si="16"/>
        <v>79.625593247295924</v>
      </c>
      <c r="U131" s="1">
        <f t="shared" si="17"/>
        <v>92.756227374703741</v>
      </c>
    </row>
    <row r="132" spans="1:21" x14ac:dyDescent="0.3">
      <c r="A132" s="2">
        <v>40367</v>
      </c>
      <c r="B132" s="1">
        <v>1782.1</v>
      </c>
      <c r="C132" s="2">
        <f t="shared" si="9"/>
        <v>40367</v>
      </c>
      <c r="D132" s="1">
        <f t="shared" si="10"/>
        <v>1782.1</v>
      </c>
      <c r="E132" s="4">
        <f t="shared" si="11"/>
        <v>1831.7452000000005</v>
      </c>
      <c r="F132" s="3">
        <f t="shared" si="12"/>
        <v>0.97289732218214597</v>
      </c>
      <c r="G132" s="18">
        <f t="shared" si="13"/>
        <v>1</v>
      </c>
      <c r="H132" s="3">
        <f t="shared" si="14"/>
        <v>9.4481766378538001E-3</v>
      </c>
      <c r="I132" s="3">
        <f t="shared" si="15"/>
        <v>9.4481766378538001E-3</v>
      </c>
      <c r="K132" s="12" t="str">
        <f>IF(AND(G132=1,G131&lt;&gt;1),MAX($K$50:K131)+1,"")</f>
        <v/>
      </c>
      <c r="L132" s="13" t="str">
        <f>IF(AND(G132&lt;&gt;1,G131=1),MAX($L$50:L131)+1,"")</f>
        <v/>
      </c>
      <c r="M132" s="13" t="str">
        <f>IF(AND(G132=-1,G131&lt;&gt;-1),MAX($M$50:M131)+1,"")</f>
        <v/>
      </c>
      <c r="N132" s="13" t="str">
        <f>IF(AND(G132&lt;&gt;-1,G131=-1),MAX($N$50:N131)+1,"")</f>
        <v/>
      </c>
      <c r="T132" s="7">
        <f t="shared" si="16"/>
        <v>80.37790991719028</v>
      </c>
      <c r="U132" s="1">
        <f t="shared" si="17"/>
        <v>93.632604595200874</v>
      </c>
    </row>
    <row r="133" spans="1:21" x14ac:dyDescent="0.3">
      <c r="A133" s="2">
        <v>40368</v>
      </c>
      <c r="B133" s="1">
        <v>1794.94</v>
      </c>
      <c r="C133" s="2">
        <f t="shared" si="9"/>
        <v>40368</v>
      </c>
      <c r="D133" s="1">
        <f t="shared" si="10"/>
        <v>1794.94</v>
      </c>
      <c r="E133" s="4">
        <f t="shared" si="11"/>
        <v>1828.1514000000006</v>
      </c>
      <c r="F133" s="3">
        <f t="shared" si="12"/>
        <v>0.98183334268704414</v>
      </c>
      <c r="G133" s="18">
        <f t="shared" si="13"/>
        <v>1</v>
      </c>
      <c r="H133" s="3">
        <f t="shared" si="14"/>
        <v>7.2049828853599784E-3</v>
      </c>
      <c r="I133" s="3">
        <f t="shared" si="15"/>
        <v>7.2049828853599784E-3</v>
      </c>
      <c r="K133" s="12" t="str">
        <f>IF(AND(G133=1,G132&lt;&gt;1),MAX($K$50:K132)+1,"")</f>
        <v/>
      </c>
      <c r="L133" s="13" t="str">
        <f>IF(AND(G133&lt;&gt;1,G132=1),MAX($L$50:L132)+1,"")</f>
        <v/>
      </c>
      <c r="M133" s="13" t="str">
        <f>IF(AND(G133=-1,G132&lt;&gt;-1),MAX($M$50:M132)+1,"")</f>
        <v/>
      </c>
      <c r="N133" s="13" t="str">
        <f>IF(AND(G133&lt;&gt;-1,G132=-1),MAX($N$50:N132)+1,"")</f>
        <v/>
      </c>
      <c r="T133" s="7">
        <f t="shared" si="16"/>
        <v>80.957031382504638</v>
      </c>
      <c r="U133" s="1">
        <f t="shared" si="17"/>
        <v>94.307225908820982</v>
      </c>
    </row>
    <row r="134" spans="1:21" x14ac:dyDescent="0.3">
      <c r="A134" s="2">
        <v>40371</v>
      </c>
      <c r="B134" s="1">
        <v>1796.3</v>
      </c>
      <c r="C134" s="2">
        <f t="shared" si="9"/>
        <v>40371</v>
      </c>
      <c r="D134" s="1">
        <f t="shared" si="10"/>
        <v>1796.3</v>
      </c>
      <c r="E134" s="4">
        <f t="shared" si="11"/>
        <v>1824.0706000000005</v>
      </c>
      <c r="F134" s="3">
        <f t="shared" si="12"/>
        <v>0.98477547963329903</v>
      </c>
      <c r="G134" s="18">
        <f t="shared" si="13"/>
        <v>1</v>
      </c>
      <c r="H134" s="3">
        <f t="shared" si="14"/>
        <v>7.5768549366550531E-4</v>
      </c>
      <c r="I134" s="3">
        <f t="shared" si="15"/>
        <v>7.5768549366550531E-4</v>
      </c>
      <c r="K134" s="12" t="str">
        <f>IF(AND(G134=1,G133&lt;&gt;1),MAX($K$50:K133)+1,"")</f>
        <v/>
      </c>
      <c r="L134" s="13" t="str">
        <f>IF(AND(G134&lt;&gt;1,G133=1),MAX($L$50:L133)+1,"")</f>
        <v/>
      </c>
      <c r="M134" s="13" t="str">
        <f>IF(AND(G134=-1,G133&lt;&gt;-1),MAX($M$50:M133)+1,"")</f>
        <v/>
      </c>
      <c r="N134" s="13" t="str">
        <f>IF(AND(G134&lt;&gt;-1,G133=-1),MAX($N$50:N133)+1,"")</f>
        <v/>
      </c>
      <c r="T134" s="7">
        <f t="shared" si="16"/>
        <v>81.018371350793387</v>
      </c>
      <c r="U134" s="1">
        <f t="shared" si="17"/>
        <v>94.378681125839933</v>
      </c>
    </row>
    <row r="135" spans="1:21" x14ac:dyDescent="0.3">
      <c r="A135" s="2">
        <v>40372</v>
      </c>
      <c r="B135" s="1">
        <v>1824.07</v>
      </c>
      <c r="C135" s="2">
        <f t="shared" si="9"/>
        <v>40372</v>
      </c>
      <c r="D135" s="1">
        <f t="shared" si="10"/>
        <v>1824.07</v>
      </c>
      <c r="E135" s="4">
        <f t="shared" si="11"/>
        <v>1821.2110000000009</v>
      </c>
      <c r="F135" s="3">
        <f t="shared" si="12"/>
        <v>1.0015698345771022</v>
      </c>
      <c r="G135" s="18">
        <f t="shared" si="13"/>
        <v>1</v>
      </c>
      <c r="H135" s="3">
        <f t="shared" si="14"/>
        <v>1.5459555753493337E-2</v>
      </c>
      <c r="I135" s="3">
        <f t="shared" si="15"/>
        <v>1.5459555753493337E-2</v>
      </c>
      <c r="K135" s="12" t="str">
        <f>IF(AND(G135=1,G134&lt;&gt;1),MAX($K$50:K134)+1,"")</f>
        <v/>
      </c>
      <c r="L135" s="13" t="str">
        <f>IF(AND(G135&lt;&gt;1,G134=1),MAX($L$50:L134)+1,"")</f>
        <v/>
      </c>
      <c r="M135" s="13" t="str">
        <f>IF(AND(G135=-1,G134&lt;&gt;-1),MAX($M$50:M134)+1,"")</f>
        <v/>
      </c>
      <c r="N135" s="13" t="str">
        <f>IF(AND(G135&lt;&gt;-1,G134=-1),MAX($N$50:N134)+1,"")</f>
        <v/>
      </c>
      <c r="T135" s="7">
        <f t="shared" si="16"/>
        <v>82.270879379748209</v>
      </c>
      <c r="U135" s="1">
        <f t="shared" si="17"/>
        <v>95.837733608646019</v>
      </c>
    </row>
    <row r="136" spans="1:21" x14ac:dyDescent="0.3">
      <c r="A136" s="2">
        <v>40373</v>
      </c>
      <c r="B136" s="1">
        <v>1823.82</v>
      </c>
      <c r="C136" s="2">
        <f t="shared" si="9"/>
        <v>40373</v>
      </c>
      <c r="D136" s="1">
        <f t="shared" si="10"/>
        <v>1823.82</v>
      </c>
      <c r="E136" s="4">
        <f t="shared" si="11"/>
        <v>1817.8300000000011</v>
      </c>
      <c r="F136" s="3">
        <f t="shared" si="12"/>
        <v>1.0032951376091268</v>
      </c>
      <c r="G136" s="18">
        <f t="shared" si="13"/>
        <v>1</v>
      </c>
      <c r="H136" s="3">
        <f t="shared" si="14"/>
        <v>-1.3705614367864882E-4</v>
      </c>
      <c r="I136" s="3">
        <f t="shared" si="15"/>
        <v>-1.3705614367864882E-4</v>
      </c>
      <c r="K136" s="12" t="str">
        <f>IF(AND(G136=1,G135&lt;&gt;1),MAX($K$50:K135)+1,"")</f>
        <v/>
      </c>
      <c r="L136" s="13" t="str">
        <f>IF(AND(G136&lt;&gt;1,G135=1),MAX($L$50:L135)+1,"")</f>
        <v/>
      </c>
      <c r="M136" s="13" t="str">
        <f>IF(AND(G136=-1,G135&lt;&gt;-1),MAX($M$50:M135)+1,"")</f>
        <v/>
      </c>
      <c r="N136" s="13" t="str">
        <f>IF(AND(G136&lt;&gt;-1,G135=-1),MAX($N$50:N135)+1,"")</f>
        <v/>
      </c>
      <c r="T136" s="7">
        <f t="shared" si="16"/>
        <v>82.259603650283367</v>
      </c>
      <c r="U136" s="1">
        <f t="shared" si="17"/>
        <v>95.824598458458709</v>
      </c>
    </row>
    <row r="137" spans="1:21" x14ac:dyDescent="0.3">
      <c r="A137" s="2">
        <v>40374</v>
      </c>
      <c r="B137" s="1">
        <v>1826</v>
      </c>
      <c r="C137" s="2">
        <f t="shared" si="9"/>
        <v>40374</v>
      </c>
      <c r="D137" s="1">
        <f t="shared" si="10"/>
        <v>1826</v>
      </c>
      <c r="E137" s="4">
        <f t="shared" si="11"/>
        <v>1815.4426000000012</v>
      </c>
      <c r="F137" s="3">
        <f t="shared" si="12"/>
        <v>1.0058153312035307</v>
      </c>
      <c r="G137" s="18">
        <f t="shared" si="13"/>
        <v>1</v>
      </c>
      <c r="H137" s="3">
        <f t="shared" si="14"/>
        <v>1.1952933951815403E-3</v>
      </c>
      <c r="I137" s="3">
        <f t="shared" si="15"/>
        <v>1.1952933951815403E-3</v>
      </c>
      <c r="K137" s="12" t="str">
        <f>IF(AND(G137=1,G136&lt;&gt;1),MAX($K$50:K136)+1,"")</f>
        <v/>
      </c>
      <c r="L137" s="13" t="str">
        <f>IF(AND(G137&lt;&gt;1,G136=1),MAX($L$50:L136)+1,"")</f>
        <v/>
      </c>
      <c r="M137" s="13" t="str">
        <f>IF(AND(G137=-1,G136&lt;&gt;-1),MAX($M$50:M136)+1,"")</f>
        <v/>
      </c>
      <c r="N137" s="13" t="str">
        <f>IF(AND(G137&lt;&gt;-1,G136=-1),MAX($N$50:N136)+1,"")</f>
        <v/>
      </c>
      <c r="T137" s="7">
        <f t="shared" si="16"/>
        <v>82.357928011216799</v>
      </c>
      <c r="U137" s="1">
        <f t="shared" si="17"/>
        <v>95.939136968092029</v>
      </c>
    </row>
    <row r="138" spans="1:21" x14ac:dyDescent="0.3">
      <c r="A138" s="2">
        <v>40375</v>
      </c>
      <c r="B138" s="1">
        <v>1773.43</v>
      </c>
      <c r="C138" s="2">
        <f t="shared" si="9"/>
        <v>40375</v>
      </c>
      <c r="D138" s="1">
        <f t="shared" si="10"/>
        <v>1773.43</v>
      </c>
      <c r="E138" s="4">
        <f t="shared" si="11"/>
        <v>1812.2462000000007</v>
      </c>
      <c r="F138" s="3">
        <f t="shared" si="12"/>
        <v>0.97858116628965719</v>
      </c>
      <c r="G138" s="18">
        <f t="shared" si="13"/>
        <v>1</v>
      </c>
      <c r="H138" s="3">
        <f t="shared" si="14"/>
        <v>-2.8789704271631966E-2</v>
      </c>
      <c r="I138" s="3">
        <f t="shared" si="15"/>
        <v>-2.8789704271631966E-2</v>
      </c>
      <c r="K138" s="12" t="str">
        <f>IF(AND(G138=1,G137&lt;&gt;1),MAX($K$50:K137)+1,"")</f>
        <v/>
      </c>
      <c r="L138" s="13" t="str">
        <f>IF(AND(G138&lt;&gt;1,G137=1),MAX($L$50:L137)+1,"")</f>
        <v/>
      </c>
      <c r="M138" s="13" t="str">
        <f>IF(AND(G138=-1,G137&lt;&gt;-1),MAX($M$50:M137)+1,"")</f>
        <v/>
      </c>
      <c r="N138" s="13" t="str">
        <f>IF(AND(G138&lt;&gt;-1,G137=-1),MAX($N$50:N137)+1,"")</f>
        <v/>
      </c>
      <c r="T138" s="7">
        <f t="shared" si="16"/>
        <v>79.986867619349511</v>
      </c>
      <c r="U138" s="1">
        <f t="shared" si="17"/>
        <v>93.177077586705067</v>
      </c>
    </row>
    <row r="139" spans="1:21" x14ac:dyDescent="0.3">
      <c r="A139" s="2">
        <v>40378</v>
      </c>
      <c r="B139" s="1">
        <v>1784.06</v>
      </c>
      <c r="C139" s="2">
        <f t="shared" si="9"/>
        <v>40378</v>
      </c>
      <c r="D139" s="1">
        <f t="shared" si="10"/>
        <v>1784.06</v>
      </c>
      <c r="E139" s="4">
        <f t="shared" si="11"/>
        <v>1810.5084000000008</v>
      </c>
      <c r="F139" s="3">
        <f t="shared" si="12"/>
        <v>0.98539172753907089</v>
      </c>
      <c r="G139" s="18">
        <f t="shared" si="13"/>
        <v>1</v>
      </c>
      <c r="H139" s="3">
        <f t="shared" si="14"/>
        <v>5.9940341597919389E-3</v>
      </c>
      <c r="I139" s="3">
        <f t="shared" si="15"/>
        <v>5.9940341597919389E-3</v>
      </c>
      <c r="K139" s="12" t="str">
        <f>IF(AND(G139=1,G138&lt;&gt;1),MAX($K$50:K138)+1,"")</f>
        <v/>
      </c>
      <c r="L139" s="13" t="str">
        <f>IF(AND(G139&lt;&gt;1,G138=1),MAX($L$50:L138)+1,"")</f>
        <v/>
      </c>
      <c r="M139" s="13" t="str">
        <f>IF(AND(G139=-1,G138&lt;&gt;-1),MAX($M$50:M138)+1,"")</f>
        <v/>
      </c>
      <c r="N139" s="13" t="str">
        <f>IF(AND(G139&lt;&gt;-1,G138=-1),MAX($N$50:N138)+1,"")</f>
        <v/>
      </c>
      <c r="T139" s="7">
        <f t="shared" si="16"/>
        <v>80.466311636194646</v>
      </c>
      <c r="U139" s="1">
        <f t="shared" si="17"/>
        <v>93.735584172669363</v>
      </c>
    </row>
    <row r="140" spans="1:21" x14ac:dyDescent="0.3">
      <c r="A140" s="2">
        <v>40379</v>
      </c>
      <c r="B140" s="1">
        <v>1804.48</v>
      </c>
      <c r="C140" s="2">
        <f t="shared" si="9"/>
        <v>40379</v>
      </c>
      <c r="D140" s="1">
        <f t="shared" si="10"/>
        <v>1804.48</v>
      </c>
      <c r="E140" s="4">
        <f t="shared" si="11"/>
        <v>1809.7516000000005</v>
      </c>
      <c r="F140" s="3">
        <f t="shared" si="12"/>
        <v>0.99708711405476835</v>
      </c>
      <c r="G140" s="18">
        <f t="shared" si="13"/>
        <v>1</v>
      </c>
      <c r="H140" s="3">
        <f t="shared" si="14"/>
        <v>1.1445803392262643E-2</v>
      </c>
      <c r="I140" s="3">
        <f t="shared" si="15"/>
        <v>1.1445803392262643E-2</v>
      </c>
      <c r="K140" s="12" t="str">
        <f>IF(AND(G140=1,G139&lt;&gt;1),MAX($K$50:K139)+1,"")</f>
        <v/>
      </c>
      <c r="L140" s="13" t="str">
        <f>IF(AND(G140&lt;&gt;1,G139=1),MAX($L$50:L139)+1,"")</f>
        <v/>
      </c>
      <c r="M140" s="13" t="str">
        <f>IF(AND(G140=-1,G139&lt;&gt;-1),MAX($M$50:M139)+1,"")</f>
        <v/>
      </c>
      <c r="N140" s="13" t="str">
        <f>IF(AND(G140&lt;&gt;-1,G139=-1),MAX($N$50:N139)+1,"")</f>
        <v/>
      </c>
      <c r="T140" s="7">
        <f t="shared" si="16"/>
        <v>81.387313218883065</v>
      </c>
      <c r="U140" s="1">
        <f t="shared" si="17"/>
        <v>94.808463239968631</v>
      </c>
    </row>
    <row r="141" spans="1:21" x14ac:dyDescent="0.3">
      <c r="A141" s="2">
        <v>40380</v>
      </c>
      <c r="B141" s="1">
        <v>1781.6</v>
      </c>
      <c r="C141" s="2">
        <f t="shared" si="9"/>
        <v>40380</v>
      </c>
      <c r="D141" s="1">
        <f t="shared" si="10"/>
        <v>1781.6</v>
      </c>
      <c r="E141" s="4">
        <f t="shared" si="11"/>
        <v>1806.9158000000007</v>
      </c>
      <c r="F141" s="3">
        <f t="shared" si="12"/>
        <v>0.98598949657753798</v>
      </c>
      <c r="G141" s="18">
        <f t="shared" si="13"/>
        <v>1</v>
      </c>
      <c r="H141" s="3">
        <f t="shared" si="14"/>
        <v>-1.2679553112253994E-2</v>
      </c>
      <c r="I141" s="3">
        <f t="shared" si="15"/>
        <v>-1.2679553112253994E-2</v>
      </c>
      <c r="K141" s="12" t="str">
        <f>IF(AND(G141=1,G140&lt;&gt;1),MAX($K$50:K140)+1,"")</f>
        <v/>
      </c>
      <c r="L141" s="13" t="str">
        <f>IF(AND(G141&lt;&gt;1,G140=1),MAX($L$50:L140)+1,"")</f>
        <v/>
      </c>
      <c r="M141" s="13" t="str">
        <f>IF(AND(G141=-1,G140&lt;&gt;-1),MAX($M$50:M140)+1,"")</f>
        <v/>
      </c>
      <c r="N141" s="13" t="str">
        <f>IF(AND(G141&lt;&gt;-1,G140=-1),MAX($N$50:N140)+1,"")</f>
        <v/>
      </c>
      <c r="T141" s="7">
        <f t="shared" si="16"/>
        <v>80.355358458260582</v>
      </c>
      <c r="U141" s="1">
        <f t="shared" si="17"/>
        <v>93.606334294826269</v>
      </c>
    </row>
    <row r="142" spans="1:21" x14ac:dyDescent="0.3">
      <c r="A142" s="2">
        <v>40381</v>
      </c>
      <c r="B142" s="1">
        <v>1821.76</v>
      </c>
      <c r="C142" s="2">
        <f t="shared" si="9"/>
        <v>40381</v>
      </c>
      <c r="D142" s="1">
        <f t="shared" si="10"/>
        <v>1821.76</v>
      </c>
      <c r="E142" s="4">
        <f t="shared" si="11"/>
        <v>1805.0060000000005</v>
      </c>
      <c r="F142" s="3">
        <f t="shared" si="12"/>
        <v>1.0092819636056609</v>
      </c>
      <c r="G142" s="18">
        <f t="shared" si="13"/>
        <v>1</v>
      </c>
      <c r="H142" s="3">
        <f t="shared" si="14"/>
        <v>2.2541535698248794E-2</v>
      </c>
      <c r="I142" s="3">
        <f t="shared" si="15"/>
        <v>2.2541535698248794E-2</v>
      </c>
      <c r="K142" s="12" t="str">
        <f>IF(AND(G142=1,G141&lt;&gt;1),MAX($K$50:K141)+1,"")</f>
        <v/>
      </c>
      <c r="L142" s="13" t="str">
        <f>IF(AND(G142&lt;&gt;1,G141=1),MAX($L$50:L141)+1,"")</f>
        <v/>
      </c>
      <c r="M142" s="13" t="str">
        <f>IF(AND(G142=-1,G141&lt;&gt;-1),MAX($M$50:M141)+1,"")</f>
        <v/>
      </c>
      <c r="N142" s="13" t="str">
        <f>IF(AND(G142&lt;&gt;-1,G141=-1),MAX($N$50:N141)+1,"")</f>
        <v/>
      </c>
      <c r="T142" s="7">
        <f t="shared" si="16"/>
        <v>82.166691639493038</v>
      </c>
      <c r="U142" s="1">
        <f t="shared" si="17"/>
        <v>95.716364820915317</v>
      </c>
    </row>
    <row r="143" spans="1:21" x14ac:dyDescent="0.3">
      <c r="A143" s="2">
        <v>40382</v>
      </c>
      <c r="B143" s="1">
        <v>1836.75</v>
      </c>
      <c r="C143" s="2">
        <f t="shared" si="9"/>
        <v>40382</v>
      </c>
      <c r="D143" s="1">
        <f t="shared" si="10"/>
        <v>1836.75</v>
      </c>
      <c r="E143" s="4">
        <f t="shared" si="11"/>
        <v>1802.8560000000007</v>
      </c>
      <c r="F143" s="3">
        <f t="shared" si="12"/>
        <v>1.0188001703963041</v>
      </c>
      <c r="G143" s="18">
        <f t="shared" si="13"/>
        <v>1</v>
      </c>
      <c r="H143" s="3">
        <f t="shared" si="14"/>
        <v>8.2283066924293546E-3</v>
      </c>
      <c r="I143" s="3">
        <f t="shared" si="15"/>
        <v>8.2283066924293546E-3</v>
      </c>
      <c r="K143" s="12" t="str">
        <f>IF(AND(G143=1,G142&lt;&gt;1),MAX($K$50:K142)+1,"")</f>
        <v/>
      </c>
      <c r="L143" s="13" t="str">
        <f>IF(AND(G143&lt;&gt;1,G142=1),MAX($L$50:L142)+1,"")</f>
        <v/>
      </c>
      <c r="M143" s="13" t="str">
        <f>IF(AND(G143=-1,G142&lt;&gt;-1),MAX($M$50:M142)+1,"")</f>
        <v/>
      </c>
      <c r="N143" s="13" t="str">
        <f>IF(AND(G143&lt;&gt;-1,G142=-1),MAX($N$50:N142)+1,"")</f>
        <v/>
      </c>
      <c r="T143" s="7">
        <f t="shared" si="16"/>
        <v>82.842784378205053</v>
      </c>
      <c r="U143" s="1">
        <f t="shared" si="17"/>
        <v>96.503948426146266</v>
      </c>
    </row>
    <row r="144" spans="1:21" x14ac:dyDescent="0.3">
      <c r="A144" s="2">
        <v>40385</v>
      </c>
      <c r="B144" s="1">
        <v>1857.34</v>
      </c>
      <c r="C144" s="2">
        <f t="shared" si="9"/>
        <v>40385</v>
      </c>
      <c r="D144" s="1">
        <f t="shared" si="10"/>
        <v>1857.34</v>
      </c>
      <c r="E144" s="4">
        <f t="shared" si="11"/>
        <v>1801.5876000000003</v>
      </c>
      <c r="F144" s="3">
        <f t="shared" si="12"/>
        <v>1.0309462609533944</v>
      </c>
      <c r="G144" s="18">
        <f t="shared" si="13"/>
        <v>1</v>
      </c>
      <c r="H144" s="3">
        <f t="shared" si="14"/>
        <v>1.1210017694296859E-2</v>
      </c>
      <c r="I144" s="3">
        <f t="shared" si="15"/>
        <v>1.1210017694296859E-2</v>
      </c>
      <c r="K144" s="12" t="str">
        <f>IF(AND(G144=1,G143&lt;&gt;1),MAX($K$50:K143)+1,"")</f>
        <v/>
      </c>
      <c r="L144" s="13" t="str">
        <f>IF(AND(G144&lt;&gt;1,G143=1),MAX($L$50:L143)+1,"")</f>
        <v/>
      </c>
      <c r="M144" s="13" t="str">
        <f>IF(AND(G144=-1,G143&lt;&gt;-1),MAX($M$50:M143)+1,"")</f>
        <v/>
      </c>
      <c r="N144" s="13" t="str">
        <f>IF(AND(G144&lt;&gt;-1,G143=-1),MAX($N$50:N143)+1,"")</f>
        <v/>
      </c>
      <c r="T144" s="7">
        <f t="shared" si="16"/>
        <v>83.771453456929549</v>
      </c>
      <c r="U144" s="1">
        <f t="shared" si="17"/>
        <v>97.585759395572879</v>
      </c>
    </row>
    <row r="145" spans="1:21" x14ac:dyDescent="0.3">
      <c r="A145" s="2">
        <v>40386</v>
      </c>
      <c r="B145" s="1">
        <v>1855.39</v>
      </c>
      <c r="C145" s="2">
        <f t="shared" si="9"/>
        <v>40386</v>
      </c>
      <c r="D145" s="1">
        <f t="shared" si="10"/>
        <v>1855.39</v>
      </c>
      <c r="E145" s="4">
        <f t="shared" si="11"/>
        <v>1801.0020000000002</v>
      </c>
      <c r="F145" s="3">
        <f t="shared" si="12"/>
        <v>1.0301987449208829</v>
      </c>
      <c r="G145" s="18">
        <f t="shared" si="13"/>
        <v>1</v>
      </c>
      <c r="H145" s="3">
        <f t="shared" si="14"/>
        <v>-1.0498885502923105E-3</v>
      </c>
      <c r="I145" s="3">
        <f t="shared" si="15"/>
        <v>-1.0498885502923105E-3</v>
      </c>
      <c r="K145" s="12" t="str">
        <f>IF(AND(G145=1,G144&lt;&gt;1),MAX($K$50:K144)+1,"")</f>
        <v/>
      </c>
      <c r="L145" s="13" t="str">
        <f>IF(AND(G145&lt;&gt;1,G144=1),MAX($L$50:L144)+1,"")</f>
        <v/>
      </c>
      <c r="M145" s="13" t="str">
        <f>IF(AND(G145=-1,G144&lt;&gt;-1),MAX($M$50:M144)+1,"")</f>
        <v/>
      </c>
      <c r="N145" s="13" t="str">
        <f>IF(AND(G145&lt;&gt;-1,G144=-1),MAX($N$50:N144)+1,"")</f>
        <v/>
      </c>
      <c r="T145" s="7">
        <f t="shared" si="16"/>
        <v>83.683502767103775</v>
      </c>
      <c r="U145" s="1">
        <f t="shared" si="17"/>
        <v>97.483305224111888</v>
      </c>
    </row>
    <row r="146" spans="1:21" x14ac:dyDescent="0.3">
      <c r="A146" s="2">
        <v>40387</v>
      </c>
      <c r="B146" s="1">
        <v>1842.66</v>
      </c>
      <c r="C146" s="2">
        <f t="shared" si="9"/>
        <v>40387</v>
      </c>
      <c r="D146" s="1">
        <f t="shared" si="10"/>
        <v>1842.66</v>
      </c>
      <c r="E146" s="4">
        <f t="shared" si="11"/>
        <v>1800.1130000000003</v>
      </c>
      <c r="F146" s="3">
        <f t="shared" si="12"/>
        <v>1.0236357384230879</v>
      </c>
      <c r="G146" s="18">
        <f t="shared" si="13"/>
        <v>1</v>
      </c>
      <c r="H146" s="3">
        <f t="shared" si="14"/>
        <v>-6.8610911991549006E-3</v>
      </c>
      <c r="I146" s="3">
        <f t="shared" si="15"/>
        <v>-6.8610911991549006E-3</v>
      </c>
      <c r="K146" s="12" t="str">
        <f>IF(AND(G146=1,G145&lt;&gt;1),MAX($K$50:K145)+1,"")</f>
        <v/>
      </c>
      <c r="L146" s="13" t="str">
        <f>IF(AND(G146&lt;&gt;1,G145=1),MAX($L$50:L145)+1,"")</f>
        <v/>
      </c>
      <c r="M146" s="13" t="str">
        <f>IF(AND(G146=-1,G145&lt;&gt;-1),MAX($M$50:M145)+1,"")</f>
        <v/>
      </c>
      <c r="N146" s="13" t="str">
        <f>IF(AND(G146&lt;&gt;-1,G145=-1),MAX($N$50:N145)+1,"")</f>
        <v/>
      </c>
      <c r="T146" s="7">
        <f t="shared" si="16"/>
        <v>83.109342622753942</v>
      </c>
      <c r="U146" s="1">
        <f t="shared" si="17"/>
        <v>96.81446337657421</v>
      </c>
    </row>
    <row r="147" spans="1:21" x14ac:dyDescent="0.3">
      <c r="A147" s="2">
        <v>40388</v>
      </c>
      <c r="B147" s="1">
        <v>1835.29</v>
      </c>
      <c r="C147" s="2">
        <f t="shared" si="9"/>
        <v>40388</v>
      </c>
      <c r="D147" s="1">
        <f t="shared" si="10"/>
        <v>1835.29</v>
      </c>
      <c r="E147" s="4">
        <f t="shared" si="11"/>
        <v>1799.6057999999998</v>
      </c>
      <c r="F147" s="3">
        <f t="shared" si="12"/>
        <v>1.019828898084236</v>
      </c>
      <c r="G147" s="18">
        <f t="shared" si="13"/>
        <v>1</v>
      </c>
      <c r="H147" s="3">
        <f t="shared" si="14"/>
        <v>-3.999652676022758E-3</v>
      </c>
      <c r="I147" s="3">
        <f t="shared" si="15"/>
        <v>-3.999652676022758E-3</v>
      </c>
      <c r="K147" s="12" t="str">
        <f>IF(AND(G147=1,G146&lt;&gt;1),MAX($K$50:K146)+1,"")</f>
        <v/>
      </c>
      <c r="L147" s="13" t="str">
        <f>IF(AND(G147&lt;&gt;1,G146=1),MAX($L$50:L146)+1,"")</f>
        <v/>
      </c>
      <c r="M147" s="13" t="str">
        <f>IF(AND(G147=-1,G146&lt;&gt;-1),MAX($M$50:M146)+1,"")</f>
        <v/>
      </c>
      <c r="N147" s="13" t="str">
        <f>IF(AND(G147&lt;&gt;-1,G146=-1),MAX($N$50:N146)+1,"")</f>
        <v/>
      </c>
      <c r="T147" s="7">
        <f t="shared" si="16"/>
        <v>82.776934118130356</v>
      </c>
      <c r="U147" s="1">
        <f t="shared" si="17"/>
        <v>96.427239149052397</v>
      </c>
    </row>
    <row r="148" spans="1:21" x14ac:dyDescent="0.3">
      <c r="A148" s="2">
        <v>40389</v>
      </c>
      <c r="B148" s="1">
        <v>1835.4</v>
      </c>
      <c r="C148" s="2">
        <f t="shared" si="9"/>
        <v>40389</v>
      </c>
      <c r="D148" s="1">
        <f t="shared" si="10"/>
        <v>1835.4</v>
      </c>
      <c r="E148" s="4">
        <f t="shared" si="11"/>
        <v>1799.2881999999997</v>
      </c>
      <c r="F148" s="3">
        <f t="shared" si="12"/>
        <v>1.020070047699974</v>
      </c>
      <c r="G148" s="18">
        <f t="shared" si="13"/>
        <v>1</v>
      </c>
      <c r="H148" s="3">
        <f t="shared" si="14"/>
        <v>5.9936031907792398E-5</v>
      </c>
      <c r="I148" s="3">
        <f t="shared" si="15"/>
        <v>5.9936031907792398E-5</v>
      </c>
      <c r="K148" s="12" t="str">
        <f>IF(AND(G148=1,G147&lt;&gt;1),MAX($K$50:K147)+1,"")</f>
        <v/>
      </c>
      <c r="L148" s="13" t="str">
        <f>IF(AND(G148&lt;&gt;1,G147=1),MAX($L$50:L147)+1,"")</f>
        <v/>
      </c>
      <c r="M148" s="13" t="str">
        <f>IF(AND(G148=-1,G147&lt;&gt;-1),MAX($M$50:M147)+1,"")</f>
        <v/>
      </c>
      <c r="N148" s="13" t="str">
        <f>IF(AND(G148&lt;&gt;-1,G147=-1),MAX($N$50:N147)+1,"")</f>
        <v/>
      </c>
      <c r="T148" s="7">
        <f t="shared" si="16"/>
        <v>82.781895439094896</v>
      </c>
      <c r="U148" s="1">
        <f t="shared" si="17"/>
        <v>96.433018615134827</v>
      </c>
    </row>
    <row r="149" spans="1:21" x14ac:dyDescent="0.3">
      <c r="A149" s="2">
        <v>40392</v>
      </c>
      <c r="B149" s="1">
        <v>1875.85</v>
      </c>
      <c r="C149" s="2">
        <f t="shared" si="9"/>
        <v>40392</v>
      </c>
      <c r="D149" s="1">
        <f t="shared" si="10"/>
        <v>1875.85</v>
      </c>
      <c r="E149" s="4">
        <f t="shared" si="11"/>
        <v>1801.2191999999998</v>
      </c>
      <c r="F149" s="3">
        <f t="shared" si="12"/>
        <v>1.0414334912708016</v>
      </c>
      <c r="G149" s="18">
        <f t="shared" si="13"/>
        <v>1</v>
      </c>
      <c r="H149" s="3">
        <f t="shared" si="14"/>
        <v>2.2038792633758186E-2</v>
      </c>
      <c r="I149" s="3">
        <f t="shared" si="15"/>
        <v>2.2038792633758186E-2</v>
      </c>
      <c r="K149" s="12" t="str">
        <f>IF(AND(G149=1,G148&lt;&gt;1),MAX($K$50:K148)+1,"")</f>
        <v/>
      </c>
      <c r="L149" s="13" t="str">
        <f>IF(AND(G149&lt;&gt;1,G148=1),MAX($L$50:L148)+1,"")</f>
        <v/>
      </c>
      <c r="M149" s="13" t="str">
        <f>IF(AND(G149=-1,G148&lt;&gt;-1),MAX($M$50:M148)+1,"")</f>
        <v/>
      </c>
      <c r="N149" s="13" t="str">
        <f>IF(AND(G149&lt;&gt;-1,G148=-1),MAX($N$50:N148)+1,"")</f>
        <v/>
      </c>
      <c r="T149" s="7">
        <f t="shared" si="16"/>
        <v>84.606308466506562</v>
      </c>
      <c r="U149" s="1">
        <f t="shared" si="17"/>
        <v>98.558285915441132</v>
      </c>
    </row>
    <row r="150" spans="1:21" x14ac:dyDescent="0.3">
      <c r="A150" s="2">
        <v>40393</v>
      </c>
      <c r="B150" s="1">
        <v>1866.87</v>
      </c>
      <c r="C150" s="2">
        <f t="shared" si="9"/>
        <v>40393</v>
      </c>
      <c r="D150" s="1">
        <f t="shared" si="10"/>
        <v>1866.87</v>
      </c>
      <c r="E150" s="4">
        <f t="shared" si="11"/>
        <v>1802.4355999999998</v>
      </c>
      <c r="F150" s="3">
        <f t="shared" si="12"/>
        <v>1.0357485171730962</v>
      </c>
      <c r="G150" s="18">
        <f t="shared" si="13"/>
        <v>1</v>
      </c>
      <c r="H150" s="3">
        <f t="shared" si="14"/>
        <v>-4.7871631527041103E-3</v>
      </c>
      <c r="I150" s="3">
        <f t="shared" si="15"/>
        <v>-4.7871631527041103E-3</v>
      </c>
      <c r="K150" s="12" t="str">
        <f>IF(AND(G150=1,G149&lt;&gt;1),MAX($K$50:K149)+1,"")</f>
        <v/>
      </c>
      <c r="L150" s="13" t="str">
        <f>IF(AND(G150&lt;&gt;1,G149=1),MAX($L$50:L149)+1,"")</f>
        <v/>
      </c>
      <c r="M150" s="13" t="str">
        <f>IF(AND(G150=-1,G149&lt;&gt;-1),MAX($M$50:M149)+1,"")</f>
        <v/>
      </c>
      <c r="N150" s="13" t="str">
        <f>IF(AND(G150&lt;&gt;-1,G149=-1),MAX($N$50:N149)+1,"")</f>
        <v/>
      </c>
      <c r="T150" s="7">
        <f t="shared" si="16"/>
        <v>84.201284264129384</v>
      </c>
      <c r="U150" s="1">
        <f t="shared" si="17"/>
        <v>98.086471320713045</v>
      </c>
    </row>
    <row r="151" spans="1:21" x14ac:dyDescent="0.3">
      <c r="A151" s="2">
        <v>40394</v>
      </c>
      <c r="B151" s="1">
        <v>1878.81</v>
      </c>
      <c r="C151" s="2">
        <f t="shared" si="9"/>
        <v>40394</v>
      </c>
      <c r="D151" s="1">
        <f t="shared" si="10"/>
        <v>1878.81</v>
      </c>
      <c r="E151" s="4">
        <f t="shared" si="11"/>
        <v>1804.3563999999997</v>
      </c>
      <c r="F151" s="3">
        <f t="shared" si="12"/>
        <v>1.0412632448888703</v>
      </c>
      <c r="G151" s="18">
        <f t="shared" si="13"/>
        <v>1</v>
      </c>
      <c r="H151" s="3">
        <f t="shared" si="14"/>
        <v>6.3957318934901863E-3</v>
      </c>
      <c r="I151" s="3">
        <f t="shared" si="15"/>
        <v>6.3957318934901863E-3</v>
      </c>
      <c r="K151" s="12" t="str">
        <f>IF(AND(G151=1,G150&lt;&gt;1),MAX($K$50:K150)+1,"")</f>
        <v/>
      </c>
      <c r="L151" s="13" t="str">
        <f>IF(AND(G151&lt;&gt;1,G150=1),MAX($L$50:L150)+1,"")</f>
        <v/>
      </c>
      <c r="M151" s="13" t="str">
        <f>IF(AND(G151=-1,G150&lt;&gt;-1),MAX($M$50:M150)+1,"")</f>
        <v/>
      </c>
      <c r="N151" s="13" t="str">
        <f>IF(AND(G151&lt;&gt;-1,G150=-1),MAX($N$50:N150)+1,"")</f>
        <v/>
      </c>
      <c r="T151" s="7">
        <f t="shared" si="16"/>
        <v>84.739813103370309</v>
      </c>
      <c r="U151" s="1">
        <f t="shared" si="17"/>
        <v>98.713806093658846</v>
      </c>
    </row>
    <row r="152" spans="1:21" x14ac:dyDescent="0.3">
      <c r="A152" s="2">
        <v>40395</v>
      </c>
      <c r="B152" s="1">
        <v>1876.51</v>
      </c>
      <c r="C152" s="2">
        <f t="shared" si="9"/>
        <v>40395</v>
      </c>
      <c r="D152" s="1">
        <f t="shared" si="10"/>
        <v>1876.51</v>
      </c>
      <c r="E152" s="4">
        <f t="shared" si="11"/>
        <v>1806.2185999999995</v>
      </c>
      <c r="F152" s="3">
        <f t="shared" si="12"/>
        <v>1.0389163305039604</v>
      </c>
      <c r="G152" s="18">
        <f t="shared" si="13"/>
        <v>1</v>
      </c>
      <c r="H152" s="3">
        <f t="shared" si="14"/>
        <v>-1.2241791346649933E-3</v>
      </c>
      <c r="I152" s="3">
        <f t="shared" si="15"/>
        <v>-1.2241791346649933E-3</v>
      </c>
      <c r="K152" s="12" t="str">
        <f>IF(AND(G152=1,G151&lt;&gt;1),MAX($K$50:K151)+1,"")</f>
        <v/>
      </c>
      <c r="L152" s="13" t="str">
        <f>IF(AND(G152&lt;&gt;1,G151=1),MAX($L$50:L151)+1,"")</f>
        <v/>
      </c>
      <c r="M152" s="13" t="str">
        <f>IF(AND(G152=-1,G151&lt;&gt;-1),MAX($M$50:M151)+1,"")</f>
        <v/>
      </c>
      <c r="N152" s="13" t="str">
        <f>IF(AND(G152&lt;&gt;-1,G151=-1),MAX($N$50:N151)+1,"")</f>
        <v/>
      </c>
      <c r="T152" s="7">
        <f t="shared" si="16"/>
        <v>84.636076392293759</v>
      </c>
      <c r="U152" s="1">
        <f t="shared" si="17"/>
        <v>98.592962711935627</v>
      </c>
    </row>
    <row r="153" spans="1:21" x14ac:dyDescent="0.3">
      <c r="A153" s="2">
        <v>40396</v>
      </c>
      <c r="B153" s="1">
        <v>1869.77</v>
      </c>
      <c r="C153" s="2">
        <f t="shared" si="9"/>
        <v>40396</v>
      </c>
      <c r="D153" s="1">
        <f t="shared" si="10"/>
        <v>1869.77</v>
      </c>
      <c r="E153" s="4">
        <f t="shared" si="11"/>
        <v>1808.1409999999998</v>
      </c>
      <c r="F153" s="3">
        <f t="shared" si="12"/>
        <v>1.0340841781697334</v>
      </c>
      <c r="G153" s="18">
        <f t="shared" si="13"/>
        <v>1</v>
      </c>
      <c r="H153" s="3">
        <f t="shared" si="14"/>
        <v>-3.5917740912652096E-3</v>
      </c>
      <c r="I153" s="3">
        <f t="shared" si="15"/>
        <v>-3.5917740912652096E-3</v>
      </c>
      <c r="K153" s="12" t="str">
        <f>IF(AND(G153=1,G152&lt;&gt;1),MAX($K$50:K152)+1,"")</f>
        <v/>
      </c>
      <c r="L153" s="13" t="str">
        <f>IF(AND(G153&lt;&gt;1,G152=1),MAX($L$50:L152)+1,"")</f>
        <v/>
      </c>
      <c r="M153" s="13" t="str">
        <f>IF(AND(G153=-1,G152&lt;&gt;-1),MAX($M$50:M152)+1,"")</f>
        <v/>
      </c>
      <c r="N153" s="13" t="str">
        <f>IF(AND(G153&lt;&gt;-1,G152=-1),MAX($N$50:N152)+1,"")</f>
        <v/>
      </c>
      <c r="T153" s="7">
        <f t="shared" si="16"/>
        <v>84.33208272592158</v>
      </c>
      <c r="U153" s="1">
        <f t="shared" si="17"/>
        <v>98.238839062885816</v>
      </c>
    </row>
    <row r="154" spans="1:21" x14ac:dyDescent="0.3">
      <c r="A154" s="2">
        <v>40399</v>
      </c>
      <c r="B154" s="1">
        <v>1880.06</v>
      </c>
      <c r="C154" s="2">
        <f t="shared" si="9"/>
        <v>40399</v>
      </c>
      <c r="D154" s="1">
        <f t="shared" si="10"/>
        <v>1880.06</v>
      </c>
      <c r="E154" s="4">
        <f t="shared" si="11"/>
        <v>1809.0899999999997</v>
      </c>
      <c r="F154" s="3">
        <f t="shared" si="12"/>
        <v>1.0392296679546071</v>
      </c>
      <c r="G154" s="18">
        <f t="shared" si="13"/>
        <v>1</v>
      </c>
      <c r="H154" s="3">
        <f t="shared" si="14"/>
        <v>5.5033506794952558E-3</v>
      </c>
      <c r="I154" s="3">
        <f t="shared" si="15"/>
        <v>5.5033506794952558E-3</v>
      </c>
      <c r="K154" s="12" t="str">
        <f>IF(AND(G154=1,G153&lt;&gt;1),MAX($K$50:K153)+1,"")</f>
        <v/>
      </c>
      <c r="L154" s="13" t="str">
        <f>IF(AND(G154&lt;&gt;1,G153=1),MAX($L$50:L153)+1,"")</f>
        <v/>
      </c>
      <c r="M154" s="13" t="str">
        <f>IF(AND(G154=-1,G153&lt;&gt;-1),MAX($M$50:M153)+1,"")</f>
        <v/>
      </c>
      <c r="N154" s="13" t="str">
        <f>IF(AND(G154&lt;&gt;-1,G153=-1),MAX($N$50:N153)+1,"")</f>
        <v/>
      </c>
      <c r="T154" s="7">
        <f t="shared" si="16"/>
        <v>84.796191750694533</v>
      </c>
      <c r="U154" s="1">
        <f t="shared" si="17"/>
        <v>98.779481844595381</v>
      </c>
    </row>
    <row r="155" spans="1:21" x14ac:dyDescent="0.3">
      <c r="A155" s="2">
        <v>40400</v>
      </c>
      <c r="B155" s="1">
        <v>1868.88</v>
      </c>
      <c r="C155" s="2">
        <f t="shared" si="9"/>
        <v>40400</v>
      </c>
      <c r="D155" s="1">
        <f t="shared" si="10"/>
        <v>1868.88</v>
      </c>
      <c r="E155" s="4">
        <f t="shared" si="11"/>
        <v>1810.2679999999998</v>
      </c>
      <c r="F155" s="3">
        <f t="shared" si="12"/>
        <v>1.0323775264215025</v>
      </c>
      <c r="G155" s="18">
        <f t="shared" si="13"/>
        <v>1</v>
      </c>
      <c r="H155" s="3">
        <f t="shared" si="14"/>
        <v>-5.9466187249341829E-3</v>
      </c>
      <c r="I155" s="3">
        <f t="shared" si="15"/>
        <v>-5.9466187249341829E-3</v>
      </c>
      <c r="K155" s="12" t="str">
        <f>IF(AND(G155=1,G154&lt;&gt;1),MAX($K$50:K154)+1,"")</f>
        <v/>
      </c>
      <c r="L155" s="13" t="str">
        <f>IF(AND(G155&lt;&gt;1,G154=1),MAX($L$50:L154)+1,"")</f>
        <v/>
      </c>
      <c r="M155" s="13" t="str">
        <f>IF(AND(G155=-1,G154&lt;&gt;-1),MAX($M$50:M154)+1,"")</f>
        <v/>
      </c>
      <c r="N155" s="13" t="str">
        <f>IF(AND(G155&lt;&gt;-1,G154=-1),MAX($N$50:N154)+1,"")</f>
        <v/>
      </c>
      <c r="T155" s="7">
        <f t="shared" si="16"/>
        <v>84.291941129026739</v>
      </c>
      <c r="U155" s="1">
        <f t="shared" si="17"/>
        <v>98.192077928219007</v>
      </c>
    </row>
    <row r="156" spans="1:21" x14ac:dyDescent="0.3">
      <c r="A156" s="2">
        <v>40401</v>
      </c>
      <c r="B156" s="1">
        <v>1817.13</v>
      </c>
      <c r="C156" s="2">
        <f t="shared" si="9"/>
        <v>40401</v>
      </c>
      <c r="D156" s="1">
        <f t="shared" si="10"/>
        <v>1817.13</v>
      </c>
      <c r="E156" s="4">
        <f t="shared" si="11"/>
        <v>1811.0308000000002</v>
      </c>
      <c r="F156" s="3">
        <f t="shared" si="12"/>
        <v>1.0033678057822097</v>
      </c>
      <c r="G156" s="18">
        <f t="shared" si="13"/>
        <v>1</v>
      </c>
      <c r="H156" s="3">
        <f t="shared" si="14"/>
        <v>-2.7690381404905651E-2</v>
      </c>
      <c r="I156" s="3">
        <f t="shared" si="15"/>
        <v>-2.7690381404905651E-2</v>
      </c>
      <c r="K156" s="12" t="str">
        <f>IF(AND(G156=1,G155&lt;&gt;1),MAX($K$50:K155)+1,"")</f>
        <v/>
      </c>
      <c r="L156" s="13" t="str">
        <f>IF(AND(G156&lt;&gt;1,G155=1),MAX($L$50:L155)+1,"")</f>
        <v/>
      </c>
      <c r="M156" s="13" t="str">
        <f>IF(AND(G156=-1,G155&lt;&gt;-1),MAX($M$50:M155)+1,"")</f>
        <v/>
      </c>
      <c r="N156" s="13" t="str">
        <f>IF(AND(G156&lt;&gt;-1,G155=-1),MAX($N$50:N155)+1,"")</f>
        <v/>
      </c>
      <c r="T156" s="7">
        <f t="shared" si="16"/>
        <v>81.957865129804134</v>
      </c>
      <c r="U156" s="1">
        <f t="shared" si="17"/>
        <v>95.473101839446414</v>
      </c>
    </row>
    <row r="157" spans="1:21" x14ac:dyDescent="0.3">
      <c r="A157" s="2">
        <v>40402</v>
      </c>
      <c r="B157" s="1">
        <v>1807.61</v>
      </c>
      <c r="C157" s="2">
        <f t="shared" si="9"/>
        <v>40402</v>
      </c>
      <c r="D157" s="1">
        <f t="shared" si="10"/>
        <v>1807.61</v>
      </c>
      <c r="E157" s="4">
        <f t="shared" si="11"/>
        <v>1810.6780000000001</v>
      </c>
      <c r="F157" s="3">
        <f t="shared" si="12"/>
        <v>0.9983056070709424</v>
      </c>
      <c r="G157" s="18">
        <f t="shared" si="13"/>
        <v>1</v>
      </c>
      <c r="H157" s="3">
        <f t="shared" si="14"/>
        <v>-5.2390307793059865E-3</v>
      </c>
      <c r="I157" s="3">
        <f t="shared" si="15"/>
        <v>-5.2390307793059865E-3</v>
      </c>
      <c r="K157" s="12" t="str">
        <f>IF(AND(G157=1,G156&lt;&gt;1),MAX($K$50:K156)+1,"")</f>
        <v/>
      </c>
      <c r="L157" s="13" t="str">
        <f>IF(AND(G157&lt;&gt;1,G156=1),MAX($L$50:L156)+1,"")</f>
        <v/>
      </c>
      <c r="M157" s="13" t="str">
        <f>IF(AND(G157=-1,G156&lt;&gt;-1),MAX($M$50:M156)+1,"")</f>
        <v/>
      </c>
      <c r="N157" s="13" t="str">
        <f>IF(AND(G157&lt;&gt;-1,G156=-1),MAX($N$50:N156)+1,"")</f>
        <v/>
      </c>
      <c r="T157" s="7">
        <f t="shared" si="16"/>
        <v>81.528485351782876</v>
      </c>
      <c r="U157" s="1">
        <f t="shared" si="17"/>
        <v>94.972915320313746</v>
      </c>
    </row>
    <row r="158" spans="1:21" x14ac:dyDescent="0.3">
      <c r="A158" s="2">
        <v>40403</v>
      </c>
      <c r="B158" s="1">
        <v>1800.39</v>
      </c>
      <c r="C158" s="2">
        <f t="shared" si="9"/>
        <v>40403</v>
      </c>
      <c r="D158" s="1">
        <f t="shared" si="10"/>
        <v>1800.39</v>
      </c>
      <c r="E158" s="4">
        <f t="shared" si="11"/>
        <v>1810.0314000000001</v>
      </c>
      <c r="F158" s="3">
        <f t="shared" si="12"/>
        <v>0.99467335207554963</v>
      </c>
      <c r="G158" s="18">
        <f t="shared" si="13"/>
        <v>1</v>
      </c>
      <c r="H158" s="3">
        <f t="shared" si="14"/>
        <v>-3.9942244178776676E-3</v>
      </c>
      <c r="I158" s="3">
        <f t="shared" si="15"/>
        <v>-3.9942244178776676E-3</v>
      </c>
      <c r="K158" s="12" t="str">
        <f>IF(AND(G158=1,G157&lt;&gt;1),MAX($K$50:K157)+1,"")</f>
        <v/>
      </c>
      <c r="L158" s="13" t="str">
        <f>IF(AND(G158&lt;&gt;1,G157=1),MAX($L$50:L157)+1,"")</f>
        <v/>
      </c>
      <c r="M158" s="13" t="str">
        <f>IF(AND(G158=-1,G157&lt;&gt;-1),MAX($M$50:M157)+1,"")</f>
        <v/>
      </c>
      <c r="N158" s="13" t="str">
        <f>IF(AND(G158&lt;&gt;-1,G157=-1),MAX($N$50:N157)+1,"")</f>
        <v/>
      </c>
      <c r="T158" s="7">
        <f t="shared" si="16"/>
        <v>81.202842284838198</v>
      </c>
      <c r="U158" s="1">
        <f t="shared" si="17"/>
        <v>94.593572182904325</v>
      </c>
    </row>
    <row r="159" spans="1:21" x14ac:dyDescent="0.3">
      <c r="A159" s="2">
        <v>40406</v>
      </c>
      <c r="B159" s="1">
        <v>1800.7</v>
      </c>
      <c r="C159" s="2">
        <f t="shared" si="9"/>
        <v>40406</v>
      </c>
      <c r="D159" s="1">
        <f t="shared" si="10"/>
        <v>1800.7</v>
      </c>
      <c r="E159" s="4">
        <f t="shared" si="11"/>
        <v>1810.6509999999998</v>
      </c>
      <c r="F159" s="3">
        <f t="shared" si="12"/>
        <v>0.99450418661575324</v>
      </c>
      <c r="G159" s="18">
        <f t="shared" si="13"/>
        <v>1</v>
      </c>
      <c r="H159" s="3">
        <f t="shared" si="14"/>
        <v>1.7218491549053638E-4</v>
      </c>
      <c r="I159" s="3">
        <f t="shared" si="15"/>
        <v>1.7218491549053638E-4</v>
      </c>
      <c r="K159" s="12" t="str">
        <f>IF(AND(G159=1,G158&lt;&gt;1),MAX($K$50:K158)+1,"")</f>
        <v/>
      </c>
      <c r="L159" s="13" t="str">
        <f>IF(AND(G159&lt;&gt;1,G158=1),MAX($L$50:L158)+1,"")</f>
        <v/>
      </c>
      <c r="M159" s="13" t="str">
        <f>IF(AND(G159=-1,G158&lt;&gt;-1),MAX($M$50:M158)+1,"")</f>
        <v/>
      </c>
      <c r="N159" s="13" t="str">
        <f>IF(AND(G159&lt;&gt;-1,G158=-1),MAX($N$50:N158)+1,"")</f>
        <v/>
      </c>
      <c r="T159" s="7">
        <f t="shared" si="16"/>
        <v>81.216824189374606</v>
      </c>
      <c r="U159" s="1">
        <f t="shared" si="17"/>
        <v>94.609859769136577</v>
      </c>
    </row>
    <row r="160" spans="1:21" x14ac:dyDescent="0.3">
      <c r="A160" s="2">
        <v>40407</v>
      </c>
      <c r="B160" s="1">
        <v>1823.18</v>
      </c>
      <c r="C160" s="2">
        <f t="shared" si="9"/>
        <v>40407</v>
      </c>
      <c r="D160" s="1">
        <f t="shared" si="10"/>
        <v>1823.18</v>
      </c>
      <c r="E160" s="4">
        <f t="shared" si="11"/>
        <v>1812.1971999999996</v>
      </c>
      <c r="F160" s="3">
        <f t="shared" si="12"/>
        <v>1.0060604883397901</v>
      </c>
      <c r="G160" s="18">
        <f t="shared" si="13"/>
        <v>1</v>
      </c>
      <c r="H160" s="3">
        <f t="shared" si="14"/>
        <v>1.2484033986782883E-2</v>
      </c>
      <c r="I160" s="3">
        <f t="shared" si="15"/>
        <v>1.2484033986782883E-2</v>
      </c>
      <c r="K160" s="12" t="str">
        <f>IF(AND(G160=1,G159&lt;&gt;1),MAX($K$50:K159)+1,"")</f>
        <v/>
      </c>
      <c r="L160" s="13" t="str">
        <f>IF(AND(G160&lt;&gt;1,G159=1),MAX($L$50:L159)+1,"")</f>
        <v/>
      </c>
      <c r="M160" s="13" t="str">
        <f>IF(AND(G160=-1,G159&lt;&gt;-1),MAX($M$50:M159)+1,"")</f>
        <v/>
      </c>
      <c r="N160" s="13" t="str">
        <f>IF(AND(G160&lt;&gt;-1,G159=-1),MAX($N$50:N159)+1,"")</f>
        <v/>
      </c>
      <c r="T160" s="7">
        <f t="shared" si="16"/>
        <v>82.230737782853325</v>
      </c>
      <c r="U160" s="1">
        <f t="shared" si="17"/>
        <v>95.790972473979238</v>
      </c>
    </row>
    <row r="161" spans="1:21" x14ac:dyDescent="0.3">
      <c r="A161" s="2">
        <v>40408</v>
      </c>
      <c r="B161" s="1">
        <v>1826.14</v>
      </c>
      <c r="C161" s="2">
        <f t="shared" si="9"/>
        <v>40408</v>
      </c>
      <c r="D161" s="1">
        <f t="shared" si="10"/>
        <v>1826.14</v>
      </c>
      <c r="E161" s="4">
        <f t="shared" si="11"/>
        <v>1813.4141999999999</v>
      </c>
      <c r="F161" s="3">
        <f t="shared" si="12"/>
        <v>1.0070175914581456</v>
      </c>
      <c r="G161" s="18">
        <f t="shared" si="13"/>
        <v>1</v>
      </c>
      <c r="H161" s="3">
        <f t="shared" si="14"/>
        <v>1.6235368970700659E-3</v>
      </c>
      <c r="I161" s="3">
        <f t="shared" si="15"/>
        <v>1.6235368970700659E-3</v>
      </c>
      <c r="K161" s="12" t="str">
        <f>IF(AND(G161=1,G160&lt;&gt;1),MAX($K$50:K160)+1,"")</f>
        <v/>
      </c>
      <c r="L161" s="13" t="str">
        <f>IF(AND(G161&lt;&gt;1,G160=1),MAX($L$50:L160)+1,"")</f>
        <v/>
      </c>
      <c r="M161" s="13" t="str">
        <f>IF(AND(G161=-1,G160&lt;&gt;-1),MAX($M$50:M160)+1,"")</f>
        <v/>
      </c>
      <c r="N161" s="13" t="str">
        <f>IF(AND(G161&lt;&gt;-1,G160=-1),MAX($N$50:N160)+1,"")</f>
        <v/>
      </c>
      <c r="T161" s="7">
        <f t="shared" si="16"/>
        <v>82.364242419717087</v>
      </c>
      <c r="U161" s="1">
        <f t="shared" si="17"/>
        <v>95.946492652196952</v>
      </c>
    </row>
    <row r="162" spans="1:21" x14ac:dyDescent="0.3">
      <c r="A162" s="2">
        <v>40409</v>
      </c>
      <c r="B162" s="1">
        <v>1795.24</v>
      </c>
      <c r="C162" s="2">
        <f t="shared" si="9"/>
        <v>40409</v>
      </c>
      <c r="D162" s="1">
        <f t="shared" si="10"/>
        <v>1795.24</v>
      </c>
      <c r="E162" s="4">
        <f t="shared" si="11"/>
        <v>1814.2208000000001</v>
      </c>
      <c r="F162" s="3">
        <f t="shared" si="12"/>
        <v>0.98953776739854371</v>
      </c>
      <c r="G162" s="18">
        <f t="shared" si="13"/>
        <v>1</v>
      </c>
      <c r="H162" s="3">
        <f t="shared" si="14"/>
        <v>-1.6920937058495067E-2</v>
      </c>
      <c r="I162" s="3">
        <f t="shared" si="15"/>
        <v>-1.6920937058495067E-2</v>
      </c>
      <c r="K162" s="12" t="str">
        <f>IF(AND(G162=1,G161&lt;&gt;1),MAX($K$50:K161)+1,"")</f>
        <v/>
      </c>
      <c r="L162" s="13" t="str">
        <f>IF(AND(G162&lt;&gt;1,G161=1),MAX($L$50:L161)+1,"")</f>
        <v/>
      </c>
      <c r="M162" s="13" t="str">
        <f>IF(AND(G162=-1,G161&lt;&gt;-1),MAX($M$50:M161)+1,"")</f>
        <v/>
      </c>
      <c r="N162" s="13" t="str">
        <f>IF(AND(G162&lt;&gt;-1,G161=-1),MAX($N$50:N161)+1,"")</f>
        <v/>
      </c>
      <c r="T162" s="7">
        <f t="shared" si="16"/>
        <v>80.970562257862426</v>
      </c>
      <c r="U162" s="1">
        <f t="shared" si="17"/>
        <v>94.322988089045765</v>
      </c>
    </row>
    <row r="163" spans="1:21" x14ac:dyDescent="0.3">
      <c r="A163" s="2">
        <v>40410</v>
      </c>
      <c r="B163" s="1">
        <v>1788.67</v>
      </c>
      <c r="C163" s="2">
        <f t="shared" si="9"/>
        <v>40410</v>
      </c>
      <c r="D163" s="1">
        <f t="shared" si="10"/>
        <v>1788.67</v>
      </c>
      <c r="E163" s="4">
        <f t="shared" si="11"/>
        <v>1813.8604</v>
      </c>
      <c r="F163" s="3">
        <f t="shared" si="12"/>
        <v>0.98611227192566753</v>
      </c>
      <c r="G163" s="18">
        <f t="shared" si="13"/>
        <v>1</v>
      </c>
      <c r="H163" s="3">
        <f t="shared" si="14"/>
        <v>-3.659677814665363E-3</v>
      </c>
      <c r="I163" s="3">
        <f t="shared" si="15"/>
        <v>-3.659677814665363E-3</v>
      </c>
      <c r="K163" s="12" t="str">
        <f>IF(AND(G163=1,G162&lt;&gt;1),MAX($K$50:K162)+1,"")</f>
        <v/>
      </c>
      <c r="L163" s="13" t="str">
        <f>IF(AND(G163&lt;&gt;1,G162=1),MAX($L$50:L162)+1,"")</f>
        <v/>
      </c>
      <c r="M163" s="13" t="str">
        <f>IF(AND(G163=-1,G162&lt;&gt;-1),MAX($M$50:M162)+1,"")</f>
        <v/>
      </c>
      <c r="N163" s="13" t="str">
        <f>IF(AND(G163&lt;&gt;-1,G162=-1),MAX($N$50:N162)+1,"")</f>
        <v/>
      </c>
      <c r="T163" s="7">
        <f t="shared" si="16"/>
        <v>80.674236087526353</v>
      </c>
      <c r="U163" s="1">
        <f t="shared" si="17"/>
        <v>93.977796342123341</v>
      </c>
    </row>
    <row r="164" spans="1:21" x14ac:dyDescent="0.3">
      <c r="A164" s="2">
        <v>40413</v>
      </c>
      <c r="B164" s="1">
        <v>1781.47</v>
      </c>
      <c r="C164" s="2">
        <f t="shared" si="9"/>
        <v>40413</v>
      </c>
      <c r="D164" s="1">
        <f t="shared" si="10"/>
        <v>1781.47</v>
      </c>
      <c r="E164" s="4">
        <f t="shared" si="11"/>
        <v>1813.1846000000003</v>
      </c>
      <c r="F164" s="3">
        <f t="shared" si="12"/>
        <v>0.98250889622601012</v>
      </c>
      <c r="G164" s="18">
        <f t="shared" si="13"/>
        <v>1</v>
      </c>
      <c r="H164" s="3">
        <f t="shared" si="14"/>
        <v>-4.0253372617643501E-3</v>
      </c>
      <c r="I164" s="3">
        <f t="shared" si="15"/>
        <v>-4.0253372617643501E-3</v>
      </c>
      <c r="K164" s="12" t="str">
        <f>IF(AND(G164=1,G163&lt;&gt;1),MAX($K$50:K163)+1,"")</f>
        <v/>
      </c>
      <c r="L164" s="13" t="str">
        <f>IF(AND(G164&lt;&gt;1,G163=1),MAX($L$50:L163)+1,"")</f>
        <v/>
      </c>
      <c r="M164" s="13" t="str">
        <f>IF(AND(G164=-1,G163&lt;&gt;-1),MAX($M$50:M163)+1,"")</f>
        <v/>
      </c>
      <c r="N164" s="13" t="str">
        <f>IF(AND(G164&lt;&gt;-1,G163=-1),MAX($N$50:N163)+1,"")</f>
        <v/>
      </c>
      <c r="T164" s="7">
        <f t="shared" si="16"/>
        <v>80.349495078938858</v>
      </c>
      <c r="U164" s="1">
        <f t="shared" si="17"/>
        <v>93.599504016728886</v>
      </c>
    </row>
    <row r="165" spans="1:21" x14ac:dyDescent="0.3">
      <c r="A165" s="2">
        <v>40414</v>
      </c>
      <c r="B165" s="1">
        <v>1755.65</v>
      </c>
      <c r="C165" s="2">
        <f t="shared" si="9"/>
        <v>40414</v>
      </c>
      <c r="D165" s="1">
        <f t="shared" si="10"/>
        <v>1755.65</v>
      </c>
      <c r="E165" s="4">
        <f t="shared" si="11"/>
        <v>1812.0572</v>
      </c>
      <c r="F165" s="3">
        <f t="shared" si="12"/>
        <v>0.96887118132915462</v>
      </c>
      <c r="G165" s="18">
        <f t="shared" si="13"/>
        <v>1</v>
      </c>
      <c r="H165" s="3">
        <f t="shared" si="14"/>
        <v>-1.4493648503763668E-2</v>
      </c>
      <c r="I165" s="3">
        <f t="shared" si="15"/>
        <v>-1.4493648503763668E-2</v>
      </c>
      <c r="K165" s="12" t="str">
        <f>IF(AND(G165=1,G164&lt;&gt;1),MAX($K$50:K164)+1,"")</f>
        <v/>
      </c>
      <c r="L165" s="13" t="str">
        <f>IF(AND(G165&lt;&gt;1,G164=1),MAX($L$50:L164)+1,"")</f>
        <v/>
      </c>
      <c r="M165" s="13" t="str">
        <f>IF(AND(G165=-1,G164&lt;&gt;-1),MAX($M$50:M164)+1,"")</f>
        <v/>
      </c>
      <c r="N165" s="13" t="str">
        <f>IF(AND(G165&lt;&gt;-1,G164=-1),MAX($N$50:N164)+1,"")</f>
        <v/>
      </c>
      <c r="T165" s="7">
        <f t="shared" si="16"/>
        <v>79.184937739809826</v>
      </c>
      <c r="U165" s="1">
        <f t="shared" si="17"/>
        <v>92.242905705383791</v>
      </c>
    </row>
    <row r="166" spans="1:21" x14ac:dyDescent="0.3">
      <c r="A166" s="2">
        <v>40415</v>
      </c>
      <c r="B166" s="1">
        <v>1761.62</v>
      </c>
      <c r="C166" s="2">
        <f t="shared" si="9"/>
        <v>40415</v>
      </c>
      <c r="D166" s="1">
        <f t="shared" si="10"/>
        <v>1761.62</v>
      </c>
      <c r="E166" s="4">
        <f t="shared" si="11"/>
        <v>1810.1974</v>
      </c>
      <c r="F166" s="3">
        <f t="shared" si="12"/>
        <v>0.9731645841497728</v>
      </c>
      <c r="G166" s="18">
        <f t="shared" si="13"/>
        <v>1</v>
      </c>
      <c r="H166" s="3">
        <f t="shared" si="14"/>
        <v>3.4004499757922524E-3</v>
      </c>
      <c r="I166" s="3">
        <f t="shared" si="15"/>
        <v>3.4004499757922524E-3</v>
      </c>
      <c r="K166" s="12" t="str">
        <f>IF(AND(G166=1,G165&lt;&gt;1),MAX($K$50:K165)+1,"")</f>
        <v/>
      </c>
      <c r="L166" s="13" t="str">
        <f>IF(AND(G166&lt;&gt;1,G165=1),MAX($L$50:L165)+1,"")</f>
        <v/>
      </c>
      <c r="M166" s="13" t="str">
        <f>IF(AND(G166=-1,G165&lt;&gt;-1),MAX($M$50:M165)+1,"")</f>
        <v/>
      </c>
      <c r="N166" s="13" t="str">
        <f>IF(AND(G166&lt;&gt;-1,G165=-1),MAX($N$50:N165)+1,"")</f>
        <v/>
      </c>
      <c r="T166" s="7">
        <f t="shared" si="16"/>
        <v>79.454202159430267</v>
      </c>
      <c r="U166" s="1">
        <f t="shared" si="17"/>
        <v>92.556573091856677</v>
      </c>
    </row>
    <row r="167" spans="1:21" x14ac:dyDescent="0.3">
      <c r="A167" s="2">
        <v>40416</v>
      </c>
      <c r="B167" s="1">
        <v>1748.14</v>
      </c>
      <c r="C167" s="2">
        <f t="shared" si="9"/>
        <v>40416</v>
      </c>
      <c r="D167" s="1">
        <f t="shared" si="10"/>
        <v>1748.14</v>
      </c>
      <c r="E167" s="4">
        <f t="shared" si="11"/>
        <v>1808.0878</v>
      </c>
      <c r="F167" s="3">
        <f t="shared" si="12"/>
        <v>0.96684464106223167</v>
      </c>
      <c r="G167" s="18">
        <f t="shared" si="13"/>
        <v>1</v>
      </c>
      <c r="H167" s="3">
        <f t="shared" si="14"/>
        <v>-7.6520475471439919E-3</v>
      </c>
      <c r="I167" s="3">
        <f t="shared" si="15"/>
        <v>-7.6520475471439919E-3</v>
      </c>
      <c r="K167" s="12" t="str">
        <f>IF(AND(G167=1,G166&lt;&gt;1),MAX($K$50:K166)+1,"")</f>
        <v/>
      </c>
      <c r="L167" s="13" t="str">
        <f>IF(AND(G167&lt;&gt;1,G166=1),MAX($L$50:L166)+1,"")</f>
        <v/>
      </c>
      <c r="M167" s="13" t="str">
        <f>IF(AND(G167=-1,G166&lt;&gt;-1),MAX($M$50:M166)+1,"")</f>
        <v/>
      </c>
      <c r="N167" s="13" t="str">
        <f>IF(AND(G167&lt;&gt;-1,G166=-1),MAX($N$50:N166)+1,"")</f>
        <v/>
      </c>
      <c r="T167" s="7">
        <f t="shared" si="16"/>
        <v>78.846214826685909</v>
      </c>
      <c r="U167" s="1">
        <f t="shared" si="17"/>
        <v>91.848325793757084</v>
      </c>
    </row>
    <row r="168" spans="1:21" x14ac:dyDescent="0.3">
      <c r="A168" s="2">
        <v>40417</v>
      </c>
      <c r="B168" s="1">
        <v>1777.6</v>
      </c>
      <c r="C168" s="2">
        <f t="shared" si="9"/>
        <v>40417</v>
      </c>
      <c r="D168" s="1">
        <f t="shared" si="10"/>
        <v>1777.6</v>
      </c>
      <c r="E168" s="4">
        <f t="shared" si="11"/>
        <v>1806.5147999999999</v>
      </c>
      <c r="F168" s="3">
        <f t="shared" si="12"/>
        <v>0.9839941527188153</v>
      </c>
      <c r="G168" s="18">
        <f t="shared" si="13"/>
        <v>1</v>
      </c>
      <c r="H168" s="3">
        <f t="shared" si="14"/>
        <v>1.6852197192444462E-2</v>
      </c>
      <c r="I168" s="3">
        <f t="shared" si="15"/>
        <v>1.6852197192444462E-2</v>
      </c>
      <c r="K168" s="12" t="str">
        <f>IF(AND(G168=1,G167&lt;&gt;1),MAX($K$50:K167)+1,"")</f>
        <v/>
      </c>
      <c r="L168" s="13" t="str">
        <f>IF(AND(G168&lt;&gt;1,G167=1),MAX($L$50:L167)+1,"")</f>
        <v/>
      </c>
      <c r="M168" s="13" t="str">
        <f>IF(AND(G168=-1,G167&lt;&gt;-1),MAX($M$50:M167)+1,"")</f>
        <v/>
      </c>
      <c r="N168" s="13" t="str">
        <f>IF(AND(G168&lt;&gt;-1,G167=-1),MAX($N$50:N167)+1,"")</f>
        <v/>
      </c>
      <c r="T168" s="7">
        <f t="shared" si="16"/>
        <v>80.174946786823057</v>
      </c>
      <c r="U168" s="1">
        <f t="shared" si="17"/>
        <v>93.396171891829368</v>
      </c>
    </row>
    <row r="169" spans="1:21" x14ac:dyDescent="0.3">
      <c r="A169" s="2">
        <v>40420</v>
      </c>
      <c r="B169" s="1">
        <v>1751.79</v>
      </c>
      <c r="C169" s="2">
        <f t="shared" si="9"/>
        <v>40420</v>
      </c>
      <c r="D169" s="1">
        <f t="shared" si="10"/>
        <v>1751.79</v>
      </c>
      <c r="E169" s="4">
        <f t="shared" si="11"/>
        <v>1804.3765999999994</v>
      </c>
      <c r="F169" s="3">
        <f t="shared" si="12"/>
        <v>0.97085608403478552</v>
      </c>
      <c r="G169" s="18">
        <f t="shared" si="13"/>
        <v>1</v>
      </c>
      <c r="H169" s="3">
        <f t="shared" si="14"/>
        <v>-1.451957695769579E-2</v>
      </c>
      <c r="I169" s="3">
        <f t="shared" si="15"/>
        <v>-1.451957695769579E-2</v>
      </c>
      <c r="K169" s="12" t="str">
        <f>IF(AND(G169=1,G168&lt;&gt;1),MAX($K$50:K168)+1,"")</f>
        <v/>
      </c>
      <c r="L169" s="13" t="str">
        <f>IF(AND(G169&lt;&gt;1,G168=1),MAX($L$50:L168)+1,"")</f>
        <v/>
      </c>
      <c r="M169" s="13" t="str">
        <f>IF(AND(G169=-1,G168&lt;&gt;-1),MAX($M$50:M168)+1,"")</f>
        <v/>
      </c>
      <c r="N169" s="13" t="str">
        <f>IF(AND(G169&lt;&gt;-1,G168=-1),MAX($N$50:N168)+1,"")</f>
        <v/>
      </c>
      <c r="T169" s="7">
        <f t="shared" si="16"/>
        <v>79.010840476872616</v>
      </c>
      <c r="U169" s="1">
        <f t="shared" si="17"/>
        <v>92.04009898649177</v>
      </c>
    </row>
    <row r="170" spans="1:21" x14ac:dyDescent="0.3">
      <c r="A170" s="2">
        <v>40421</v>
      </c>
      <c r="B170" s="1">
        <v>1752.55</v>
      </c>
      <c r="C170" s="2">
        <f t="shared" si="9"/>
        <v>40421</v>
      </c>
      <c r="D170" s="1">
        <f t="shared" si="10"/>
        <v>1752.55</v>
      </c>
      <c r="E170" s="4">
        <f t="shared" si="11"/>
        <v>1802.3965999999994</v>
      </c>
      <c r="F170" s="3">
        <f t="shared" si="12"/>
        <v>0.97234426651714756</v>
      </c>
      <c r="G170" s="18">
        <f t="shared" si="13"/>
        <v>1</v>
      </c>
      <c r="H170" s="3">
        <f t="shared" si="14"/>
        <v>4.3384195594220465E-4</v>
      </c>
      <c r="I170" s="3">
        <f t="shared" si="15"/>
        <v>4.3384195594220465E-4</v>
      </c>
      <c r="K170" s="12" t="str">
        <f>IF(AND(G170=1,G169&lt;&gt;1),MAX($K$50:K169)+1,"")</f>
        <v/>
      </c>
      <c r="L170" s="13" t="str">
        <f>IF(AND(G170&lt;&gt;1,G169=1),MAX($L$50:L169)+1,"")</f>
        <v/>
      </c>
      <c r="M170" s="13" t="str">
        <f>IF(AND(G170=-1,G169&lt;&gt;-1),MAX($M$50:M169)+1,"")</f>
        <v/>
      </c>
      <c r="N170" s="13" t="str">
        <f>IF(AND(G170&lt;&gt;-1,G169=-1),MAX($N$50:N169)+1,"")</f>
        <v/>
      </c>
      <c r="T170" s="7">
        <f t="shared" si="16"/>
        <v>79.045118694445733</v>
      </c>
      <c r="U170" s="1">
        <f t="shared" si="17"/>
        <v>92.080029843061183</v>
      </c>
    </row>
    <row r="171" spans="1:21" x14ac:dyDescent="0.3">
      <c r="A171" s="2">
        <v>40422</v>
      </c>
      <c r="B171" s="1">
        <v>1804.46</v>
      </c>
      <c r="C171" s="2">
        <f t="shared" si="9"/>
        <v>40422</v>
      </c>
      <c r="D171" s="1">
        <f t="shared" si="10"/>
        <v>1804.46</v>
      </c>
      <c r="E171" s="4">
        <f t="shared" si="11"/>
        <v>1802.0447999999999</v>
      </c>
      <c r="F171" s="3">
        <f t="shared" si="12"/>
        <v>1.0013402552478163</v>
      </c>
      <c r="G171" s="18">
        <f t="shared" si="13"/>
        <v>1</v>
      </c>
      <c r="H171" s="3">
        <f t="shared" si="14"/>
        <v>2.9619697012924107E-2</v>
      </c>
      <c r="I171" s="3">
        <f t="shared" si="15"/>
        <v>2.9619697012924107E-2</v>
      </c>
      <c r="K171" s="12" t="str">
        <f>IF(AND(G171=1,G170&lt;&gt;1),MAX($K$50:K170)+1,"")</f>
        <v/>
      </c>
      <c r="L171" s="13" t="str">
        <f>IF(AND(G171&lt;&gt;1,G170=1),MAX($L$50:L170)+1,"")</f>
        <v/>
      </c>
      <c r="M171" s="13" t="str">
        <f>IF(AND(G171=-1,G170&lt;&gt;-1),MAX($M$50:M170)+1,"")</f>
        <v/>
      </c>
      <c r="N171" s="13" t="str">
        <f>IF(AND(G171&lt;&gt;-1,G170=-1),MAX($N$50:N170)+1,"")</f>
        <v/>
      </c>
      <c r="T171" s="7">
        <f t="shared" si="16"/>
        <v>81.386411160525839</v>
      </c>
      <c r="U171" s="1">
        <f t="shared" si="17"/>
        <v>94.807412427953651</v>
      </c>
    </row>
    <row r="172" spans="1:21" x14ac:dyDescent="0.3">
      <c r="A172" s="2">
        <v>40423</v>
      </c>
      <c r="B172" s="1">
        <v>1820.98</v>
      </c>
      <c r="C172" s="2">
        <f t="shared" si="9"/>
        <v>40423</v>
      </c>
      <c r="D172" s="1">
        <f t="shared" si="10"/>
        <v>1820.98</v>
      </c>
      <c r="E172" s="4">
        <f t="shared" si="11"/>
        <v>1802.1313999999995</v>
      </c>
      <c r="F172" s="3">
        <f t="shared" si="12"/>
        <v>1.0104590597555763</v>
      </c>
      <c r="G172" s="18">
        <f t="shared" si="13"/>
        <v>1</v>
      </c>
      <c r="H172" s="3">
        <f t="shared" si="14"/>
        <v>9.1550934905733072E-3</v>
      </c>
      <c r="I172" s="3">
        <f t="shared" si="15"/>
        <v>9.1550934905733072E-3</v>
      </c>
      <c r="K172" s="12" t="str">
        <f>IF(AND(G172=1,G171&lt;&gt;1),MAX($K$50:K171)+1,"")</f>
        <v/>
      </c>
      <c r="L172" s="13" t="str">
        <f>IF(AND(G172&lt;&gt;1,G171=1),MAX($L$50:L171)+1,"")</f>
        <v/>
      </c>
      <c r="M172" s="13" t="str">
        <f>IF(AND(G172=-1,G171&lt;&gt;-1),MAX($M$50:M171)+1,"")</f>
        <v/>
      </c>
      <c r="N172" s="13" t="str">
        <f>IF(AND(G172&lt;&gt;-1,G171=-1),MAX($N$50:N171)+1,"")</f>
        <v/>
      </c>
      <c r="T172" s="7">
        <f t="shared" si="16"/>
        <v>82.131511363562694</v>
      </c>
      <c r="U172" s="1">
        <f t="shared" si="17"/>
        <v>95.675383152330923</v>
      </c>
    </row>
    <row r="173" spans="1:21" x14ac:dyDescent="0.3">
      <c r="A173" s="2">
        <v>40424</v>
      </c>
      <c r="B173" s="1">
        <v>1845.1</v>
      </c>
      <c r="C173" s="2">
        <f t="shared" si="9"/>
        <v>40424</v>
      </c>
      <c r="D173" s="1">
        <f t="shared" si="10"/>
        <v>1845.1</v>
      </c>
      <c r="E173" s="4">
        <f t="shared" si="11"/>
        <v>1803.3108</v>
      </c>
      <c r="F173" s="3">
        <f t="shared" si="12"/>
        <v>1.0231735982505068</v>
      </c>
      <c r="G173" s="18">
        <f t="shared" si="13"/>
        <v>1</v>
      </c>
      <c r="H173" s="3">
        <f t="shared" si="14"/>
        <v>1.3245614998517174E-2</v>
      </c>
      <c r="I173" s="3">
        <f t="shared" si="15"/>
        <v>1.3245614998517174E-2</v>
      </c>
      <c r="K173" s="12" t="str">
        <f>IF(AND(G173=1,G172&lt;&gt;1),MAX($K$50:K172)+1,"")</f>
        <v/>
      </c>
      <c r="L173" s="13" t="str">
        <f>IF(AND(G173&lt;&gt;1,G172=1),MAX($L$50:L172)+1,"")</f>
        <v/>
      </c>
      <c r="M173" s="13" t="str">
        <f>IF(AND(G173=-1,G172&lt;&gt;-1),MAX($M$50:M172)+1,"")</f>
        <v/>
      </c>
      <c r="N173" s="13" t="str">
        <f>IF(AND(G173&lt;&gt;-1,G172=-1),MAX($N$50:N172)+1,"")</f>
        <v/>
      </c>
      <c r="T173" s="7">
        <f t="shared" si="16"/>
        <v>83.21939374233078</v>
      </c>
      <c r="U173" s="1">
        <f t="shared" si="17"/>
        <v>96.942662442402323</v>
      </c>
    </row>
    <row r="174" spans="1:21" x14ac:dyDescent="0.3">
      <c r="A174" s="2">
        <v>40428</v>
      </c>
      <c r="B174" s="1">
        <v>1824.05</v>
      </c>
      <c r="C174" s="2">
        <f t="shared" si="9"/>
        <v>40428</v>
      </c>
      <c r="D174" s="1">
        <f t="shared" si="10"/>
        <v>1824.05</v>
      </c>
      <c r="E174" s="4">
        <f t="shared" si="11"/>
        <v>1803.9670000000001</v>
      </c>
      <c r="F174" s="3">
        <f t="shared" si="12"/>
        <v>1.0111326870170019</v>
      </c>
      <c r="G174" s="18">
        <f t="shared" si="13"/>
        <v>1</v>
      </c>
      <c r="H174" s="3">
        <f t="shared" si="14"/>
        <v>-1.140859574006825E-2</v>
      </c>
      <c r="I174" s="3">
        <f t="shared" si="15"/>
        <v>-1.140859574006825E-2</v>
      </c>
      <c r="K174" s="12" t="str">
        <f>IF(AND(G174=1,G173&lt;&gt;1),MAX($K$50:K173)+1,"")</f>
        <v/>
      </c>
      <c r="L174" s="13" t="str">
        <f>IF(AND(G174&lt;&gt;1,G173=1),MAX($L$50:L173)+1,"")</f>
        <v/>
      </c>
      <c r="M174" s="13" t="str">
        <f>IF(AND(G174=-1,G173&lt;&gt;-1),MAX($M$50:M173)+1,"")</f>
        <v/>
      </c>
      <c r="N174" s="13" t="str">
        <f>IF(AND(G174&lt;&gt;-1,G173=-1),MAX($N$50:N173)+1,"")</f>
        <v/>
      </c>
      <c r="T174" s="7">
        <f t="shared" si="16"/>
        <v>82.269977321390968</v>
      </c>
      <c r="U174" s="1">
        <f t="shared" si="17"/>
        <v>95.836682796631052</v>
      </c>
    </row>
    <row r="175" spans="1:21" x14ac:dyDescent="0.3">
      <c r="A175" s="2">
        <v>40429</v>
      </c>
      <c r="B175" s="1">
        <v>1836.21</v>
      </c>
      <c r="C175" s="2">
        <f t="shared" si="9"/>
        <v>40429</v>
      </c>
      <c r="D175" s="1">
        <f t="shared" si="10"/>
        <v>1836.21</v>
      </c>
      <c r="E175" s="4">
        <f t="shared" si="11"/>
        <v>1804.9323999999999</v>
      </c>
      <c r="F175" s="3">
        <f t="shared" si="12"/>
        <v>1.0173289592452328</v>
      </c>
      <c r="G175" s="18">
        <f t="shared" si="13"/>
        <v>1</v>
      </c>
      <c r="H175" s="3">
        <f t="shared" si="14"/>
        <v>6.6664839231380668E-3</v>
      </c>
      <c r="I175" s="3">
        <f t="shared" si="15"/>
        <v>6.6664839231380668E-3</v>
      </c>
      <c r="K175" s="12" t="str">
        <f>IF(AND(G175=1,G174&lt;&gt;1),MAX($K$50:K174)+1,"")</f>
        <v/>
      </c>
      <c r="L175" s="13" t="str">
        <f>IF(AND(G175&lt;&gt;1,G174=1),MAX($L$50:L174)+1,"")</f>
        <v/>
      </c>
      <c r="M175" s="13" t="str">
        <f>IF(AND(G175=-1,G174&lt;&gt;-1),MAX($M$50:M174)+1,"")</f>
        <v/>
      </c>
      <c r="N175" s="13" t="str">
        <f>IF(AND(G175&lt;&gt;-1,G174=-1),MAX($N$50:N174)+1,"")</f>
        <v/>
      </c>
      <c r="T175" s="7">
        <f t="shared" si="16"/>
        <v>82.818428802560959</v>
      </c>
      <c r="U175" s="1">
        <f t="shared" si="17"/>
        <v>96.475576501741685</v>
      </c>
    </row>
    <row r="176" spans="1:21" x14ac:dyDescent="0.3">
      <c r="A176" s="2">
        <v>40430</v>
      </c>
      <c r="B176" s="1">
        <v>1845.09</v>
      </c>
      <c r="C176" s="2">
        <f t="shared" si="9"/>
        <v>40430</v>
      </c>
      <c r="D176" s="1">
        <f t="shared" si="10"/>
        <v>1845.09</v>
      </c>
      <c r="E176" s="4">
        <f t="shared" si="11"/>
        <v>1807.1832000000002</v>
      </c>
      <c r="F176" s="3">
        <f t="shared" si="12"/>
        <v>1.0209756265994503</v>
      </c>
      <c r="G176" s="18">
        <f t="shared" si="13"/>
        <v>1</v>
      </c>
      <c r="H176" s="3">
        <f t="shared" si="14"/>
        <v>4.8360481644256215E-3</v>
      </c>
      <c r="I176" s="3">
        <f t="shared" si="15"/>
        <v>4.8360481644256215E-3</v>
      </c>
      <c r="K176" s="12" t="str">
        <f>IF(AND(G176=1,G175&lt;&gt;1),MAX($K$50:K175)+1,"")</f>
        <v/>
      </c>
      <c r="L176" s="13" t="str">
        <f>IF(AND(G176&lt;&gt;1,G175=1),MAX($L$50:L175)+1,"")</f>
        <v/>
      </c>
      <c r="M176" s="13" t="str">
        <f>IF(AND(G176=-1,G175&lt;&gt;-1),MAX($M$50:M175)+1,"")</f>
        <v/>
      </c>
      <c r="N176" s="13" t="str">
        <f>IF(AND(G176&lt;&gt;-1,G175=-1),MAX($N$50:N175)+1,"")</f>
        <v/>
      </c>
      <c r="T176" s="7">
        <f t="shared" si="16"/>
        <v>83.218942713152202</v>
      </c>
      <c r="U176" s="1">
        <f t="shared" si="17"/>
        <v>96.94213703639484</v>
      </c>
    </row>
    <row r="177" spans="1:21" x14ac:dyDescent="0.3">
      <c r="A177" s="2">
        <v>40431</v>
      </c>
      <c r="B177" s="1">
        <v>1854.1</v>
      </c>
      <c r="C177" s="2">
        <f t="shared" si="9"/>
        <v>40431</v>
      </c>
      <c r="D177" s="1">
        <f t="shared" si="10"/>
        <v>1854.1</v>
      </c>
      <c r="E177" s="4">
        <f t="shared" si="11"/>
        <v>1809.9605999999999</v>
      </c>
      <c r="F177" s="3">
        <f t="shared" si="12"/>
        <v>1.0243869396936045</v>
      </c>
      <c r="G177" s="18">
        <f t="shared" si="13"/>
        <v>1</v>
      </c>
      <c r="H177" s="3">
        <f t="shared" si="14"/>
        <v>4.883230628316193E-3</v>
      </c>
      <c r="I177" s="3">
        <f t="shared" si="15"/>
        <v>4.883230628316193E-3</v>
      </c>
      <c r="K177" s="12" t="str">
        <f>IF(AND(G177=1,G176&lt;&gt;1),MAX($K$50:K176)+1,"")</f>
        <v/>
      </c>
      <c r="L177" s="13" t="str">
        <f>IF(AND(G177&lt;&gt;1,G176=1),MAX($L$50:L176)+1,"")</f>
        <v/>
      </c>
      <c r="M177" s="13" t="str">
        <f>IF(AND(G177=-1,G176&lt;&gt;-1),MAX($M$50:M176)+1,"")</f>
        <v/>
      </c>
      <c r="N177" s="13" t="str">
        <f>IF(AND(G177&lt;&gt;-1,G176=-1),MAX($N$50:N176)+1,"")</f>
        <v/>
      </c>
      <c r="T177" s="7">
        <f t="shared" si="16"/>
        <v>83.625320003065156</v>
      </c>
      <c r="U177" s="1">
        <f t="shared" si="17"/>
        <v>97.415527849145391</v>
      </c>
    </row>
    <row r="178" spans="1:21" x14ac:dyDescent="0.3">
      <c r="A178" s="2">
        <v>40434</v>
      </c>
      <c r="B178" s="1">
        <v>1875.41</v>
      </c>
      <c r="C178" s="2">
        <f t="shared" si="9"/>
        <v>40434</v>
      </c>
      <c r="D178" s="1">
        <f t="shared" si="10"/>
        <v>1875.41</v>
      </c>
      <c r="E178" s="4">
        <f t="shared" si="11"/>
        <v>1813.2734</v>
      </c>
      <c r="F178" s="3">
        <f t="shared" si="12"/>
        <v>1.0342676399488351</v>
      </c>
      <c r="G178" s="18">
        <f t="shared" si="13"/>
        <v>1</v>
      </c>
      <c r="H178" s="3">
        <f t="shared" si="14"/>
        <v>1.1493446955396225E-2</v>
      </c>
      <c r="I178" s="3">
        <f t="shared" si="15"/>
        <v>1.1493446955396225E-2</v>
      </c>
      <c r="K178" s="12" t="str">
        <f>IF(AND(G178=1,G177&lt;&gt;1),MAX($K$50:K177)+1,"")</f>
        <v/>
      </c>
      <c r="L178" s="13" t="str">
        <f>IF(AND(G178&lt;&gt;1,G177=1),MAX($L$50:L177)+1,"")</f>
        <v/>
      </c>
      <c r="M178" s="13" t="str">
        <f>IF(AND(G178=-1,G177&lt;&gt;-1),MAX($M$50:M177)+1,"")</f>
        <v/>
      </c>
      <c r="N178" s="13" t="str">
        <f>IF(AND(G178&lt;&gt;-1,G177=-1),MAX($N$50:N177)+1,"")</f>
        <v/>
      </c>
      <c r="T178" s="7">
        <f t="shared" si="16"/>
        <v>84.586463182648416</v>
      </c>
      <c r="U178" s="1">
        <f t="shared" si="17"/>
        <v>98.535168051111469</v>
      </c>
    </row>
    <row r="179" spans="1:21" x14ac:dyDescent="0.3">
      <c r="A179" s="2">
        <v>40435</v>
      </c>
      <c r="B179" s="1">
        <v>1874.07</v>
      </c>
      <c r="C179" s="2">
        <f t="shared" si="9"/>
        <v>40435</v>
      </c>
      <c r="D179" s="1">
        <f t="shared" si="10"/>
        <v>1874.07</v>
      </c>
      <c r="E179" s="4">
        <f t="shared" si="11"/>
        <v>1816.7176000000004</v>
      </c>
      <c r="F179" s="3">
        <f t="shared" si="12"/>
        <v>1.0315692433430488</v>
      </c>
      <c r="G179" s="18">
        <f t="shared" si="13"/>
        <v>1</v>
      </c>
      <c r="H179" s="3">
        <f t="shared" si="14"/>
        <v>-7.1451042705339418E-4</v>
      </c>
      <c r="I179" s="3">
        <f t="shared" si="15"/>
        <v>-7.1451042705339418E-4</v>
      </c>
      <c r="K179" s="12" t="str">
        <f>IF(AND(G179=1,G178&lt;&gt;1),MAX($K$50:K178)+1,"")</f>
        <v/>
      </c>
      <c r="L179" s="13" t="str">
        <f>IF(AND(G179&lt;&gt;1,G178=1),MAX($L$50:L178)+1,"")</f>
        <v/>
      </c>
      <c r="M179" s="13" t="str">
        <f>IF(AND(G179=-1,G178&lt;&gt;-1),MAX($M$50:M178)+1,"")</f>
        <v/>
      </c>
      <c r="N179" s="13" t="str">
        <f>IF(AND(G179&lt;&gt;-1,G178=-1),MAX($N$50:N178)+1,"")</f>
        <v/>
      </c>
      <c r="T179" s="7">
        <f t="shared" si="16"/>
        <v>84.526025272716851</v>
      </c>
      <c r="U179" s="1">
        <f t="shared" si="17"/>
        <v>98.4647636461075</v>
      </c>
    </row>
    <row r="180" spans="1:21" x14ac:dyDescent="0.3">
      <c r="A180" s="2">
        <v>40436</v>
      </c>
      <c r="B180" s="1">
        <v>1880.74</v>
      </c>
      <c r="C180" s="2">
        <f t="shared" ref="C180:C243" si="18">A180</f>
        <v>40436</v>
      </c>
      <c r="D180" s="1">
        <f t="shared" ref="D180:D243" si="19">B180</f>
        <v>1880.74</v>
      </c>
      <c r="E180" s="4">
        <f t="shared" ref="E180:E243" si="20">AVERAGE(B131:B180)</f>
        <v>1820.1130000000005</v>
      </c>
      <c r="F180" s="3">
        <f t="shared" ref="F180:F243" si="21">D180/E180</f>
        <v>1.0333094703460717</v>
      </c>
      <c r="G180" s="18">
        <f t="shared" ref="G180:G243" si="22">IF(F180&gt;=$Q$51,1,IF(F180&lt;=$Q$52,-1,0))</f>
        <v>1</v>
      </c>
      <c r="H180" s="3">
        <f t="shared" si="14"/>
        <v>3.5590986462619156E-3</v>
      </c>
      <c r="I180" s="3">
        <f t="shared" si="15"/>
        <v>3.5590986462619156E-3</v>
      </c>
      <c r="K180" s="12" t="str">
        <f>IF(AND(G180=1,G179&lt;&gt;1),MAX($K$50:K179)+1,"")</f>
        <v/>
      </c>
      <c r="L180" s="13" t="str">
        <f>IF(AND(G180&lt;&gt;1,G179=1),MAX($L$50:L179)+1,"")</f>
        <v/>
      </c>
      <c r="M180" s="13" t="str">
        <f>IF(AND(G180=-1,G179&lt;&gt;-1),MAX($M$50:M179)+1,"")</f>
        <v/>
      </c>
      <c r="N180" s="13" t="str">
        <f>IF(AND(G180&lt;&gt;-1,G179=-1),MAX($N$50:N179)+1,"")</f>
        <v/>
      </c>
      <c r="T180" s="7">
        <f t="shared" si="16"/>
        <v>84.826861734838872</v>
      </c>
      <c r="U180" s="1">
        <f t="shared" si="17"/>
        <v>98.815209453104856</v>
      </c>
    </row>
    <row r="181" spans="1:21" x14ac:dyDescent="0.3">
      <c r="A181" s="2">
        <v>40437</v>
      </c>
      <c r="B181" s="1">
        <v>1880.37</v>
      </c>
      <c r="C181" s="2">
        <f t="shared" si="18"/>
        <v>40437</v>
      </c>
      <c r="D181" s="1">
        <f t="shared" si="19"/>
        <v>1880.37</v>
      </c>
      <c r="E181" s="4">
        <f t="shared" si="20"/>
        <v>1822.4120000000005</v>
      </c>
      <c r="F181" s="3">
        <f t="shared" si="21"/>
        <v>1.0318029073557458</v>
      </c>
      <c r="G181" s="18">
        <f t="shared" si="22"/>
        <v>1</v>
      </c>
      <c r="H181" s="3">
        <f t="shared" ref="H181:H244" si="23">D181/D180-1</f>
        <v>-1.9673107393902711E-4</v>
      </c>
      <c r="I181" s="3">
        <f t="shared" ref="I181:I244" si="24">G180*H181</f>
        <v>-1.9673107393902711E-4</v>
      </c>
      <c r="K181" s="12" t="str">
        <f>IF(AND(G181=1,G180&lt;&gt;1),MAX($K$50:K180)+1,"")</f>
        <v/>
      </c>
      <c r="L181" s="13" t="str">
        <f>IF(AND(G181&lt;&gt;1,G180=1),MAX($L$50:L180)+1,"")</f>
        <v/>
      </c>
      <c r="M181" s="13" t="str">
        <f>IF(AND(G181=-1,G180&lt;&gt;-1),MAX($M$50:M180)+1,"")</f>
        <v/>
      </c>
      <c r="N181" s="13" t="str">
        <f>IF(AND(G181&lt;&gt;-1,G180=-1),MAX($N$50:N180)+1,"")</f>
        <v/>
      </c>
      <c r="T181" s="7">
        <f t="shared" ref="T181:T244" si="25">T180*(1+I181)</f>
        <v>84.810173655230898</v>
      </c>
      <c r="U181" s="1">
        <f t="shared" ref="U181:U244" si="26">U180*D181/D180</f>
        <v>98.795769430827633</v>
      </c>
    </row>
    <row r="182" spans="1:21" x14ac:dyDescent="0.3">
      <c r="A182" s="2">
        <v>40438</v>
      </c>
      <c r="B182" s="1">
        <v>1881.93</v>
      </c>
      <c r="C182" s="2">
        <f t="shared" si="18"/>
        <v>40438</v>
      </c>
      <c r="D182" s="1">
        <f t="shared" si="19"/>
        <v>1881.93</v>
      </c>
      <c r="E182" s="4">
        <f t="shared" si="20"/>
        <v>1824.4086000000002</v>
      </c>
      <c r="F182" s="3">
        <f t="shared" si="21"/>
        <v>1.0315287923988079</v>
      </c>
      <c r="G182" s="18">
        <f t="shared" si="22"/>
        <v>1</v>
      </c>
      <c r="H182" s="3">
        <f t="shared" si="23"/>
        <v>8.2962395698737978E-4</v>
      </c>
      <c r="I182" s="3">
        <f t="shared" si="24"/>
        <v>8.2962395698737978E-4</v>
      </c>
      <c r="K182" s="12" t="str">
        <f>IF(AND(G182=1,G181&lt;&gt;1),MAX($K$50:K181)+1,"")</f>
        <v/>
      </c>
      <c r="L182" s="13" t="str">
        <f>IF(AND(G182&lt;&gt;1,G181=1),MAX($L$50:L181)+1,"")</f>
        <v/>
      </c>
      <c r="M182" s="13" t="str">
        <f>IF(AND(G182=-1,G181&lt;&gt;-1),MAX($M$50:M181)+1,"")</f>
        <v/>
      </c>
      <c r="N182" s="13" t="str">
        <f>IF(AND(G182&lt;&gt;-1,G181=-1),MAX($N$50:N181)+1,"")</f>
        <v/>
      </c>
      <c r="T182" s="7">
        <f t="shared" si="25"/>
        <v>84.880534207091543</v>
      </c>
      <c r="U182" s="1">
        <f t="shared" si="26"/>
        <v>98.877732767996434</v>
      </c>
    </row>
    <row r="183" spans="1:21" x14ac:dyDescent="0.3">
      <c r="A183" s="2">
        <v>40441</v>
      </c>
      <c r="B183" s="1">
        <v>1910.6</v>
      </c>
      <c r="C183" s="2">
        <f t="shared" si="18"/>
        <v>40441</v>
      </c>
      <c r="D183" s="1">
        <f t="shared" si="19"/>
        <v>1910.6</v>
      </c>
      <c r="E183" s="4">
        <f t="shared" si="20"/>
        <v>1826.7218000000003</v>
      </c>
      <c r="F183" s="3">
        <f t="shared" si="21"/>
        <v>1.045917336728559</v>
      </c>
      <c r="G183" s="18">
        <f t="shared" si="22"/>
        <v>1</v>
      </c>
      <c r="H183" s="3">
        <f t="shared" si="23"/>
        <v>1.5234360470368191E-2</v>
      </c>
      <c r="I183" s="3">
        <f t="shared" si="24"/>
        <v>1.5234360470368191E-2</v>
      </c>
      <c r="K183" s="12" t="str">
        <f>IF(AND(G183=1,G182&lt;&gt;1),MAX($K$50:K182)+1,"")</f>
        <v/>
      </c>
      <c r="L183" s="13" t="str">
        <f>IF(AND(G183&lt;&gt;1,G182=1),MAX($L$50:L182)+1,"")</f>
        <v/>
      </c>
      <c r="M183" s="13" t="str">
        <f>IF(AND(G183=-1,G182&lt;&gt;-1),MAX($M$50:M182)+1,"")</f>
        <v/>
      </c>
      <c r="N183" s="13" t="str">
        <f>IF(AND(G183&lt;&gt;-1,G182=-1),MAX($N$50:N182)+1,"")</f>
        <v/>
      </c>
      <c r="T183" s="7">
        <f t="shared" si="25"/>
        <v>86.173634862119798</v>
      </c>
      <c r="U183" s="1">
        <f t="shared" si="26"/>
        <v>100.38407179147681</v>
      </c>
    </row>
    <row r="184" spans="1:21" x14ac:dyDescent="0.3">
      <c r="A184" s="2">
        <v>40442</v>
      </c>
      <c r="B184" s="1">
        <v>1905.74</v>
      </c>
      <c r="C184" s="2">
        <f t="shared" si="18"/>
        <v>40442</v>
      </c>
      <c r="D184" s="1">
        <f t="shared" si="19"/>
        <v>1905.74</v>
      </c>
      <c r="E184" s="4">
        <f t="shared" si="20"/>
        <v>1828.9106000000002</v>
      </c>
      <c r="F184" s="3">
        <f t="shared" si="21"/>
        <v>1.042008286244281</v>
      </c>
      <c r="G184" s="18">
        <f t="shared" si="22"/>
        <v>1</v>
      </c>
      <c r="H184" s="3">
        <f t="shared" si="23"/>
        <v>-2.5437035486234327E-3</v>
      </c>
      <c r="I184" s="3">
        <f t="shared" si="24"/>
        <v>-2.5437035486234327E-3</v>
      </c>
      <c r="K184" s="12" t="str">
        <f>IF(AND(G184=1,G183&lt;&gt;1),MAX($K$50:K183)+1,"")</f>
        <v/>
      </c>
      <c r="L184" s="13" t="str">
        <f>IF(AND(G184&lt;&gt;1,G183=1),MAX($L$50:L183)+1,"")</f>
        <v/>
      </c>
      <c r="M184" s="13" t="str">
        <f>IF(AND(G184=-1,G183&lt;&gt;-1),MAX($M$50:M183)+1,"")</f>
        <v/>
      </c>
      <c r="N184" s="13" t="str">
        <f>IF(AND(G184&lt;&gt;-1,G183=-1),MAX($N$50:N183)+1,"")</f>
        <v/>
      </c>
      <c r="T184" s="7">
        <f t="shared" si="25"/>
        <v>85.954434681323249</v>
      </c>
      <c r="U184" s="1">
        <f t="shared" si="26"/>
        <v>100.12872447183555</v>
      </c>
    </row>
    <row r="185" spans="1:21" x14ac:dyDescent="0.3">
      <c r="A185" s="2">
        <v>40443</v>
      </c>
      <c r="B185" s="1">
        <v>1896.77</v>
      </c>
      <c r="C185" s="2">
        <f t="shared" si="18"/>
        <v>40443</v>
      </c>
      <c r="D185" s="1">
        <f t="shared" si="19"/>
        <v>1896.77</v>
      </c>
      <c r="E185" s="4">
        <f t="shared" si="20"/>
        <v>1830.3646000000006</v>
      </c>
      <c r="F185" s="3">
        <f t="shared" si="21"/>
        <v>1.0362798756051113</v>
      </c>
      <c r="G185" s="18">
        <f t="shared" si="22"/>
        <v>1</v>
      </c>
      <c r="H185" s="3">
        <f t="shared" si="23"/>
        <v>-4.7068330412333159E-3</v>
      </c>
      <c r="I185" s="3">
        <f t="shared" si="24"/>
        <v>-4.7068330412333159E-3</v>
      </c>
      <c r="K185" s="12" t="str">
        <f>IF(AND(G185=1,G184&lt;&gt;1),MAX($K$50:K184)+1,"")</f>
        <v/>
      </c>
      <c r="L185" s="13" t="str">
        <f>IF(AND(G185&lt;&gt;1,G184=1),MAX($L$50:L184)+1,"")</f>
        <v/>
      </c>
      <c r="M185" s="13" t="str">
        <f>IF(AND(G185=-1,G184&lt;&gt;-1),MAX($M$50:M184)+1,"")</f>
        <v/>
      </c>
      <c r="N185" s="13" t="str">
        <f>IF(AND(G185&lt;&gt;-1,G184=-1),MAX($N$50:N184)+1,"")</f>
        <v/>
      </c>
      <c r="T185" s="7">
        <f t="shared" si="25"/>
        <v>85.549861508124664</v>
      </c>
      <c r="U185" s="1">
        <f t="shared" si="26"/>
        <v>99.657435283114978</v>
      </c>
    </row>
    <row r="186" spans="1:21" x14ac:dyDescent="0.3">
      <c r="A186" s="2">
        <v>40444</v>
      </c>
      <c r="B186" s="1">
        <v>1880.97</v>
      </c>
      <c r="C186" s="2">
        <f t="shared" si="18"/>
        <v>40444</v>
      </c>
      <c r="D186" s="1">
        <f t="shared" si="19"/>
        <v>1880.97</v>
      </c>
      <c r="E186" s="4">
        <f t="shared" si="20"/>
        <v>1831.5076000000006</v>
      </c>
      <c r="F186" s="3">
        <f t="shared" si="21"/>
        <v>1.0270063853406883</v>
      </c>
      <c r="G186" s="18">
        <f t="shared" si="22"/>
        <v>1</v>
      </c>
      <c r="H186" s="3">
        <f t="shared" si="23"/>
        <v>-8.3299503893460303E-3</v>
      </c>
      <c r="I186" s="3">
        <f t="shared" si="24"/>
        <v>-8.3299503893460303E-3</v>
      </c>
      <c r="K186" s="12" t="str">
        <f>IF(AND(G186=1,G185&lt;&gt;1),MAX($K$50:K185)+1,"")</f>
        <v/>
      </c>
      <c r="L186" s="13" t="str">
        <f>IF(AND(G186&lt;&gt;1,G185=1),MAX($L$50:L185)+1,"")</f>
        <v/>
      </c>
      <c r="M186" s="13" t="str">
        <f>IF(AND(G186=-1,G185&lt;&gt;-1),MAX($M$50:M185)+1,"")</f>
        <v/>
      </c>
      <c r="N186" s="13" t="str">
        <f>IF(AND(G186&lt;&gt;-1,G185=-1),MAX($N$50:N185)+1,"")</f>
        <v/>
      </c>
      <c r="T186" s="7">
        <f t="shared" si="25"/>
        <v>84.837235405946558</v>
      </c>
      <c r="U186" s="1">
        <f t="shared" si="26"/>
        <v>98.827293791277171</v>
      </c>
    </row>
    <row r="187" spans="1:21" x14ac:dyDescent="0.3">
      <c r="A187" s="2">
        <v>40445</v>
      </c>
      <c r="B187" s="1">
        <v>1920.84</v>
      </c>
      <c r="C187" s="2">
        <f t="shared" si="18"/>
        <v>40445</v>
      </c>
      <c r="D187" s="1">
        <f t="shared" si="19"/>
        <v>1920.84</v>
      </c>
      <c r="E187" s="4">
        <f t="shared" si="20"/>
        <v>1833.4044000000004</v>
      </c>
      <c r="F187" s="3">
        <f t="shared" si="21"/>
        <v>1.0476902968052217</v>
      </c>
      <c r="G187" s="18">
        <f t="shared" si="22"/>
        <v>1</v>
      </c>
      <c r="H187" s="3">
        <f t="shared" si="23"/>
        <v>2.1196510311169092E-2</v>
      </c>
      <c r="I187" s="3">
        <f t="shared" si="24"/>
        <v>2.1196510311169092E-2</v>
      </c>
      <c r="K187" s="12" t="str">
        <f>IF(AND(G187=1,G186&lt;&gt;1),MAX($K$50:K186)+1,"")</f>
        <v/>
      </c>
      <c r="L187" s="13" t="str">
        <f>IF(AND(G187&lt;&gt;1,G186=1),MAX($L$50:L186)+1,"")</f>
        <v/>
      </c>
      <c r="M187" s="13" t="str">
        <f>IF(AND(G187=-1,G186&lt;&gt;-1),MAX($M$50:M186)+1,"")</f>
        <v/>
      </c>
      <c r="N187" s="13" t="str">
        <f>IF(AND(G187&lt;&gt;-1,G186=-1),MAX($N$50:N186)+1,"")</f>
        <v/>
      </c>
      <c r="T187" s="7">
        <f t="shared" si="25"/>
        <v>86.63548874099979</v>
      </c>
      <c r="U187" s="1">
        <f t="shared" si="26"/>
        <v>100.92208754314892</v>
      </c>
    </row>
    <row r="188" spans="1:21" x14ac:dyDescent="0.3">
      <c r="A188" s="2">
        <v>40448</v>
      </c>
      <c r="B188" s="1">
        <v>1909.98</v>
      </c>
      <c r="C188" s="2">
        <f t="shared" si="18"/>
        <v>40448</v>
      </c>
      <c r="D188" s="1">
        <f t="shared" si="19"/>
        <v>1909.98</v>
      </c>
      <c r="E188" s="4">
        <f t="shared" si="20"/>
        <v>1836.1354000000003</v>
      </c>
      <c r="F188" s="3">
        <f t="shared" si="21"/>
        <v>1.0402174044463168</v>
      </c>
      <c r="G188" s="18">
        <f t="shared" si="22"/>
        <v>1</v>
      </c>
      <c r="H188" s="3">
        <f t="shared" si="23"/>
        <v>-5.6537764727930817E-3</v>
      </c>
      <c r="I188" s="3">
        <f t="shared" si="24"/>
        <v>-5.6537764727930817E-3</v>
      </c>
      <c r="K188" s="12" t="str">
        <f>IF(AND(G188=1,G187&lt;&gt;1),MAX($K$50:K187)+1,"")</f>
        <v/>
      </c>
      <c r="L188" s="13" t="str">
        <f>IF(AND(G188&lt;&gt;1,G187=1),MAX($L$50:L187)+1,"")</f>
        <v/>
      </c>
      <c r="M188" s="13" t="str">
        <f>IF(AND(G188=-1,G187&lt;&gt;-1),MAX($M$50:M187)+1,"")</f>
        <v/>
      </c>
      <c r="N188" s="13" t="str">
        <f>IF(AND(G188&lt;&gt;-1,G187=-1),MAX($N$50:N187)+1,"")</f>
        <v/>
      </c>
      <c r="T188" s="7">
        <f t="shared" si="25"/>
        <v>86.145671053046996</v>
      </c>
      <c r="U188" s="1">
        <f t="shared" si="26"/>
        <v>100.35149661901229</v>
      </c>
    </row>
    <row r="189" spans="1:21" x14ac:dyDescent="0.3">
      <c r="A189" s="2">
        <v>40449</v>
      </c>
      <c r="B189" s="1">
        <v>1919.59</v>
      </c>
      <c r="C189" s="2">
        <f t="shared" si="18"/>
        <v>40449</v>
      </c>
      <c r="D189" s="1">
        <f t="shared" si="19"/>
        <v>1919.59</v>
      </c>
      <c r="E189" s="4">
        <f t="shared" si="20"/>
        <v>1838.8460000000005</v>
      </c>
      <c r="F189" s="3">
        <f t="shared" si="21"/>
        <v>1.0439101479949922</v>
      </c>
      <c r="G189" s="18">
        <f t="shared" si="22"/>
        <v>1</v>
      </c>
      <c r="H189" s="3">
        <f t="shared" si="23"/>
        <v>5.0314662980763813E-3</v>
      </c>
      <c r="I189" s="3">
        <f t="shared" si="24"/>
        <v>5.0314662980763813E-3</v>
      </c>
      <c r="K189" s="12" t="str">
        <f>IF(AND(G189=1,G188&lt;&gt;1),MAX($K$50:K188)+1,"")</f>
        <v/>
      </c>
      <c r="L189" s="13" t="str">
        <f>IF(AND(G189&lt;&gt;1,G188=1),MAX($L$50:L188)+1,"")</f>
        <v/>
      </c>
      <c r="M189" s="13" t="str">
        <f>IF(AND(G189=-1,G188&lt;&gt;-1),MAX($M$50:M188)+1,"")</f>
        <v/>
      </c>
      <c r="N189" s="13" t="str">
        <f>IF(AND(G189&lt;&gt;-1,G188=-1),MAX($N$50:N188)+1,"")</f>
        <v/>
      </c>
      <c r="T189" s="7">
        <f t="shared" si="25"/>
        <v>86.579110093675581</v>
      </c>
      <c r="U189" s="1">
        <f t="shared" si="26"/>
        <v>100.85641179221238</v>
      </c>
    </row>
    <row r="190" spans="1:21" x14ac:dyDescent="0.3">
      <c r="A190" s="2">
        <v>40450</v>
      </c>
      <c r="B190" s="1">
        <v>1914.84</v>
      </c>
      <c r="C190" s="2">
        <f t="shared" si="18"/>
        <v>40450</v>
      </c>
      <c r="D190" s="1">
        <f t="shared" si="19"/>
        <v>1914.84</v>
      </c>
      <c r="E190" s="4">
        <f t="shared" si="20"/>
        <v>1841.0532000000003</v>
      </c>
      <c r="F190" s="3">
        <f t="shared" si="21"/>
        <v>1.0400785811078135</v>
      </c>
      <c r="G190" s="18">
        <f t="shared" si="22"/>
        <v>1</v>
      </c>
      <c r="H190" s="3">
        <f t="shared" si="23"/>
        <v>-2.4744867393557968E-3</v>
      </c>
      <c r="I190" s="3">
        <f t="shared" si="24"/>
        <v>-2.4744867393557968E-3</v>
      </c>
      <c r="K190" s="12" t="str">
        <f>IF(AND(G190=1,G189&lt;&gt;1),MAX($K$50:K189)+1,"")</f>
        <v/>
      </c>
      <c r="L190" s="13" t="str">
        <f>IF(AND(G190&lt;&gt;1,G189=1),MAX($L$50:L189)+1,"")</f>
        <v/>
      </c>
      <c r="M190" s="13" t="str">
        <f>IF(AND(G190=-1,G189&lt;&gt;-1),MAX($M$50:M189)+1,"")</f>
        <v/>
      </c>
      <c r="N190" s="13" t="str">
        <f>IF(AND(G190&lt;&gt;-1,G189=-1),MAX($N$50:N189)+1,"")</f>
        <v/>
      </c>
      <c r="T190" s="7">
        <f t="shared" si="25"/>
        <v>86.364871233843559</v>
      </c>
      <c r="U190" s="1">
        <f t="shared" si="26"/>
        <v>100.60684393865355</v>
      </c>
    </row>
    <row r="191" spans="1:21" x14ac:dyDescent="0.3">
      <c r="A191" s="2">
        <v>40451</v>
      </c>
      <c r="B191" s="1">
        <v>1908.95</v>
      </c>
      <c r="C191" s="2">
        <f t="shared" si="18"/>
        <v>40451</v>
      </c>
      <c r="D191" s="1">
        <f t="shared" si="19"/>
        <v>1908.95</v>
      </c>
      <c r="E191" s="4">
        <f t="shared" si="20"/>
        <v>1843.6002000000001</v>
      </c>
      <c r="F191" s="3">
        <f t="shared" si="21"/>
        <v>1.0354468392876068</v>
      </c>
      <c r="G191" s="18">
        <f t="shared" si="22"/>
        <v>1</v>
      </c>
      <c r="H191" s="3">
        <f t="shared" si="23"/>
        <v>-3.0759750161892807E-3</v>
      </c>
      <c r="I191" s="3">
        <f t="shared" si="24"/>
        <v>-3.0759750161892807E-3</v>
      </c>
      <c r="K191" s="12" t="str">
        <f>IF(AND(G191=1,G190&lt;&gt;1),MAX($K$50:K190)+1,"")</f>
        <v/>
      </c>
      <c r="L191" s="13" t="str">
        <f>IF(AND(G191&lt;&gt;1,G190=1),MAX($L$50:L190)+1,"")</f>
        <v/>
      </c>
      <c r="M191" s="13" t="str">
        <f>IF(AND(G191=-1,G190&lt;&gt;-1),MAX($M$50:M190)+1,"")</f>
        <v/>
      </c>
      <c r="N191" s="13" t="str">
        <f>IF(AND(G191&lt;&gt;-1,G190=-1),MAX($N$50:N190)+1,"")</f>
        <v/>
      </c>
      <c r="T191" s="7">
        <f t="shared" si="25"/>
        <v>86.099215047651853</v>
      </c>
      <c r="U191" s="1">
        <f t="shared" si="26"/>
        <v>100.29737980024059</v>
      </c>
    </row>
    <row r="192" spans="1:21" x14ac:dyDescent="0.3">
      <c r="A192" s="2">
        <v>40452</v>
      </c>
      <c r="B192" s="1">
        <v>1917.42</v>
      </c>
      <c r="C192" s="2">
        <f t="shared" si="18"/>
        <v>40452</v>
      </c>
      <c r="D192" s="1">
        <f t="shared" si="19"/>
        <v>1917.42</v>
      </c>
      <c r="E192" s="4">
        <f t="shared" si="20"/>
        <v>1845.5134</v>
      </c>
      <c r="F192" s="3">
        <f t="shared" si="21"/>
        <v>1.038962924896671</v>
      </c>
      <c r="G192" s="18">
        <f t="shared" si="22"/>
        <v>1</v>
      </c>
      <c r="H192" s="3">
        <f t="shared" si="23"/>
        <v>4.4369941590927109E-3</v>
      </c>
      <c r="I192" s="3">
        <f t="shared" si="24"/>
        <v>4.4369941590927109E-3</v>
      </c>
      <c r="K192" s="12" t="str">
        <f>IF(AND(G192=1,G191&lt;&gt;1),MAX($K$50:K191)+1,"")</f>
        <v/>
      </c>
      <c r="L192" s="13" t="str">
        <f>IF(AND(G192&lt;&gt;1,G191=1),MAX($L$50:L191)+1,"")</f>
        <v/>
      </c>
      <c r="M192" s="13" t="str">
        <f>IF(AND(G192=-1,G191&lt;&gt;-1),MAX($M$50:M191)+1,"")</f>
        <v/>
      </c>
      <c r="N192" s="13" t="str">
        <f>IF(AND(G192&lt;&gt;-1,G191=-1),MAX($N$50:N191)+1,"")</f>
        <v/>
      </c>
      <c r="T192" s="7">
        <f t="shared" si="25"/>
        <v>86.481236761920755</v>
      </c>
      <c r="U192" s="1">
        <f t="shared" si="26"/>
        <v>100.74239868858656</v>
      </c>
    </row>
    <row r="193" spans="1:21" x14ac:dyDescent="0.3">
      <c r="A193" s="2">
        <v>40455</v>
      </c>
      <c r="B193" s="1">
        <v>1902.15</v>
      </c>
      <c r="C193" s="2">
        <f t="shared" si="18"/>
        <v>40455</v>
      </c>
      <c r="D193" s="1">
        <f t="shared" si="19"/>
        <v>1902.15</v>
      </c>
      <c r="E193" s="4">
        <f t="shared" si="20"/>
        <v>1846.8213999999998</v>
      </c>
      <c r="F193" s="3">
        <f t="shared" si="21"/>
        <v>1.0299588254716998</v>
      </c>
      <c r="G193" s="18">
        <f t="shared" si="22"/>
        <v>1</v>
      </c>
      <c r="H193" s="3">
        <f t="shared" si="23"/>
        <v>-7.9638263917138907E-3</v>
      </c>
      <c r="I193" s="3">
        <f t="shared" si="24"/>
        <v>-7.9638263917138907E-3</v>
      </c>
      <c r="K193" s="12" t="str">
        <f>IF(AND(G193=1,G192&lt;&gt;1),MAX($K$50:K192)+1,"")</f>
        <v/>
      </c>
      <c r="L193" s="13" t="str">
        <f>IF(AND(G193&lt;&gt;1,G192=1),MAX($L$50:L192)+1,"")</f>
        <v/>
      </c>
      <c r="M193" s="13" t="str">
        <f>IF(AND(G193=-1,G192&lt;&gt;-1),MAX($M$50:M192)+1,"")</f>
        <v/>
      </c>
      <c r="N193" s="13" t="str">
        <f>IF(AND(G193&lt;&gt;-1,G192=-1),MAX($N$50:N192)+1,"")</f>
        <v/>
      </c>
      <c r="T193" s="7">
        <f t="shared" si="25"/>
        <v>85.792515206208108</v>
      </c>
      <c r="U193" s="1">
        <f t="shared" si="26"/>
        <v>99.940103715145838</v>
      </c>
    </row>
    <row r="194" spans="1:21" x14ac:dyDescent="0.3">
      <c r="A194" s="2">
        <v>40456</v>
      </c>
      <c r="B194" s="1">
        <v>1941.82</v>
      </c>
      <c r="C194" s="2">
        <f t="shared" si="18"/>
        <v>40456</v>
      </c>
      <c r="D194" s="1">
        <f t="shared" si="19"/>
        <v>1941.82</v>
      </c>
      <c r="E194" s="4">
        <f t="shared" si="20"/>
        <v>1848.511</v>
      </c>
      <c r="F194" s="3">
        <f t="shared" si="21"/>
        <v>1.0504779252057466</v>
      </c>
      <c r="G194" s="18">
        <f t="shared" si="22"/>
        <v>1</v>
      </c>
      <c r="H194" s="3">
        <f t="shared" si="23"/>
        <v>2.0855347895802012E-2</v>
      </c>
      <c r="I194" s="3">
        <f t="shared" si="24"/>
        <v>2.0855347895802012E-2</v>
      </c>
      <c r="K194" s="12" t="str">
        <f>IF(AND(G194=1,G193&lt;&gt;1),MAX($K$50:K193)+1,"")</f>
        <v/>
      </c>
      <c r="L194" s="13" t="str">
        <f>IF(AND(G194&lt;&gt;1,G193=1),MAX($L$50:L193)+1,"")</f>
        <v/>
      </c>
      <c r="M194" s="13" t="str">
        <f>IF(AND(G194=-1,G193&lt;&gt;-1),MAX($M$50:M193)+1,"")</f>
        <v/>
      </c>
      <c r="N194" s="13" t="str">
        <f>IF(AND(G194&lt;&gt;-1,G193=-1),MAX($N$50:N193)+1,"")</f>
        <v/>
      </c>
      <c r="T194" s="7">
        <f t="shared" si="25"/>
        <v>87.581747957689458</v>
      </c>
      <c r="U194" s="1">
        <f t="shared" si="26"/>
        <v>102.02438934686775</v>
      </c>
    </row>
    <row r="195" spans="1:21" x14ac:dyDescent="0.3">
      <c r="A195" s="2">
        <v>40457</v>
      </c>
      <c r="B195" s="1">
        <v>1941.5</v>
      </c>
      <c r="C195" s="2">
        <f t="shared" si="18"/>
        <v>40457</v>
      </c>
      <c r="D195" s="1">
        <f t="shared" si="19"/>
        <v>1941.5</v>
      </c>
      <c r="E195" s="4">
        <f t="shared" si="20"/>
        <v>1850.2332000000001</v>
      </c>
      <c r="F195" s="3">
        <f t="shared" si="21"/>
        <v>1.0493271875134442</v>
      </c>
      <c r="G195" s="18">
        <f t="shared" si="22"/>
        <v>1</v>
      </c>
      <c r="H195" s="3">
        <f t="shared" si="23"/>
        <v>-1.6479385318923789E-4</v>
      </c>
      <c r="I195" s="3">
        <f t="shared" si="24"/>
        <v>-1.6479385318923789E-4</v>
      </c>
      <c r="K195" s="12" t="str">
        <f>IF(AND(G195=1,G194&lt;&gt;1),MAX($K$50:K194)+1,"")</f>
        <v/>
      </c>
      <c r="L195" s="13" t="str">
        <f>IF(AND(G195&lt;&gt;1,G194=1),MAX($L$50:L194)+1,"")</f>
        <v/>
      </c>
      <c r="M195" s="13" t="str">
        <f>IF(AND(G195=-1,G194&lt;&gt;-1),MAX($M$50:M194)+1,"")</f>
        <v/>
      </c>
      <c r="N195" s="13" t="str">
        <f>IF(AND(G195&lt;&gt;-1,G194=-1),MAX($N$50:N194)+1,"")</f>
        <v/>
      </c>
      <c r="T195" s="7">
        <f t="shared" si="25"/>
        <v>87.567315023974459</v>
      </c>
      <c r="U195" s="1">
        <f t="shared" si="26"/>
        <v>102.007576354628</v>
      </c>
    </row>
    <row r="196" spans="1:21" x14ac:dyDescent="0.3">
      <c r="A196" s="2">
        <v>40458</v>
      </c>
      <c r="B196" s="1">
        <v>1938.31</v>
      </c>
      <c r="C196" s="2">
        <f t="shared" si="18"/>
        <v>40458</v>
      </c>
      <c r="D196" s="1">
        <f t="shared" si="19"/>
        <v>1938.31</v>
      </c>
      <c r="E196" s="4">
        <f t="shared" si="20"/>
        <v>1852.1461999999999</v>
      </c>
      <c r="F196" s="3">
        <f t="shared" si="21"/>
        <v>1.0465210575709412</v>
      </c>
      <c r="G196" s="18">
        <f t="shared" si="22"/>
        <v>1</v>
      </c>
      <c r="H196" s="3">
        <f t="shared" si="23"/>
        <v>-1.6430594900850304E-3</v>
      </c>
      <c r="I196" s="3">
        <f t="shared" si="24"/>
        <v>-1.6430594900850304E-3</v>
      </c>
      <c r="K196" s="12" t="str">
        <f>IF(AND(G196=1,G195&lt;&gt;1),MAX($K$50:K195)+1,"")</f>
        <v/>
      </c>
      <c r="L196" s="13" t="str">
        <f>IF(AND(G196&lt;&gt;1,G195=1),MAX($L$50:L195)+1,"")</f>
        <v/>
      </c>
      <c r="M196" s="13" t="str">
        <f>IF(AND(G196=-1,G195&lt;&gt;-1),MAX($M$50:M195)+1,"")</f>
        <v/>
      </c>
      <c r="N196" s="13" t="str">
        <f>IF(AND(G196&lt;&gt;-1,G195=-1),MAX($N$50:N195)+1,"")</f>
        <v/>
      </c>
      <c r="T196" s="7">
        <f t="shared" si="25"/>
        <v>87.423436716003053</v>
      </c>
      <c r="U196" s="1">
        <f t="shared" si="26"/>
        <v>101.83997183823796</v>
      </c>
    </row>
    <row r="197" spans="1:21" x14ac:dyDescent="0.3">
      <c r="A197" s="2">
        <v>40459</v>
      </c>
      <c r="B197" s="1">
        <v>1950.18</v>
      </c>
      <c r="C197" s="2">
        <f t="shared" si="18"/>
        <v>40459</v>
      </c>
      <c r="D197" s="1">
        <f t="shared" si="19"/>
        <v>1950.18</v>
      </c>
      <c r="E197" s="4">
        <f t="shared" si="20"/>
        <v>1854.444</v>
      </c>
      <c r="F197" s="3">
        <f t="shared" si="21"/>
        <v>1.0516251771420437</v>
      </c>
      <c r="G197" s="18">
        <f t="shared" si="22"/>
        <v>1</v>
      </c>
      <c r="H197" s="3">
        <f t="shared" si="23"/>
        <v>6.1238914311951831E-3</v>
      </c>
      <c r="I197" s="3">
        <f t="shared" si="24"/>
        <v>6.1238914311951831E-3</v>
      </c>
      <c r="K197" s="12" t="str">
        <f>IF(AND(G197=1,G196&lt;&gt;1),MAX($K$50:K196)+1,"")</f>
        <v/>
      </c>
      <c r="L197" s="13" t="str">
        <f>IF(AND(G197&lt;&gt;1,G196=1),MAX($L$50:L196)+1,"")</f>
        <v/>
      </c>
      <c r="M197" s="13" t="str">
        <f>IF(AND(G197=-1,G196&lt;&gt;-1),MAX($M$50:M196)+1,"")</f>
        <v/>
      </c>
      <c r="N197" s="13" t="str">
        <f>IF(AND(G197&lt;&gt;-1,G196=-1),MAX($N$50:N196)+1,"")</f>
        <v/>
      </c>
      <c r="T197" s="7">
        <f t="shared" si="25"/>
        <v>87.95880835099382</v>
      </c>
      <c r="U197" s="1">
        <f t="shared" si="26"/>
        <v>102.4636287691313</v>
      </c>
    </row>
    <row r="198" spans="1:21" x14ac:dyDescent="0.3">
      <c r="A198" s="2">
        <v>40462</v>
      </c>
      <c r="B198" s="1">
        <v>1950.47</v>
      </c>
      <c r="C198" s="2">
        <f t="shared" si="18"/>
        <v>40462</v>
      </c>
      <c r="D198" s="1">
        <f t="shared" si="19"/>
        <v>1950.47</v>
      </c>
      <c r="E198" s="4">
        <f t="shared" si="20"/>
        <v>1856.7453999999998</v>
      </c>
      <c r="F198" s="3">
        <f t="shared" si="21"/>
        <v>1.0504778953538811</v>
      </c>
      <c r="G198" s="18">
        <f t="shared" si="22"/>
        <v>1</v>
      </c>
      <c r="H198" s="3">
        <f t="shared" si="23"/>
        <v>1.487042221743895E-4</v>
      </c>
      <c r="I198" s="3">
        <f t="shared" si="24"/>
        <v>1.487042221743895E-4</v>
      </c>
      <c r="K198" s="12" t="str">
        <f>IF(AND(G198=1,G197&lt;&gt;1),MAX($K$50:K197)+1,"")</f>
        <v/>
      </c>
      <c r="L198" s="13" t="str">
        <f>IF(AND(G198&lt;&gt;1,G197=1),MAX($L$50:L197)+1,"")</f>
        <v/>
      </c>
      <c r="M198" s="13" t="str">
        <f>IF(AND(G198=-1,G197&lt;&gt;-1),MAX($M$50:M197)+1,"")</f>
        <v/>
      </c>
      <c r="N198" s="13" t="str">
        <f>IF(AND(G198&lt;&gt;-1,G197=-1),MAX($N$50:N197)+1,"")</f>
        <v/>
      </c>
      <c r="T198" s="7">
        <f t="shared" si="25"/>
        <v>87.971888197173044</v>
      </c>
      <c r="U198" s="1">
        <f t="shared" si="26"/>
        <v>102.47886554334858</v>
      </c>
    </row>
    <row r="199" spans="1:21" x14ac:dyDescent="0.3">
      <c r="A199" s="2">
        <v>40463</v>
      </c>
      <c r="B199" s="1">
        <v>1957.92</v>
      </c>
      <c r="C199" s="2">
        <f t="shared" si="18"/>
        <v>40463</v>
      </c>
      <c r="D199" s="1">
        <f t="shared" si="19"/>
        <v>1957.92</v>
      </c>
      <c r="E199" s="4">
        <f t="shared" si="20"/>
        <v>1858.3867999999995</v>
      </c>
      <c r="F199" s="3">
        <f t="shared" si="21"/>
        <v>1.0535589254077786</v>
      </c>
      <c r="G199" s="18">
        <f t="shared" si="22"/>
        <v>1</v>
      </c>
      <c r="H199" s="3">
        <f t="shared" si="23"/>
        <v>3.8195922008541494E-3</v>
      </c>
      <c r="I199" s="3">
        <f t="shared" si="24"/>
        <v>3.8195922008541494E-3</v>
      </c>
      <c r="K199" s="12" t="str">
        <f>IF(AND(G199=1,G198&lt;&gt;1),MAX($K$50:K198)+1,"")</f>
        <v/>
      </c>
      <c r="L199" s="13" t="str">
        <f>IF(AND(G199&lt;&gt;1,G198=1),MAX($L$50:L198)+1,"")</f>
        <v/>
      </c>
      <c r="M199" s="13" t="str">
        <f>IF(AND(G199=-1,G198&lt;&gt;-1),MAX($M$50:M198)+1,"")</f>
        <v/>
      </c>
      <c r="N199" s="13" t="str">
        <f>IF(AND(G199&lt;&gt;-1,G198=-1),MAX($N$50:N198)+1,"")</f>
        <v/>
      </c>
      <c r="T199" s="7">
        <f t="shared" si="25"/>
        <v>88.30790493522538</v>
      </c>
      <c r="U199" s="1">
        <f t="shared" si="26"/>
        <v>102.87029301893033</v>
      </c>
    </row>
    <row r="200" spans="1:21" x14ac:dyDescent="0.3">
      <c r="A200" s="2">
        <v>40464</v>
      </c>
      <c r="B200" s="1">
        <v>1972.08</v>
      </c>
      <c r="C200" s="2">
        <f t="shared" si="18"/>
        <v>40464</v>
      </c>
      <c r="D200" s="1">
        <f t="shared" si="19"/>
        <v>1972.08</v>
      </c>
      <c r="E200" s="4">
        <f t="shared" si="20"/>
        <v>1860.4909999999995</v>
      </c>
      <c r="F200" s="3">
        <f t="shared" si="21"/>
        <v>1.0599782530525546</v>
      </c>
      <c r="G200" s="18">
        <f t="shared" si="22"/>
        <v>1</v>
      </c>
      <c r="H200" s="3">
        <f t="shared" si="23"/>
        <v>7.2321647462612049E-3</v>
      </c>
      <c r="I200" s="3">
        <f t="shared" si="24"/>
        <v>7.2321647462612049E-3</v>
      </c>
      <c r="K200" s="12" t="str">
        <f>IF(AND(G200=1,G199&lt;&gt;1),MAX($K$50:K199)+1,"")</f>
        <v/>
      </c>
      <c r="L200" s="13" t="str">
        <f>IF(AND(G200&lt;&gt;1,G199=1),MAX($L$50:L199)+1,"")</f>
        <v/>
      </c>
      <c r="M200" s="13" t="str">
        <f>IF(AND(G200=-1,G199&lt;&gt;-1),MAX($M$50:M199)+1,"")</f>
        <v/>
      </c>
      <c r="N200" s="13" t="str">
        <f>IF(AND(G200&lt;&gt;-1,G199=-1),MAX($N$50:N199)+1,"")</f>
        <v/>
      </c>
      <c r="T200" s="7">
        <f t="shared" si="25"/>
        <v>88.946562252114106</v>
      </c>
      <c r="U200" s="1">
        <f t="shared" si="26"/>
        <v>103.61426792553941</v>
      </c>
    </row>
    <row r="201" spans="1:21" x14ac:dyDescent="0.3">
      <c r="A201" s="2">
        <v>40465</v>
      </c>
      <c r="B201" s="1">
        <v>1964.9</v>
      </c>
      <c r="C201" s="2">
        <f t="shared" si="18"/>
        <v>40465</v>
      </c>
      <c r="D201" s="1">
        <f t="shared" si="19"/>
        <v>1964.9</v>
      </c>
      <c r="E201" s="4">
        <f t="shared" si="20"/>
        <v>1862.2127999999993</v>
      </c>
      <c r="F201" s="3">
        <f t="shared" si="21"/>
        <v>1.0551425701724317</v>
      </c>
      <c r="G201" s="18">
        <f t="shared" si="22"/>
        <v>1</v>
      </c>
      <c r="H201" s="3">
        <f t="shared" si="23"/>
        <v>-3.6408259299824941E-3</v>
      </c>
      <c r="I201" s="3">
        <f t="shared" si="24"/>
        <v>-3.6408259299824941E-3</v>
      </c>
      <c r="K201" s="12" t="str">
        <f>IF(AND(G201=1,G200&lt;&gt;1),MAX($K$50:K200)+1,"")</f>
        <v/>
      </c>
      <c r="L201" s="13" t="str">
        <f>IF(AND(G201&lt;&gt;1,G200=1),MAX($L$50:L200)+1,"")</f>
        <v/>
      </c>
      <c r="M201" s="13" t="str">
        <f>IF(AND(G201=-1,G200&lt;&gt;-1),MAX($M$50:M200)+1,"")</f>
        <v/>
      </c>
      <c r="N201" s="13" t="str">
        <f>IF(AND(G201&lt;&gt;-1,G200=-1),MAX($N$50:N200)+1,"")</f>
        <v/>
      </c>
      <c r="T201" s="7">
        <f t="shared" si="25"/>
        <v>88.622723301883809</v>
      </c>
      <c r="U201" s="1">
        <f t="shared" si="26"/>
        <v>103.23702641215996</v>
      </c>
    </row>
    <row r="202" spans="1:21" x14ac:dyDescent="0.3">
      <c r="A202" s="2">
        <v>40466</v>
      </c>
      <c r="B202" s="1">
        <v>1968.87</v>
      </c>
      <c r="C202" s="2">
        <f t="shared" si="18"/>
        <v>40466</v>
      </c>
      <c r="D202" s="1">
        <f t="shared" si="19"/>
        <v>1968.87</v>
      </c>
      <c r="E202" s="4">
        <f t="shared" si="20"/>
        <v>1864.0599999999995</v>
      </c>
      <c r="F202" s="3">
        <f t="shared" si="21"/>
        <v>1.0562267308992201</v>
      </c>
      <c r="G202" s="18">
        <f t="shared" si="22"/>
        <v>1</v>
      </c>
      <c r="H202" s="3">
        <f t="shared" si="23"/>
        <v>2.0204590564403269E-3</v>
      </c>
      <c r="I202" s="3">
        <f t="shared" si="24"/>
        <v>2.0204590564403269E-3</v>
      </c>
      <c r="K202" s="12" t="str">
        <f>IF(AND(G202=1,G201&lt;&gt;1),MAX($K$50:K201)+1,"")</f>
        <v/>
      </c>
      <c r="L202" s="13" t="str">
        <f>IF(AND(G202&lt;&gt;1,G201=1),MAX($L$50:L201)+1,"")</f>
        <v/>
      </c>
      <c r="M202" s="13" t="str">
        <f>IF(AND(G202=-1,G201&lt;&gt;-1),MAX($M$50:M201)+1,"")</f>
        <v/>
      </c>
      <c r="N202" s="13" t="str">
        <f>IF(AND(G202&lt;&gt;-1,G201=-1),MAX($N$50:N201)+1,"")</f>
        <v/>
      </c>
      <c r="T202" s="7">
        <f t="shared" si="25"/>
        <v>88.801781885785502</v>
      </c>
      <c r="U202" s="1">
        <f t="shared" si="26"/>
        <v>103.44561259713439</v>
      </c>
    </row>
    <row r="203" spans="1:21" x14ac:dyDescent="0.3">
      <c r="A203" s="2">
        <v>40469</v>
      </c>
      <c r="B203" s="1">
        <v>1983.17</v>
      </c>
      <c r="C203" s="2">
        <f t="shared" si="18"/>
        <v>40469</v>
      </c>
      <c r="D203" s="1">
        <f t="shared" si="19"/>
        <v>1983.17</v>
      </c>
      <c r="E203" s="4">
        <f t="shared" si="20"/>
        <v>1866.3279999999993</v>
      </c>
      <c r="F203" s="3">
        <f t="shared" si="21"/>
        <v>1.062605286959206</v>
      </c>
      <c r="G203" s="18">
        <f t="shared" si="22"/>
        <v>1</v>
      </c>
      <c r="H203" s="3">
        <f t="shared" si="23"/>
        <v>7.2630493633405457E-3</v>
      </c>
      <c r="I203" s="3">
        <f t="shared" si="24"/>
        <v>7.2630493633405457E-3</v>
      </c>
      <c r="K203" s="12" t="str">
        <f>IF(AND(G203=1,G202&lt;&gt;1),MAX($K$50:K202)+1,"")</f>
        <v/>
      </c>
      <c r="L203" s="13" t="str">
        <f>IF(AND(G203&lt;&gt;1,G202=1),MAX($L$50:L202)+1,"")</f>
        <v/>
      </c>
      <c r="M203" s="13" t="str">
        <f>IF(AND(G203=-1,G202&lt;&gt;-1),MAX($M$50:M202)+1,"")</f>
        <v/>
      </c>
      <c r="N203" s="13" t="str">
        <f>IF(AND(G203&lt;&gt;-1,G202=-1),MAX($N$50:N202)+1,"")</f>
        <v/>
      </c>
      <c r="T203" s="7">
        <f t="shared" si="25"/>
        <v>89.446753611174557</v>
      </c>
      <c r="U203" s="1">
        <f t="shared" si="26"/>
        <v>104.19694318784836</v>
      </c>
    </row>
    <row r="204" spans="1:21" x14ac:dyDescent="0.3">
      <c r="A204" s="2">
        <v>40470</v>
      </c>
      <c r="B204" s="1">
        <v>1951.67</v>
      </c>
      <c r="C204" s="2">
        <f t="shared" si="18"/>
        <v>40470</v>
      </c>
      <c r="D204" s="1">
        <f t="shared" si="19"/>
        <v>1951.67</v>
      </c>
      <c r="E204" s="4">
        <f t="shared" si="20"/>
        <v>1867.7601999999993</v>
      </c>
      <c r="F204" s="3">
        <f t="shared" si="21"/>
        <v>1.0449253603326598</v>
      </c>
      <c r="G204" s="18">
        <f t="shared" si="22"/>
        <v>1</v>
      </c>
      <c r="H204" s="3">
        <f t="shared" si="23"/>
        <v>-1.5883661007377037E-2</v>
      </c>
      <c r="I204" s="3">
        <f t="shared" si="24"/>
        <v>-1.5883661007377037E-2</v>
      </c>
      <c r="K204" s="12" t="str">
        <f>IF(AND(G204=1,G203&lt;&gt;1),MAX($K$50:K203)+1,"")</f>
        <v/>
      </c>
      <c r="L204" s="13" t="str">
        <f>IF(AND(G204&lt;&gt;1,G203=1),MAX($L$50:L203)+1,"")</f>
        <v/>
      </c>
      <c r="M204" s="13" t="str">
        <f>IF(AND(G204=-1,G203&lt;&gt;-1),MAX($M$50:M203)+1,"")</f>
        <v/>
      </c>
      <c r="N204" s="13" t="str">
        <f>IF(AND(G204&lt;&gt;-1,G203=-1),MAX($N$50:N203)+1,"")</f>
        <v/>
      </c>
      <c r="T204" s="7">
        <f t="shared" si="25"/>
        <v>88.026011698604279</v>
      </c>
      <c r="U204" s="1">
        <f t="shared" si="26"/>
        <v>102.54191426424765</v>
      </c>
    </row>
    <row r="205" spans="1:21" x14ac:dyDescent="0.3">
      <c r="A205" s="2">
        <v>40471</v>
      </c>
      <c r="B205" s="1">
        <v>1972.51</v>
      </c>
      <c r="C205" s="2">
        <f t="shared" si="18"/>
        <v>40471</v>
      </c>
      <c r="D205" s="1">
        <f t="shared" si="19"/>
        <v>1972.51</v>
      </c>
      <c r="E205" s="4">
        <f t="shared" si="20"/>
        <v>1869.8327999999992</v>
      </c>
      <c r="F205" s="3">
        <f t="shared" si="21"/>
        <v>1.0549125034067222</v>
      </c>
      <c r="G205" s="18">
        <f t="shared" si="22"/>
        <v>1</v>
      </c>
      <c r="H205" s="3">
        <f t="shared" si="23"/>
        <v>1.0678034708736517E-2</v>
      </c>
      <c r="I205" s="3">
        <f t="shared" si="24"/>
        <v>1.0678034708736517E-2</v>
      </c>
      <c r="K205" s="12" t="str">
        <f>IF(AND(G205=1,G204&lt;&gt;1),MAX($K$50:K204)+1,"")</f>
        <v/>
      </c>
      <c r="L205" s="13" t="str">
        <f>IF(AND(G205&lt;&gt;1,G204=1),MAX($L$50:L204)+1,"")</f>
        <v/>
      </c>
      <c r="M205" s="13" t="str">
        <f>IF(AND(G205=-1,G204&lt;&gt;-1),MAX($M$50:M204)+1,"")</f>
        <v/>
      </c>
      <c r="N205" s="13" t="str">
        <f>IF(AND(G205&lt;&gt;-1,G204=-1),MAX($N$50:N204)+1,"")</f>
        <v/>
      </c>
      <c r="T205" s="7">
        <f t="shared" si="25"/>
        <v>88.965956506793617</v>
      </c>
      <c r="U205" s="1">
        <f t="shared" si="26"/>
        <v>103.63686038386157</v>
      </c>
    </row>
    <row r="206" spans="1:21" x14ac:dyDescent="0.3">
      <c r="A206" s="2">
        <v>40472</v>
      </c>
      <c r="B206" s="1">
        <v>1976.12</v>
      </c>
      <c r="C206" s="2">
        <f t="shared" si="18"/>
        <v>40472</v>
      </c>
      <c r="D206" s="1">
        <f t="shared" si="19"/>
        <v>1976.12</v>
      </c>
      <c r="E206" s="4">
        <f t="shared" si="20"/>
        <v>1873.0125999999989</v>
      </c>
      <c r="F206" s="3">
        <f t="shared" si="21"/>
        <v>1.0550489622974246</v>
      </c>
      <c r="G206" s="18">
        <f t="shared" si="22"/>
        <v>1</v>
      </c>
      <c r="H206" s="3">
        <f t="shared" si="23"/>
        <v>1.8301554871711367E-3</v>
      </c>
      <c r="I206" s="3">
        <f t="shared" si="24"/>
        <v>1.8301554871711367E-3</v>
      </c>
      <c r="K206" s="12" t="str">
        <f>IF(AND(G206=1,G205&lt;&gt;1),MAX($K$50:K205)+1,"")</f>
        <v/>
      </c>
      <c r="L206" s="13" t="str">
        <f>IF(AND(G206&lt;&gt;1,G205=1),MAX($L$50:L205)+1,"")</f>
        <v/>
      </c>
      <c r="M206" s="13" t="str">
        <f>IF(AND(G206=-1,G205&lt;&gt;-1),MAX($M$50:M205)+1,"")</f>
        <v/>
      </c>
      <c r="N206" s="13" t="str">
        <f>IF(AND(G206&lt;&gt;-1,G205=-1),MAX($N$50:N205)+1,"")</f>
        <v/>
      </c>
      <c r="T206" s="7">
        <f t="shared" si="25"/>
        <v>89.128778040265956</v>
      </c>
      <c r="U206" s="1">
        <f t="shared" si="26"/>
        <v>103.82653195256628</v>
      </c>
    </row>
    <row r="207" spans="1:21" x14ac:dyDescent="0.3">
      <c r="A207" s="2">
        <v>40473</v>
      </c>
      <c r="B207" s="1">
        <v>1980.83</v>
      </c>
      <c r="C207" s="2">
        <f t="shared" si="18"/>
        <v>40473</v>
      </c>
      <c r="D207" s="1">
        <f t="shared" si="19"/>
        <v>1980.83</v>
      </c>
      <c r="E207" s="4">
        <f t="shared" si="20"/>
        <v>1876.476999999999</v>
      </c>
      <c r="F207" s="3">
        <f t="shared" si="21"/>
        <v>1.0556111265952106</v>
      </c>
      <c r="G207" s="18">
        <f t="shared" si="22"/>
        <v>1</v>
      </c>
      <c r="H207" s="3">
        <f t="shared" si="23"/>
        <v>2.3834584944233406E-3</v>
      </c>
      <c r="I207" s="3">
        <f t="shared" si="24"/>
        <v>2.3834584944233406E-3</v>
      </c>
      <c r="K207" s="12" t="str">
        <f>IF(AND(G207=1,G206&lt;&gt;1),MAX($K$50:K206)+1,"")</f>
        <v/>
      </c>
      <c r="L207" s="13" t="str">
        <f>IF(AND(G207&lt;&gt;1,G206=1),MAX($L$50:L206)+1,"")</f>
        <v/>
      </c>
      <c r="M207" s="13" t="str">
        <f>IF(AND(G207=-1,G206&lt;&gt;-1),MAX($M$50:M206)+1,"")</f>
        <v/>
      </c>
      <c r="N207" s="13" t="str">
        <f>IF(AND(G207&lt;&gt;-1,G206=-1),MAX($N$50:N206)+1,"")</f>
        <v/>
      </c>
      <c r="T207" s="7">
        <f t="shared" si="25"/>
        <v>89.341212783383597</v>
      </c>
      <c r="U207" s="1">
        <f t="shared" si="26"/>
        <v>104.07399818209515</v>
      </c>
    </row>
    <row r="208" spans="1:21" x14ac:dyDescent="0.3">
      <c r="A208" s="2">
        <v>40476</v>
      </c>
      <c r="B208" s="1">
        <v>1985.11</v>
      </c>
      <c r="C208" s="2">
        <f t="shared" si="18"/>
        <v>40476</v>
      </c>
      <c r="D208" s="1">
        <f t="shared" si="19"/>
        <v>1985.11</v>
      </c>
      <c r="E208" s="4">
        <f t="shared" si="20"/>
        <v>1880.171399999999</v>
      </c>
      <c r="F208" s="3">
        <f t="shared" si="21"/>
        <v>1.0558133157434482</v>
      </c>
      <c r="G208" s="18">
        <f t="shared" si="22"/>
        <v>1</v>
      </c>
      <c r="H208" s="3">
        <f t="shared" si="23"/>
        <v>2.1607104092729035E-3</v>
      </c>
      <c r="I208" s="3">
        <f t="shared" si="24"/>
        <v>2.1607104092729035E-3</v>
      </c>
      <c r="K208" s="12" t="str">
        <f>IF(AND(G208=1,G207&lt;&gt;1),MAX($K$50:K207)+1,"")</f>
        <v/>
      </c>
      <c r="L208" s="13" t="str">
        <f>IF(AND(G208&lt;&gt;1,G207=1),MAX($L$50:L207)+1,"")</f>
        <v/>
      </c>
      <c r="M208" s="13" t="str">
        <f>IF(AND(G208=-1,G207&lt;&gt;-1),MAX($M$50:M207)+1,"")</f>
        <v/>
      </c>
      <c r="N208" s="13" t="str">
        <f>IF(AND(G208&lt;&gt;-1,G207=-1),MAX($N$50:N207)+1,"")</f>
        <v/>
      </c>
      <c r="T208" s="7">
        <f t="shared" si="25"/>
        <v>89.534253271821726</v>
      </c>
      <c r="U208" s="1">
        <f t="shared" si="26"/>
        <v>104.29887195330186</v>
      </c>
    </row>
    <row r="209" spans="1:21" x14ac:dyDescent="0.3">
      <c r="A209" s="2">
        <v>40477</v>
      </c>
      <c r="B209" s="1">
        <v>1985.13</v>
      </c>
      <c r="C209" s="2">
        <f t="shared" si="18"/>
        <v>40477</v>
      </c>
      <c r="D209" s="1">
        <f t="shared" si="19"/>
        <v>1985.13</v>
      </c>
      <c r="E209" s="4">
        <f t="shared" si="20"/>
        <v>1883.8599999999992</v>
      </c>
      <c r="F209" s="3">
        <f t="shared" si="21"/>
        <v>1.0537566485832286</v>
      </c>
      <c r="G209" s="18">
        <f t="shared" si="22"/>
        <v>1</v>
      </c>
      <c r="H209" s="3">
        <f t="shared" si="23"/>
        <v>1.0075008437970823E-5</v>
      </c>
      <c r="I209" s="3">
        <f t="shared" si="24"/>
        <v>1.0075008437970823E-5</v>
      </c>
      <c r="K209" s="12" t="str">
        <f>IF(AND(G209=1,G208&lt;&gt;1),MAX($K$50:K208)+1,"")</f>
        <v/>
      </c>
      <c r="L209" s="13" t="str">
        <f>IF(AND(G209&lt;&gt;1,G208=1),MAX($L$50:L208)+1,"")</f>
        <v/>
      </c>
      <c r="M209" s="13" t="str">
        <f>IF(AND(G209=-1,G208&lt;&gt;-1),MAX($M$50:M208)+1,"")</f>
        <v/>
      </c>
      <c r="N209" s="13" t="str">
        <f>IF(AND(G209&lt;&gt;-1,G208=-1),MAX($N$50:N208)+1,"")</f>
        <v/>
      </c>
      <c r="T209" s="7">
        <f t="shared" si="25"/>
        <v>89.535155330178924</v>
      </c>
      <c r="U209" s="1">
        <f t="shared" si="26"/>
        <v>104.29992276531685</v>
      </c>
    </row>
    <row r="210" spans="1:21" x14ac:dyDescent="0.3">
      <c r="A210" s="2">
        <v>40478</v>
      </c>
      <c r="B210" s="1">
        <v>1980.05</v>
      </c>
      <c r="C210" s="2">
        <f t="shared" si="18"/>
        <v>40478</v>
      </c>
      <c r="D210" s="1">
        <f t="shared" si="19"/>
        <v>1980.05</v>
      </c>
      <c r="E210" s="4">
        <f t="shared" si="20"/>
        <v>1886.9973999999993</v>
      </c>
      <c r="F210" s="3">
        <f t="shared" si="21"/>
        <v>1.0493125215752819</v>
      </c>
      <c r="G210" s="18">
        <f t="shared" si="22"/>
        <v>1</v>
      </c>
      <c r="H210" s="3">
        <f t="shared" si="23"/>
        <v>-2.5590263609940322E-3</v>
      </c>
      <c r="I210" s="3">
        <f t="shared" si="24"/>
        <v>-2.5590263609940322E-3</v>
      </c>
      <c r="K210" s="12" t="str">
        <f>IF(AND(G210=1,G209&lt;&gt;1),MAX($K$50:K209)+1,"")</f>
        <v/>
      </c>
      <c r="L210" s="13" t="str">
        <f>IF(AND(G210&lt;&gt;1,G209=1),MAX($L$50:L209)+1,"")</f>
        <v/>
      </c>
      <c r="M210" s="13" t="str">
        <f>IF(AND(G210=-1,G209&lt;&gt;-1),MAX($M$50:M209)+1,"")</f>
        <v/>
      </c>
      <c r="N210" s="13" t="str">
        <f>IF(AND(G210&lt;&gt;-1,G209=-1),MAX($N$50:N209)+1,"")</f>
        <v/>
      </c>
      <c r="T210" s="7">
        <f t="shared" si="25"/>
        <v>89.306032507453295</v>
      </c>
      <c r="U210" s="1">
        <f t="shared" si="26"/>
        <v>104.03301651351076</v>
      </c>
    </row>
    <row r="211" spans="1:21" x14ac:dyDescent="0.3">
      <c r="A211" s="2">
        <v>40479</v>
      </c>
      <c r="B211" s="1">
        <v>1982.45</v>
      </c>
      <c r="C211" s="2">
        <f t="shared" si="18"/>
        <v>40479</v>
      </c>
      <c r="D211" s="1">
        <f t="shared" si="19"/>
        <v>1982.45</v>
      </c>
      <c r="E211" s="4">
        <f t="shared" si="20"/>
        <v>1890.1235999999992</v>
      </c>
      <c r="F211" s="3">
        <f t="shared" si="21"/>
        <v>1.0488467526673921</v>
      </c>
      <c r="G211" s="18">
        <f t="shared" si="22"/>
        <v>1</v>
      </c>
      <c r="H211" s="3">
        <f t="shared" si="23"/>
        <v>1.2120906037726975E-3</v>
      </c>
      <c r="I211" s="3">
        <f t="shared" si="24"/>
        <v>1.2120906037726975E-3</v>
      </c>
      <c r="K211" s="12" t="str">
        <f>IF(AND(G211=1,G210&lt;&gt;1),MAX($K$50:K210)+1,"")</f>
        <v/>
      </c>
      <c r="L211" s="13" t="str">
        <f>IF(AND(G211&lt;&gt;1,G210=1),MAX($L$50:L210)+1,"")</f>
        <v/>
      </c>
      <c r="M211" s="13" t="str">
        <f>IF(AND(G211=-1,G210&lt;&gt;-1),MAX($M$50:M210)+1,"")</f>
        <v/>
      </c>
      <c r="N211" s="13" t="str">
        <f>IF(AND(G211&lt;&gt;-1,G210=-1),MAX($N$50:N210)+1,"")</f>
        <v/>
      </c>
      <c r="T211" s="7">
        <f t="shared" si="25"/>
        <v>89.414279510315794</v>
      </c>
      <c r="U211" s="1">
        <f t="shared" si="26"/>
        <v>104.15911395530891</v>
      </c>
    </row>
    <row r="212" spans="1:21" x14ac:dyDescent="0.3">
      <c r="A212" s="2">
        <v>40480</v>
      </c>
      <c r="B212" s="1">
        <v>1981.59</v>
      </c>
      <c r="C212" s="2">
        <f t="shared" si="18"/>
        <v>40480</v>
      </c>
      <c r="D212" s="1">
        <f t="shared" si="19"/>
        <v>1981.59</v>
      </c>
      <c r="E212" s="4">
        <f t="shared" si="20"/>
        <v>1893.8505999999991</v>
      </c>
      <c r="F212" s="3">
        <f t="shared" si="21"/>
        <v>1.0463285752318587</v>
      </c>
      <c r="G212" s="18">
        <f t="shared" si="22"/>
        <v>1</v>
      </c>
      <c r="H212" s="3">
        <f t="shared" si="23"/>
        <v>-4.3380665338355051E-4</v>
      </c>
      <c r="I212" s="3">
        <f t="shared" si="24"/>
        <v>-4.3380665338355051E-4</v>
      </c>
      <c r="K212" s="12" t="str">
        <f>IF(AND(G212=1,G211&lt;&gt;1),MAX($K$50:K211)+1,"")</f>
        <v/>
      </c>
      <c r="L212" s="13" t="str">
        <f>IF(AND(G212&lt;&gt;1,G211=1),MAX($L$50:L211)+1,"")</f>
        <v/>
      </c>
      <c r="M212" s="13" t="str">
        <f>IF(AND(G212=-1,G211&lt;&gt;-1),MAX($M$50:M211)+1,"")</f>
        <v/>
      </c>
      <c r="N212" s="13" t="str">
        <f>IF(AND(G212&lt;&gt;-1,G211=-1),MAX($N$50:N211)+1,"")</f>
        <v/>
      </c>
      <c r="T212" s="7">
        <f t="shared" si="25"/>
        <v>89.375491000956728</v>
      </c>
      <c r="U212" s="1">
        <f t="shared" si="26"/>
        <v>104.11392903866457</v>
      </c>
    </row>
    <row r="213" spans="1:21" x14ac:dyDescent="0.3">
      <c r="A213" s="2">
        <v>40483</v>
      </c>
      <c r="B213" s="1">
        <v>1983.47</v>
      </c>
      <c r="C213" s="2">
        <f t="shared" si="18"/>
        <v>40483</v>
      </c>
      <c r="D213" s="1">
        <f t="shared" si="19"/>
        <v>1983.47</v>
      </c>
      <c r="E213" s="4">
        <f t="shared" si="20"/>
        <v>1897.7465999999993</v>
      </c>
      <c r="F213" s="3">
        <f t="shared" si="21"/>
        <v>1.045171151933562</v>
      </c>
      <c r="G213" s="18">
        <f t="shared" si="22"/>
        <v>1</v>
      </c>
      <c r="H213" s="3">
        <f t="shared" si="23"/>
        <v>9.487330880757483E-4</v>
      </c>
      <c r="I213" s="3">
        <f t="shared" si="24"/>
        <v>9.487330880757483E-4</v>
      </c>
      <c r="K213" s="12" t="str">
        <f>IF(AND(G213=1,G212&lt;&gt;1),MAX($K$50:K212)+1,"")</f>
        <v/>
      </c>
      <c r="L213" s="13" t="str">
        <f>IF(AND(G213&lt;&gt;1,G212=1),MAX($L$50:L212)+1,"")</f>
        <v/>
      </c>
      <c r="M213" s="13" t="str">
        <f>IF(AND(G213=-1,G212&lt;&gt;-1),MAX($M$50:M212)+1,"")</f>
        <v/>
      </c>
      <c r="N213" s="13" t="str">
        <f>IF(AND(G213&lt;&gt;-1,G212=-1),MAX($N$50:N212)+1,"")</f>
        <v/>
      </c>
      <c r="T213" s="7">
        <f t="shared" si="25"/>
        <v>89.460284486532359</v>
      </c>
      <c r="U213" s="1">
        <f t="shared" si="26"/>
        <v>104.21270536807313</v>
      </c>
    </row>
    <row r="214" spans="1:21" x14ac:dyDescent="0.3">
      <c r="A214" s="2">
        <v>40484</v>
      </c>
      <c r="B214" s="1">
        <v>1998.86</v>
      </c>
      <c r="C214" s="2">
        <f t="shared" si="18"/>
        <v>40484</v>
      </c>
      <c r="D214" s="1">
        <f t="shared" si="19"/>
        <v>1998.86</v>
      </c>
      <c r="E214" s="4">
        <f t="shared" si="20"/>
        <v>1902.094399999999</v>
      </c>
      <c r="F214" s="3">
        <f t="shared" si="21"/>
        <v>1.050873184842982</v>
      </c>
      <c r="G214" s="18">
        <f t="shared" si="22"/>
        <v>1</v>
      </c>
      <c r="H214" s="3">
        <f t="shared" si="23"/>
        <v>7.7591292028615921E-3</v>
      </c>
      <c r="I214" s="3">
        <f t="shared" si="24"/>
        <v>7.7591292028615921E-3</v>
      </c>
      <c r="K214" s="12" t="str">
        <f>IF(AND(G214=1,G213&lt;&gt;1),MAX($K$50:K213)+1,"")</f>
        <v/>
      </c>
      <c r="L214" s="13" t="str">
        <f>IF(AND(G214&lt;&gt;1,G213=1),MAX($L$50:L213)+1,"")</f>
        <v/>
      </c>
      <c r="M214" s="13" t="str">
        <f>IF(AND(G214=-1,G213&lt;&gt;-1),MAX($M$50:M213)+1,"")</f>
        <v/>
      </c>
      <c r="N214" s="13" t="str">
        <f>IF(AND(G214&lt;&gt;-1,G213=-1),MAX($N$50:N213)+1,"")</f>
        <v/>
      </c>
      <c r="T214" s="7">
        <f t="shared" si="25"/>
        <v>90.154418392388123</v>
      </c>
      <c r="U214" s="1">
        <f t="shared" si="26"/>
        <v>105.02130521360375</v>
      </c>
    </row>
    <row r="215" spans="1:21" x14ac:dyDescent="0.3">
      <c r="A215" s="2">
        <v>40485</v>
      </c>
      <c r="B215" s="1">
        <v>2006.58</v>
      </c>
      <c r="C215" s="2">
        <f t="shared" si="18"/>
        <v>40485</v>
      </c>
      <c r="D215" s="1">
        <f t="shared" si="19"/>
        <v>2006.58</v>
      </c>
      <c r="E215" s="4">
        <f t="shared" si="20"/>
        <v>1907.1129999999994</v>
      </c>
      <c r="F215" s="3">
        <f t="shared" si="21"/>
        <v>1.0521557977948872</v>
      </c>
      <c r="G215" s="18">
        <f t="shared" si="22"/>
        <v>1</v>
      </c>
      <c r="H215" s="3">
        <f t="shared" si="23"/>
        <v>3.8622014548292949E-3</v>
      </c>
      <c r="I215" s="3">
        <f t="shared" si="24"/>
        <v>3.8622014548292949E-3</v>
      </c>
      <c r="K215" s="12" t="str">
        <f>IF(AND(G215=1,G214&lt;&gt;1),MAX($K$50:K214)+1,"")</f>
        <v/>
      </c>
      <c r="L215" s="13" t="str">
        <f>IF(AND(G215&lt;&gt;1,G214=1),MAX($L$50:L214)+1,"")</f>
        <v/>
      </c>
      <c r="M215" s="13" t="str">
        <f>IF(AND(G215=-1,G214&lt;&gt;-1),MAX($M$50:M214)+1,"")</f>
        <v/>
      </c>
      <c r="N215" s="13" t="str">
        <f>IF(AND(G215&lt;&gt;-1,G214=-1),MAX($N$50:N214)+1,"")</f>
        <v/>
      </c>
      <c r="T215" s="7">
        <f t="shared" si="25"/>
        <v>90.5026129182625</v>
      </c>
      <c r="U215" s="1">
        <f t="shared" si="26"/>
        <v>105.42691865138779</v>
      </c>
    </row>
    <row r="216" spans="1:21" x14ac:dyDescent="0.3">
      <c r="A216" s="2">
        <v>40486</v>
      </c>
      <c r="B216" s="1">
        <v>2045.62</v>
      </c>
      <c r="C216" s="2">
        <f t="shared" si="18"/>
        <v>40486</v>
      </c>
      <c r="D216" s="1">
        <f t="shared" si="19"/>
        <v>2045.62</v>
      </c>
      <c r="E216" s="4">
        <f t="shared" si="20"/>
        <v>1912.7929999999992</v>
      </c>
      <c r="F216" s="3">
        <f t="shared" si="21"/>
        <v>1.0694413875416737</v>
      </c>
      <c r="G216" s="18">
        <f t="shared" si="22"/>
        <v>1</v>
      </c>
      <c r="H216" s="3">
        <f t="shared" si="23"/>
        <v>1.9455989793579098E-2</v>
      </c>
      <c r="I216" s="3">
        <f t="shared" si="24"/>
        <v>1.9455989793579098E-2</v>
      </c>
      <c r="K216" s="12" t="str">
        <f>IF(AND(G216=1,G215&lt;&gt;1),MAX($K$50:K215)+1,"")</f>
        <v/>
      </c>
      <c r="L216" s="13" t="str">
        <f>IF(AND(G216&lt;&gt;1,G215=1),MAX($L$50:L215)+1,"")</f>
        <v/>
      </c>
      <c r="M216" s="13" t="str">
        <f>IF(AND(G216=-1,G215&lt;&gt;-1),MAX($M$50:M215)+1,"")</f>
        <v/>
      </c>
      <c r="N216" s="13" t="str">
        <f>IF(AND(G216&lt;&gt;-1,G215=-1),MAX($N$50:N215)+1,"")</f>
        <v/>
      </c>
      <c r="T216" s="7">
        <f t="shared" si="25"/>
        <v>92.263430831492457</v>
      </c>
      <c r="U216" s="1">
        <f t="shared" si="26"/>
        <v>107.47810370463769</v>
      </c>
    </row>
    <row r="217" spans="1:21" x14ac:dyDescent="0.3">
      <c r="A217" s="2">
        <v>40487</v>
      </c>
      <c r="B217" s="1">
        <v>2053.77</v>
      </c>
      <c r="C217" s="2">
        <f t="shared" si="18"/>
        <v>40487</v>
      </c>
      <c r="D217" s="1">
        <f t="shared" si="19"/>
        <v>2053.77</v>
      </c>
      <c r="E217" s="4">
        <f t="shared" si="20"/>
        <v>1918.9055999999996</v>
      </c>
      <c r="F217" s="3">
        <f t="shared" si="21"/>
        <v>1.0702819357033511</v>
      </c>
      <c r="G217" s="18">
        <f t="shared" si="22"/>
        <v>1</v>
      </c>
      <c r="H217" s="3">
        <f t="shared" si="23"/>
        <v>3.9841221732286325E-3</v>
      </c>
      <c r="I217" s="3">
        <f t="shared" si="24"/>
        <v>3.9841221732286325E-3</v>
      </c>
      <c r="K217" s="12" t="str">
        <f>IF(AND(G217=1,G216&lt;&gt;1),MAX($K$50:K216)+1,"")</f>
        <v/>
      </c>
      <c r="L217" s="13" t="str">
        <f>IF(AND(G217&lt;&gt;1,G216=1),MAX($L$50:L216)+1,"")</f>
        <v/>
      </c>
      <c r="M217" s="13" t="str">
        <f>IF(AND(G217=-1,G216&lt;&gt;-1),MAX($M$50:M216)+1,"")</f>
        <v/>
      </c>
      <c r="N217" s="13" t="str">
        <f>IF(AND(G217&lt;&gt;-1,G216=-1),MAX($N$50:N216)+1,"")</f>
        <v/>
      </c>
      <c r="T217" s="7">
        <f t="shared" si="25"/>
        <v>92.631019612046359</v>
      </c>
      <c r="U217" s="1">
        <f t="shared" si="26"/>
        <v>107.90630960074391</v>
      </c>
    </row>
    <row r="218" spans="1:21" x14ac:dyDescent="0.3">
      <c r="A218" s="2">
        <v>40490</v>
      </c>
      <c r="B218" s="1">
        <v>2049.69</v>
      </c>
      <c r="C218" s="2">
        <f t="shared" si="18"/>
        <v>40490</v>
      </c>
      <c r="D218" s="1">
        <f t="shared" si="19"/>
        <v>2049.69</v>
      </c>
      <c r="E218" s="4">
        <f t="shared" si="20"/>
        <v>1924.3473999999999</v>
      </c>
      <c r="F218" s="3">
        <f t="shared" si="21"/>
        <v>1.0651351206128374</v>
      </c>
      <c r="G218" s="18">
        <f t="shared" si="22"/>
        <v>1</v>
      </c>
      <c r="H218" s="3">
        <f t="shared" si="23"/>
        <v>-1.9865905140302731E-3</v>
      </c>
      <c r="I218" s="3">
        <f t="shared" si="24"/>
        <v>-1.9865905140302731E-3</v>
      </c>
      <c r="K218" s="12" t="str">
        <f>IF(AND(G218=1,G217&lt;&gt;1),MAX($K$50:K217)+1,"")</f>
        <v/>
      </c>
      <c r="L218" s="13" t="str">
        <f>IF(AND(G218&lt;&gt;1,G217=1),MAX($L$50:L217)+1,"")</f>
        <v/>
      </c>
      <c r="M218" s="13" t="str">
        <f>IF(AND(G218=-1,G217&lt;&gt;-1),MAX($M$50:M217)+1,"")</f>
        <v/>
      </c>
      <c r="N218" s="13" t="str">
        <f>IF(AND(G218&lt;&gt;-1,G217=-1),MAX($N$50:N217)+1,"")</f>
        <v/>
      </c>
      <c r="T218" s="7">
        <f t="shared" si="25"/>
        <v>92.446999707180112</v>
      </c>
      <c r="U218" s="1">
        <f t="shared" si="26"/>
        <v>107.69194394968706</v>
      </c>
    </row>
    <row r="219" spans="1:21" x14ac:dyDescent="0.3">
      <c r="A219" s="2">
        <v>40491</v>
      </c>
      <c r="B219" s="1">
        <v>2033.85</v>
      </c>
      <c r="C219" s="2">
        <f t="shared" si="18"/>
        <v>40491</v>
      </c>
      <c r="D219" s="1">
        <f t="shared" si="19"/>
        <v>2033.85</v>
      </c>
      <c r="E219" s="4">
        <f t="shared" si="20"/>
        <v>1929.9886000000001</v>
      </c>
      <c r="F219" s="3">
        <f t="shared" si="21"/>
        <v>1.0538145147593099</v>
      </c>
      <c r="G219" s="18">
        <f t="shared" si="22"/>
        <v>1</v>
      </c>
      <c r="H219" s="3">
        <f t="shared" si="23"/>
        <v>-7.7279978923643355E-3</v>
      </c>
      <c r="I219" s="3">
        <f t="shared" si="24"/>
        <v>-7.7279978923643355E-3</v>
      </c>
      <c r="K219" s="12" t="str">
        <f>IF(AND(G219=1,G218&lt;&gt;1),MAX($K$50:K218)+1,"")</f>
        <v/>
      </c>
      <c r="L219" s="13" t="str">
        <f>IF(AND(G219&lt;&gt;1,G218=1),MAX($L$50:L218)+1,"")</f>
        <v/>
      </c>
      <c r="M219" s="13" t="str">
        <f>IF(AND(G219=-1,G218&lt;&gt;-1),MAX($M$50:M218)+1,"")</f>
        <v/>
      </c>
      <c r="N219" s="13" t="str">
        <f>IF(AND(G219&lt;&gt;-1,G218=-1),MAX($N$50:N218)+1,"")</f>
        <v/>
      </c>
      <c r="T219" s="7">
        <f t="shared" si="25"/>
        <v>91.732569488287623</v>
      </c>
      <c r="U219" s="1">
        <f t="shared" si="26"/>
        <v>106.85970083381926</v>
      </c>
    </row>
    <row r="220" spans="1:21" x14ac:dyDescent="0.3">
      <c r="A220" s="2">
        <v>40492</v>
      </c>
      <c r="B220" s="1">
        <v>2043.16</v>
      </c>
      <c r="C220" s="2">
        <f t="shared" si="18"/>
        <v>40492</v>
      </c>
      <c r="D220" s="1">
        <f t="shared" si="19"/>
        <v>2043.16</v>
      </c>
      <c r="E220" s="4">
        <f t="shared" si="20"/>
        <v>1935.8008000000002</v>
      </c>
      <c r="F220" s="3">
        <f t="shared" si="21"/>
        <v>1.0554598386362894</v>
      </c>
      <c r="G220" s="18">
        <f t="shared" si="22"/>
        <v>1</v>
      </c>
      <c r="H220" s="3">
        <f t="shared" si="23"/>
        <v>4.5775253828945761E-3</v>
      </c>
      <c r="I220" s="3">
        <f t="shared" si="24"/>
        <v>4.5775253828945761E-3</v>
      </c>
      <c r="K220" s="12" t="str">
        <f>IF(AND(G220=1,G219&lt;&gt;1),MAX($K$50:K219)+1,"")</f>
        <v/>
      </c>
      <c r="L220" s="13" t="str">
        <f>IF(AND(G220&lt;&gt;1,G219=1),MAX($L$50:L219)+1,"")</f>
        <v/>
      </c>
      <c r="M220" s="13" t="str">
        <f>IF(AND(G220=-1,G219&lt;&gt;-1),MAX($M$50:M219)+1,"")</f>
        <v/>
      </c>
      <c r="N220" s="13" t="str">
        <f>IF(AND(G220&lt;&gt;-1,G219=-1),MAX($N$50:N219)+1,"")</f>
        <v/>
      </c>
      <c r="T220" s="7">
        <f t="shared" si="25"/>
        <v>92.152477653558407</v>
      </c>
      <c r="U220" s="1">
        <f t="shared" si="26"/>
        <v>107.3488538267946</v>
      </c>
    </row>
    <row r="221" spans="1:21" x14ac:dyDescent="0.3">
      <c r="A221" s="2">
        <v>40493</v>
      </c>
      <c r="B221" s="1">
        <v>2034.48</v>
      </c>
      <c r="C221" s="2">
        <f t="shared" si="18"/>
        <v>40493</v>
      </c>
      <c r="D221" s="1">
        <f t="shared" si="19"/>
        <v>2034.48</v>
      </c>
      <c r="E221" s="4">
        <f t="shared" si="20"/>
        <v>1940.4012000000002</v>
      </c>
      <c r="F221" s="3">
        <f t="shared" si="21"/>
        <v>1.0484842000716139</v>
      </c>
      <c r="G221" s="18">
        <f t="shared" si="22"/>
        <v>1</v>
      </c>
      <c r="H221" s="3">
        <f t="shared" si="23"/>
        <v>-4.2483212279018634E-3</v>
      </c>
      <c r="I221" s="3">
        <f t="shared" si="24"/>
        <v>-4.2483212279018634E-3</v>
      </c>
      <c r="K221" s="12" t="str">
        <f>IF(AND(G221=1,G220&lt;&gt;1),MAX($K$50:K220)+1,"")</f>
        <v/>
      </c>
      <c r="L221" s="13" t="str">
        <f>IF(AND(G221&lt;&gt;1,G220=1),MAX($L$50:L220)+1,"")</f>
        <v/>
      </c>
      <c r="M221" s="13" t="str">
        <f>IF(AND(G221=-1,G220&lt;&gt;-1),MAX($M$50:M220)+1,"")</f>
        <v/>
      </c>
      <c r="N221" s="13" t="str">
        <f>IF(AND(G221&lt;&gt;-1,G220=-1),MAX($N$50:N220)+1,"")</f>
        <v/>
      </c>
      <c r="T221" s="7">
        <f t="shared" si="25"/>
        <v>91.760984326539045</v>
      </c>
      <c r="U221" s="1">
        <f t="shared" si="26"/>
        <v>106.89280141229128</v>
      </c>
    </row>
    <row r="222" spans="1:21" x14ac:dyDescent="0.3">
      <c r="A222" s="2">
        <v>40494</v>
      </c>
      <c r="B222" s="1">
        <v>2010.57</v>
      </c>
      <c r="C222" s="2">
        <f t="shared" si="18"/>
        <v>40494</v>
      </c>
      <c r="D222" s="1">
        <f t="shared" si="19"/>
        <v>2010.57</v>
      </c>
      <c r="E222" s="4">
        <f t="shared" si="20"/>
        <v>1944.1930000000004</v>
      </c>
      <c r="F222" s="3">
        <f t="shared" si="21"/>
        <v>1.0341411577965764</v>
      </c>
      <c r="G222" s="18">
        <f t="shared" si="22"/>
        <v>1</v>
      </c>
      <c r="H222" s="3">
        <f t="shared" si="23"/>
        <v>-1.1752388816798409E-2</v>
      </c>
      <c r="I222" s="3">
        <f t="shared" si="24"/>
        <v>-1.1752388816798409E-2</v>
      </c>
      <c r="K222" s="12" t="str">
        <f>IF(AND(G222=1,G221&lt;&gt;1),MAX($K$50:K221)+1,"")</f>
        <v/>
      </c>
      <c r="L222" s="13" t="str">
        <f>IF(AND(G222&lt;&gt;1,G221=1),MAX($L$50:L221)+1,"")</f>
        <v/>
      </c>
      <c r="M222" s="13" t="str">
        <f>IF(AND(G222=-1,G221&lt;&gt;-1),MAX($M$50:M221)+1,"")</f>
        <v/>
      </c>
      <c r="N222" s="13" t="str">
        <f>IF(AND(G222&lt;&gt;-1,G221=-1),MAX($N$50:N221)+1,"")</f>
        <v/>
      </c>
      <c r="T222" s="7">
        <f t="shared" si="25"/>
        <v>90.682573560521419</v>
      </c>
      <c r="U222" s="1">
        <f t="shared" si="26"/>
        <v>105.63655564837721</v>
      </c>
    </row>
    <row r="223" spans="1:21" x14ac:dyDescent="0.3">
      <c r="A223" s="2">
        <v>40497</v>
      </c>
      <c r="B223" s="1">
        <v>2008.25</v>
      </c>
      <c r="C223" s="2">
        <f t="shared" si="18"/>
        <v>40497</v>
      </c>
      <c r="D223" s="1">
        <f t="shared" si="19"/>
        <v>2008.25</v>
      </c>
      <c r="E223" s="4">
        <f t="shared" si="20"/>
        <v>1947.4560000000004</v>
      </c>
      <c r="F223" s="3">
        <f t="shared" si="21"/>
        <v>1.0312171366130991</v>
      </c>
      <c r="G223" s="18">
        <f t="shared" si="22"/>
        <v>1</v>
      </c>
      <c r="H223" s="3">
        <f t="shared" si="23"/>
        <v>-1.1539016298860449E-3</v>
      </c>
      <c r="I223" s="3">
        <f t="shared" si="24"/>
        <v>-1.1539016298860449E-3</v>
      </c>
      <c r="K223" s="12" t="str">
        <f>IF(AND(G223=1,G222&lt;&gt;1),MAX($K$50:K222)+1,"")</f>
        <v/>
      </c>
      <c r="L223" s="13" t="str">
        <f>IF(AND(G223&lt;&gt;1,G222=1),MAX($L$50:L222)+1,"")</f>
        <v/>
      </c>
      <c r="M223" s="13" t="str">
        <f>IF(AND(G223=-1,G222&lt;&gt;-1),MAX($M$50:M222)+1,"")</f>
        <v/>
      </c>
      <c r="N223" s="13" t="str">
        <f>IF(AND(G223&lt;&gt;-1,G222=-1),MAX($N$50:N222)+1,"")</f>
        <v/>
      </c>
      <c r="T223" s="7">
        <f t="shared" si="25"/>
        <v>90.577934791087671</v>
      </c>
      <c r="U223" s="1">
        <f t="shared" si="26"/>
        <v>105.514661454639</v>
      </c>
    </row>
    <row r="224" spans="1:21" x14ac:dyDescent="0.3">
      <c r="A224" s="2">
        <v>40498</v>
      </c>
      <c r="B224" s="1">
        <v>1976.26</v>
      </c>
      <c r="C224" s="2">
        <f t="shared" si="18"/>
        <v>40498</v>
      </c>
      <c r="D224" s="1">
        <f t="shared" si="19"/>
        <v>1976.26</v>
      </c>
      <c r="E224" s="4">
        <f t="shared" si="20"/>
        <v>1950.5002000000004</v>
      </c>
      <c r="F224" s="3">
        <f t="shared" si="21"/>
        <v>1.0132067661413209</v>
      </c>
      <c r="G224" s="18">
        <f t="shared" si="22"/>
        <v>1</v>
      </c>
      <c r="H224" s="3">
        <f t="shared" si="23"/>
        <v>-1.592929167185364E-2</v>
      </c>
      <c r="I224" s="3">
        <f t="shared" si="24"/>
        <v>-1.592929167185364E-2</v>
      </c>
      <c r="K224" s="12" t="str">
        <f>IF(AND(G224=1,G223&lt;&gt;1),MAX($K$50:K223)+1,"")</f>
        <v/>
      </c>
      <c r="L224" s="13" t="str">
        <f>IF(AND(G224&lt;&gt;1,G223=1),MAX($L$50:L223)+1,"")</f>
        <v/>
      </c>
      <c r="M224" s="13" t="str">
        <f>IF(AND(G224=-1,G223&lt;&gt;-1),MAX($M$50:M223)+1,"")</f>
        <v/>
      </c>
      <c r="N224" s="13" t="str">
        <f>IF(AND(G224&lt;&gt;-1,G223=-1),MAX($N$50:N223)+1,"")</f>
        <v/>
      </c>
      <c r="T224" s="7">
        <f t="shared" si="25"/>
        <v>89.135092448766301</v>
      </c>
      <c r="U224" s="1">
        <f t="shared" si="26"/>
        <v>103.83388763667116</v>
      </c>
    </row>
    <row r="225" spans="1:21" x14ac:dyDescent="0.3">
      <c r="A225" s="2">
        <v>40499</v>
      </c>
      <c r="B225" s="1">
        <v>1977</v>
      </c>
      <c r="C225" s="2">
        <f t="shared" si="18"/>
        <v>40499</v>
      </c>
      <c r="D225" s="1">
        <f t="shared" si="19"/>
        <v>1977</v>
      </c>
      <c r="E225" s="4">
        <f t="shared" si="20"/>
        <v>1953.3160000000003</v>
      </c>
      <c r="F225" s="3">
        <f t="shared" si="21"/>
        <v>1.0121250222698221</v>
      </c>
      <c r="G225" s="18">
        <f t="shared" si="22"/>
        <v>1</v>
      </c>
      <c r="H225" s="3">
        <f t="shared" si="23"/>
        <v>3.7444465809155503E-4</v>
      </c>
      <c r="I225" s="3">
        <f t="shared" si="24"/>
        <v>3.7444465809155503E-4</v>
      </c>
      <c r="K225" s="12" t="str">
        <f>IF(AND(G225=1,G224&lt;&gt;1),MAX($K$50:K224)+1,"")</f>
        <v/>
      </c>
      <c r="L225" s="13" t="str">
        <f>IF(AND(G225&lt;&gt;1,G224=1),MAX($L$50:L224)+1,"")</f>
        <v/>
      </c>
      <c r="M225" s="13" t="str">
        <f>IF(AND(G225=-1,G224&lt;&gt;-1),MAX($M$50:M224)+1,"")</f>
        <v/>
      </c>
      <c r="N225" s="13" t="str">
        <f>IF(AND(G225&lt;&gt;-1,G224=-1),MAX($N$50:N224)+1,"")</f>
        <v/>
      </c>
      <c r="T225" s="7">
        <f t="shared" si="25"/>
        <v>89.168468607982234</v>
      </c>
      <c r="U225" s="1">
        <f t="shared" si="26"/>
        <v>103.87276768122558</v>
      </c>
    </row>
    <row r="226" spans="1:21" x14ac:dyDescent="0.3">
      <c r="A226" s="2">
        <v>40500</v>
      </c>
      <c r="B226" s="1">
        <v>2007.38</v>
      </c>
      <c r="C226" s="2">
        <f t="shared" si="18"/>
        <v>40500</v>
      </c>
      <c r="D226" s="1">
        <f t="shared" si="19"/>
        <v>2007.38</v>
      </c>
      <c r="E226" s="4">
        <f t="shared" si="20"/>
        <v>1956.5618000000002</v>
      </c>
      <c r="F226" s="3">
        <f t="shared" si="21"/>
        <v>1.0259732148506631</v>
      </c>
      <c r="G226" s="18">
        <f t="shared" si="22"/>
        <v>1</v>
      </c>
      <c r="H226" s="3">
        <f t="shared" si="23"/>
        <v>1.5366717248356254E-2</v>
      </c>
      <c r="I226" s="3">
        <f t="shared" si="24"/>
        <v>1.5366717248356254E-2</v>
      </c>
      <c r="K226" s="12" t="str">
        <f>IF(AND(G226=1,G225&lt;&gt;1),MAX($K$50:K225)+1,"")</f>
        <v/>
      </c>
      <c r="L226" s="13" t="str">
        <f>IF(AND(G226&lt;&gt;1,G225=1),MAX($L$50:L225)+1,"")</f>
        <v/>
      </c>
      <c r="M226" s="13" t="str">
        <f>IF(AND(G226=-1,G225&lt;&gt;-1),MAX($M$50:M225)+1,"")</f>
        <v/>
      </c>
      <c r="N226" s="13" t="str">
        <f>IF(AND(G226&lt;&gt;-1,G225=-1),MAX($N$50:N225)+1,"")</f>
        <v/>
      </c>
      <c r="T226" s="7">
        <f t="shared" si="25"/>
        <v>90.538695252550028</v>
      </c>
      <c r="U226" s="1">
        <f t="shared" si="26"/>
        <v>105.46895113198715</v>
      </c>
    </row>
    <row r="227" spans="1:21" x14ac:dyDescent="0.3">
      <c r="A227" s="2">
        <v>40501</v>
      </c>
      <c r="B227" s="1">
        <v>2012.59</v>
      </c>
      <c r="C227" s="2">
        <f t="shared" si="18"/>
        <v>40501</v>
      </c>
      <c r="D227" s="1">
        <f t="shared" si="19"/>
        <v>2012.59</v>
      </c>
      <c r="E227" s="4">
        <f t="shared" si="20"/>
        <v>1959.7316000000003</v>
      </c>
      <c r="F227" s="3">
        <f t="shared" si="21"/>
        <v>1.0269722649775099</v>
      </c>
      <c r="G227" s="18">
        <f t="shared" si="22"/>
        <v>1</v>
      </c>
      <c r="H227" s="3">
        <f t="shared" si="23"/>
        <v>2.5954228895375131E-3</v>
      </c>
      <c r="I227" s="3">
        <f t="shared" si="24"/>
        <v>2.5954228895375131E-3</v>
      </c>
      <c r="K227" s="12" t="str">
        <f>IF(AND(G227=1,G226&lt;&gt;1),MAX($K$50:K226)+1,"")</f>
        <v/>
      </c>
      <c r="L227" s="13" t="str">
        <f>IF(AND(G227&lt;&gt;1,G226=1),MAX($L$50:L226)+1,"")</f>
        <v/>
      </c>
      <c r="M227" s="13" t="str">
        <f>IF(AND(G227=-1,G226&lt;&gt;-1),MAX($M$50:M226)+1,"")</f>
        <v/>
      </c>
      <c r="N227" s="13" t="str">
        <f>IF(AND(G227&lt;&gt;-1,G226=-1),MAX($N$50:N226)+1,"")</f>
        <v/>
      </c>
      <c r="T227" s="7">
        <f t="shared" si="25"/>
        <v>90.773681454597352</v>
      </c>
      <c r="U227" s="1">
        <f t="shared" si="26"/>
        <v>105.74268766189063</v>
      </c>
    </row>
    <row r="228" spans="1:21" x14ac:dyDescent="0.3">
      <c r="A228" s="2">
        <v>40504</v>
      </c>
      <c r="B228" s="1">
        <v>2009.52</v>
      </c>
      <c r="C228" s="2">
        <f t="shared" si="18"/>
        <v>40504</v>
      </c>
      <c r="D228" s="1">
        <f t="shared" si="19"/>
        <v>2009.52</v>
      </c>
      <c r="E228" s="4">
        <f t="shared" si="20"/>
        <v>1962.4138000000003</v>
      </c>
      <c r="F228" s="3">
        <f t="shared" si="21"/>
        <v>1.0240042135863494</v>
      </c>
      <c r="G228" s="18">
        <f t="shared" si="22"/>
        <v>1</v>
      </c>
      <c r="H228" s="3">
        <f t="shared" si="23"/>
        <v>-1.5253976219696819E-3</v>
      </c>
      <c r="I228" s="3">
        <f t="shared" si="24"/>
        <v>-1.5253976219696819E-3</v>
      </c>
      <c r="K228" s="12" t="str">
        <f>IF(AND(G228=1,G227&lt;&gt;1),MAX($K$50:K227)+1,"")</f>
        <v/>
      </c>
      <c r="L228" s="13" t="str">
        <f>IF(AND(G228&lt;&gt;1,G227=1),MAX($L$50:L227)+1,"")</f>
        <v/>
      </c>
      <c r="M228" s="13" t="str">
        <f>IF(AND(G228=-1,G227&lt;&gt;-1),MAX($M$50:M227)+1,"")</f>
        <v/>
      </c>
      <c r="N228" s="13" t="str">
        <f>IF(AND(G228&lt;&gt;-1,G227=-1),MAX($N$50:N227)+1,"")</f>
        <v/>
      </c>
      <c r="T228" s="7">
        <f t="shared" si="25"/>
        <v>90.635215496769078</v>
      </c>
      <c r="U228" s="1">
        <f t="shared" si="26"/>
        <v>105.5813880175905</v>
      </c>
    </row>
    <row r="229" spans="1:21" x14ac:dyDescent="0.3">
      <c r="A229" s="2">
        <v>40505</v>
      </c>
      <c r="B229" s="1">
        <v>1980.89</v>
      </c>
      <c r="C229" s="2">
        <f t="shared" si="18"/>
        <v>40505</v>
      </c>
      <c r="D229" s="1">
        <f t="shared" si="19"/>
        <v>1980.89</v>
      </c>
      <c r="E229" s="4">
        <f t="shared" si="20"/>
        <v>1964.5502000000001</v>
      </c>
      <c r="F229" s="3">
        <f t="shared" si="21"/>
        <v>1.0083173237314067</v>
      </c>
      <c r="G229" s="18">
        <f t="shared" si="22"/>
        <v>1</v>
      </c>
      <c r="H229" s="3">
        <f t="shared" si="23"/>
        <v>-1.4247183406982722E-2</v>
      </c>
      <c r="I229" s="3">
        <f t="shared" si="24"/>
        <v>-1.4247183406982722E-2</v>
      </c>
      <c r="K229" s="12" t="str">
        <f>IF(AND(G229=1,G228&lt;&gt;1),MAX($K$50:K228)+1,"")</f>
        <v/>
      </c>
      <c r="L229" s="13" t="str">
        <f>IF(AND(G229&lt;&gt;1,G228=1),MAX($L$50:L228)+1,"")</f>
        <v/>
      </c>
      <c r="M229" s="13" t="str">
        <f>IF(AND(G229=-1,G228&lt;&gt;-1),MAX($M$50:M228)+1,"")</f>
        <v/>
      </c>
      <c r="N229" s="13" t="str">
        <f>IF(AND(G229&lt;&gt;-1,G228=-1),MAX($N$50:N228)+1,"")</f>
        <v/>
      </c>
      <c r="T229" s="7">
        <f t="shared" si="25"/>
        <v>89.343918958455205</v>
      </c>
      <c r="U229" s="1">
        <f t="shared" si="26"/>
        <v>104.07715061814008</v>
      </c>
    </row>
    <row r="230" spans="1:21" x14ac:dyDescent="0.3">
      <c r="A230" s="2">
        <v>40506</v>
      </c>
      <c r="B230" s="1">
        <v>2010.56</v>
      </c>
      <c r="C230" s="2">
        <f t="shared" si="18"/>
        <v>40506</v>
      </c>
      <c r="D230" s="1">
        <f t="shared" si="19"/>
        <v>2010.56</v>
      </c>
      <c r="E230" s="4">
        <f t="shared" si="20"/>
        <v>1967.1466000000003</v>
      </c>
      <c r="F230" s="3">
        <f t="shared" si="21"/>
        <v>1.0220692245305967</v>
      </c>
      <c r="G230" s="18">
        <f t="shared" si="22"/>
        <v>1</v>
      </c>
      <c r="H230" s="3">
        <f t="shared" si="23"/>
        <v>1.4978115897399613E-2</v>
      </c>
      <c r="I230" s="3">
        <f t="shared" si="24"/>
        <v>1.4978115897399613E-2</v>
      </c>
      <c r="K230" s="12" t="str">
        <f>IF(AND(G230=1,G229&lt;&gt;1),MAX($K$50:K229)+1,"")</f>
        <v/>
      </c>
      <c r="L230" s="13" t="str">
        <f>IF(AND(G230&lt;&gt;1,G229=1),MAX($L$50:L229)+1,"")</f>
        <v/>
      </c>
      <c r="M230" s="13" t="str">
        <f>IF(AND(G230=-1,G229&lt;&gt;-1),MAX($M$50:M229)+1,"")</f>
        <v/>
      </c>
      <c r="N230" s="13" t="str">
        <f>IF(AND(G230&lt;&gt;-1,G229=-1),MAX($N$50:N229)+1,"")</f>
        <v/>
      </c>
      <c r="T230" s="7">
        <f t="shared" si="25"/>
        <v>90.682122531342827</v>
      </c>
      <c r="U230" s="1">
        <f t="shared" si="26"/>
        <v>105.6360302423697</v>
      </c>
    </row>
    <row r="231" spans="1:21" x14ac:dyDescent="0.3">
      <c r="A231" s="2">
        <v>40508</v>
      </c>
      <c r="B231" s="1">
        <v>1996.03</v>
      </c>
      <c r="C231" s="2">
        <f t="shared" si="18"/>
        <v>40508</v>
      </c>
      <c r="D231" s="1">
        <f t="shared" si="19"/>
        <v>1996.03</v>
      </c>
      <c r="E231" s="4">
        <f t="shared" si="20"/>
        <v>1969.4598000000003</v>
      </c>
      <c r="F231" s="3">
        <f t="shared" si="21"/>
        <v>1.0134911106080966</v>
      </c>
      <c r="G231" s="18">
        <f t="shared" si="22"/>
        <v>1</v>
      </c>
      <c r="H231" s="3">
        <f t="shared" si="23"/>
        <v>-7.2268422727995718E-3</v>
      </c>
      <c r="I231" s="3">
        <f t="shared" si="24"/>
        <v>-7.2268422727995718E-3</v>
      </c>
      <c r="K231" s="12" t="str">
        <f>IF(AND(G231=1,G230&lt;&gt;1),MAX($K$50:K230)+1,"")</f>
        <v/>
      </c>
      <c r="L231" s="13" t="str">
        <f>IF(AND(G231&lt;&gt;1,G230=1),MAX($L$50:L230)+1,"")</f>
        <v/>
      </c>
      <c r="M231" s="13" t="str">
        <f>IF(AND(G231=-1,G230&lt;&gt;-1),MAX($M$50:M230)+1,"")</f>
        <v/>
      </c>
      <c r="N231" s="13" t="str">
        <f>IF(AND(G231&lt;&gt;-1,G230=-1),MAX($N$50:N230)+1,"")</f>
        <v/>
      </c>
      <c r="T231" s="7">
        <f t="shared" si="25"/>
        <v>90.026777134846128</v>
      </c>
      <c r="U231" s="1">
        <f t="shared" si="26"/>
        <v>104.87261531348341</v>
      </c>
    </row>
    <row r="232" spans="1:21" x14ac:dyDescent="0.3">
      <c r="A232" s="2">
        <v>40511</v>
      </c>
      <c r="B232" s="1">
        <v>1993.83</v>
      </c>
      <c r="C232" s="2">
        <f t="shared" si="18"/>
        <v>40511</v>
      </c>
      <c r="D232" s="1">
        <f t="shared" si="19"/>
        <v>1993.83</v>
      </c>
      <c r="E232" s="4">
        <f t="shared" si="20"/>
        <v>1971.6978000000006</v>
      </c>
      <c r="F232" s="3">
        <f t="shared" si="21"/>
        <v>1.0112249453237709</v>
      </c>
      <c r="G232" s="18">
        <f t="shared" si="22"/>
        <v>1</v>
      </c>
      <c r="H232" s="3">
        <f t="shared" si="23"/>
        <v>-1.1021878428680854E-3</v>
      </c>
      <c r="I232" s="3">
        <f t="shared" si="24"/>
        <v>-1.1021878428680854E-3</v>
      </c>
      <c r="K232" s="12" t="str">
        <f>IF(AND(G232=1,G231&lt;&gt;1),MAX($K$50:K231)+1,"")</f>
        <v/>
      </c>
      <c r="L232" s="13" t="str">
        <f>IF(AND(G232&lt;&gt;1,G231=1),MAX($L$50:L231)+1,"")</f>
        <v/>
      </c>
      <c r="M232" s="13" t="str">
        <f>IF(AND(G232=-1,G231&lt;&gt;-1),MAX($M$50:M231)+1,"")</f>
        <v/>
      </c>
      <c r="N232" s="13" t="str">
        <f>IF(AND(G232&lt;&gt;-1,G231=-1),MAX($N$50:N231)+1,"")</f>
        <v/>
      </c>
      <c r="T232" s="7">
        <f t="shared" si="25"/>
        <v>89.927550715555512</v>
      </c>
      <c r="U232" s="1">
        <f t="shared" si="26"/>
        <v>104.75702599183509</v>
      </c>
    </row>
    <row r="233" spans="1:21" x14ac:dyDescent="0.3">
      <c r="A233" s="2">
        <v>40512</v>
      </c>
      <c r="B233" s="1">
        <v>1981.84</v>
      </c>
      <c r="C233" s="2">
        <f t="shared" si="18"/>
        <v>40512</v>
      </c>
      <c r="D233" s="1">
        <f t="shared" si="19"/>
        <v>1981.84</v>
      </c>
      <c r="E233" s="4">
        <f t="shared" si="20"/>
        <v>1973.1226000000004</v>
      </c>
      <c r="F233" s="3">
        <f t="shared" si="21"/>
        <v>1.0044180731597721</v>
      </c>
      <c r="G233" s="18">
        <f t="shared" si="22"/>
        <v>1</v>
      </c>
      <c r="H233" s="3">
        <f t="shared" si="23"/>
        <v>-6.0135518073256566E-3</v>
      </c>
      <c r="I233" s="3">
        <f t="shared" si="24"/>
        <v>-6.0135518073256566E-3</v>
      </c>
      <c r="K233" s="12" t="str">
        <f>IF(AND(G233=1,G232&lt;&gt;1),MAX($K$50:K232)+1,"")</f>
        <v/>
      </c>
      <c r="L233" s="13" t="str">
        <f>IF(AND(G233&lt;&gt;1,G232=1),MAX($L$50:L232)+1,"")</f>
        <v/>
      </c>
      <c r="M233" s="13" t="str">
        <f>IF(AND(G233=-1,G232&lt;&gt;-1),MAX($M$50:M232)+1,"")</f>
        <v/>
      </c>
      <c r="N233" s="13" t="str">
        <f>IF(AND(G233&lt;&gt;-1,G232=-1),MAX($N$50:N232)+1,"")</f>
        <v/>
      </c>
      <c r="T233" s="7">
        <f t="shared" si="25"/>
        <v>89.386766730421613</v>
      </c>
      <c r="U233" s="1">
        <f t="shared" si="26"/>
        <v>104.12706418885183</v>
      </c>
    </row>
    <row r="234" spans="1:21" x14ac:dyDescent="0.3">
      <c r="A234" s="2">
        <v>40513</v>
      </c>
      <c r="B234" s="1">
        <v>2024.97</v>
      </c>
      <c r="C234" s="2">
        <f t="shared" si="18"/>
        <v>40513</v>
      </c>
      <c r="D234" s="1">
        <f t="shared" si="19"/>
        <v>2024.97</v>
      </c>
      <c r="E234" s="4">
        <f t="shared" si="20"/>
        <v>1975.5072000000002</v>
      </c>
      <c r="F234" s="3">
        <f t="shared" si="21"/>
        <v>1.0250380256776588</v>
      </c>
      <c r="G234" s="18">
        <f t="shared" si="22"/>
        <v>1</v>
      </c>
      <c r="H234" s="3">
        <f t="shared" si="23"/>
        <v>2.1762604448391398E-2</v>
      </c>
      <c r="I234" s="3">
        <f t="shared" si="24"/>
        <v>2.1762604448391398E-2</v>
      </c>
      <c r="K234" s="12" t="str">
        <f>IF(AND(G234=1,G233&lt;&gt;1),MAX($K$50:K233)+1,"")</f>
        <v/>
      </c>
      <c r="L234" s="13" t="str">
        <f>IF(AND(G234&lt;&gt;1,G233=1),MAX($L$50:L233)+1,"")</f>
        <v/>
      </c>
      <c r="M234" s="13" t="str">
        <f>IF(AND(G234=-1,G233&lt;&gt;-1),MAX($M$50:M233)+1,"")</f>
        <v/>
      </c>
      <c r="N234" s="13" t="str">
        <f>IF(AND(G234&lt;&gt;-1,G233=-1),MAX($N$50:N233)+1,"")</f>
        <v/>
      </c>
      <c r="T234" s="7">
        <f t="shared" si="25"/>
        <v>91.332055577696408</v>
      </c>
      <c r="U234" s="1">
        <f t="shared" si="26"/>
        <v>106.39314029916608</v>
      </c>
    </row>
    <row r="235" spans="1:21" x14ac:dyDescent="0.3">
      <c r="A235" s="2">
        <v>40514</v>
      </c>
      <c r="B235" s="1">
        <v>2050.96</v>
      </c>
      <c r="C235" s="2">
        <f t="shared" si="18"/>
        <v>40514</v>
      </c>
      <c r="D235" s="1">
        <f t="shared" si="19"/>
        <v>2050.96</v>
      </c>
      <c r="E235" s="4">
        <f t="shared" si="20"/>
        <v>1978.5910000000003</v>
      </c>
      <c r="F235" s="3">
        <f t="shared" si="21"/>
        <v>1.0365760280927183</v>
      </c>
      <c r="G235" s="18">
        <f t="shared" si="22"/>
        <v>1</v>
      </c>
      <c r="H235" s="3">
        <f t="shared" si="23"/>
        <v>1.2834758045798145E-2</v>
      </c>
      <c r="I235" s="3">
        <f t="shared" si="24"/>
        <v>1.2834758045798145E-2</v>
      </c>
      <c r="K235" s="12" t="str">
        <f>IF(AND(G235=1,G234&lt;&gt;1),MAX($K$50:K234)+1,"")</f>
        <v/>
      </c>
      <c r="L235" s="13" t="str">
        <f>IF(AND(G235&lt;&gt;1,G234=1),MAX($L$50:L234)+1,"")</f>
        <v/>
      </c>
      <c r="M235" s="13" t="str">
        <f>IF(AND(G235=-1,G234&lt;&gt;-1),MAX($M$50:M234)+1,"")</f>
        <v/>
      </c>
      <c r="N235" s="13" t="str">
        <f>IF(AND(G235&lt;&gt;-1,G234=-1),MAX($N$50:N234)+1,"")</f>
        <v/>
      </c>
      <c r="T235" s="7">
        <f t="shared" si="25"/>
        <v>92.504280412861533</v>
      </c>
      <c r="U235" s="1">
        <f t="shared" si="26"/>
        <v>107.75867051263855</v>
      </c>
    </row>
    <row r="236" spans="1:21" x14ac:dyDescent="0.3">
      <c r="A236" s="2">
        <v>40515</v>
      </c>
      <c r="B236" s="1">
        <v>2056.4</v>
      </c>
      <c r="C236" s="2">
        <f t="shared" si="18"/>
        <v>40515</v>
      </c>
      <c r="D236" s="1">
        <f t="shared" si="19"/>
        <v>2056.4</v>
      </c>
      <c r="E236" s="4">
        <f t="shared" si="20"/>
        <v>1982.0996000000002</v>
      </c>
      <c r="F236" s="3">
        <f t="shared" si="21"/>
        <v>1.0374857045528891</v>
      </c>
      <c r="G236" s="18">
        <f t="shared" si="22"/>
        <v>1</v>
      </c>
      <c r="H236" s="3">
        <f t="shared" si="23"/>
        <v>2.6524164293795227E-3</v>
      </c>
      <c r="I236" s="3">
        <f t="shared" si="24"/>
        <v>2.6524164293795227E-3</v>
      </c>
      <c r="K236" s="12" t="str">
        <f>IF(AND(G236=1,G235&lt;&gt;1),MAX($K$50:K235)+1,"")</f>
        <v/>
      </c>
      <c r="L236" s="13" t="str">
        <f>IF(AND(G236&lt;&gt;1,G235=1),MAX($L$50:L235)+1,"")</f>
        <v/>
      </c>
      <c r="M236" s="13" t="str">
        <f>IF(AND(G236=-1,G235&lt;&gt;-1),MAX($M$50:M235)+1,"")</f>
        <v/>
      </c>
      <c r="N236" s="13" t="str">
        <f>IF(AND(G236&lt;&gt;-1,G235=-1),MAX($N$50:N235)+1,"")</f>
        <v/>
      </c>
      <c r="T236" s="7">
        <f t="shared" si="25"/>
        <v>92.749640286016543</v>
      </c>
      <c r="U236" s="1">
        <f t="shared" si="26"/>
        <v>108.04449138071436</v>
      </c>
    </row>
    <row r="237" spans="1:21" x14ac:dyDescent="0.3">
      <c r="A237" s="2">
        <v>40518</v>
      </c>
      <c r="B237" s="1">
        <v>2053.8000000000002</v>
      </c>
      <c r="C237" s="2">
        <f t="shared" si="18"/>
        <v>40518</v>
      </c>
      <c r="D237" s="1">
        <f t="shared" si="19"/>
        <v>2053.8000000000002</v>
      </c>
      <c r="E237" s="4">
        <f t="shared" si="20"/>
        <v>1984.7588000000003</v>
      </c>
      <c r="F237" s="3">
        <f t="shared" si="21"/>
        <v>1.0347856878125443</v>
      </c>
      <c r="G237" s="18">
        <f t="shared" si="22"/>
        <v>1</v>
      </c>
      <c r="H237" s="3">
        <f t="shared" si="23"/>
        <v>-1.2643454580820723E-3</v>
      </c>
      <c r="I237" s="3">
        <f t="shared" si="24"/>
        <v>-1.2643454580820723E-3</v>
      </c>
      <c r="K237" s="12" t="str">
        <f>IF(AND(G237=1,G236&lt;&gt;1),MAX($K$50:K236)+1,"")</f>
        <v/>
      </c>
      <c r="L237" s="13" t="str">
        <f>IF(AND(G237&lt;&gt;1,G236=1),MAX($L$50:L236)+1,"")</f>
        <v/>
      </c>
      <c r="M237" s="13" t="str">
        <f>IF(AND(G237=-1,G236&lt;&gt;-1),MAX($M$50:M236)+1,"")</f>
        <v/>
      </c>
      <c r="N237" s="13" t="str">
        <f>IF(AND(G237&lt;&gt;-1,G236=-1),MAX($N$50:N236)+1,"")</f>
        <v/>
      </c>
      <c r="T237" s="7">
        <f t="shared" si="25"/>
        <v>92.632372699582177</v>
      </c>
      <c r="U237" s="1">
        <f t="shared" si="26"/>
        <v>107.90788581876637</v>
      </c>
    </row>
    <row r="238" spans="1:21" x14ac:dyDescent="0.3">
      <c r="A238" s="2">
        <v>40519</v>
      </c>
      <c r="B238" s="1">
        <v>2054.89</v>
      </c>
      <c r="C238" s="2">
        <f t="shared" si="18"/>
        <v>40519</v>
      </c>
      <c r="D238" s="1">
        <f t="shared" si="19"/>
        <v>2054.89</v>
      </c>
      <c r="E238" s="4">
        <f t="shared" si="20"/>
        <v>1987.6570000000004</v>
      </c>
      <c r="F238" s="3">
        <f t="shared" si="21"/>
        <v>1.0338252525460878</v>
      </c>
      <c r="G238" s="18">
        <f t="shared" si="22"/>
        <v>1</v>
      </c>
      <c r="H238" s="3">
        <f t="shared" si="23"/>
        <v>5.3072353685834628E-4</v>
      </c>
      <c r="I238" s="3">
        <f t="shared" si="24"/>
        <v>5.3072353685834628E-4</v>
      </c>
      <c r="K238" s="12" t="str">
        <f>IF(AND(G238=1,G237&lt;&gt;1),MAX($K$50:K237)+1,"")</f>
        <v/>
      </c>
      <c r="L238" s="13" t="str">
        <f>IF(AND(G238&lt;&gt;1,G237=1),MAX($L$50:L237)+1,"")</f>
        <v/>
      </c>
      <c r="M238" s="13" t="str">
        <f>IF(AND(G238=-1,G237&lt;&gt;-1),MAX($M$50:M237)+1,"")</f>
        <v/>
      </c>
      <c r="N238" s="13" t="str">
        <f>IF(AND(G238&lt;&gt;-1,G237=-1),MAX($N$50:N237)+1,"")</f>
        <v/>
      </c>
      <c r="T238" s="7">
        <f t="shared" si="25"/>
        <v>92.681534880048886</v>
      </c>
      <c r="U238" s="1">
        <f t="shared" si="26"/>
        <v>107.96515507358302</v>
      </c>
    </row>
    <row r="239" spans="1:21" x14ac:dyDescent="0.3">
      <c r="A239" s="2">
        <v>40520</v>
      </c>
      <c r="B239" s="1">
        <v>2063.0300000000002</v>
      </c>
      <c r="C239" s="2">
        <f t="shared" si="18"/>
        <v>40520</v>
      </c>
      <c r="D239" s="1">
        <f t="shared" si="19"/>
        <v>2063.0300000000002</v>
      </c>
      <c r="E239" s="4">
        <f t="shared" si="20"/>
        <v>1990.5257999999999</v>
      </c>
      <c r="F239" s="3">
        <f t="shared" si="21"/>
        <v>1.0364246471962335</v>
      </c>
      <c r="G239" s="18">
        <f t="shared" si="22"/>
        <v>1</v>
      </c>
      <c r="H239" s="3">
        <f t="shared" si="23"/>
        <v>3.961282599068694E-3</v>
      </c>
      <c r="I239" s="3">
        <f t="shared" si="24"/>
        <v>3.961282599068694E-3</v>
      </c>
      <c r="K239" s="12" t="str">
        <f>IF(AND(G239=1,G238&lt;&gt;1),MAX($K$50:K238)+1,"")</f>
        <v/>
      </c>
      <c r="L239" s="13" t="str">
        <f>IF(AND(G239&lt;&gt;1,G238=1),MAX($L$50:L238)+1,"")</f>
        <v/>
      </c>
      <c r="M239" s="13" t="str">
        <f>IF(AND(G239=-1,G238&lt;&gt;-1),MAX($M$50:M238)+1,"")</f>
        <v/>
      </c>
      <c r="N239" s="13" t="str">
        <f>IF(AND(G239&lt;&gt;-1,G238=-1),MAX($N$50:N238)+1,"")</f>
        <v/>
      </c>
      <c r="T239" s="7">
        <f t="shared" si="25"/>
        <v>93.048672631424196</v>
      </c>
      <c r="U239" s="1">
        <f t="shared" si="26"/>
        <v>108.39283556368176</v>
      </c>
    </row>
    <row r="240" spans="1:21" x14ac:dyDescent="0.3">
      <c r="A240" s="2">
        <v>40521</v>
      </c>
      <c r="B240" s="1">
        <v>2071.12</v>
      </c>
      <c r="C240" s="2">
        <f t="shared" si="18"/>
        <v>40521</v>
      </c>
      <c r="D240" s="1">
        <f t="shared" si="19"/>
        <v>2071.12</v>
      </c>
      <c r="E240" s="4">
        <f t="shared" si="20"/>
        <v>1993.6514000000002</v>
      </c>
      <c r="F240" s="3">
        <f t="shared" si="21"/>
        <v>1.0388576458251426</v>
      </c>
      <c r="G240" s="18">
        <f t="shared" si="22"/>
        <v>1</v>
      </c>
      <c r="H240" s="3">
        <f t="shared" si="23"/>
        <v>3.9214165571996862E-3</v>
      </c>
      <c r="I240" s="3">
        <f t="shared" si="24"/>
        <v>3.9214165571996862E-3</v>
      </c>
      <c r="K240" s="12" t="str">
        <f>IF(AND(G240=1,G239&lt;&gt;1),MAX($K$50:K239)+1,"")</f>
        <v/>
      </c>
      <c r="L240" s="13" t="str">
        <f>IF(AND(G240&lt;&gt;1,G239=1),MAX($L$50:L239)+1,"")</f>
        <v/>
      </c>
      <c r="M240" s="13" t="str">
        <f>IF(AND(G240=-1,G239&lt;&gt;-1),MAX($M$50:M239)+1,"")</f>
        <v/>
      </c>
      <c r="N240" s="13" t="str">
        <f>IF(AND(G240&lt;&gt;-1,G239=-1),MAX($N$50:N239)+1,"")</f>
        <v/>
      </c>
      <c r="T240" s="7">
        <f t="shared" si="25"/>
        <v>93.413555236906518</v>
      </c>
      <c r="U240" s="1">
        <f t="shared" si="26"/>
        <v>108.81788902374301</v>
      </c>
    </row>
    <row r="241" spans="1:21" x14ac:dyDescent="0.3">
      <c r="A241" s="2">
        <v>40522</v>
      </c>
      <c r="B241" s="1">
        <v>2083.5700000000002</v>
      </c>
      <c r="C241" s="2">
        <f t="shared" si="18"/>
        <v>40522</v>
      </c>
      <c r="D241" s="1">
        <f t="shared" si="19"/>
        <v>2083.5700000000002</v>
      </c>
      <c r="E241" s="4">
        <f t="shared" si="20"/>
        <v>1997.1438000000001</v>
      </c>
      <c r="F241" s="3">
        <f t="shared" si="21"/>
        <v>1.0432749008859552</v>
      </c>
      <c r="G241" s="18">
        <f t="shared" si="22"/>
        <v>1</v>
      </c>
      <c r="H241" s="3">
        <f t="shared" si="23"/>
        <v>6.011240295106246E-3</v>
      </c>
      <c r="I241" s="3">
        <f t="shared" si="24"/>
        <v>6.011240295106246E-3</v>
      </c>
      <c r="K241" s="12" t="str">
        <f>IF(AND(G241=1,G240&lt;&gt;1),MAX($K$50:K240)+1,"")</f>
        <v/>
      </c>
      <c r="L241" s="13" t="str">
        <f>IF(AND(G241&lt;&gt;1,G240=1),MAX($L$50:L240)+1,"")</f>
        <v/>
      </c>
      <c r="M241" s="13" t="str">
        <f>IF(AND(G241=-1,G240&lt;&gt;-1),MAX($M$50:M240)+1,"")</f>
        <v/>
      </c>
      <c r="N241" s="13" t="str">
        <f>IF(AND(G241&lt;&gt;-1,G240=-1),MAX($N$50:N240)+1,"")</f>
        <v/>
      </c>
      <c r="T241" s="7">
        <f t="shared" si="25"/>
        <v>93.975086564255747</v>
      </c>
      <c r="U241" s="1">
        <f t="shared" si="26"/>
        <v>109.47201950307092</v>
      </c>
    </row>
    <row r="242" spans="1:21" x14ac:dyDescent="0.3">
      <c r="A242" s="2">
        <v>40525</v>
      </c>
      <c r="B242" s="1">
        <v>2084</v>
      </c>
      <c r="C242" s="2">
        <f t="shared" si="18"/>
        <v>40525</v>
      </c>
      <c r="D242" s="1">
        <f t="shared" si="19"/>
        <v>2084</v>
      </c>
      <c r="E242" s="4">
        <f t="shared" si="20"/>
        <v>2000.4754</v>
      </c>
      <c r="F242" s="3">
        <f t="shared" si="21"/>
        <v>1.041752375460353</v>
      </c>
      <c r="G242" s="18">
        <f t="shared" si="22"/>
        <v>1</v>
      </c>
      <c r="H242" s="3">
        <f t="shared" si="23"/>
        <v>2.0637655562327772E-4</v>
      </c>
      <c r="I242" s="3">
        <f t="shared" si="24"/>
        <v>2.0637655562327772E-4</v>
      </c>
      <c r="K242" s="12" t="str">
        <f>IF(AND(G242=1,G241&lt;&gt;1),MAX($K$50:K241)+1,"")</f>
        <v/>
      </c>
      <c r="L242" s="13" t="str">
        <f>IF(AND(G242&lt;&gt;1,G241=1),MAX($L$50:L241)+1,"")</f>
        <v/>
      </c>
      <c r="M242" s="13" t="str">
        <f>IF(AND(G242=-1,G241&lt;&gt;-1),MAX($M$50:M241)+1,"")</f>
        <v/>
      </c>
      <c r="N242" s="13" t="str">
        <f>IF(AND(G242&lt;&gt;-1,G241=-1),MAX($N$50:N241)+1,"")</f>
        <v/>
      </c>
      <c r="T242" s="7">
        <f t="shared" si="25"/>
        <v>93.994480818935273</v>
      </c>
      <c r="U242" s="1">
        <f t="shared" si="26"/>
        <v>109.49461196139309</v>
      </c>
    </row>
    <row r="243" spans="1:21" x14ac:dyDescent="0.3">
      <c r="A243" s="2">
        <v>40526</v>
      </c>
      <c r="B243" s="1">
        <v>2085.9299999999998</v>
      </c>
      <c r="C243" s="2">
        <f t="shared" si="18"/>
        <v>40526</v>
      </c>
      <c r="D243" s="1">
        <f t="shared" si="19"/>
        <v>2085.9299999999998</v>
      </c>
      <c r="E243" s="4">
        <f t="shared" si="20"/>
        <v>2004.1510000000001</v>
      </c>
      <c r="F243" s="3">
        <f t="shared" si="21"/>
        <v>1.0408048096176385</v>
      </c>
      <c r="G243" s="18">
        <f t="shared" si="22"/>
        <v>1</v>
      </c>
      <c r="H243" s="3">
        <f t="shared" si="23"/>
        <v>9.2610364683287649E-4</v>
      </c>
      <c r="I243" s="3">
        <f t="shared" si="24"/>
        <v>9.2610364683287649E-4</v>
      </c>
      <c r="K243" s="12" t="str">
        <f>IF(AND(G243=1,G242&lt;&gt;1),MAX($K$50:K242)+1,"")</f>
        <v/>
      </c>
      <c r="L243" s="13" t="str">
        <f>IF(AND(G243&lt;&gt;1,G242=1),MAX($L$50:L242)+1,"")</f>
        <v/>
      </c>
      <c r="M243" s="13" t="str">
        <f>IF(AND(G243=-1,G242&lt;&gt;-1),MAX($M$50:M242)+1,"")</f>
        <v/>
      </c>
      <c r="N243" s="13" t="str">
        <f>IF(AND(G243&lt;&gt;-1,G242=-1),MAX($N$50:N242)+1,"")</f>
        <v/>
      </c>
      <c r="T243" s="7">
        <f t="shared" si="25"/>
        <v>94.081529450403849</v>
      </c>
      <c r="U243" s="1">
        <f t="shared" si="26"/>
        <v>109.59601532083909</v>
      </c>
    </row>
    <row r="244" spans="1:21" x14ac:dyDescent="0.3">
      <c r="A244" s="2">
        <v>40527</v>
      </c>
      <c r="B244" s="1">
        <v>2075.29</v>
      </c>
      <c r="C244" s="2">
        <f t="shared" ref="C244:C307" si="27">A244</f>
        <v>40527</v>
      </c>
      <c r="D244" s="1">
        <f t="shared" ref="D244:D307" si="28">B244</f>
        <v>2075.29</v>
      </c>
      <c r="E244" s="4">
        <f t="shared" ref="E244:E307" si="29">AVERAGE(B195:B244)</f>
        <v>2006.8203999999998</v>
      </c>
      <c r="F244" s="3">
        <f t="shared" ref="F244:F307" si="30">D244/E244</f>
        <v>1.034118449264319</v>
      </c>
      <c r="G244" s="18">
        <f t="shared" ref="G244:G307" si="31">IF(F244&gt;=$Q$51,1,IF(F244&lt;=$Q$52,-1,0))</f>
        <v>1</v>
      </c>
      <c r="H244" s="3">
        <f t="shared" si="23"/>
        <v>-5.1008423101446265E-3</v>
      </c>
      <c r="I244" s="3">
        <f t="shared" si="24"/>
        <v>-5.1008423101446265E-3</v>
      </c>
      <c r="K244" s="12" t="str">
        <f>IF(AND(G244=1,G243&lt;&gt;1),MAX($K$50:K243)+1,"")</f>
        <v/>
      </c>
      <c r="L244" s="13" t="str">
        <f>IF(AND(G244&lt;&gt;1,G243=1),MAX($L$50:L243)+1,"")</f>
        <v/>
      </c>
      <c r="M244" s="13" t="str">
        <f>IF(AND(G244=-1,G243&lt;&gt;-1),MAX($M$50:M243)+1,"")</f>
        <v/>
      </c>
      <c r="N244" s="13" t="str">
        <f>IF(AND(G244&lt;&gt;-1,G243=-1),MAX($N$50:N243)+1,"")</f>
        <v/>
      </c>
      <c r="T244" s="7">
        <f t="shared" si="25"/>
        <v>93.601634404380107</v>
      </c>
      <c r="U244" s="1">
        <f t="shared" si="26"/>
        <v>109.03698332886729</v>
      </c>
    </row>
    <row r="245" spans="1:21" x14ac:dyDescent="0.3">
      <c r="A245" s="2">
        <v>40528</v>
      </c>
      <c r="B245" s="1">
        <v>2088.19</v>
      </c>
      <c r="C245" s="2">
        <f t="shared" si="27"/>
        <v>40528</v>
      </c>
      <c r="D245" s="1">
        <f t="shared" si="28"/>
        <v>2088.19</v>
      </c>
      <c r="E245" s="4">
        <f t="shared" si="29"/>
        <v>2009.7541999999999</v>
      </c>
      <c r="F245" s="3">
        <f t="shared" si="30"/>
        <v>1.0390275586934961</v>
      </c>
      <c r="G245" s="18">
        <f t="shared" si="31"/>
        <v>1</v>
      </c>
      <c r="H245" s="3">
        <f t="shared" ref="H245:H308" si="32">D245/D244-1</f>
        <v>6.2159987278886941E-3</v>
      </c>
      <c r="I245" s="3">
        <f t="shared" ref="I245:I308" si="33">G244*H245</f>
        <v>6.2159987278886941E-3</v>
      </c>
      <c r="K245" s="12" t="str">
        <f>IF(AND(G245=1,G244&lt;&gt;1),MAX($K$50:K244)+1,"")</f>
        <v/>
      </c>
      <c r="L245" s="13" t="str">
        <f>IF(AND(G245&lt;&gt;1,G244=1),MAX($L$50:L244)+1,"")</f>
        <v/>
      </c>
      <c r="M245" s="13" t="str">
        <f>IF(AND(G245=-1,G244&lt;&gt;-1),MAX($M$50:M244)+1,"")</f>
        <v/>
      </c>
      <c r="N245" s="13" t="str">
        <f>IF(AND(G245&lt;&gt;-1,G244=-1),MAX($N$50:N244)+1,"")</f>
        <v/>
      </c>
      <c r="T245" s="7">
        <f t="shared" ref="T245:T308" si="34">T244*(1+I245)</f>
        <v>94.183462044766031</v>
      </c>
      <c r="U245" s="1">
        <f t="shared" ref="U245:U308" si="35">U244*D245/D244</f>
        <v>109.71475707853236</v>
      </c>
    </row>
    <row r="246" spans="1:21" x14ac:dyDescent="0.3">
      <c r="A246" s="2">
        <v>40529</v>
      </c>
      <c r="B246" s="1">
        <v>2089.9499999999998</v>
      </c>
      <c r="C246" s="2">
        <f t="shared" si="27"/>
        <v>40529</v>
      </c>
      <c r="D246" s="1">
        <f t="shared" si="28"/>
        <v>2089.9499999999998</v>
      </c>
      <c r="E246" s="4">
        <f t="shared" si="29"/>
        <v>2012.7869999999998</v>
      </c>
      <c r="F246" s="3">
        <f t="shared" si="30"/>
        <v>1.0383363962505721</v>
      </c>
      <c r="G246" s="18">
        <f t="shared" si="31"/>
        <v>1</v>
      </c>
      <c r="H246" s="3">
        <f t="shared" si="32"/>
        <v>8.4283518262218138E-4</v>
      </c>
      <c r="I246" s="3">
        <f t="shared" si="33"/>
        <v>8.4283518262218138E-4</v>
      </c>
      <c r="K246" s="12" t="str">
        <f>IF(AND(G246=1,G245&lt;&gt;1),MAX($K$50:K245)+1,"")</f>
        <v/>
      </c>
      <c r="L246" s="13" t="str">
        <f>IF(AND(G246&lt;&gt;1,G245=1),MAX($L$50:L245)+1,"")</f>
        <v/>
      </c>
      <c r="M246" s="13" t="str">
        <f>IF(AND(G246=-1,G245&lt;&gt;-1),MAX($M$50:M245)+1,"")</f>
        <v/>
      </c>
      <c r="N246" s="13" t="str">
        <f>IF(AND(G246&lt;&gt;-1,G245=-1),MAX($N$50:N245)+1,"")</f>
        <v/>
      </c>
      <c r="T246" s="7">
        <f t="shared" si="34"/>
        <v>94.262843180198516</v>
      </c>
      <c r="U246" s="1">
        <f t="shared" si="35"/>
        <v>109.807228535851</v>
      </c>
    </row>
    <row r="247" spans="1:21" x14ac:dyDescent="0.3">
      <c r="A247" s="2">
        <v>40532</v>
      </c>
      <c r="B247" s="1">
        <v>2095.3200000000002</v>
      </c>
      <c r="C247" s="2">
        <f t="shared" si="27"/>
        <v>40532</v>
      </c>
      <c r="D247" s="1">
        <f t="shared" si="28"/>
        <v>2095.3200000000002</v>
      </c>
      <c r="E247" s="4">
        <f t="shared" si="29"/>
        <v>2015.6898000000001</v>
      </c>
      <c r="F247" s="3">
        <f t="shared" si="30"/>
        <v>1.0395051857681674</v>
      </c>
      <c r="G247" s="18">
        <f t="shared" si="31"/>
        <v>1</v>
      </c>
      <c r="H247" s="3">
        <f t="shared" si="32"/>
        <v>2.5694394602744364E-3</v>
      </c>
      <c r="I247" s="3">
        <f t="shared" si="33"/>
        <v>2.5694394602744364E-3</v>
      </c>
      <c r="K247" s="12" t="str">
        <f>IF(AND(G247=1,G246&lt;&gt;1),MAX($K$50:K246)+1,"")</f>
        <v/>
      </c>
      <c r="L247" s="13" t="str">
        <f>IF(AND(G247&lt;&gt;1,G246=1),MAX($L$50:L246)+1,"")</f>
        <v/>
      </c>
      <c r="M247" s="13" t="str">
        <f>IF(AND(G247=-1,G246&lt;&gt;-1),MAX($M$50:M246)+1,"")</f>
        <v/>
      </c>
      <c r="N247" s="13" t="str">
        <f>IF(AND(G247&lt;&gt;-1,G246=-1),MAX($N$50:N246)+1,"")</f>
        <v/>
      </c>
      <c r="T247" s="7">
        <f t="shared" si="34"/>
        <v>94.505045849103382</v>
      </c>
      <c r="U247" s="1">
        <f t="shared" si="35"/>
        <v>110.08937156187437</v>
      </c>
    </row>
    <row r="248" spans="1:21" x14ac:dyDescent="0.3">
      <c r="A248" s="2">
        <v>40533</v>
      </c>
      <c r="B248" s="1">
        <v>2108.2600000000002</v>
      </c>
      <c r="C248" s="2">
        <f t="shared" si="27"/>
        <v>40533</v>
      </c>
      <c r="D248" s="1">
        <f t="shared" si="28"/>
        <v>2108.2600000000002</v>
      </c>
      <c r="E248" s="4">
        <f t="shared" si="29"/>
        <v>2018.8455999999999</v>
      </c>
      <c r="F248" s="3">
        <f t="shared" si="30"/>
        <v>1.0442898654557835</v>
      </c>
      <c r="G248" s="18">
        <f t="shared" si="31"/>
        <v>1</v>
      </c>
      <c r="H248" s="3">
        <f t="shared" si="32"/>
        <v>6.1756676784452402E-3</v>
      </c>
      <c r="I248" s="3">
        <f t="shared" si="33"/>
        <v>6.1756676784452402E-3</v>
      </c>
      <c r="K248" s="12" t="str">
        <f>IF(AND(G248=1,G247&lt;&gt;1),MAX($K$50:K247)+1,"")</f>
        <v/>
      </c>
      <c r="L248" s="13" t="str">
        <f>IF(AND(G248&lt;&gt;1,G247=1),MAX($L$50:L247)+1,"")</f>
        <v/>
      </c>
      <c r="M248" s="13" t="str">
        <f>IF(AND(G248=-1,G247&lt;&gt;-1),MAX($M$50:M247)+1,"")</f>
        <v/>
      </c>
      <c r="N248" s="13" t="str">
        <f>IF(AND(G248&lt;&gt;-1,G247=-1),MAX($N$50:N247)+1,"")</f>
        <v/>
      </c>
      <c r="T248" s="7">
        <f t="shared" si="34"/>
        <v>95.088677606203674</v>
      </c>
      <c r="U248" s="1">
        <f t="shared" si="35"/>
        <v>110.7692469355694</v>
      </c>
    </row>
    <row r="249" spans="1:21" x14ac:dyDescent="0.3">
      <c r="A249" s="2">
        <v>40534</v>
      </c>
      <c r="B249" s="1">
        <v>2115.69</v>
      </c>
      <c r="C249" s="2">
        <f t="shared" si="27"/>
        <v>40534</v>
      </c>
      <c r="D249" s="1">
        <f t="shared" si="28"/>
        <v>2115.69</v>
      </c>
      <c r="E249" s="4">
        <f t="shared" si="29"/>
        <v>2022.0009999999997</v>
      </c>
      <c r="F249" s="3">
        <f t="shared" si="30"/>
        <v>1.0463347940975303</v>
      </c>
      <c r="G249" s="18">
        <f t="shared" si="31"/>
        <v>1</v>
      </c>
      <c r="H249" s="3">
        <f t="shared" si="32"/>
        <v>3.524233253962894E-3</v>
      </c>
      <c r="I249" s="3">
        <f t="shared" si="33"/>
        <v>3.524233253962894E-3</v>
      </c>
      <c r="K249" s="12" t="str">
        <f>IF(AND(G249=1,G248&lt;&gt;1),MAX($K$50:K248)+1,"")</f>
        <v/>
      </c>
      <c r="L249" s="13" t="str">
        <f>IF(AND(G249&lt;&gt;1,G248=1),MAX($L$50:L248)+1,"")</f>
        <v/>
      </c>
      <c r="M249" s="13" t="str">
        <f>IF(AND(G249=-1,G248&lt;&gt;-1),MAX($M$50:M248)+1,"")</f>
        <v/>
      </c>
      <c r="N249" s="13" t="str">
        <f>IF(AND(G249&lt;&gt;-1,G248=-1),MAX($N$50:N248)+1,"")</f>
        <v/>
      </c>
      <c r="T249" s="7">
        <f t="shared" si="34"/>
        <v>95.423792285898813</v>
      </c>
      <c r="U249" s="1">
        <f t="shared" si="35"/>
        <v>111.15962359913615</v>
      </c>
    </row>
    <row r="250" spans="1:21" x14ac:dyDescent="0.3">
      <c r="A250" s="2">
        <v>40535</v>
      </c>
      <c r="B250" s="1">
        <v>2112.37</v>
      </c>
      <c r="C250" s="2">
        <f t="shared" si="27"/>
        <v>40535</v>
      </c>
      <c r="D250" s="1">
        <f t="shared" si="28"/>
        <v>2112.37</v>
      </c>
      <c r="E250" s="4">
        <f t="shared" si="29"/>
        <v>2024.8067999999998</v>
      </c>
      <c r="F250" s="3">
        <f t="shared" si="30"/>
        <v>1.0432452123333447</v>
      </c>
      <c r="G250" s="18">
        <f t="shared" si="31"/>
        <v>1</v>
      </c>
      <c r="H250" s="3">
        <f t="shared" si="32"/>
        <v>-1.5692280059933505E-3</v>
      </c>
      <c r="I250" s="3">
        <f t="shared" si="33"/>
        <v>-1.5692280059933505E-3</v>
      </c>
      <c r="K250" s="12" t="str">
        <f>IF(AND(G250=1,G249&lt;&gt;1),MAX($K$50:K249)+1,"")</f>
        <v/>
      </c>
      <c r="L250" s="13" t="str">
        <f>IF(AND(G250&lt;&gt;1,G249=1),MAX($L$50:L249)+1,"")</f>
        <v/>
      </c>
      <c r="M250" s="13" t="str">
        <f>IF(AND(G250=-1,G249&lt;&gt;-1),MAX($M$50:M249)+1,"")</f>
        <v/>
      </c>
      <c r="N250" s="13" t="str">
        <f>IF(AND(G250&lt;&gt;-1,G249=-1),MAX($N$50:N249)+1,"")</f>
        <v/>
      </c>
      <c r="T250" s="7">
        <f t="shared" si="34"/>
        <v>95.274050598605683</v>
      </c>
      <c r="U250" s="1">
        <f t="shared" si="35"/>
        <v>110.9851888046487</v>
      </c>
    </row>
    <row r="251" spans="1:21" x14ac:dyDescent="0.3">
      <c r="A251" s="2">
        <v>40539</v>
      </c>
      <c r="B251" s="1">
        <v>2113.67</v>
      </c>
      <c r="C251" s="2">
        <f t="shared" si="27"/>
        <v>40539</v>
      </c>
      <c r="D251" s="1">
        <f t="shared" si="28"/>
        <v>2113.67</v>
      </c>
      <c r="E251" s="4">
        <f t="shared" si="29"/>
        <v>2027.7821999999996</v>
      </c>
      <c r="F251" s="3">
        <f t="shared" si="30"/>
        <v>1.0423555350273814</v>
      </c>
      <c r="G251" s="18">
        <f t="shared" si="31"/>
        <v>1</v>
      </c>
      <c r="H251" s="3">
        <f t="shared" si="32"/>
        <v>6.1542248753787554E-4</v>
      </c>
      <c r="I251" s="3">
        <f t="shared" si="33"/>
        <v>6.1542248753787554E-4</v>
      </c>
      <c r="K251" s="12" t="str">
        <f>IF(AND(G251=1,G250&lt;&gt;1),MAX($K$50:K250)+1,"")</f>
        <v/>
      </c>
      <c r="L251" s="13" t="str">
        <f>IF(AND(G251&lt;&gt;1,G250=1),MAX($L$50:L250)+1,"")</f>
        <v/>
      </c>
      <c r="M251" s="13" t="str">
        <f>IF(AND(G251=-1,G250&lt;&gt;-1),MAX($M$50:M250)+1,"")</f>
        <v/>
      </c>
      <c r="N251" s="13" t="str">
        <f>IF(AND(G251&lt;&gt;-1,G250=-1),MAX($N$50:N250)+1,"")</f>
        <v/>
      </c>
      <c r="T251" s="7">
        <f t="shared" si="34"/>
        <v>95.33268439182288</v>
      </c>
      <c r="U251" s="1">
        <f t="shared" si="35"/>
        <v>111.05349158562271</v>
      </c>
    </row>
    <row r="252" spans="1:21" x14ac:dyDescent="0.3">
      <c r="A252" s="2">
        <v>40540</v>
      </c>
      <c r="B252" s="1">
        <v>2115.3200000000002</v>
      </c>
      <c r="C252" s="2">
        <f t="shared" si="27"/>
        <v>40540</v>
      </c>
      <c r="D252" s="1">
        <f t="shared" si="28"/>
        <v>2115.3200000000002</v>
      </c>
      <c r="E252" s="4">
        <f t="shared" si="29"/>
        <v>2030.7111999999997</v>
      </c>
      <c r="F252" s="3">
        <f t="shared" si="30"/>
        <v>1.0416646148403577</v>
      </c>
      <c r="G252" s="18">
        <f t="shared" si="31"/>
        <v>1</v>
      </c>
      <c r="H252" s="3">
        <f t="shared" si="32"/>
        <v>7.806327383177436E-4</v>
      </c>
      <c r="I252" s="3">
        <f t="shared" si="33"/>
        <v>7.806327383177436E-4</v>
      </c>
      <c r="K252" s="12" t="str">
        <f>IF(AND(G252=1,G251&lt;&gt;1),MAX($K$50:K251)+1,"")</f>
        <v/>
      </c>
      <c r="L252" s="13" t="str">
        <f>IF(AND(G252&lt;&gt;1,G251=1),MAX($L$50:L251)+1,"")</f>
        <v/>
      </c>
      <c r="M252" s="13" t="str">
        <f>IF(AND(G252=-1,G251&lt;&gt;-1),MAX($M$50:M251)+1,"")</f>
        <v/>
      </c>
      <c r="N252" s="13" t="str">
        <f>IF(AND(G252&lt;&gt;-1,G251=-1),MAX($N$50:N251)+1,"")</f>
        <v/>
      </c>
      <c r="T252" s="7">
        <f t="shared" si="34"/>
        <v>95.407104206290853</v>
      </c>
      <c r="U252" s="1">
        <f t="shared" si="35"/>
        <v>111.14018357685895</v>
      </c>
    </row>
    <row r="253" spans="1:21" x14ac:dyDescent="0.3">
      <c r="A253" s="2">
        <v>40541</v>
      </c>
      <c r="B253" s="1">
        <v>2117.83</v>
      </c>
      <c r="C253" s="2">
        <f t="shared" si="27"/>
        <v>40541</v>
      </c>
      <c r="D253" s="1">
        <f t="shared" si="28"/>
        <v>2117.83</v>
      </c>
      <c r="E253" s="4">
        <f t="shared" si="29"/>
        <v>2033.4043999999997</v>
      </c>
      <c r="F253" s="3">
        <f t="shared" si="30"/>
        <v>1.0415193357504293</v>
      </c>
      <c r="G253" s="18">
        <f t="shared" si="31"/>
        <v>1</v>
      </c>
      <c r="H253" s="3">
        <f t="shared" si="32"/>
        <v>1.1865816992226996E-3</v>
      </c>
      <c r="I253" s="3">
        <f t="shared" si="33"/>
        <v>1.1865816992226996E-3</v>
      </c>
      <c r="K253" s="12" t="str">
        <f>IF(AND(G253=1,G252&lt;&gt;1),MAX($K$50:K252)+1,"")</f>
        <v/>
      </c>
      <c r="L253" s="13" t="str">
        <f>IF(AND(G253&lt;&gt;1,G252=1),MAX($L$50:L252)+1,"")</f>
        <v/>
      </c>
      <c r="M253" s="13" t="str">
        <f>IF(AND(G253=-1,G252&lt;&gt;-1),MAX($M$50:M252)+1,"")</f>
        <v/>
      </c>
      <c r="N253" s="13" t="str">
        <f>IF(AND(G253&lt;&gt;-1,G252=-1),MAX($N$50:N252)+1,"")</f>
        <v/>
      </c>
      <c r="T253" s="7">
        <f t="shared" si="34"/>
        <v>95.520312530117877</v>
      </c>
      <c r="U253" s="1">
        <f t="shared" si="35"/>
        <v>111.2720604847395</v>
      </c>
    </row>
    <row r="254" spans="1:21" x14ac:dyDescent="0.3">
      <c r="A254" s="2">
        <v>40542</v>
      </c>
      <c r="B254" s="1">
        <v>2114.6999999999998</v>
      </c>
      <c r="C254" s="2">
        <f t="shared" si="27"/>
        <v>40542</v>
      </c>
      <c r="D254" s="1">
        <f t="shared" si="28"/>
        <v>2114.6999999999998</v>
      </c>
      <c r="E254" s="4">
        <f t="shared" si="29"/>
        <v>2036.6649999999997</v>
      </c>
      <c r="F254" s="3">
        <f t="shared" si="30"/>
        <v>1.0383150886375521</v>
      </c>
      <c r="G254" s="18">
        <f t="shared" si="31"/>
        <v>1</v>
      </c>
      <c r="H254" s="3">
        <f t="shared" si="32"/>
        <v>-1.4779278790082451E-3</v>
      </c>
      <c r="I254" s="3">
        <f t="shared" si="33"/>
        <v>-1.4779278790082451E-3</v>
      </c>
      <c r="K254" s="12" t="str">
        <f>IF(AND(G254=1,G253&lt;&gt;1),MAX($K$50:K253)+1,"")</f>
        <v/>
      </c>
      <c r="L254" s="13" t="str">
        <f>IF(AND(G254&lt;&gt;1,G253=1),MAX($L$50:L253)+1,"")</f>
        <v/>
      </c>
      <c r="M254" s="13" t="str">
        <f>IF(AND(G254=-1,G253&lt;&gt;-1),MAX($M$50:M253)+1,"")</f>
        <v/>
      </c>
      <c r="N254" s="13" t="str">
        <f>IF(AND(G254&lt;&gt;-1,G253=-1),MAX($N$50:N253)+1,"")</f>
        <v/>
      </c>
      <c r="T254" s="7">
        <f t="shared" si="34"/>
        <v>95.379140397218038</v>
      </c>
      <c r="U254" s="1">
        <f t="shared" si="35"/>
        <v>111.10760840439441</v>
      </c>
    </row>
    <row r="255" spans="1:21" x14ac:dyDescent="0.3">
      <c r="A255" s="2">
        <v>40543</v>
      </c>
      <c r="B255" s="1">
        <v>2114.29</v>
      </c>
      <c r="C255" s="2">
        <f t="shared" si="27"/>
        <v>40543</v>
      </c>
      <c r="D255" s="1">
        <f t="shared" si="28"/>
        <v>2114.29</v>
      </c>
      <c r="E255" s="4">
        <f t="shared" si="29"/>
        <v>2039.5005999999996</v>
      </c>
      <c r="F255" s="3">
        <f t="shared" si="30"/>
        <v>1.0366704476576278</v>
      </c>
      <c r="G255" s="18">
        <f t="shared" si="31"/>
        <v>1</v>
      </c>
      <c r="H255" s="3">
        <f t="shared" si="32"/>
        <v>-1.9388092873684482E-4</v>
      </c>
      <c r="I255" s="3">
        <f t="shared" si="33"/>
        <v>-1.9388092873684482E-4</v>
      </c>
      <c r="K255" s="12" t="str">
        <f>IF(AND(G255=1,G254&lt;&gt;1),MAX($K$50:K254)+1,"")</f>
        <v/>
      </c>
      <c r="L255" s="13" t="str">
        <f>IF(AND(G255&lt;&gt;1,G254=1),MAX($L$50:L254)+1,"")</f>
        <v/>
      </c>
      <c r="M255" s="13" t="str">
        <f>IF(AND(G255=-1,G254&lt;&gt;-1),MAX($M$50:M254)+1,"")</f>
        <v/>
      </c>
      <c r="N255" s="13" t="str">
        <f>IF(AND(G255&lt;&gt;-1,G254=-1),MAX($N$50:N254)+1,"")</f>
        <v/>
      </c>
      <c r="T255" s="7">
        <f t="shared" si="34"/>
        <v>95.36064820089571</v>
      </c>
      <c r="U255" s="1">
        <f t="shared" si="35"/>
        <v>111.08606675808723</v>
      </c>
    </row>
    <row r="256" spans="1:21" x14ac:dyDescent="0.3">
      <c r="A256" s="2">
        <v>40546</v>
      </c>
      <c r="B256" s="1">
        <v>2138.3000000000002</v>
      </c>
      <c r="C256" s="2">
        <f t="shared" si="27"/>
        <v>40546</v>
      </c>
      <c r="D256" s="1">
        <f t="shared" si="28"/>
        <v>2138.3000000000002</v>
      </c>
      <c r="E256" s="4">
        <f t="shared" si="29"/>
        <v>2042.7441999999996</v>
      </c>
      <c r="F256" s="3">
        <f t="shared" si="30"/>
        <v>1.04677815264388</v>
      </c>
      <c r="G256" s="18">
        <f t="shared" si="31"/>
        <v>1</v>
      </c>
      <c r="H256" s="3">
        <f t="shared" si="32"/>
        <v>1.1356058062044649E-2</v>
      </c>
      <c r="I256" s="3">
        <f t="shared" si="33"/>
        <v>1.1356058062044649E-2</v>
      </c>
      <c r="K256" s="12" t="str">
        <f>IF(AND(G256=1,G255&lt;&gt;1),MAX($K$50:K255)+1,"")</f>
        <v/>
      </c>
      <c r="L256" s="13" t="str">
        <f>IF(AND(G256&lt;&gt;1,G255=1),MAX($L$50:L255)+1,"")</f>
        <v/>
      </c>
      <c r="M256" s="13" t="str">
        <f>IF(AND(G256=-1,G255&lt;&gt;-1),MAX($M$50:M255)+1,"")</f>
        <v/>
      </c>
      <c r="N256" s="13" t="str">
        <f>IF(AND(G256&lt;&gt;-1,G255=-1),MAX($N$50:N255)+1,"")</f>
        <v/>
      </c>
      <c r="T256" s="7">
        <f t="shared" si="34"/>
        <v>96.443569258699299</v>
      </c>
      <c r="U256" s="1">
        <f t="shared" si="35"/>
        <v>112.34756658207623</v>
      </c>
    </row>
    <row r="257" spans="1:21" x14ac:dyDescent="0.3">
      <c r="A257" s="2">
        <v>40547</v>
      </c>
      <c r="B257" s="1">
        <v>2135.5300000000002</v>
      </c>
      <c r="C257" s="2">
        <f t="shared" si="27"/>
        <v>40547</v>
      </c>
      <c r="D257" s="1">
        <f t="shared" si="28"/>
        <v>2135.5300000000002</v>
      </c>
      <c r="E257" s="4">
        <f t="shared" si="29"/>
        <v>2045.8381999999995</v>
      </c>
      <c r="F257" s="3">
        <f t="shared" si="30"/>
        <v>1.0438411014126145</v>
      </c>
      <c r="G257" s="18">
        <f t="shared" si="31"/>
        <v>1</v>
      </c>
      <c r="H257" s="3">
        <f t="shared" si="32"/>
        <v>-1.2954215965954585E-3</v>
      </c>
      <c r="I257" s="3">
        <f t="shared" si="33"/>
        <v>-1.2954215965954585E-3</v>
      </c>
      <c r="K257" s="12" t="str">
        <f>IF(AND(G257=1,G256&lt;&gt;1),MAX($K$50:K256)+1,"")</f>
        <v/>
      </c>
      <c r="L257" s="13" t="str">
        <f>IF(AND(G257&lt;&gt;1,G256=1),MAX($L$50:L256)+1,"")</f>
        <v/>
      </c>
      <c r="M257" s="13" t="str">
        <f>IF(AND(G257=-1,G256&lt;&gt;-1),MAX($M$50:M256)+1,"")</f>
        <v/>
      </c>
      <c r="N257" s="13" t="str">
        <f>IF(AND(G257&lt;&gt;-1,G256=-1),MAX($N$50:N256)+1,"")</f>
        <v/>
      </c>
      <c r="T257" s="7">
        <f t="shared" si="34"/>
        <v>96.318634176228827</v>
      </c>
      <c r="U257" s="1">
        <f t="shared" si="35"/>
        <v>112.20202911800087</v>
      </c>
    </row>
    <row r="258" spans="1:21" x14ac:dyDescent="0.3">
      <c r="A258" s="2">
        <v>40548</v>
      </c>
      <c r="B258" s="1">
        <v>2146.5</v>
      </c>
      <c r="C258" s="2">
        <f t="shared" si="27"/>
        <v>40548</v>
      </c>
      <c r="D258" s="1">
        <f t="shared" si="28"/>
        <v>2146.5</v>
      </c>
      <c r="E258" s="4">
        <f t="shared" si="29"/>
        <v>2049.0659999999993</v>
      </c>
      <c r="F258" s="3">
        <f t="shared" si="30"/>
        <v>1.0475504449344242</v>
      </c>
      <c r="G258" s="18">
        <f t="shared" si="31"/>
        <v>1</v>
      </c>
      <c r="H258" s="3">
        <f t="shared" si="32"/>
        <v>5.1368981002373193E-3</v>
      </c>
      <c r="I258" s="3">
        <f t="shared" si="33"/>
        <v>5.1368981002373193E-3</v>
      </c>
      <c r="K258" s="12" t="str">
        <f>IF(AND(G258=1,G257&lt;&gt;1),MAX($K$50:K257)+1,"")</f>
        <v/>
      </c>
      <c r="L258" s="13" t="str">
        <f>IF(AND(G258&lt;&gt;1,G257=1),MAX($L$50:L257)+1,"")</f>
        <v/>
      </c>
      <c r="M258" s="13" t="str">
        <f>IF(AND(G258=-1,G257&lt;&gt;-1),MAX($M$50:M257)+1,"")</f>
        <v/>
      </c>
      <c r="N258" s="13" t="str">
        <f>IF(AND(G258&lt;&gt;-1,G257=-1),MAX($N$50:N257)+1,"")</f>
        <v/>
      </c>
      <c r="T258" s="7">
        <f t="shared" si="34"/>
        <v>96.813413185146146</v>
      </c>
      <c r="U258" s="1">
        <f t="shared" si="35"/>
        <v>112.77839950821989</v>
      </c>
    </row>
    <row r="259" spans="1:21" x14ac:dyDescent="0.3">
      <c r="A259" s="2">
        <v>40549</v>
      </c>
      <c r="B259" s="1">
        <v>2142.7600000000002</v>
      </c>
      <c r="C259" s="2">
        <f t="shared" si="27"/>
        <v>40549</v>
      </c>
      <c r="D259" s="1">
        <f t="shared" si="28"/>
        <v>2142.7600000000002</v>
      </c>
      <c r="E259" s="4">
        <f t="shared" si="29"/>
        <v>2052.2185999999992</v>
      </c>
      <c r="F259" s="3">
        <f t="shared" si="30"/>
        <v>1.0441187892946693</v>
      </c>
      <c r="G259" s="18">
        <f t="shared" si="31"/>
        <v>1</v>
      </c>
      <c r="H259" s="3">
        <f t="shared" si="32"/>
        <v>-1.7423713021196274E-3</v>
      </c>
      <c r="I259" s="3">
        <f t="shared" si="33"/>
        <v>-1.7423713021196274E-3</v>
      </c>
      <c r="K259" s="12" t="str">
        <f>IF(AND(G259=1,G258&lt;&gt;1),MAX($K$50:K258)+1,"")</f>
        <v/>
      </c>
      <c r="L259" s="13" t="str">
        <f>IF(AND(G259&lt;&gt;1,G258=1),MAX($L$50:L258)+1,"")</f>
        <v/>
      </c>
      <c r="M259" s="13" t="str">
        <f>IF(AND(G259=-1,G258&lt;&gt;-1),MAX($M$50:M258)+1,"")</f>
        <v/>
      </c>
      <c r="N259" s="13" t="str">
        <f>IF(AND(G259&lt;&gt;-1,G258=-1),MAX($N$50:N258)+1,"")</f>
        <v/>
      </c>
      <c r="T259" s="7">
        <f t="shared" si="34"/>
        <v>96.644728272352097</v>
      </c>
      <c r="U259" s="1">
        <f t="shared" si="35"/>
        <v>112.58189766141778</v>
      </c>
    </row>
    <row r="260" spans="1:21" x14ac:dyDescent="0.3">
      <c r="A260" s="2">
        <v>40550</v>
      </c>
      <c r="B260" s="1">
        <v>2138.81</v>
      </c>
      <c r="C260" s="2">
        <f t="shared" si="27"/>
        <v>40550</v>
      </c>
      <c r="D260" s="1">
        <f>B260</f>
        <v>2138.81</v>
      </c>
      <c r="E260" s="4">
        <f>AVERAGE(B211:B260)</f>
        <v>2055.3937999999994</v>
      </c>
      <c r="F260" s="3">
        <f t="shared" si="30"/>
        <v>1.0405840476895476</v>
      </c>
      <c r="G260" s="18">
        <f t="shared" si="31"/>
        <v>1</v>
      </c>
      <c r="H260" s="3">
        <f t="shared" si="32"/>
        <v>-1.8434169015663082E-3</v>
      </c>
      <c r="I260" s="3">
        <f t="shared" si="33"/>
        <v>-1.8434169015663082E-3</v>
      </c>
      <c r="K260" s="12" t="str">
        <f>IF(AND(G260=1,G259&lt;&gt;1),MAX($K$50:K259)+1,"")</f>
        <v/>
      </c>
      <c r="L260" s="13" t="str">
        <f>IF(AND(G260&lt;&gt;1,G259=1),MAX($L$50:L259)+1,"")</f>
        <v/>
      </c>
      <c r="M260" s="13" t="str">
        <f>IF(AND(G260=-1,G259&lt;&gt;-1),MAX($M$50:M259)+1,"")</f>
        <v/>
      </c>
      <c r="N260" s="13" t="str">
        <f>IF(AND(G260&lt;&gt;-1,G259=-1),MAX($N$50:N259)+1,"")</f>
        <v/>
      </c>
      <c r="T260" s="7">
        <f t="shared" si="34"/>
        <v>96.46657174680756</v>
      </c>
      <c r="U260" s="1">
        <f t="shared" si="35"/>
        <v>112.37436228845831</v>
      </c>
    </row>
    <row r="261" spans="1:21" x14ac:dyDescent="0.3">
      <c r="A261" s="2">
        <v>40553</v>
      </c>
      <c r="B261" s="1">
        <v>2135.86</v>
      </c>
      <c r="C261" s="2">
        <f t="shared" si="27"/>
        <v>40553</v>
      </c>
      <c r="D261" s="1">
        <f t="shared" si="28"/>
        <v>2135.86</v>
      </c>
      <c r="E261" s="4">
        <f t="shared" si="29"/>
        <v>2058.462</v>
      </c>
      <c r="F261" s="3">
        <f t="shared" si="30"/>
        <v>1.0375999168311099</v>
      </c>
      <c r="G261" s="18">
        <f t="shared" si="31"/>
        <v>1</v>
      </c>
      <c r="H261" s="3">
        <f t="shared" si="32"/>
        <v>-1.3792716510582226E-3</v>
      </c>
      <c r="I261" s="3">
        <f>G260*H261</f>
        <v>-1.3792716510582226E-3</v>
      </c>
      <c r="K261" s="12" t="str">
        <f>IF(AND(G261=1,G260&lt;&gt;1),MAX($K$50:K260)+1,"")</f>
        <v/>
      </c>
      <c r="L261" s="13" t="str">
        <f>IF(AND(G261&lt;&gt;1,G260=1),MAX($L$50:L260)+1,"")</f>
        <v/>
      </c>
      <c r="M261" s="13" t="str">
        <f>IF(AND(G261=-1,G260&lt;&gt;-1),MAX($M$50:M260)+1,"")</f>
        <v/>
      </c>
      <c r="N261" s="13" t="str">
        <f>IF(AND(G261&lt;&gt;-1,G260=-1),MAX($N$50:N260)+1,"")</f>
        <v/>
      </c>
      <c r="T261" s="7">
        <f t="shared" si="34"/>
        <v>96.333518139122418</v>
      </c>
      <c r="U261" s="1">
        <f t="shared" si="35"/>
        <v>112.2193675162481</v>
      </c>
    </row>
    <row r="262" spans="1:21" x14ac:dyDescent="0.3">
      <c r="A262" s="2">
        <v>40554</v>
      </c>
      <c r="B262" s="1">
        <v>2143.8200000000002</v>
      </c>
      <c r="C262" s="2">
        <f t="shared" si="27"/>
        <v>40554</v>
      </c>
      <c r="D262" s="1">
        <f t="shared" si="28"/>
        <v>2143.8200000000002</v>
      </c>
      <c r="E262" s="4">
        <f t="shared" si="29"/>
        <v>2061.7066</v>
      </c>
      <c r="F262" s="3">
        <f t="shared" si="30"/>
        <v>1.0398278785157888</v>
      </c>
      <c r="G262" s="18">
        <f t="shared" si="31"/>
        <v>1</v>
      </c>
      <c r="H262" s="3">
        <f t="shared" si="32"/>
        <v>3.7268360285787061E-3</v>
      </c>
      <c r="I262" s="3">
        <f t="shared" si="33"/>
        <v>3.7268360285787061E-3</v>
      </c>
      <c r="K262" s="12" t="str">
        <f>IF(AND(G262=1,G261&lt;&gt;1),MAX($K$50:K261)+1,"")</f>
        <v/>
      </c>
      <c r="L262" s="13" t="str">
        <f>IF(AND(G262&lt;&gt;1,G261=1),MAX($L$50:L261)+1,"")</f>
        <v/>
      </c>
      <c r="M262" s="13" t="str">
        <f>IF(AND(G262=-1,G261&lt;&gt;-1),MAX($M$50:M261)+1,"")</f>
        <v/>
      </c>
      <c r="N262" s="13" t="str">
        <f>IF(AND(G262&lt;&gt;-1,G261=-1),MAX($N$50:N261)+1,"")</f>
        <v/>
      </c>
      <c r="T262" s="7">
        <f t="shared" si="34"/>
        <v>96.692537365283044</v>
      </c>
      <c r="U262" s="1">
        <f t="shared" si="35"/>
        <v>112.63759069821195</v>
      </c>
    </row>
    <row r="263" spans="1:21" x14ac:dyDescent="0.3">
      <c r="A263" s="2">
        <v>40555</v>
      </c>
      <c r="B263" s="1">
        <v>2163.36</v>
      </c>
      <c r="C263" s="2">
        <f t="shared" si="27"/>
        <v>40555</v>
      </c>
      <c r="D263" s="1">
        <f t="shared" si="28"/>
        <v>2163.36</v>
      </c>
      <c r="E263" s="4">
        <f t="shared" si="29"/>
        <v>2065.3044</v>
      </c>
      <c r="F263" s="3">
        <f t="shared" si="30"/>
        <v>1.0474775534298963</v>
      </c>
      <c r="G263" s="18">
        <f t="shared" si="31"/>
        <v>1</v>
      </c>
      <c r="H263" s="3">
        <f t="shared" si="32"/>
        <v>9.1145711860136647E-3</v>
      </c>
      <c r="I263" s="3">
        <f t="shared" si="33"/>
        <v>9.1145711860136647E-3</v>
      </c>
      <c r="K263" s="12" t="str">
        <f>IF(AND(G263=1,G262&lt;&gt;1),MAX($K$50:K262)+1,"")</f>
        <v/>
      </c>
      <c r="L263" s="13" t="str">
        <f>IF(AND(G263&lt;&gt;1,G262=1),MAX($L$50:L262)+1,"")</f>
        <v/>
      </c>
      <c r="M263" s="13" t="str">
        <f>IF(AND(G263=-1,G262&lt;&gt;-1),MAX($M$50:M262)+1,"")</f>
        <v/>
      </c>
      <c r="N263" s="13" t="str">
        <f>IF(AND(G263&lt;&gt;-1,G262=-1),MAX($N$50:N262)+1,"")</f>
        <v/>
      </c>
      <c r="T263" s="7">
        <f t="shared" si="34"/>
        <v>97.5738483802552</v>
      </c>
      <c r="U263" s="1">
        <f t="shared" si="35"/>
        <v>113.66423403685189</v>
      </c>
    </row>
    <row r="264" spans="1:21" x14ac:dyDescent="0.3">
      <c r="A264" s="2">
        <v>40556</v>
      </c>
      <c r="B264" s="1">
        <v>2159.66</v>
      </c>
      <c r="C264" s="2">
        <f t="shared" si="27"/>
        <v>40556</v>
      </c>
      <c r="D264" s="1">
        <f t="shared" si="28"/>
        <v>2159.66</v>
      </c>
      <c r="E264" s="4">
        <f t="shared" si="29"/>
        <v>2068.5203999999999</v>
      </c>
      <c r="F264" s="3">
        <f t="shared" si="30"/>
        <v>1.0440602857965529</v>
      </c>
      <c r="G264" s="18">
        <f t="shared" si="31"/>
        <v>1</v>
      </c>
      <c r="H264" s="3">
        <f t="shared" si="32"/>
        <v>-1.7103024924193244E-3</v>
      </c>
      <c r="I264" s="3">
        <f t="shared" si="33"/>
        <v>-1.7103024924193244E-3</v>
      </c>
      <c r="K264" s="12" t="str">
        <f>IF(AND(G264=1,G263&lt;&gt;1),MAX($K$50:K263)+1,"")</f>
        <v/>
      </c>
      <c r="L264" s="13" t="str">
        <f>IF(AND(G264&lt;&gt;1,G263=1),MAX($L$50:L263)+1,"")</f>
        <v/>
      </c>
      <c r="M264" s="13" t="str">
        <f>IF(AND(G264=-1,G263&lt;&gt;-1),MAX($M$50:M263)+1,"")</f>
        <v/>
      </c>
      <c r="N264" s="13" t="str">
        <f>IF(AND(G264&lt;&gt;-1,G263=-1),MAX($N$50:N263)+1,"")</f>
        <v/>
      </c>
      <c r="T264" s="7">
        <f t="shared" si="34"/>
        <v>97.406967584175504</v>
      </c>
      <c r="U264" s="1">
        <f t="shared" si="35"/>
        <v>113.46983381407973</v>
      </c>
    </row>
    <row r="265" spans="1:21" x14ac:dyDescent="0.3">
      <c r="A265" s="2">
        <v>40557</v>
      </c>
      <c r="B265" s="1">
        <v>2175.6799999999998</v>
      </c>
      <c r="C265" s="2">
        <f t="shared" si="27"/>
        <v>40557</v>
      </c>
      <c r="D265" s="1">
        <f t="shared" si="28"/>
        <v>2175.6799999999998</v>
      </c>
      <c r="E265" s="4">
        <f t="shared" si="29"/>
        <v>2071.9023999999999</v>
      </c>
      <c r="F265" s="3">
        <f t="shared" si="30"/>
        <v>1.0500880736467122</v>
      </c>
      <c r="G265" s="18">
        <f t="shared" si="31"/>
        <v>1</v>
      </c>
      <c r="H265" s="3">
        <f t="shared" si="32"/>
        <v>7.4178342887305515E-3</v>
      </c>
      <c r="I265" s="3">
        <f t="shared" si="33"/>
        <v>7.4178342887305515E-3</v>
      </c>
      <c r="K265" s="12" t="str">
        <f>IF(AND(G265=1,G264&lt;&gt;1),MAX($K$50:K264)+1,"")</f>
        <v/>
      </c>
      <c r="L265" s="13" t="str">
        <f>IF(AND(G265&lt;&gt;1,G264=1),MAX($L$50:L264)+1,"")</f>
        <v/>
      </c>
      <c r="M265" s="13" t="str">
        <f>IF(AND(G265=-1,G264&lt;&gt;-1),MAX($M$50:M264)+1,"")</f>
        <v/>
      </c>
      <c r="N265" s="13" t="str">
        <f>IF(AND(G265&lt;&gt;-1,G264=-1),MAX($N$50:N264)+1,"")</f>
        <v/>
      </c>
      <c r="T265" s="7">
        <f t="shared" si="34"/>
        <v>98.129516328282662</v>
      </c>
      <c r="U265" s="1">
        <f t="shared" si="35"/>
        <v>114.31153423808239</v>
      </c>
    </row>
    <row r="266" spans="1:21" x14ac:dyDescent="0.3">
      <c r="A266" s="2">
        <v>40561</v>
      </c>
      <c r="B266" s="1">
        <v>2178.7199999999998</v>
      </c>
      <c r="C266" s="2">
        <f t="shared" si="27"/>
        <v>40561</v>
      </c>
      <c r="D266" s="1">
        <f t="shared" si="28"/>
        <v>2178.7199999999998</v>
      </c>
      <c r="E266" s="4">
        <f t="shared" si="29"/>
        <v>2074.5644000000002</v>
      </c>
      <c r="F266" s="3">
        <f t="shared" si="30"/>
        <v>1.0502060095121653</v>
      </c>
      <c r="G266" s="18">
        <f t="shared" si="31"/>
        <v>1</v>
      </c>
      <c r="H266" s="3">
        <f t="shared" si="32"/>
        <v>1.3972643035740084E-3</v>
      </c>
      <c r="I266" s="3">
        <f t="shared" si="33"/>
        <v>1.3972643035740084E-3</v>
      </c>
      <c r="K266" s="12" t="str">
        <f>IF(AND(G266=1,G265&lt;&gt;1),MAX($K$50:K265)+1,"")</f>
        <v/>
      </c>
      <c r="L266" s="13" t="str">
        <f>IF(AND(G266&lt;&gt;1,G265=1),MAX($L$50:L265)+1,"")</f>
        <v/>
      </c>
      <c r="M266" s="13" t="str">
        <f>IF(AND(G266=-1,G265&lt;&gt;-1),MAX($M$50:M265)+1,"")</f>
        <v/>
      </c>
      <c r="N266" s="13" t="str">
        <f>IF(AND(G266&lt;&gt;-1,G265=-1),MAX($N$50:N265)+1,"")</f>
        <v/>
      </c>
      <c r="T266" s="7">
        <f t="shared" si="34"/>
        <v>98.26662919857516</v>
      </c>
      <c r="U266" s="1">
        <f t="shared" si="35"/>
        <v>114.47125766436004</v>
      </c>
    </row>
    <row r="267" spans="1:21" x14ac:dyDescent="0.3">
      <c r="A267" s="2">
        <v>40562</v>
      </c>
      <c r="B267" s="1">
        <v>2156.9699999999998</v>
      </c>
      <c r="C267" s="2">
        <f t="shared" si="27"/>
        <v>40562</v>
      </c>
      <c r="D267" s="1">
        <f t="shared" si="28"/>
        <v>2156.9699999999998</v>
      </c>
      <c r="E267" s="4">
        <f t="shared" si="29"/>
        <v>2076.6284000000001</v>
      </c>
      <c r="F267" s="3">
        <f t="shared" si="30"/>
        <v>1.0386884817717026</v>
      </c>
      <c r="G267" s="18">
        <f t="shared" si="31"/>
        <v>1</v>
      </c>
      <c r="H267" s="3">
        <f t="shared" si="32"/>
        <v>-9.9829257545714922E-3</v>
      </c>
      <c r="I267" s="3">
        <f t="shared" si="33"/>
        <v>-9.9829257545714922E-3</v>
      </c>
      <c r="K267" s="12" t="str">
        <f>IF(AND(G267=1,G266&lt;&gt;1),MAX($K$50:K266)+1,"")</f>
        <v/>
      </c>
      <c r="L267" s="13" t="str">
        <f>IF(AND(G267&lt;&gt;1,G266=1),MAX($L$50:L266)+1,"")</f>
        <v/>
      </c>
      <c r="M267" s="13" t="str">
        <f>IF(AND(G267=-1,G266&lt;&gt;-1),MAX($M$50:M266)+1,"")</f>
        <v/>
      </c>
      <c r="N267" s="13" t="str">
        <f>IF(AND(G267&lt;&gt;-1,G266=-1),MAX($N$50:N266)+1,"")</f>
        <v/>
      </c>
      <c r="T267" s="7">
        <f t="shared" si="34"/>
        <v>97.285640735133782</v>
      </c>
      <c r="U267" s="1">
        <f t="shared" si="35"/>
        <v>113.32849959806431</v>
      </c>
    </row>
    <row r="268" spans="1:21" x14ac:dyDescent="0.3">
      <c r="A268" s="2">
        <v>40563</v>
      </c>
      <c r="B268" s="1">
        <v>2154.1799999999998</v>
      </c>
      <c r="C268" s="2">
        <f t="shared" si="27"/>
        <v>40563</v>
      </c>
      <c r="D268" s="1">
        <f t="shared" si="28"/>
        <v>2154.1799999999998</v>
      </c>
      <c r="E268" s="4">
        <f t="shared" si="29"/>
        <v>2078.7182000000003</v>
      </c>
      <c r="F268" s="3">
        <f t="shared" si="30"/>
        <v>1.0363020826969234</v>
      </c>
      <c r="G268" s="18">
        <f t="shared" si="31"/>
        <v>1</v>
      </c>
      <c r="H268" s="3">
        <f t="shared" si="32"/>
        <v>-1.2934811332563356E-3</v>
      </c>
      <c r="I268" s="3">
        <f t="shared" si="33"/>
        <v>-1.2934811332563356E-3</v>
      </c>
      <c r="K268" s="12" t="str">
        <f>IF(AND(G268=1,G267&lt;&gt;1),MAX($K$50:K267)+1,"")</f>
        <v/>
      </c>
      <c r="L268" s="13" t="str">
        <f>IF(AND(G268&lt;&gt;1,G267=1),MAX($L$50:L267)+1,"")</f>
        <v/>
      </c>
      <c r="M268" s="13" t="str">
        <f>IF(AND(G268=-1,G267&lt;&gt;-1),MAX($M$50:M267)+1,"")</f>
        <v/>
      </c>
      <c r="N268" s="13" t="str">
        <f>IF(AND(G268&lt;&gt;-1,G267=-1),MAX($N$50:N267)+1,"")</f>
        <v/>
      </c>
      <c r="T268" s="7">
        <f t="shared" si="34"/>
        <v>97.159803594306126</v>
      </c>
      <c r="U268" s="1">
        <f t="shared" si="35"/>
        <v>113.18191132197396</v>
      </c>
    </row>
    <row r="269" spans="1:21" x14ac:dyDescent="0.3">
      <c r="A269" s="2">
        <v>40564</v>
      </c>
      <c r="B269" s="1">
        <v>2159.4299999999998</v>
      </c>
      <c r="C269" s="2">
        <f t="shared" si="27"/>
        <v>40564</v>
      </c>
      <c r="D269" s="1">
        <f t="shared" si="28"/>
        <v>2159.4299999999998</v>
      </c>
      <c r="E269" s="4">
        <f t="shared" si="29"/>
        <v>2081.2297999999996</v>
      </c>
      <c r="F269" s="3">
        <f t="shared" si="30"/>
        <v>1.0375740343521893</v>
      </c>
      <c r="G269" s="18">
        <f t="shared" si="31"/>
        <v>1</v>
      </c>
      <c r="H269" s="3">
        <f t="shared" si="32"/>
        <v>2.4371222460519704E-3</v>
      </c>
      <c r="I269" s="3">
        <f t="shared" si="33"/>
        <v>2.4371222460519704E-3</v>
      </c>
      <c r="K269" s="12" t="str">
        <f>IF(AND(G269=1,G268&lt;&gt;1),MAX($K$50:K268)+1,"")</f>
        <v/>
      </c>
      <c r="L269" s="13" t="str">
        <f>IF(AND(G269&lt;&gt;1,G268=1),MAX($L$50:L268)+1,"")</f>
        <v/>
      </c>
      <c r="M269" s="13" t="str">
        <f>IF(AND(G269=-1,G268&lt;&gt;-1),MAX($M$50:M268)+1,"")</f>
        <v/>
      </c>
      <c r="N269" s="13" t="str">
        <f>IF(AND(G269&lt;&gt;-1,G268=-1),MAX($N$50:N268)+1,"")</f>
        <v/>
      </c>
      <c r="T269" s="7">
        <f t="shared" si="34"/>
        <v>97.396593913067846</v>
      </c>
      <c r="U269" s="1">
        <f t="shared" si="35"/>
        <v>113.45774947590741</v>
      </c>
    </row>
    <row r="270" spans="1:21" x14ac:dyDescent="0.3">
      <c r="A270" s="2">
        <v>40567</v>
      </c>
      <c r="B270" s="1">
        <v>2172.0300000000002</v>
      </c>
      <c r="C270" s="2">
        <f t="shared" si="27"/>
        <v>40567</v>
      </c>
      <c r="D270" s="1">
        <f t="shared" si="28"/>
        <v>2172.0300000000002</v>
      </c>
      <c r="E270" s="4">
        <f t="shared" si="29"/>
        <v>2083.8071999999997</v>
      </c>
      <c r="F270" s="3">
        <f t="shared" si="30"/>
        <v>1.0423373141238788</v>
      </c>
      <c r="G270" s="18">
        <f t="shared" si="31"/>
        <v>1</v>
      </c>
      <c r="H270" s="3">
        <f t="shared" si="32"/>
        <v>5.8348730915105396E-3</v>
      </c>
      <c r="I270" s="3">
        <f t="shared" si="33"/>
        <v>5.8348730915105396E-3</v>
      </c>
      <c r="K270" s="12" t="str">
        <f>IF(AND(G270=1,G269&lt;&gt;1),MAX($K$50:K269)+1,"")</f>
        <v/>
      </c>
      <c r="L270" s="13" t="str">
        <f>IF(AND(G270&lt;&gt;1,G269=1),MAX($L$50:L269)+1,"")</f>
        <v/>
      </c>
      <c r="M270" s="13" t="str">
        <f>IF(AND(G270=-1,G269&lt;&gt;-1),MAX($M$50:M269)+1,"")</f>
        <v/>
      </c>
      <c r="N270" s="13" t="str">
        <f>IF(AND(G270&lt;&gt;-1,G269=-1),MAX($N$50:N269)+1,"")</f>
        <v/>
      </c>
      <c r="T270" s="7">
        <f t="shared" si="34"/>
        <v>97.964890678095983</v>
      </c>
      <c r="U270" s="1">
        <f t="shared" si="35"/>
        <v>114.1197610453477</v>
      </c>
    </row>
    <row r="271" spans="1:21" x14ac:dyDescent="0.3">
      <c r="A271" s="2">
        <v>40568</v>
      </c>
      <c r="B271" s="1">
        <v>2172.67</v>
      </c>
      <c r="C271" s="2">
        <f t="shared" si="27"/>
        <v>40568</v>
      </c>
      <c r="D271" s="1">
        <f t="shared" si="28"/>
        <v>2172.67</v>
      </c>
      <c r="E271" s="4">
        <f t="shared" si="29"/>
        <v>2086.5709999999995</v>
      </c>
      <c r="F271" s="3">
        <f t="shared" si="30"/>
        <v>1.0412633933856077</v>
      </c>
      <c r="G271" s="18">
        <f t="shared" si="31"/>
        <v>1</v>
      </c>
      <c r="H271" s="3">
        <f t="shared" si="32"/>
        <v>2.9465523036042995E-4</v>
      </c>
      <c r="I271" s="3">
        <f t="shared" si="33"/>
        <v>2.9465523036042995E-4</v>
      </c>
      <c r="K271" s="12" t="str">
        <f>IF(AND(G271=1,G270&lt;&gt;1),MAX($K$50:K270)+1,"")</f>
        <v/>
      </c>
      <c r="L271" s="13" t="str">
        <f>IF(AND(G271&lt;&gt;1,G270=1),MAX($L$50:L270)+1,"")</f>
        <v/>
      </c>
      <c r="M271" s="13" t="str">
        <f>IF(AND(G271=-1,G270&lt;&gt;-1),MAX($M$50:M270)+1,"")</f>
        <v/>
      </c>
      <c r="N271" s="13" t="str">
        <f>IF(AND(G271&lt;&gt;-1,G270=-1),MAX($N$50:N270)+1,"")</f>
        <v/>
      </c>
      <c r="T271" s="7">
        <f t="shared" si="34"/>
        <v>97.993756545525969</v>
      </c>
      <c r="U271" s="1">
        <f t="shared" si="35"/>
        <v>114.1533870298272</v>
      </c>
    </row>
    <row r="272" spans="1:21" x14ac:dyDescent="0.3">
      <c r="A272" s="2">
        <v>40569</v>
      </c>
      <c r="B272" s="1">
        <v>2181.92</v>
      </c>
      <c r="C272" s="2">
        <f t="shared" si="27"/>
        <v>40569</v>
      </c>
      <c r="D272" s="1">
        <f t="shared" si="28"/>
        <v>2181.92</v>
      </c>
      <c r="E272" s="4">
        <f t="shared" si="29"/>
        <v>2089.9979999999996</v>
      </c>
      <c r="F272" s="3">
        <f t="shared" si="30"/>
        <v>1.0439818602697231</v>
      </c>
      <c r="G272" s="18">
        <f t="shared" si="31"/>
        <v>1</v>
      </c>
      <c r="H272" s="3">
        <f t="shared" si="32"/>
        <v>4.2574344009904674E-3</v>
      </c>
      <c r="I272" s="3">
        <f t="shared" si="33"/>
        <v>4.2574344009904674E-3</v>
      </c>
      <c r="K272" s="12" t="str">
        <f>IF(AND(G272=1,G271&lt;&gt;1),MAX($K$50:K271)+1,"")</f>
        <v/>
      </c>
      <c r="L272" s="13" t="str">
        <f>IF(AND(G272&lt;&gt;1,G271=1),MAX($L$50:L271)+1,"")</f>
        <v/>
      </c>
      <c r="M272" s="13" t="str">
        <f>IF(AND(G272=-1,G271&lt;&gt;-1),MAX($M$50:M271)+1,"")</f>
        <v/>
      </c>
      <c r="N272" s="13" t="str">
        <f>IF(AND(G272&lt;&gt;-1,G271=-1),MAX($N$50:N271)+1,"")</f>
        <v/>
      </c>
      <c r="T272" s="7">
        <f t="shared" si="34"/>
        <v>98.410958535725172</v>
      </c>
      <c r="U272" s="1">
        <f t="shared" si="35"/>
        <v>114.63938758675758</v>
      </c>
    </row>
    <row r="273" spans="1:21" x14ac:dyDescent="0.3">
      <c r="A273" s="2">
        <v>40570</v>
      </c>
      <c r="B273" s="1">
        <v>2186.9299999999998</v>
      </c>
      <c r="C273" s="2">
        <f t="shared" si="27"/>
        <v>40570</v>
      </c>
      <c r="D273" s="1">
        <f t="shared" si="28"/>
        <v>2186.9299999999998</v>
      </c>
      <c r="E273" s="4">
        <f t="shared" si="29"/>
        <v>2093.5715999999993</v>
      </c>
      <c r="F273" s="3">
        <f t="shared" si="30"/>
        <v>1.0445928861472904</v>
      </c>
      <c r="G273" s="18">
        <f t="shared" si="31"/>
        <v>1</v>
      </c>
      <c r="H273" s="3">
        <f t="shared" si="32"/>
        <v>2.2961428466670153E-3</v>
      </c>
      <c r="I273" s="3">
        <f t="shared" si="33"/>
        <v>2.2961428466670153E-3</v>
      </c>
      <c r="K273" s="12" t="str">
        <f>IF(AND(G273=1,G272&lt;&gt;1),MAX($K$50:K272)+1,"")</f>
        <v/>
      </c>
      <c r="L273" s="13" t="str">
        <f>IF(AND(G273&lt;&gt;1,G272=1),MAX($L$50:L272)+1,"")</f>
        <v/>
      </c>
      <c r="M273" s="13" t="str">
        <f>IF(AND(G273=-1,G272&lt;&gt;-1),MAX($M$50:M272)+1,"")</f>
        <v/>
      </c>
      <c r="N273" s="13" t="str">
        <f>IF(AND(G273&lt;&gt;-1,G272=-1),MAX($N$50:N272)+1,"")</f>
        <v/>
      </c>
      <c r="T273" s="7">
        <f t="shared" si="34"/>
        <v>98.636924154200628</v>
      </c>
      <c r="U273" s="1">
        <f t="shared" si="35"/>
        <v>114.9026159965112</v>
      </c>
    </row>
    <row r="274" spans="1:21" x14ac:dyDescent="0.3">
      <c r="A274" s="2">
        <v>40571</v>
      </c>
      <c r="B274" s="1">
        <v>2147.9499999999998</v>
      </c>
      <c r="C274" s="2">
        <f t="shared" si="27"/>
        <v>40571</v>
      </c>
      <c r="D274" s="1">
        <f t="shared" si="28"/>
        <v>2147.9499999999998</v>
      </c>
      <c r="E274" s="4">
        <f t="shared" si="29"/>
        <v>2097.0053999999996</v>
      </c>
      <c r="F274" s="3">
        <f t="shared" si="30"/>
        <v>1.024293976543885</v>
      </c>
      <c r="G274" s="18">
        <f t="shared" si="31"/>
        <v>1</v>
      </c>
      <c r="H274" s="3">
        <f t="shared" si="32"/>
        <v>-1.7824073015597186E-2</v>
      </c>
      <c r="I274" s="3">
        <f t="shared" si="33"/>
        <v>-1.7824073015597186E-2</v>
      </c>
      <c r="K274" s="12" t="str">
        <f>IF(AND(G274=1,G273&lt;&gt;1),MAX($K$50:K273)+1,"")</f>
        <v/>
      </c>
      <c r="L274" s="13" t="str">
        <f>IF(AND(G274&lt;&gt;1,G273=1),MAX($L$50:L273)+1,"")</f>
        <v/>
      </c>
      <c r="M274" s="13" t="str">
        <f>IF(AND(G274=-1,G273&lt;&gt;-1),MAX($M$50:M273)+1,"")</f>
        <v/>
      </c>
      <c r="N274" s="13" t="str">
        <f>IF(AND(G274&lt;&gt;-1,G273=-1),MAX($N$50:N273)+1,"")</f>
        <v/>
      </c>
      <c r="T274" s="7">
        <f t="shared" si="34"/>
        <v>96.878812416042237</v>
      </c>
      <c r="U274" s="1">
        <f t="shared" si="35"/>
        <v>112.85458337930626</v>
      </c>
    </row>
    <row r="275" spans="1:21" x14ac:dyDescent="0.3">
      <c r="A275" s="2">
        <v>40574</v>
      </c>
      <c r="B275" s="1">
        <v>2164.4</v>
      </c>
      <c r="C275" s="2">
        <f t="shared" si="27"/>
        <v>40574</v>
      </c>
      <c r="D275" s="1">
        <f t="shared" si="28"/>
        <v>2164.4</v>
      </c>
      <c r="E275" s="4">
        <f t="shared" si="29"/>
        <v>2100.7533999999996</v>
      </c>
      <c r="F275" s="3">
        <f t="shared" si="30"/>
        <v>1.0302970353397978</v>
      </c>
      <c r="G275" s="18">
        <f t="shared" si="31"/>
        <v>1</v>
      </c>
      <c r="H275" s="3">
        <f t="shared" si="32"/>
        <v>7.6584650480691074E-3</v>
      </c>
      <c r="I275" s="3">
        <f t="shared" si="33"/>
        <v>7.6584650480691074E-3</v>
      </c>
      <c r="K275" s="12" t="str">
        <f>IF(AND(G275=1,G274&lt;&gt;1),MAX($K$50:K274)+1,"")</f>
        <v/>
      </c>
      <c r="L275" s="13" t="str">
        <f>IF(AND(G275&lt;&gt;1,G274=1),MAX($L$50:L274)+1,"")</f>
        <v/>
      </c>
      <c r="M275" s="13" t="str">
        <f>IF(AND(G275=-1,G274&lt;&gt;-1),MAX($M$50:M274)+1,"")</f>
        <v/>
      </c>
      <c r="N275" s="13" t="str">
        <f>IF(AND(G275&lt;&gt;-1,G274=-1),MAX($N$50:N274)+1,"")</f>
        <v/>
      </c>
      <c r="T275" s="7">
        <f t="shared" si="34"/>
        <v>97.620755414828935</v>
      </c>
      <c r="U275" s="1">
        <f t="shared" si="35"/>
        <v>113.7188762616311</v>
      </c>
    </row>
    <row r="276" spans="1:21" x14ac:dyDescent="0.3">
      <c r="A276" s="2">
        <v>40575</v>
      </c>
      <c r="B276" s="1">
        <v>2200.54</v>
      </c>
      <c r="C276" s="2">
        <f t="shared" si="27"/>
        <v>40575</v>
      </c>
      <c r="D276" s="1">
        <f t="shared" si="28"/>
        <v>2200.54</v>
      </c>
      <c r="E276" s="4">
        <f t="shared" si="29"/>
        <v>2104.6165999999994</v>
      </c>
      <c r="F276" s="3">
        <f t="shared" si="30"/>
        <v>1.0455776125684844</v>
      </c>
      <c r="G276" s="18">
        <f t="shared" si="31"/>
        <v>1</v>
      </c>
      <c r="H276" s="3">
        <f t="shared" si="32"/>
        <v>1.6697468120495218E-2</v>
      </c>
      <c r="I276" s="3">
        <f t="shared" si="33"/>
        <v>1.6697468120495218E-2</v>
      </c>
      <c r="K276" s="12" t="str">
        <f>IF(AND(G276=1,G275&lt;&gt;1),MAX($K$50:K275)+1,"")</f>
        <v/>
      </c>
      <c r="L276" s="13" t="str">
        <f>IF(AND(G276&lt;&gt;1,G275=1),MAX($L$50:L275)+1,"")</f>
        <v/>
      </c>
      <c r="M276" s="13" t="str">
        <f>IF(AND(G276=-1,G275&lt;&gt;-1),MAX($M$50:M275)+1,"")</f>
        <v/>
      </c>
      <c r="N276" s="13" t="str">
        <f>IF(AND(G276&lt;&gt;-1,G275=-1),MAX($N$50:N275)+1,"")</f>
        <v/>
      </c>
      <c r="T276" s="7">
        <f t="shared" si="34"/>
        <v>99.250774866266696</v>
      </c>
      <c r="U276" s="1">
        <f t="shared" si="35"/>
        <v>115.61769357270822</v>
      </c>
    </row>
    <row r="277" spans="1:21" x14ac:dyDescent="0.3">
      <c r="A277" s="2">
        <v>40576</v>
      </c>
      <c r="B277" s="1">
        <v>2194.94</v>
      </c>
      <c r="C277" s="2">
        <f t="shared" si="27"/>
        <v>40576</v>
      </c>
      <c r="D277" s="1">
        <f t="shared" si="28"/>
        <v>2194.94</v>
      </c>
      <c r="E277" s="4">
        <f t="shared" si="29"/>
        <v>2108.2635999999993</v>
      </c>
      <c r="F277" s="3">
        <f t="shared" si="30"/>
        <v>1.0411126957748551</v>
      </c>
      <c r="G277" s="18">
        <f t="shared" si="31"/>
        <v>1</v>
      </c>
      <c r="H277" s="3">
        <f t="shared" si="32"/>
        <v>-2.5448299053868473E-3</v>
      </c>
      <c r="I277" s="3">
        <f t="shared" si="33"/>
        <v>-2.5448299053868473E-3</v>
      </c>
      <c r="K277" s="12" t="str">
        <f>IF(AND(G277=1,G276&lt;&gt;1),MAX($K$50:K276)+1,"")</f>
        <v/>
      </c>
      <c r="L277" s="13" t="str">
        <f>IF(AND(G277&lt;&gt;1,G276=1),MAX($L$50:L276)+1,"")</f>
        <v/>
      </c>
      <c r="M277" s="13" t="str">
        <f>IF(AND(G277=-1,G276&lt;&gt;-1),MAX($M$50:M276)+1,"")</f>
        <v/>
      </c>
      <c r="N277" s="13" t="str">
        <f>IF(AND(G277&lt;&gt;-1,G276=-1),MAX($N$50:N276)+1,"")</f>
        <v/>
      </c>
      <c r="T277" s="7">
        <f t="shared" si="34"/>
        <v>98.9981985262542</v>
      </c>
      <c r="U277" s="1">
        <f t="shared" si="35"/>
        <v>115.32346620851254</v>
      </c>
    </row>
    <row r="278" spans="1:21" x14ac:dyDescent="0.3">
      <c r="A278" s="2">
        <v>40577</v>
      </c>
      <c r="B278" s="1">
        <v>2200.42</v>
      </c>
      <c r="C278" s="2">
        <f t="shared" si="27"/>
        <v>40577</v>
      </c>
      <c r="D278" s="1">
        <f t="shared" si="28"/>
        <v>2200.42</v>
      </c>
      <c r="E278" s="4">
        <f t="shared" si="29"/>
        <v>2112.0815999999995</v>
      </c>
      <c r="F278" s="3">
        <f t="shared" si="30"/>
        <v>1.0418252779627457</v>
      </c>
      <c r="G278" s="18">
        <f t="shared" si="31"/>
        <v>1</v>
      </c>
      <c r="H278" s="3">
        <f t="shared" si="32"/>
        <v>2.4966513891040432E-3</v>
      </c>
      <c r="I278" s="3">
        <f t="shared" si="33"/>
        <v>2.4966513891040432E-3</v>
      </c>
      <c r="K278" s="12" t="str">
        <f>IF(AND(G278=1,G277&lt;&gt;1),MAX($K$50:K277)+1,"")</f>
        <v/>
      </c>
      <c r="L278" s="13" t="str">
        <f>IF(AND(G278&lt;&gt;1,G277=1),MAX($L$50:L277)+1,"")</f>
        <v/>
      </c>
      <c r="M278" s="13" t="str">
        <f>IF(AND(G278=-1,G277&lt;&gt;-1),MAX($M$50:M277)+1,"")</f>
        <v/>
      </c>
      <c r="N278" s="13" t="str">
        <f>IF(AND(G278&lt;&gt;-1,G277=-1),MAX($N$50:N277)+1,"")</f>
        <v/>
      </c>
      <c r="T278" s="7">
        <f t="shared" si="34"/>
        <v>99.245362516123564</v>
      </c>
      <c r="U278" s="1">
        <f t="shared" si="35"/>
        <v>115.61138870061831</v>
      </c>
    </row>
    <row r="279" spans="1:21" x14ac:dyDescent="0.3">
      <c r="A279" s="2">
        <v>40578</v>
      </c>
      <c r="B279" s="1">
        <v>2206.8000000000002</v>
      </c>
      <c r="C279" s="2">
        <f t="shared" si="27"/>
        <v>40578</v>
      </c>
      <c r="D279" s="1">
        <f t="shared" si="28"/>
        <v>2206.8000000000002</v>
      </c>
      <c r="E279" s="4">
        <f t="shared" si="29"/>
        <v>2116.599799999999</v>
      </c>
      <c r="F279" s="3">
        <f t="shared" si="30"/>
        <v>1.0426156139672702</v>
      </c>
      <c r="G279" s="18">
        <f t="shared" si="31"/>
        <v>1</v>
      </c>
      <c r="H279" s="3">
        <f t="shared" si="32"/>
        <v>2.8994464693103961E-3</v>
      </c>
      <c r="I279" s="3">
        <f t="shared" si="33"/>
        <v>2.8994464693103961E-3</v>
      </c>
      <c r="K279" s="12" t="str">
        <f>IF(AND(G279=1,G278&lt;&gt;1),MAX($K$50:K278)+1,"")</f>
        <v/>
      </c>
      <c r="L279" s="13" t="str">
        <f>IF(AND(G279&lt;&gt;1,G278=1),MAX($L$50:L278)+1,"")</f>
        <v/>
      </c>
      <c r="M279" s="13" t="str">
        <f>IF(AND(G279=-1,G278&lt;&gt;-1),MAX($M$50:M278)+1,"")</f>
        <v/>
      </c>
      <c r="N279" s="13" t="str">
        <f>IF(AND(G279&lt;&gt;-1,G278=-1),MAX($N$50:N278)+1,"")</f>
        <v/>
      </c>
      <c r="T279" s="7">
        <f t="shared" si="34"/>
        <v>99.533119132066375</v>
      </c>
      <c r="U279" s="1">
        <f t="shared" si="35"/>
        <v>115.94659773339839</v>
      </c>
    </row>
    <row r="280" spans="1:21" x14ac:dyDescent="0.3">
      <c r="A280" s="2">
        <v>40581</v>
      </c>
      <c r="B280" s="1">
        <v>2220.6</v>
      </c>
      <c r="C280" s="2">
        <f t="shared" si="27"/>
        <v>40581</v>
      </c>
      <c r="D280" s="1">
        <f t="shared" si="28"/>
        <v>2220.6</v>
      </c>
      <c r="E280" s="4">
        <f t="shared" si="29"/>
        <v>2120.8005999999996</v>
      </c>
      <c r="F280" s="3">
        <f t="shared" si="30"/>
        <v>1.0470574178449403</v>
      </c>
      <c r="G280" s="18">
        <f t="shared" si="31"/>
        <v>1</v>
      </c>
      <c r="H280" s="3">
        <f t="shared" si="32"/>
        <v>6.2533985861881192E-3</v>
      </c>
      <c r="I280" s="3">
        <f t="shared" si="33"/>
        <v>6.2533985861881192E-3</v>
      </c>
      <c r="K280" s="12" t="str">
        <f>IF(AND(G280=1,G279&lt;&gt;1),MAX($K$50:K279)+1,"")</f>
        <v/>
      </c>
      <c r="L280" s="13" t="str">
        <f>IF(AND(G280&lt;&gt;1,G279=1),MAX($L$50:L279)+1,"")</f>
        <v/>
      </c>
      <c r="M280" s="13" t="str">
        <f>IF(AND(G280=-1,G279&lt;&gt;-1),MAX($M$50:M279)+1,"")</f>
        <v/>
      </c>
      <c r="N280" s="13" t="str">
        <f>IF(AND(G280&lt;&gt;-1,G279=-1),MAX($N$50:N279)+1,"")</f>
        <v/>
      </c>
      <c r="T280" s="7">
        <f t="shared" si="34"/>
        <v>100.15553939852573</v>
      </c>
      <c r="U280" s="1">
        <f t="shared" si="35"/>
        <v>116.67165802373773</v>
      </c>
    </row>
    <row r="281" spans="1:21" x14ac:dyDescent="0.3">
      <c r="A281" s="2">
        <v>40582</v>
      </c>
      <c r="B281" s="1">
        <v>2230.59</v>
      </c>
      <c r="C281" s="2">
        <f t="shared" si="27"/>
        <v>40582</v>
      </c>
      <c r="D281" s="1">
        <f t="shared" si="28"/>
        <v>2230.59</v>
      </c>
      <c r="E281" s="4">
        <f t="shared" si="29"/>
        <v>2125.4917999999993</v>
      </c>
      <c r="F281" s="3">
        <f t="shared" si="30"/>
        <v>1.0494465327977276</v>
      </c>
      <c r="G281" s="18">
        <f t="shared" si="31"/>
        <v>1</v>
      </c>
      <c r="H281" s="3">
        <f t="shared" si="32"/>
        <v>4.4987841124022321E-3</v>
      </c>
      <c r="I281" s="3">
        <f t="shared" si="33"/>
        <v>4.4987841124022321E-3</v>
      </c>
      <c r="K281" s="12" t="str">
        <f>IF(AND(G281=1,G280&lt;&gt;1),MAX($K$50:K280)+1,"")</f>
        <v/>
      </c>
      <c r="L281" s="13" t="str">
        <f>IF(AND(G281&lt;&gt;1,G280=1),MAX($L$50:L280)+1,"")</f>
        <v/>
      </c>
      <c r="M281" s="13" t="str">
        <f>IF(AND(G281=-1,G280&lt;&gt;-1),MAX($M$50:M280)+1,"")</f>
        <v/>
      </c>
      <c r="N281" s="13" t="str">
        <f>IF(AND(G281&lt;&gt;-1,G280=-1),MAX($N$50:N280)+1,"")</f>
        <v/>
      </c>
      <c r="T281" s="7">
        <f t="shared" si="34"/>
        <v>100.6061175479409</v>
      </c>
      <c r="U281" s="1">
        <f t="shared" si="35"/>
        <v>117.19653862522254</v>
      </c>
    </row>
    <row r="282" spans="1:21" x14ac:dyDescent="0.3">
      <c r="A282" s="2">
        <v>40583</v>
      </c>
      <c r="B282" s="1">
        <v>2224.64</v>
      </c>
      <c r="C282" s="2">
        <f t="shared" si="27"/>
        <v>40583</v>
      </c>
      <c r="D282" s="1">
        <f t="shared" si="28"/>
        <v>2224.64</v>
      </c>
      <c r="E282" s="4">
        <f t="shared" si="29"/>
        <v>2130.1079999999993</v>
      </c>
      <c r="F282" s="3">
        <f t="shared" si="30"/>
        <v>1.0443789704559585</v>
      </c>
      <c r="G282" s="18">
        <f t="shared" si="31"/>
        <v>1</v>
      </c>
      <c r="H282" s="3">
        <f t="shared" si="32"/>
        <v>-2.667455695578469E-3</v>
      </c>
      <c r="I282" s="3">
        <f t="shared" si="33"/>
        <v>-2.667455695578469E-3</v>
      </c>
      <c r="K282" s="12" t="str">
        <f>IF(AND(G282=1,G281&lt;&gt;1),MAX($K$50:K281)+1,"")</f>
        <v/>
      </c>
      <c r="L282" s="13" t="str">
        <f>IF(AND(G282&lt;&gt;1,G281=1),MAX($L$50:L281)+1,"")</f>
        <v/>
      </c>
      <c r="M282" s="13" t="str">
        <f>IF(AND(G282=-1,G281&lt;&gt;-1),MAX($M$50:M281)+1,"")</f>
        <v/>
      </c>
      <c r="N282" s="13" t="str">
        <f>IF(AND(G282&lt;&gt;-1,G281=-1),MAX($N$50:N281)+1,"")</f>
        <v/>
      </c>
      <c r="T282" s="7">
        <f t="shared" si="34"/>
        <v>100.33775518667761</v>
      </c>
      <c r="U282" s="1">
        <f t="shared" si="35"/>
        <v>116.88392205076461</v>
      </c>
    </row>
    <row r="283" spans="1:21" x14ac:dyDescent="0.3">
      <c r="A283" s="2">
        <v>40584</v>
      </c>
      <c r="B283" s="1">
        <v>2226.5100000000002</v>
      </c>
      <c r="C283" s="2">
        <f t="shared" si="27"/>
        <v>40584</v>
      </c>
      <c r="D283" s="1">
        <f t="shared" si="28"/>
        <v>2226.5100000000002</v>
      </c>
      <c r="E283" s="4">
        <f t="shared" si="29"/>
        <v>2135.0013999999992</v>
      </c>
      <c r="F283" s="3">
        <f t="shared" si="30"/>
        <v>1.0428611428545205</v>
      </c>
      <c r="G283" s="18">
        <f t="shared" si="31"/>
        <v>1</v>
      </c>
      <c r="H283" s="3">
        <f t="shared" si="32"/>
        <v>8.4058544303822202E-4</v>
      </c>
      <c r="I283" s="3">
        <f t="shared" si="33"/>
        <v>8.4058544303822202E-4</v>
      </c>
      <c r="K283" s="12" t="str">
        <f>IF(AND(G283=1,G282&lt;&gt;1),MAX($K$50:K282)+1,"")</f>
        <v/>
      </c>
      <c r="L283" s="13" t="str">
        <f>IF(AND(G283&lt;&gt;1,G282=1),MAX($L$50:L282)+1,"")</f>
        <v/>
      </c>
      <c r="M283" s="13" t="str">
        <f>IF(AND(G283=-1,G282&lt;&gt;-1),MAX($M$50:M282)+1,"")</f>
        <v/>
      </c>
      <c r="N283" s="13" t="str">
        <f>IF(AND(G283&lt;&gt;-1,G282=-1),MAX($N$50:N282)+1,"")</f>
        <v/>
      </c>
      <c r="T283" s="7">
        <f t="shared" si="34"/>
        <v>100.42209764307466</v>
      </c>
      <c r="U283" s="1">
        <f t="shared" si="35"/>
        <v>116.98217297416569</v>
      </c>
    </row>
    <row r="284" spans="1:21" x14ac:dyDescent="0.3">
      <c r="A284" s="2">
        <v>40585</v>
      </c>
      <c r="B284" s="1">
        <v>2239.08</v>
      </c>
      <c r="C284" s="2">
        <f t="shared" si="27"/>
        <v>40585</v>
      </c>
      <c r="D284" s="1">
        <f t="shared" si="28"/>
        <v>2239.08</v>
      </c>
      <c r="E284" s="4">
        <f t="shared" si="29"/>
        <v>2139.2835999999988</v>
      </c>
      <c r="F284" s="3">
        <f t="shared" si="30"/>
        <v>1.0466494484415256</v>
      </c>
      <c r="G284" s="18">
        <f t="shared" si="31"/>
        <v>1</v>
      </c>
      <c r="H284" s="3">
        <f t="shared" si="32"/>
        <v>5.6456068016761396E-3</v>
      </c>
      <c r="I284" s="3">
        <f t="shared" si="33"/>
        <v>5.6456068016761396E-3</v>
      </c>
      <c r="K284" s="12" t="str">
        <f>IF(AND(G284=1,G283&lt;&gt;1),MAX($K$50:K283)+1,"")</f>
        <v/>
      </c>
      <c r="L284" s="13" t="str">
        <f>IF(AND(G284&lt;&gt;1,G283=1),MAX($L$50:L283)+1,"")</f>
        <v/>
      </c>
      <c r="M284" s="13" t="str">
        <f>IF(AND(G284=-1,G283&lt;&gt;-1),MAX($M$50:M283)+1,"")</f>
        <v/>
      </c>
      <c r="N284" s="13" t="str">
        <f>IF(AND(G284&lt;&gt;-1,G283=-1),MAX($N$50:N283)+1,"")</f>
        <v/>
      </c>
      <c r="T284" s="7">
        <f t="shared" si="34"/>
        <v>100.989041320567</v>
      </c>
      <c r="U284" s="1">
        <f t="shared" si="35"/>
        <v>117.64260832558348</v>
      </c>
    </row>
    <row r="285" spans="1:21" x14ac:dyDescent="0.3">
      <c r="A285" s="2">
        <v>40588</v>
      </c>
      <c r="B285" s="1">
        <v>2244.89</v>
      </c>
      <c r="C285" s="2">
        <f t="shared" si="27"/>
        <v>40588</v>
      </c>
      <c r="D285" s="1">
        <f t="shared" si="28"/>
        <v>2244.89</v>
      </c>
      <c r="E285" s="4">
        <f t="shared" si="29"/>
        <v>2143.1621999999993</v>
      </c>
      <c r="F285" s="3">
        <f t="shared" si="30"/>
        <v>1.0474662160428179</v>
      </c>
      <c r="G285" s="18">
        <f t="shared" si="31"/>
        <v>1</v>
      </c>
      <c r="H285" s="3">
        <f t="shared" si="32"/>
        <v>2.5948157278881112E-3</v>
      </c>
      <c r="I285" s="3">
        <f t="shared" si="33"/>
        <v>2.5948157278881112E-3</v>
      </c>
      <c r="K285" s="12" t="str">
        <f>IF(AND(G285=1,G284&lt;&gt;1),MAX($K$50:K284)+1,"")</f>
        <v/>
      </c>
      <c r="L285" s="13" t="str">
        <f>IF(AND(G285&lt;&gt;1,G284=1),MAX($L$50:L284)+1,"")</f>
        <v/>
      </c>
      <c r="M285" s="13" t="str">
        <f>IF(AND(G285=-1,G284&lt;&gt;-1),MAX($M$50:M284)+1,"")</f>
        <v/>
      </c>
      <c r="N285" s="13" t="str">
        <f>IF(AND(G285&lt;&gt;-1,G284=-1),MAX($N$50:N284)+1,"")</f>
        <v/>
      </c>
      <c r="T285" s="7">
        <f t="shared" si="34"/>
        <v>101.25108927332995</v>
      </c>
      <c r="U285" s="1">
        <f t="shared" si="35"/>
        <v>117.94786921593651</v>
      </c>
    </row>
    <row r="286" spans="1:21" x14ac:dyDescent="0.3">
      <c r="A286" s="2">
        <v>40589</v>
      </c>
      <c r="B286" s="1">
        <v>2237.9</v>
      </c>
      <c r="C286" s="2">
        <f t="shared" si="27"/>
        <v>40589</v>
      </c>
      <c r="D286" s="1">
        <f t="shared" si="28"/>
        <v>2237.9</v>
      </c>
      <c r="E286" s="4">
        <f t="shared" si="29"/>
        <v>2146.792199999999</v>
      </c>
      <c r="F286" s="3">
        <f t="shared" si="30"/>
        <v>1.04243903997788</v>
      </c>
      <c r="G286" s="18">
        <f t="shared" si="31"/>
        <v>1</v>
      </c>
      <c r="H286" s="3">
        <f t="shared" si="32"/>
        <v>-3.1137383123448492E-3</v>
      </c>
      <c r="I286" s="3">
        <f t="shared" si="33"/>
        <v>-3.1137383123448492E-3</v>
      </c>
      <c r="K286" s="12" t="str">
        <f>IF(AND(G286=1,G285&lt;&gt;1),MAX($K$50:K285)+1,"")</f>
        <v/>
      </c>
      <c r="L286" s="13" t="str">
        <f>IF(AND(G286&lt;&gt;1,G285=1),MAX($L$50:L285)+1,"")</f>
        <v/>
      </c>
      <c r="M286" s="13" t="str">
        <f>IF(AND(G286=-1,G285&lt;&gt;-1),MAX($M$50:M285)+1,"")</f>
        <v/>
      </c>
      <c r="N286" s="13" t="str">
        <f>IF(AND(G286&lt;&gt;-1,G285=-1),MAX($N$50:N285)+1,"")</f>
        <v/>
      </c>
      <c r="T286" s="7">
        <f t="shared" si="34"/>
        <v>100.93581987749293</v>
      </c>
      <c r="U286" s="1">
        <f t="shared" si="35"/>
        <v>117.5806104166994</v>
      </c>
    </row>
    <row r="287" spans="1:21" x14ac:dyDescent="0.3">
      <c r="A287" s="2">
        <v>40590</v>
      </c>
      <c r="B287" s="1">
        <v>2252.3000000000002</v>
      </c>
      <c r="C287" s="2">
        <f t="shared" si="27"/>
        <v>40590</v>
      </c>
      <c r="D287" s="1">
        <f t="shared" si="28"/>
        <v>2252.3000000000002</v>
      </c>
      <c r="E287" s="4">
        <f t="shared" si="29"/>
        <v>2150.7621999999992</v>
      </c>
      <c r="F287" s="3">
        <f t="shared" si="30"/>
        <v>1.0472101471748021</v>
      </c>
      <c r="G287" s="18">
        <f t="shared" si="31"/>
        <v>1</v>
      </c>
      <c r="H287" s="3">
        <f t="shared" si="32"/>
        <v>6.4346038696994068E-3</v>
      </c>
      <c r="I287" s="3">
        <f t="shared" si="33"/>
        <v>6.4346038696994068E-3</v>
      </c>
      <c r="K287" s="12" t="str">
        <f>IF(AND(G287=1,G286&lt;&gt;1),MAX($K$50:K286)+1,"")</f>
        <v/>
      </c>
      <c r="L287" s="13" t="str">
        <f>IF(AND(G287&lt;&gt;1,G286=1),MAX($L$50:L286)+1,"")</f>
        <v/>
      </c>
      <c r="M287" s="13" t="str">
        <f>IF(AND(G287=-1,G286&lt;&gt;-1),MAX($M$50:M286)+1,"")</f>
        <v/>
      </c>
      <c r="N287" s="13" t="str">
        <f>IF(AND(G287&lt;&gt;-1,G286=-1),MAX($N$50:N286)+1,"")</f>
        <v/>
      </c>
      <c r="T287" s="7">
        <f t="shared" si="34"/>
        <v>101.58530189466794</v>
      </c>
      <c r="U287" s="1">
        <f t="shared" si="35"/>
        <v>118.33719506748831</v>
      </c>
    </row>
    <row r="288" spans="1:21" x14ac:dyDescent="0.3">
      <c r="A288" s="2">
        <v>40591</v>
      </c>
      <c r="B288" s="1">
        <v>2259.42</v>
      </c>
      <c r="C288" s="2">
        <f t="shared" si="27"/>
        <v>40591</v>
      </c>
      <c r="D288" s="1">
        <f t="shared" si="28"/>
        <v>2259.42</v>
      </c>
      <c r="E288" s="4">
        <f t="shared" si="29"/>
        <v>2154.8527999999992</v>
      </c>
      <c r="F288" s="3">
        <f t="shared" si="30"/>
        <v>1.0485263773005753</v>
      </c>
      <c r="G288" s="18">
        <f t="shared" si="31"/>
        <v>1</v>
      </c>
      <c r="H288" s="3">
        <f t="shared" si="32"/>
        <v>3.1612129822846669E-3</v>
      </c>
      <c r="I288" s="3">
        <f t="shared" si="33"/>
        <v>3.1612129822846669E-3</v>
      </c>
      <c r="K288" s="12" t="str">
        <f>IF(AND(G288=1,G287&lt;&gt;1),MAX($K$50:K287)+1,"")</f>
        <v/>
      </c>
      <c r="L288" s="13" t="str">
        <f>IF(AND(G288&lt;&gt;1,G287=1),MAX($L$50:L287)+1,"")</f>
        <v/>
      </c>
      <c r="M288" s="13" t="str">
        <f>IF(AND(G288=-1,G287&lt;&gt;-1),MAX($M$50:M287)+1,"")</f>
        <v/>
      </c>
      <c r="N288" s="13" t="str">
        <f>IF(AND(G288&lt;&gt;-1,G287=-1),MAX($N$50:N287)+1,"")</f>
        <v/>
      </c>
      <c r="T288" s="7">
        <f t="shared" si="34"/>
        <v>101.90643466982667</v>
      </c>
      <c r="U288" s="1">
        <f t="shared" si="35"/>
        <v>118.7112841448228</v>
      </c>
    </row>
    <row r="289" spans="1:21" x14ac:dyDescent="0.3">
      <c r="A289" s="2">
        <v>40592</v>
      </c>
      <c r="B289" s="1">
        <v>2263.79</v>
      </c>
      <c r="C289" s="2">
        <f t="shared" si="27"/>
        <v>40592</v>
      </c>
      <c r="D289" s="1">
        <f t="shared" si="28"/>
        <v>2263.79</v>
      </c>
      <c r="E289" s="4">
        <f t="shared" si="29"/>
        <v>2158.8679999999995</v>
      </c>
      <c r="F289" s="3">
        <f t="shared" si="30"/>
        <v>1.0486004702464442</v>
      </c>
      <c r="G289" s="18">
        <f t="shared" si="31"/>
        <v>1</v>
      </c>
      <c r="H289" s="3">
        <f t="shared" si="32"/>
        <v>1.9341246868664896E-3</v>
      </c>
      <c r="I289" s="3">
        <f t="shared" si="33"/>
        <v>1.9341246868664896E-3</v>
      </c>
      <c r="K289" s="12" t="str">
        <f>IF(AND(G289=1,G288&lt;&gt;1),MAX($K$50:K288)+1,"")</f>
        <v/>
      </c>
      <c r="L289" s="13" t="str">
        <f>IF(AND(G289&lt;&gt;1,G288=1),MAX($L$50:L288)+1,"")</f>
        <v/>
      </c>
      <c r="M289" s="13" t="str">
        <f>IF(AND(G289=-1,G288&lt;&gt;-1),MAX($M$50:M288)+1,"")</f>
        <v/>
      </c>
      <c r="N289" s="13" t="str">
        <f>IF(AND(G289&lt;&gt;-1,G288=-1),MAX($N$50:N288)+1,"")</f>
        <v/>
      </c>
      <c r="T289" s="7">
        <f t="shared" si="34"/>
        <v>102.10353442087212</v>
      </c>
      <c r="U289" s="1">
        <f t="shared" si="35"/>
        <v>118.94088657009692</v>
      </c>
    </row>
    <row r="290" spans="1:21" x14ac:dyDescent="0.3">
      <c r="A290" s="2">
        <v>40596</v>
      </c>
      <c r="B290" s="1">
        <v>2217.35</v>
      </c>
      <c r="C290" s="2">
        <f t="shared" si="27"/>
        <v>40596</v>
      </c>
      <c r="D290" s="1">
        <f t="shared" si="28"/>
        <v>2217.35</v>
      </c>
      <c r="E290" s="4">
        <f t="shared" si="29"/>
        <v>2161.7925999999993</v>
      </c>
      <c r="F290" s="3">
        <f t="shared" si="30"/>
        <v>1.0256996901552908</v>
      </c>
      <c r="G290" s="18">
        <f t="shared" si="31"/>
        <v>1</v>
      </c>
      <c r="H290" s="3">
        <f t="shared" si="32"/>
        <v>-2.0514270316593031E-2</v>
      </c>
      <c r="I290" s="3">
        <f t="shared" si="33"/>
        <v>-2.0514270316593031E-2</v>
      </c>
      <c r="K290" s="12" t="str">
        <f>IF(AND(G290=1,G289&lt;&gt;1),MAX($K$50:K289)+1,"")</f>
        <v/>
      </c>
      <c r="L290" s="13" t="str">
        <f>IF(AND(G290&lt;&gt;1,G289=1),MAX($L$50:L289)+1,"")</f>
        <v/>
      </c>
      <c r="M290" s="13" t="str">
        <f>IF(AND(G290=-1,G289&lt;&gt;-1),MAX($M$50:M289)+1,"")</f>
        <v/>
      </c>
      <c r="N290" s="13" t="str">
        <f>IF(AND(G290&lt;&gt;-1,G289=-1),MAX($N$50:N289)+1,"")</f>
        <v/>
      </c>
      <c r="T290" s="7">
        <f t="shared" si="34"/>
        <v>100.00895491548279</v>
      </c>
      <c r="U290" s="1">
        <f t="shared" si="35"/>
        <v>116.50090107130274</v>
      </c>
    </row>
    <row r="291" spans="1:21" x14ac:dyDescent="0.3">
      <c r="A291" s="2">
        <v>40597</v>
      </c>
      <c r="B291" s="1">
        <v>2203.89</v>
      </c>
      <c r="C291" s="2">
        <f t="shared" si="27"/>
        <v>40597</v>
      </c>
      <c r="D291" s="1">
        <f t="shared" si="28"/>
        <v>2203.89</v>
      </c>
      <c r="E291" s="4">
        <f t="shared" si="29"/>
        <v>2164.1989999999996</v>
      </c>
      <c r="F291" s="3">
        <f t="shared" si="30"/>
        <v>1.0183398107105679</v>
      </c>
      <c r="G291" s="18">
        <f t="shared" si="31"/>
        <v>1</v>
      </c>
      <c r="H291" s="3">
        <f t="shared" si="32"/>
        <v>-6.0703091528175879E-3</v>
      </c>
      <c r="I291" s="3">
        <f t="shared" si="33"/>
        <v>-6.0703091528175879E-3</v>
      </c>
      <c r="K291" s="12" t="str">
        <f>IF(AND(G291=1,G290&lt;&gt;1),MAX($K$50:K290)+1,"")</f>
        <v/>
      </c>
      <c r="L291" s="13" t="str">
        <f>IF(AND(G291&lt;&gt;1,G290=1),MAX($L$50:L290)+1,"")</f>
        <v/>
      </c>
      <c r="M291" s="13" t="str">
        <f>IF(AND(G291=-1,G290&lt;&gt;-1),MAX($M$50:M290)+1,"")</f>
        <v/>
      </c>
      <c r="N291" s="13" t="str">
        <f>IF(AND(G291&lt;&gt;-1,G290=-1),MAX($N$50:N290)+1,"")</f>
        <v/>
      </c>
      <c r="T291" s="7">
        <f t="shared" si="34"/>
        <v>99.401869641095615</v>
      </c>
      <c r="U291" s="1">
        <f t="shared" si="35"/>
        <v>115.79370458521812</v>
      </c>
    </row>
    <row r="292" spans="1:21" x14ac:dyDescent="0.3">
      <c r="A292" s="2">
        <v>40598</v>
      </c>
      <c r="B292" s="1">
        <v>2202.23</v>
      </c>
      <c r="C292" s="2">
        <f t="shared" si="27"/>
        <v>40598</v>
      </c>
      <c r="D292" s="1">
        <f t="shared" si="28"/>
        <v>2202.23</v>
      </c>
      <c r="E292" s="4">
        <f t="shared" si="29"/>
        <v>2166.5635999999995</v>
      </c>
      <c r="F292" s="3">
        <f t="shared" si="30"/>
        <v>1.0164621984787341</v>
      </c>
      <c r="G292" s="18">
        <f t="shared" si="31"/>
        <v>1</v>
      </c>
      <c r="H292" s="3">
        <f t="shared" si="32"/>
        <v>-7.5321363588920498E-4</v>
      </c>
      <c r="I292" s="3">
        <f t="shared" si="33"/>
        <v>-7.5321363588920498E-4</v>
      </c>
      <c r="K292" s="12" t="str">
        <f>IF(AND(G292=1,G291&lt;&gt;1),MAX($K$50:K291)+1,"")</f>
        <v/>
      </c>
      <c r="L292" s="13" t="str">
        <f>IF(AND(G292&lt;&gt;1,G291=1),MAX($L$50:L291)+1,"")</f>
        <v/>
      </c>
      <c r="M292" s="13" t="str">
        <f>IF(AND(G292=-1,G291&lt;&gt;-1),MAX($M$50:M291)+1,"")</f>
        <v/>
      </c>
      <c r="N292" s="13" t="str">
        <f>IF(AND(G292&lt;&gt;-1,G291=-1),MAX($N$50:N291)+1,"")</f>
        <v/>
      </c>
      <c r="T292" s="7">
        <f t="shared" si="34"/>
        <v>99.326998797449065</v>
      </c>
      <c r="U292" s="1">
        <f t="shared" si="35"/>
        <v>115.7064871879744</v>
      </c>
    </row>
    <row r="293" spans="1:21" x14ac:dyDescent="0.3">
      <c r="A293" s="2">
        <v>40599</v>
      </c>
      <c r="B293" s="1">
        <v>2226.0500000000002</v>
      </c>
      <c r="C293" s="2">
        <f t="shared" si="27"/>
        <v>40599</v>
      </c>
      <c r="D293" s="1">
        <f t="shared" si="28"/>
        <v>2226.0500000000002</v>
      </c>
      <c r="E293" s="4">
        <f t="shared" si="29"/>
        <v>2169.3659999999995</v>
      </c>
      <c r="F293" s="3">
        <f t="shared" si="30"/>
        <v>1.0261292930745667</v>
      </c>
      <c r="G293" s="18">
        <f t="shared" si="31"/>
        <v>1</v>
      </c>
      <c r="H293" s="3">
        <f t="shared" si="32"/>
        <v>1.0816308923227824E-2</v>
      </c>
      <c r="I293" s="3">
        <f t="shared" si="33"/>
        <v>1.0816308923227824E-2</v>
      </c>
      <c r="K293" s="12" t="str">
        <f>IF(AND(G293=1,G292&lt;&gt;1),MAX($K$50:K292)+1,"")</f>
        <v/>
      </c>
      <c r="L293" s="13" t="str">
        <f>IF(AND(G293&lt;&gt;1,G292=1),MAX($L$50:L292)+1,"")</f>
        <v/>
      </c>
      <c r="M293" s="13" t="str">
        <f>IF(AND(G293=-1,G292&lt;&gt;-1),MAX($M$50:M292)+1,"")</f>
        <v/>
      </c>
      <c r="N293" s="13" t="str">
        <f>IF(AND(G293&lt;&gt;-1,G292=-1),MAX($N$50:N292)+1,"")</f>
        <v/>
      </c>
      <c r="T293" s="7">
        <f t="shared" si="34"/>
        <v>100.40135030085935</v>
      </c>
      <c r="U293" s="1">
        <f t="shared" si="35"/>
        <v>116.95800429782103</v>
      </c>
    </row>
    <row r="294" spans="1:21" x14ac:dyDescent="0.3">
      <c r="A294" s="2">
        <v>40602</v>
      </c>
      <c r="B294" s="1">
        <v>2238.5500000000002</v>
      </c>
      <c r="C294" s="2">
        <f t="shared" si="27"/>
        <v>40602</v>
      </c>
      <c r="D294" s="1">
        <f t="shared" si="28"/>
        <v>2238.5500000000002</v>
      </c>
      <c r="E294" s="4">
        <f t="shared" si="29"/>
        <v>2172.6311999999998</v>
      </c>
      <c r="F294" s="3">
        <f t="shared" si="30"/>
        <v>1.0303405382376909</v>
      </c>
      <c r="G294" s="18">
        <f t="shared" si="31"/>
        <v>1</v>
      </c>
      <c r="H294" s="3">
        <f t="shared" si="32"/>
        <v>5.6153275982120388E-3</v>
      </c>
      <c r="I294" s="3">
        <f t="shared" si="33"/>
        <v>5.6153275982120388E-3</v>
      </c>
      <c r="K294" s="12" t="str">
        <f>IF(AND(G294=1,G293&lt;&gt;1),MAX($K$50:K293)+1,"")</f>
        <v/>
      </c>
      <c r="L294" s="13" t="str">
        <f>IF(AND(G294&lt;&gt;1,G293=1),MAX($L$50:L293)+1,"")</f>
        <v/>
      </c>
      <c r="M294" s="13" t="str">
        <f>IF(AND(G294=-1,G293&lt;&gt;-1),MAX($M$50:M293)+1,"")</f>
        <v/>
      </c>
      <c r="N294" s="13" t="str">
        <f>IF(AND(G294&lt;&gt;-1,G293=-1),MAX($N$50:N293)+1,"")</f>
        <v/>
      </c>
      <c r="T294" s="7">
        <f t="shared" si="34"/>
        <v>100.96513677410152</v>
      </c>
      <c r="U294" s="1">
        <f t="shared" si="35"/>
        <v>117.6147618071864</v>
      </c>
    </row>
    <row r="295" spans="1:21" x14ac:dyDescent="0.3">
      <c r="A295" s="2">
        <v>40603</v>
      </c>
      <c r="B295" s="1">
        <v>2203.3200000000002</v>
      </c>
      <c r="C295" s="2">
        <f t="shared" si="27"/>
        <v>40603</v>
      </c>
      <c r="D295" s="1">
        <f t="shared" si="28"/>
        <v>2203.3200000000002</v>
      </c>
      <c r="E295" s="4">
        <f t="shared" si="29"/>
        <v>2174.9338000000002</v>
      </c>
      <c r="F295" s="3">
        <f t="shared" si="30"/>
        <v>1.0130515236831577</v>
      </c>
      <c r="G295" s="18">
        <f t="shared" si="31"/>
        <v>1</v>
      </c>
      <c r="H295" s="3">
        <f t="shared" si="32"/>
        <v>-1.5737866029349346E-2</v>
      </c>
      <c r="I295" s="3">
        <f t="shared" si="33"/>
        <v>-1.5737866029349346E-2</v>
      </c>
      <c r="K295" s="12" t="str">
        <f>IF(AND(G295=1,G294&lt;&gt;1),MAX($K$50:K294)+1,"")</f>
        <v/>
      </c>
      <c r="L295" s="13" t="str">
        <f>IF(AND(G295&lt;&gt;1,G294=1),MAX($L$50:L294)+1,"")</f>
        <v/>
      </c>
      <c r="M295" s="13" t="str">
        <f>IF(AND(G295=-1,G294&lt;&gt;-1),MAX($M$50:M294)+1,"")</f>
        <v/>
      </c>
      <c r="N295" s="13" t="str">
        <f>IF(AND(G295&lt;&gt;-1,G294=-1),MAX($N$50:N294)+1,"")</f>
        <v/>
      </c>
      <c r="T295" s="7">
        <f t="shared" si="34"/>
        <v>99.376160977915774</v>
      </c>
      <c r="U295" s="1">
        <f t="shared" si="35"/>
        <v>115.76375644279106</v>
      </c>
    </row>
    <row r="296" spans="1:21" x14ac:dyDescent="0.3">
      <c r="A296" s="2">
        <v>40604</v>
      </c>
      <c r="B296" s="1">
        <v>2207.2399999999998</v>
      </c>
      <c r="C296" s="2">
        <f t="shared" si="27"/>
        <v>40604</v>
      </c>
      <c r="D296" s="1">
        <f t="shared" si="28"/>
        <v>2207.2399999999998</v>
      </c>
      <c r="E296" s="4">
        <f t="shared" si="29"/>
        <v>2177.2796000000003</v>
      </c>
      <c r="F296" s="3">
        <f t="shared" si="30"/>
        <v>1.0137604743093167</v>
      </c>
      <c r="G296" s="18">
        <f t="shared" si="31"/>
        <v>1</v>
      </c>
      <c r="H296" s="3">
        <f t="shared" si="32"/>
        <v>1.7791333079169025E-3</v>
      </c>
      <c r="I296" s="3">
        <f t="shared" si="33"/>
        <v>1.7791333079169025E-3</v>
      </c>
      <c r="K296" s="12" t="str">
        <f>IF(AND(G296=1,G295&lt;&gt;1),MAX($K$50:K295)+1,"")</f>
        <v/>
      </c>
      <c r="L296" s="13" t="str">
        <f>IF(AND(G296&lt;&gt;1,G295=1),MAX($L$50:L295)+1,"")</f>
        <v/>
      </c>
      <c r="M296" s="13" t="str">
        <f>IF(AND(G296=-1,G295&lt;&gt;-1),MAX($M$50:M295)+1,"")</f>
        <v/>
      </c>
      <c r="N296" s="13" t="str">
        <f>IF(AND(G296&lt;&gt;-1,G295=-1),MAX($N$50:N295)+1,"")</f>
        <v/>
      </c>
      <c r="T296" s="7">
        <f t="shared" si="34"/>
        <v>99.552964415924492</v>
      </c>
      <c r="U296" s="1">
        <f t="shared" si="35"/>
        <v>115.96971559772803</v>
      </c>
    </row>
    <row r="297" spans="1:21" x14ac:dyDescent="0.3">
      <c r="A297" s="2">
        <v>40605</v>
      </c>
      <c r="B297" s="1">
        <v>2245.33</v>
      </c>
      <c r="C297" s="2">
        <f t="shared" si="27"/>
        <v>40605</v>
      </c>
      <c r="D297" s="1">
        <f t="shared" si="28"/>
        <v>2245.33</v>
      </c>
      <c r="E297" s="4">
        <f t="shared" si="29"/>
        <v>2180.2798000000003</v>
      </c>
      <c r="F297" s="3">
        <f t="shared" si="30"/>
        <v>1.029835711911838</v>
      </c>
      <c r="G297" s="18">
        <f t="shared" si="31"/>
        <v>1</v>
      </c>
      <c r="H297" s="3">
        <f t="shared" si="32"/>
        <v>1.7256845653395247E-2</v>
      </c>
      <c r="I297" s="3">
        <f t="shared" si="33"/>
        <v>1.7256845653395247E-2</v>
      </c>
      <c r="K297" s="12" t="str">
        <f>IF(AND(G297=1,G296&lt;&gt;1),MAX($K$50:K296)+1,"")</f>
        <v/>
      </c>
      <c r="L297" s="13" t="str">
        <f>IF(AND(G297&lt;&gt;1,G296=1),MAX($L$50:L296)+1,"")</f>
        <v/>
      </c>
      <c r="M297" s="13" t="str">
        <f>IF(AND(G297=-1,G296&lt;&gt;-1),MAX($M$50:M296)+1,"")</f>
        <v/>
      </c>
      <c r="N297" s="13" t="str">
        <f>IF(AND(G297&lt;&gt;-1,G296=-1),MAX($N$50:N296)+1,"")</f>
        <v/>
      </c>
      <c r="T297" s="7">
        <f t="shared" si="34"/>
        <v>101.27093455718806</v>
      </c>
      <c r="U297" s="1">
        <f t="shared" si="35"/>
        <v>117.97098708026617</v>
      </c>
    </row>
    <row r="298" spans="1:21" x14ac:dyDescent="0.3">
      <c r="A298" s="2">
        <v>40606</v>
      </c>
      <c r="B298" s="1">
        <v>2228.7800000000002</v>
      </c>
      <c r="C298" s="2">
        <f t="shared" si="27"/>
        <v>40606</v>
      </c>
      <c r="D298" s="1">
        <f t="shared" si="28"/>
        <v>2228.7800000000002</v>
      </c>
      <c r="E298" s="4">
        <f t="shared" si="29"/>
        <v>2182.6902</v>
      </c>
      <c r="F298" s="3">
        <f t="shared" si="30"/>
        <v>1.0211160521085403</v>
      </c>
      <c r="G298" s="18">
        <f t="shared" si="31"/>
        <v>1</v>
      </c>
      <c r="H298" s="3">
        <f t="shared" si="32"/>
        <v>-7.37085417288319E-3</v>
      </c>
      <c r="I298" s="3">
        <f t="shared" si="33"/>
        <v>-7.37085417288319E-3</v>
      </c>
      <c r="K298" s="12" t="str">
        <f>IF(AND(G298=1,G297&lt;&gt;1),MAX($K$50:K297)+1,"")</f>
        <v/>
      </c>
      <c r="L298" s="13" t="str">
        <f>IF(AND(G298&lt;&gt;1,G297=1),MAX($L$50:L297)+1,"")</f>
        <v/>
      </c>
      <c r="M298" s="13" t="str">
        <f>IF(AND(G298=-1,G297&lt;&gt;-1),MAX($M$50:M297)+1,"")</f>
        <v/>
      </c>
      <c r="N298" s="13" t="str">
        <f>IF(AND(G298&lt;&gt;-1,G297=-1),MAX($N$50:N297)+1,"")</f>
        <v/>
      </c>
      <c r="T298" s="7">
        <f t="shared" si="34"/>
        <v>100.52448126661542</v>
      </c>
      <c r="U298" s="1">
        <f t="shared" si="35"/>
        <v>117.10144013786645</v>
      </c>
    </row>
    <row r="299" spans="1:21" x14ac:dyDescent="0.3">
      <c r="A299" s="2">
        <v>40609</v>
      </c>
      <c r="B299" s="1">
        <v>2210.2600000000002</v>
      </c>
      <c r="C299" s="2">
        <f t="shared" si="27"/>
        <v>40609</v>
      </c>
      <c r="D299" s="1">
        <f t="shared" si="28"/>
        <v>2210.2600000000002</v>
      </c>
      <c r="E299" s="4">
        <f t="shared" si="29"/>
        <v>2184.5816</v>
      </c>
      <c r="F299" s="3">
        <f t="shared" si="30"/>
        <v>1.011754378962086</v>
      </c>
      <c r="G299" s="18">
        <f t="shared" si="31"/>
        <v>1</v>
      </c>
      <c r="H299" s="3">
        <f t="shared" si="32"/>
        <v>-8.3094787282728122E-3</v>
      </c>
      <c r="I299" s="3">
        <f t="shared" si="33"/>
        <v>-8.3094787282728122E-3</v>
      </c>
      <c r="K299" s="12" t="str">
        <f>IF(AND(G299=1,G298&lt;&gt;1),MAX($K$50:K298)+1,"")</f>
        <v/>
      </c>
      <c r="L299" s="13" t="str">
        <f>IF(AND(G299&lt;&gt;1,G298=1),MAX($L$50:L298)+1,"")</f>
        <v/>
      </c>
      <c r="M299" s="13" t="str">
        <f>IF(AND(G299=-1,G298&lt;&gt;-1),MAX($M$50:M298)+1,"")</f>
        <v/>
      </c>
      <c r="N299" s="13" t="str">
        <f>IF(AND(G299&lt;&gt;-1,G298=-1),MAX($N$50:N298)+1,"")</f>
        <v/>
      </c>
      <c r="T299" s="7">
        <f t="shared" si="34"/>
        <v>99.68917522785982</v>
      </c>
      <c r="U299" s="1">
        <f t="shared" si="35"/>
        <v>116.12838821199074</v>
      </c>
    </row>
    <row r="300" spans="1:21" x14ac:dyDescent="0.3">
      <c r="A300" s="2">
        <v>40610</v>
      </c>
      <c r="B300" s="1">
        <v>2230.4</v>
      </c>
      <c r="C300" s="2">
        <f t="shared" si="27"/>
        <v>40610</v>
      </c>
      <c r="D300" s="1">
        <f t="shared" si="28"/>
        <v>2230.4</v>
      </c>
      <c r="E300" s="4">
        <f t="shared" si="29"/>
        <v>2186.9422</v>
      </c>
      <c r="F300" s="3">
        <f t="shared" si="30"/>
        <v>1.0198714899735348</v>
      </c>
      <c r="G300" s="18">
        <f t="shared" si="31"/>
        <v>1</v>
      </c>
      <c r="H300" s="3">
        <f t="shared" si="32"/>
        <v>9.1120501660437725E-3</v>
      </c>
      <c r="I300" s="3">
        <f t="shared" si="33"/>
        <v>9.1120501660437725E-3</v>
      </c>
      <c r="K300" s="12" t="str">
        <f>IF(AND(G300=1,G299&lt;&gt;1),MAX($K$50:K299)+1,"")</f>
        <v/>
      </c>
      <c r="L300" s="13" t="str">
        <f>IF(AND(G300&lt;&gt;1,G299=1),MAX($L$50:L299)+1,"")</f>
        <v/>
      </c>
      <c r="M300" s="13" t="str">
        <f>IF(AND(G300=-1,G299&lt;&gt;-1),MAX($M$50:M299)+1,"")</f>
        <v/>
      </c>
      <c r="N300" s="13" t="str">
        <f>IF(AND(G300&lt;&gt;-1,G299=-1),MAX($N$50:N299)+1,"")</f>
        <v/>
      </c>
      <c r="T300" s="7">
        <f t="shared" si="34"/>
        <v>100.59754799354761</v>
      </c>
      <c r="U300" s="1">
        <f t="shared" si="35"/>
        <v>117.18655591108021</v>
      </c>
    </row>
    <row r="301" spans="1:21" x14ac:dyDescent="0.3">
      <c r="A301" s="2">
        <v>40611</v>
      </c>
      <c r="B301" s="1">
        <v>2227.6999999999998</v>
      </c>
      <c r="C301" s="2">
        <f t="shared" si="27"/>
        <v>40611</v>
      </c>
      <c r="D301" s="1">
        <f t="shared" si="28"/>
        <v>2227.6999999999998</v>
      </c>
      <c r="E301" s="4">
        <f t="shared" si="29"/>
        <v>2189.2227999999996</v>
      </c>
      <c r="F301" s="3">
        <f t="shared" si="30"/>
        <v>1.0175757350964918</v>
      </c>
      <c r="G301" s="18">
        <f t="shared" si="31"/>
        <v>1</v>
      </c>
      <c r="H301" s="3">
        <f t="shared" si="32"/>
        <v>-1.2105451936873513E-3</v>
      </c>
      <c r="I301" s="3">
        <f t="shared" si="33"/>
        <v>-1.2105451936873513E-3</v>
      </c>
      <c r="K301" s="12" t="str">
        <f>IF(AND(G301=1,G300&lt;&gt;1),MAX($K$50:K300)+1,"")</f>
        <v/>
      </c>
      <c r="L301" s="13" t="str">
        <f>IF(AND(G301&lt;&gt;1,G300=1),MAX($L$50:L300)+1,"")</f>
        <v/>
      </c>
      <c r="M301" s="13" t="str">
        <f>IF(AND(G301=-1,G300&lt;&gt;-1),MAX($M$50:M300)+1,"")</f>
        <v/>
      </c>
      <c r="N301" s="13" t="str">
        <f>IF(AND(G301&lt;&gt;-1,G300=-1),MAX($N$50:N300)+1,"")</f>
        <v/>
      </c>
      <c r="T301" s="7">
        <f t="shared" si="34"/>
        <v>100.47577011532728</v>
      </c>
      <c r="U301" s="1">
        <f t="shared" si="35"/>
        <v>117.04469628905727</v>
      </c>
    </row>
    <row r="302" spans="1:21" x14ac:dyDescent="0.3">
      <c r="A302" s="2">
        <v>40612</v>
      </c>
      <c r="B302" s="1">
        <v>2185.65</v>
      </c>
      <c r="C302" s="2">
        <f t="shared" si="27"/>
        <v>40612</v>
      </c>
      <c r="D302" s="1">
        <f t="shared" si="28"/>
        <v>2185.65</v>
      </c>
      <c r="E302" s="4">
        <f t="shared" si="29"/>
        <v>2190.6293999999998</v>
      </c>
      <c r="F302" s="3">
        <f t="shared" si="30"/>
        <v>0.997726954636873</v>
      </c>
      <c r="G302" s="18">
        <f t="shared" si="31"/>
        <v>1</v>
      </c>
      <c r="H302" s="3">
        <f t="shared" si="32"/>
        <v>-1.8875970732145086E-2</v>
      </c>
      <c r="I302" s="3">
        <f t="shared" si="33"/>
        <v>-1.8875970732145086E-2</v>
      </c>
      <c r="K302" s="12" t="str">
        <f>IF(AND(G302=1,G301&lt;&gt;1),MAX($K$50:K301)+1,"")</f>
        <v/>
      </c>
      <c r="L302" s="13" t="str">
        <f>IF(AND(G302&lt;&gt;1,G301=1),MAX($L$50:L301)+1,"")</f>
        <v/>
      </c>
      <c r="M302" s="13" t="str">
        <f>IF(AND(G302=-1,G301&lt;&gt;-1),MAX($M$50:M301)+1,"")</f>
        <v/>
      </c>
      <c r="N302" s="13" t="str">
        <f>IF(AND(G302&lt;&gt;-1,G301=-1),MAX($N$50:N301)+1,"")</f>
        <v/>
      </c>
      <c r="T302" s="7">
        <f t="shared" si="34"/>
        <v>98.579192419340629</v>
      </c>
      <c r="U302" s="1">
        <f t="shared" si="35"/>
        <v>114.8353640275522</v>
      </c>
    </row>
    <row r="303" spans="1:21" x14ac:dyDescent="0.3">
      <c r="A303" s="2">
        <v>40613</v>
      </c>
      <c r="B303" s="1">
        <v>2201.81</v>
      </c>
      <c r="C303" s="2">
        <f t="shared" si="27"/>
        <v>40613</v>
      </c>
      <c r="D303" s="1">
        <f t="shared" si="28"/>
        <v>2201.81</v>
      </c>
      <c r="E303" s="4">
        <f t="shared" si="29"/>
        <v>2192.3089999999997</v>
      </c>
      <c r="F303" s="3">
        <f t="shared" si="30"/>
        <v>1.0043337868886184</v>
      </c>
      <c r="G303" s="18">
        <f t="shared" si="31"/>
        <v>1</v>
      </c>
      <c r="H303" s="3">
        <f t="shared" si="32"/>
        <v>7.3936815135084988E-3</v>
      </c>
      <c r="I303" s="3">
        <f t="shared" si="33"/>
        <v>7.3936815135084988E-3</v>
      </c>
      <c r="K303" s="12" t="str">
        <f>IF(AND(G303=1,G302&lt;&gt;1),MAX($K$50:K302)+1,"")</f>
        <v/>
      </c>
      <c r="L303" s="13" t="str">
        <f>IF(AND(G303&lt;&gt;1,G302=1),MAX($L$50:L302)+1,"")</f>
        <v/>
      </c>
      <c r="M303" s="13" t="str">
        <f>IF(AND(G303=-1,G302&lt;&gt;-1),MAX($M$50:M302)+1,"")</f>
        <v/>
      </c>
      <c r="N303" s="13" t="str">
        <f>IF(AND(G303&lt;&gt;-1,G302=-1),MAX($N$50:N302)+1,"")</f>
        <v/>
      </c>
      <c r="T303" s="7">
        <f t="shared" si="34"/>
        <v>99.308055571948103</v>
      </c>
      <c r="U303" s="1">
        <f t="shared" si="35"/>
        <v>115.68442013565974</v>
      </c>
    </row>
    <row r="304" spans="1:21" x14ac:dyDescent="0.3">
      <c r="A304" s="2">
        <v>40616</v>
      </c>
      <c r="B304" s="1">
        <v>2188.56</v>
      </c>
      <c r="C304" s="2">
        <f t="shared" si="27"/>
        <v>40616</v>
      </c>
      <c r="D304" s="1">
        <f t="shared" si="28"/>
        <v>2188.56</v>
      </c>
      <c r="E304" s="4">
        <f t="shared" si="29"/>
        <v>2193.7862</v>
      </c>
      <c r="F304" s="3">
        <f t="shared" si="30"/>
        <v>0.99761772592060249</v>
      </c>
      <c r="G304" s="18">
        <f t="shared" si="31"/>
        <v>1</v>
      </c>
      <c r="H304" s="3">
        <f t="shared" si="32"/>
        <v>-6.0177762840571969E-3</v>
      </c>
      <c r="I304" s="3">
        <f t="shared" si="33"/>
        <v>-6.0177762840571969E-3</v>
      </c>
      <c r="K304" s="12" t="str">
        <f>IF(AND(G304=1,G303&lt;&gt;1),MAX($K$50:K303)+1,"")</f>
        <v/>
      </c>
      <c r="L304" s="13" t="str">
        <f>IF(AND(G304&lt;&gt;1,G303=1),MAX($L$50:L303)+1,"")</f>
        <v/>
      </c>
      <c r="M304" s="13" t="str">
        <f>IF(AND(G304=-1,G303&lt;&gt;-1),MAX($M$50:M303)+1,"")</f>
        <v/>
      </c>
      <c r="N304" s="13" t="str">
        <f>IF(AND(G304&lt;&gt;-1,G303=-1),MAX($N$50:N303)+1,"")</f>
        <v/>
      </c>
      <c r="T304" s="7">
        <f t="shared" si="34"/>
        <v>98.710441910311403</v>
      </c>
      <c r="U304" s="1">
        <f t="shared" si="35"/>
        <v>114.98825717573246</v>
      </c>
    </row>
    <row r="305" spans="1:21" x14ac:dyDescent="0.3">
      <c r="A305" s="2">
        <v>40617</v>
      </c>
      <c r="B305" s="1">
        <v>2164.06</v>
      </c>
      <c r="C305" s="2">
        <f t="shared" si="27"/>
        <v>40617</v>
      </c>
      <c r="D305" s="1">
        <f t="shared" si="28"/>
        <v>2164.06</v>
      </c>
      <c r="E305" s="4">
        <f t="shared" si="29"/>
        <v>2194.7815999999998</v>
      </c>
      <c r="F305" s="3">
        <f t="shared" si="30"/>
        <v>0.9860024341374104</v>
      </c>
      <c r="G305" s="18">
        <f t="shared" si="31"/>
        <v>1</v>
      </c>
      <c r="H305" s="3">
        <f t="shared" si="32"/>
        <v>-1.1194575428592368E-2</v>
      </c>
      <c r="I305" s="3">
        <f t="shared" si="33"/>
        <v>-1.1194575428592368E-2</v>
      </c>
      <c r="K305" s="12" t="str">
        <f>IF(AND(G305=1,G304&lt;&gt;1),MAX($K$50:K304)+1,"")</f>
        <v/>
      </c>
      <c r="L305" s="13" t="str">
        <f>IF(AND(G305&lt;&gt;1,G304=1),MAX($L$50:L304)+1,"")</f>
        <v/>
      </c>
      <c r="M305" s="13" t="str">
        <f>IF(AND(G305=-1,G304&lt;&gt;-1),MAX($M$50:M304)+1,"")</f>
        <v/>
      </c>
      <c r="N305" s="13" t="str">
        <f>IF(AND(G305&lt;&gt;-1,G304=-1),MAX($N$50:N304)+1,"")</f>
        <v/>
      </c>
      <c r="T305" s="7">
        <f t="shared" si="34"/>
        <v>97.605420422756737</v>
      </c>
      <c r="U305" s="1">
        <f t="shared" si="35"/>
        <v>113.70101245737635</v>
      </c>
    </row>
    <row r="306" spans="1:21" x14ac:dyDescent="0.3">
      <c r="A306" s="2">
        <v>40618</v>
      </c>
      <c r="B306" s="1">
        <v>2121.94</v>
      </c>
      <c r="C306" s="2">
        <f t="shared" si="27"/>
        <v>40618</v>
      </c>
      <c r="D306" s="1">
        <f t="shared" si="28"/>
        <v>2121.94</v>
      </c>
      <c r="E306" s="4">
        <f t="shared" si="29"/>
        <v>2194.4544000000001</v>
      </c>
      <c r="F306" s="3">
        <f t="shared" si="30"/>
        <v>0.96695561320390155</v>
      </c>
      <c r="G306" s="18">
        <f t="shared" si="31"/>
        <v>1</v>
      </c>
      <c r="H306" s="3">
        <f t="shared" si="32"/>
        <v>-1.9463415986617716E-2</v>
      </c>
      <c r="I306" s="3">
        <f t="shared" si="33"/>
        <v>-1.9463415986617716E-2</v>
      </c>
      <c r="K306" s="12" t="str">
        <f>IF(AND(G306=1,G305&lt;&gt;1),MAX($K$50:K305)+1,"")</f>
        <v/>
      </c>
      <c r="L306" s="13" t="str">
        <f>IF(AND(G306&lt;&gt;1,G305=1),MAX($L$50:L305)+1,"")</f>
        <v/>
      </c>
      <c r="M306" s="13" t="str">
        <f>IF(AND(G306=-1,G305&lt;&gt;-1),MAX($M$50:M305)+1,"")</f>
        <v/>
      </c>
      <c r="N306" s="13" t="str">
        <f>IF(AND(G306&lt;&gt;-1,G305=-1),MAX($N$50:N305)+1,"")</f>
        <v/>
      </c>
      <c r="T306" s="7">
        <f t="shared" si="34"/>
        <v>95.705685522519914</v>
      </c>
      <c r="U306" s="1">
        <f t="shared" si="35"/>
        <v>111.48800235381883</v>
      </c>
    </row>
    <row r="307" spans="1:21" x14ac:dyDescent="0.3">
      <c r="A307" s="2">
        <v>40619</v>
      </c>
      <c r="B307" s="1">
        <v>2150.4299999999998</v>
      </c>
      <c r="C307" s="2">
        <f t="shared" si="27"/>
        <v>40619</v>
      </c>
      <c r="D307" s="1">
        <f t="shared" si="28"/>
        <v>2150.4299999999998</v>
      </c>
      <c r="E307" s="4">
        <f t="shared" si="29"/>
        <v>2194.7523999999999</v>
      </c>
      <c r="F307" s="3">
        <f t="shared" si="30"/>
        <v>0.97980528464167527</v>
      </c>
      <c r="G307" s="18">
        <f t="shared" si="31"/>
        <v>1</v>
      </c>
      <c r="H307" s="3">
        <f t="shared" si="32"/>
        <v>1.3426392829203326E-2</v>
      </c>
      <c r="I307" s="3">
        <f t="shared" si="33"/>
        <v>1.3426392829203326E-2</v>
      </c>
      <c r="K307" s="12" t="str">
        <f>IF(AND(G307=1,G306&lt;&gt;1),MAX($K$50:K306)+1,"")</f>
        <v/>
      </c>
      <c r="L307" s="13" t="str">
        <f>IF(AND(G307&lt;&gt;1,G306=1),MAX($L$50:L306)+1,"")</f>
        <v/>
      </c>
      <c r="M307" s="13" t="str">
        <f>IF(AND(G307=-1,G306&lt;&gt;-1),MAX($M$50:M306)+1,"")</f>
        <v/>
      </c>
      <c r="N307" s="13" t="str">
        <f>IF(AND(G307&lt;&gt;-1,G306=-1),MAX($N$50:N306)+1,"")</f>
        <v/>
      </c>
      <c r="T307" s="7">
        <f t="shared" si="34"/>
        <v>96.990667652333471</v>
      </c>
      <c r="U307" s="1">
        <f t="shared" si="35"/>
        <v>112.98488406916435</v>
      </c>
    </row>
    <row r="308" spans="1:21" x14ac:dyDescent="0.3">
      <c r="A308" s="2">
        <v>40620</v>
      </c>
      <c r="B308" s="1">
        <v>2159.69</v>
      </c>
      <c r="C308" s="2">
        <f t="shared" ref="C308:C371" si="36">A308</f>
        <v>40620</v>
      </c>
      <c r="D308" s="1">
        <f t="shared" ref="D308:D371" si="37">B308</f>
        <v>2159.69</v>
      </c>
      <c r="E308" s="4">
        <f t="shared" ref="E308:E371" si="38">AVERAGE(B259:B308)</f>
        <v>2195.0162</v>
      </c>
      <c r="F308" s="3">
        <f t="shared" ref="F308:F371" si="39">D308/E308</f>
        <v>0.98390617800451774</v>
      </c>
      <c r="G308" s="18">
        <f t="shared" ref="G308:G371" si="40">IF(F308&gt;=$Q$51,1,IF(F308&lt;=$Q$52,-1,0))</f>
        <v>1</v>
      </c>
      <c r="H308" s="3">
        <f t="shared" si="32"/>
        <v>4.3061155210819546E-3</v>
      </c>
      <c r="I308" s="3">
        <f t="shared" si="33"/>
        <v>4.3061155210819546E-3</v>
      </c>
      <c r="K308" s="12" t="str">
        <f>IF(AND(G308=1,G307&lt;&gt;1),MAX($K$50:K307)+1,"")</f>
        <v/>
      </c>
      <c r="L308" s="13" t="str">
        <f>IF(AND(G308&lt;&gt;1,G307=1),MAX($L$50:L307)+1,"")</f>
        <v/>
      </c>
      <c r="M308" s="13" t="str">
        <f>IF(AND(G308=-1,G307&lt;&gt;-1),MAX($M$50:M307)+1,"")</f>
        <v/>
      </c>
      <c r="N308" s="13" t="str">
        <f>IF(AND(G308&lt;&gt;-1,G307=-1),MAX($N$50:N307)+1,"")</f>
        <v/>
      </c>
      <c r="T308" s="7">
        <f t="shared" si="34"/>
        <v>97.40832067171128</v>
      </c>
      <c r="U308" s="1">
        <f t="shared" si="35"/>
        <v>113.47141003210221</v>
      </c>
    </row>
    <row r="309" spans="1:21" x14ac:dyDescent="0.3">
      <c r="A309" s="2">
        <v>40623</v>
      </c>
      <c r="B309" s="1">
        <v>2192.09</v>
      </c>
      <c r="C309" s="2">
        <f t="shared" si="36"/>
        <v>40623</v>
      </c>
      <c r="D309" s="1">
        <f t="shared" si="37"/>
        <v>2192.09</v>
      </c>
      <c r="E309" s="4">
        <f t="shared" si="38"/>
        <v>2196.0027999999998</v>
      </c>
      <c r="F309" s="3">
        <f t="shared" si="39"/>
        <v>0.99821821720810211</v>
      </c>
      <c r="G309" s="18">
        <f t="shared" si="40"/>
        <v>1</v>
      </c>
      <c r="H309" s="3">
        <f t="shared" ref="H309:H372" si="41">D309/D308-1</f>
        <v>1.5002153086785652E-2</v>
      </c>
      <c r="I309" s="3">
        <f t="shared" ref="I309:I372" si="42">G308*H309</f>
        <v>1.5002153086785652E-2</v>
      </c>
      <c r="K309" s="12" t="str">
        <f>IF(AND(G309=1,G308&lt;&gt;1),MAX($K$50:K308)+1,"")</f>
        <v/>
      </c>
      <c r="L309" s="13" t="str">
        <f>IF(AND(G309&lt;&gt;1,G308=1),MAX($L$50:L308)+1,"")</f>
        <v/>
      </c>
      <c r="M309" s="13" t="str">
        <f>IF(AND(G309=-1,G308&lt;&gt;-1),MAX($M$50:M308)+1,"")</f>
        <v/>
      </c>
      <c r="N309" s="13" t="str">
        <f>IF(AND(G309&lt;&gt;-1,G308=-1),MAX($N$50:N308)+1,"")</f>
        <v/>
      </c>
      <c r="T309" s="7">
        <f t="shared" ref="T309:T372" si="43">T308*(1+I309)</f>
        <v>98.869655210355006</v>
      </c>
      <c r="U309" s="1">
        <f t="shared" ref="U309:U372" si="44">U308*D309/D308</f>
        <v>115.17372549637723</v>
      </c>
    </row>
    <row r="310" spans="1:21" x14ac:dyDescent="0.3">
      <c r="A310" s="2">
        <v>40624</v>
      </c>
      <c r="B310" s="1">
        <v>2184.5700000000002</v>
      </c>
      <c r="C310" s="2">
        <f t="shared" si="36"/>
        <v>40624</v>
      </c>
      <c r="D310" s="1">
        <f t="shared" si="37"/>
        <v>2184.5700000000002</v>
      </c>
      <c r="E310" s="4">
        <f t="shared" si="38"/>
        <v>2196.9179999999997</v>
      </c>
      <c r="F310" s="3">
        <f t="shared" si="39"/>
        <v>0.99437939877592174</v>
      </c>
      <c r="G310" s="18">
        <f t="shared" si="40"/>
        <v>1</v>
      </c>
      <c r="H310" s="3">
        <f t="shared" si="41"/>
        <v>-3.4305160828250747E-3</v>
      </c>
      <c r="I310" s="3">
        <f t="shared" si="42"/>
        <v>-3.4305160828250747E-3</v>
      </c>
      <c r="K310" s="12" t="str">
        <f>IF(AND(G310=1,G309&lt;&gt;1),MAX($K$50:K309)+1,"")</f>
        <v/>
      </c>
      <c r="L310" s="13" t="str">
        <f>IF(AND(G310&lt;&gt;1,G309=1),MAX($L$50:L309)+1,"")</f>
        <v/>
      </c>
      <c r="M310" s="13" t="str">
        <f>IF(AND(G310=-1,G309&lt;&gt;-1),MAX($M$50:M309)+1,"")</f>
        <v/>
      </c>
      <c r="N310" s="13" t="str">
        <f>IF(AND(G310&lt;&gt;-1,G309=-1),MAX($N$50:N309)+1,"")</f>
        <v/>
      </c>
      <c r="T310" s="7">
        <f t="shared" si="43"/>
        <v>98.530481268052512</v>
      </c>
      <c r="U310" s="1">
        <f t="shared" si="44"/>
        <v>114.77862017874304</v>
      </c>
    </row>
    <row r="311" spans="1:21" x14ac:dyDescent="0.3">
      <c r="A311" s="2">
        <v>40625</v>
      </c>
      <c r="B311" s="1">
        <v>2190.96</v>
      </c>
      <c r="C311" s="2">
        <f t="shared" si="36"/>
        <v>40625</v>
      </c>
      <c r="D311" s="1">
        <f t="shared" si="37"/>
        <v>2190.96</v>
      </c>
      <c r="E311" s="4">
        <f t="shared" si="38"/>
        <v>2198.02</v>
      </c>
      <c r="F311" s="3">
        <f t="shared" si="39"/>
        <v>0.99678801830738573</v>
      </c>
      <c r="G311" s="18">
        <f t="shared" si="40"/>
        <v>1</v>
      </c>
      <c r="H311" s="3">
        <f t="shared" si="41"/>
        <v>2.9250607671074125E-3</v>
      </c>
      <c r="I311" s="3">
        <f t="shared" si="42"/>
        <v>2.9250607671074125E-3</v>
      </c>
      <c r="K311" s="12" t="str">
        <f>IF(AND(G311=1,G310&lt;&gt;1),MAX($K$50:K310)+1,"")</f>
        <v/>
      </c>
      <c r="L311" s="13" t="str">
        <f>IF(AND(G311&lt;&gt;1,G310=1),MAX($L$50:L310)+1,"")</f>
        <v/>
      </c>
      <c r="M311" s="13" t="str">
        <f>IF(AND(G311=-1,G310&lt;&gt;-1),MAX($M$50:M310)+1,"")</f>
        <v/>
      </c>
      <c r="N311" s="13" t="str">
        <f>IF(AND(G311&lt;&gt;-1,G310=-1),MAX($N$50:N310)+1,"")</f>
        <v/>
      </c>
      <c r="T311" s="7">
        <f t="shared" si="43"/>
        <v>98.818688913173901</v>
      </c>
      <c r="U311" s="1">
        <f t="shared" si="44"/>
        <v>115.11435461753061</v>
      </c>
    </row>
    <row r="312" spans="1:21" x14ac:dyDescent="0.3">
      <c r="A312" s="2">
        <v>40626</v>
      </c>
      <c r="B312" s="1">
        <v>2211.42</v>
      </c>
      <c r="C312" s="2">
        <f t="shared" si="36"/>
        <v>40626</v>
      </c>
      <c r="D312" s="1">
        <f t="shared" si="37"/>
        <v>2211.42</v>
      </c>
      <c r="E312" s="4">
        <f t="shared" si="38"/>
        <v>2199.3719999999998</v>
      </c>
      <c r="F312" s="3">
        <f t="shared" si="39"/>
        <v>1.0054779273356214</v>
      </c>
      <c r="G312" s="18">
        <f t="shared" si="40"/>
        <v>1</v>
      </c>
      <c r="H312" s="3">
        <f t="shared" si="41"/>
        <v>9.3383722203965736E-3</v>
      </c>
      <c r="I312" s="3">
        <f t="shared" si="42"/>
        <v>9.3383722203965736E-3</v>
      </c>
      <c r="K312" s="12" t="str">
        <f>IF(AND(G312=1,G311&lt;&gt;1),MAX($K$50:K311)+1,"")</f>
        <v/>
      </c>
      <c r="L312" s="13" t="str">
        <f>IF(AND(G312&lt;&gt;1,G311=1),MAX($L$50:L311)+1,"")</f>
        <v/>
      </c>
      <c r="M312" s="13" t="str">
        <f>IF(AND(G312=-1,G311&lt;&gt;-1),MAX($M$50:M311)+1,"")</f>
        <v/>
      </c>
      <c r="N312" s="13" t="str">
        <f>IF(AND(G312&lt;&gt;-1,G311=-1),MAX($N$50:N311)+1,"")</f>
        <v/>
      </c>
      <c r="T312" s="7">
        <f t="shared" si="43"/>
        <v>99.741494612576702</v>
      </c>
      <c r="U312" s="1">
        <f t="shared" si="44"/>
        <v>116.18933530885984</v>
      </c>
    </row>
    <row r="313" spans="1:21" x14ac:dyDescent="0.3">
      <c r="A313" s="2">
        <v>40627</v>
      </c>
      <c r="B313" s="1">
        <v>2218.42</v>
      </c>
      <c r="C313" s="2">
        <f t="shared" si="36"/>
        <v>40627</v>
      </c>
      <c r="D313" s="1">
        <f t="shared" si="37"/>
        <v>2218.42</v>
      </c>
      <c r="E313" s="4">
        <f t="shared" si="38"/>
        <v>2200.4731999999999</v>
      </c>
      <c r="F313" s="3">
        <f t="shared" si="39"/>
        <v>1.0081558821075396</v>
      </c>
      <c r="G313" s="18">
        <f t="shared" si="40"/>
        <v>1</v>
      </c>
      <c r="H313" s="3">
        <f t="shared" si="41"/>
        <v>3.1653869459442596E-3</v>
      </c>
      <c r="I313" s="3">
        <f t="shared" si="42"/>
        <v>3.1653869459442596E-3</v>
      </c>
      <c r="K313" s="12" t="str">
        <f>IF(AND(G313=1,G312&lt;&gt;1),MAX($K$50:K312)+1,"")</f>
        <v/>
      </c>
      <c r="L313" s="13" t="str">
        <f>IF(AND(G313&lt;&gt;1,G312=1),MAX($L$50:L312)+1,"")</f>
        <v/>
      </c>
      <c r="M313" s="13" t="str">
        <f>IF(AND(G313=-1,G312&lt;&gt;-1),MAX($M$50:M312)+1,"")</f>
        <v/>
      </c>
      <c r="N313" s="13" t="str">
        <f>IF(AND(G313&lt;&gt;-1,G312=-1),MAX($N$50:N312)+1,"")</f>
        <v/>
      </c>
      <c r="T313" s="7">
        <f t="shared" si="43"/>
        <v>100.05721503759233</v>
      </c>
      <c r="U313" s="1">
        <f t="shared" si="44"/>
        <v>116.55711951410444</v>
      </c>
    </row>
    <row r="314" spans="1:21" x14ac:dyDescent="0.3">
      <c r="A314" s="2">
        <v>40630</v>
      </c>
      <c r="B314" s="1">
        <v>2212.3200000000002</v>
      </c>
      <c r="C314" s="2">
        <f t="shared" si="36"/>
        <v>40630</v>
      </c>
      <c r="D314" s="1">
        <f t="shared" si="37"/>
        <v>2212.3200000000002</v>
      </c>
      <c r="E314" s="4">
        <f t="shared" si="38"/>
        <v>2201.5264000000002</v>
      </c>
      <c r="F314" s="3">
        <f t="shared" si="39"/>
        <v>1.0049027801801513</v>
      </c>
      <c r="G314" s="18">
        <f t="shared" si="40"/>
        <v>1</v>
      </c>
      <c r="H314" s="3">
        <f t="shared" si="41"/>
        <v>-2.7497047448183931E-3</v>
      </c>
      <c r="I314" s="3">
        <f t="shared" si="42"/>
        <v>-2.7497047448183931E-3</v>
      </c>
      <c r="K314" s="12" t="str">
        <f>IF(AND(G314=1,G313&lt;&gt;1),MAX($K$50:K313)+1,"")</f>
        <v/>
      </c>
      <c r="L314" s="13" t="str">
        <f>IF(AND(G314&lt;&gt;1,G313=1),MAX($L$50:L313)+1,"")</f>
        <v/>
      </c>
      <c r="M314" s="13" t="str">
        <f>IF(AND(G314=-1,G313&lt;&gt;-1),MAX($M$50:M313)+1,"")</f>
        <v/>
      </c>
      <c r="N314" s="13" t="str">
        <f>IF(AND(G314&lt;&gt;-1,G313=-1),MAX($N$50:N313)+1,"")</f>
        <v/>
      </c>
      <c r="T314" s="7">
        <f t="shared" si="43"/>
        <v>99.782087238650149</v>
      </c>
      <c r="U314" s="1">
        <f t="shared" si="44"/>
        <v>116.23662184953415</v>
      </c>
    </row>
    <row r="315" spans="1:21" x14ac:dyDescent="0.3">
      <c r="A315" s="2">
        <v>40631</v>
      </c>
      <c r="B315" s="1">
        <v>2228.41</v>
      </c>
      <c r="C315" s="2">
        <f t="shared" si="36"/>
        <v>40631</v>
      </c>
      <c r="D315" s="1">
        <f t="shared" si="37"/>
        <v>2228.41</v>
      </c>
      <c r="E315" s="4">
        <f t="shared" si="38"/>
        <v>2202.5810000000001</v>
      </c>
      <c r="F315" s="3">
        <f t="shared" si="39"/>
        <v>1.0117266969977494</v>
      </c>
      <c r="G315" s="18">
        <f t="shared" si="40"/>
        <v>1</v>
      </c>
      <c r="H315" s="3">
        <f t="shared" si="41"/>
        <v>7.272908078397089E-3</v>
      </c>
      <c r="I315" s="3">
        <f t="shared" si="42"/>
        <v>7.272908078397089E-3</v>
      </c>
      <c r="K315" s="12" t="str">
        <f>IF(AND(G315=1,G314&lt;&gt;1),MAX($K$50:K314)+1,"")</f>
        <v/>
      </c>
      <c r="L315" s="13" t="str">
        <f>IF(AND(G315&lt;&gt;1,G314=1),MAX($L$50:L314)+1,"")</f>
        <v/>
      </c>
      <c r="M315" s="13" t="str">
        <f>IF(AND(G315=-1,G314&lt;&gt;-1),MAX($M$50:M314)+1,"")</f>
        <v/>
      </c>
      <c r="N315" s="13" t="str">
        <f>IF(AND(G315&lt;&gt;-1,G314=-1),MAX($N$50:N314)+1,"")</f>
        <v/>
      </c>
      <c r="T315" s="7">
        <f t="shared" si="43"/>
        <v>100.50779318700745</v>
      </c>
      <c r="U315" s="1">
        <f t="shared" si="44"/>
        <v>117.08200011558922</v>
      </c>
    </row>
    <row r="316" spans="1:21" x14ac:dyDescent="0.3">
      <c r="A316" s="2">
        <v>40632</v>
      </c>
      <c r="B316" s="1">
        <v>2243.5500000000002</v>
      </c>
      <c r="C316" s="2">
        <f t="shared" si="36"/>
        <v>40632</v>
      </c>
      <c r="D316" s="1">
        <f t="shared" si="37"/>
        <v>2243.5500000000002</v>
      </c>
      <c r="E316" s="4">
        <f t="shared" si="38"/>
        <v>2203.8776000000003</v>
      </c>
      <c r="F316" s="3">
        <f t="shared" si="39"/>
        <v>1.0180011811908247</v>
      </c>
      <c r="G316" s="18">
        <f t="shared" si="40"/>
        <v>1</v>
      </c>
      <c r="H316" s="3">
        <f t="shared" si="41"/>
        <v>6.7940818790079849E-3</v>
      </c>
      <c r="I316" s="3">
        <f t="shared" si="42"/>
        <v>6.7940818790079849E-3</v>
      </c>
      <c r="K316" s="12" t="str">
        <f>IF(AND(G316=1,G315&lt;&gt;1),MAX($K$50:K315)+1,"")</f>
        <v/>
      </c>
      <c r="L316" s="13" t="str">
        <f>IF(AND(G316&lt;&gt;1,G315=1),MAX($L$50:L315)+1,"")</f>
        <v/>
      </c>
      <c r="M316" s="13" t="str">
        <f>IF(AND(G316=-1,G315&lt;&gt;-1),MAX($M$50:M315)+1,"")</f>
        <v/>
      </c>
      <c r="N316" s="13" t="str">
        <f>IF(AND(G316&lt;&gt;-1,G315=-1),MAX($N$50:N315)+1,"")</f>
        <v/>
      </c>
      <c r="T316" s="7">
        <f t="shared" si="43"/>
        <v>101.19065136339837</v>
      </c>
      <c r="U316" s="1">
        <f t="shared" si="44"/>
        <v>117.87746481093257</v>
      </c>
    </row>
    <row r="317" spans="1:21" x14ac:dyDescent="0.3">
      <c r="A317" s="2">
        <v>40633</v>
      </c>
      <c r="B317" s="1">
        <v>2239.44</v>
      </c>
      <c r="C317" s="2">
        <f t="shared" si="36"/>
        <v>40633</v>
      </c>
      <c r="D317" s="1">
        <f t="shared" si="37"/>
        <v>2239.44</v>
      </c>
      <c r="E317" s="4">
        <f t="shared" si="38"/>
        <v>2205.527</v>
      </c>
      <c r="F317" s="3">
        <f t="shared" si="39"/>
        <v>1.0153763703640899</v>
      </c>
      <c r="G317" s="18">
        <f t="shared" si="40"/>
        <v>1</v>
      </c>
      <c r="H317" s="3">
        <f t="shared" si="41"/>
        <v>-1.831918165407509E-3</v>
      </c>
      <c r="I317" s="3">
        <f t="shared" si="42"/>
        <v>-1.831918165407509E-3</v>
      </c>
      <c r="K317" s="12" t="str">
        <f>IF(AND(G317=1,G316&lt;&gt;1),MAX($K$50:K316)+1,"")</f>
        <v/>
      </c>
      <c r="L317" s="13" t="str">
        <f>IF(AND(G317&lt;&gt;1,G316=1),MAX($L$50:L316)+1,"")</f>
        <v/>
      </c>
      <c r="M317" s="13" t="str">
        <f>IF(AND(G317=-1,G316&lt;&gt;-1),MAX($M$50:M316)+1,"")</f>
        <v/>
      </c>
      <c r="N317" s="13" t="str">
        <f>IF(AND(G317&lt;&gt;-1,G316=-1),MAX($N$50:N316)+1,"")</f>
        <v/>
      </c>
      <c r="T317" s="7">
        <f t="shared" si="43"/>
        <v>101.00527837099635</v>
      </c>
      <c r="U317" s="1">
        <f t="shared" si="44"/>
        <v>117.66152294185324</v>
      </c>
    </row>
    <row r="318" spans="1:21" x14ac:dyDescent="0.3">
      <c r="A318" s="2">
        <v>40634</v>
      </c>
      <c r="B318" s="1">
        <v>2250.58</v>
      </c>
      <c r="C318" s="2">
        <f t="shared" si="36"/>
        <v>40634</v>
      </c>
      <c r="D318" s="1">
        <f t="shared" si="37"/>
        <v>2250.58</v>
      </c>
      <c r="E318" s="4">
        <f t="shared" si="38"/>
        <v>2207.4549999999999</v>
      </c>
      <c r="F318" s="3">
        <f t="shared" si="39"/>
        <v>1.0195360720830096</v>
      </c>
      <c r="G318" s="18">
        <f t="shared" si="40"/>
        <v>1</v>
      </c>
      <c r="H318" s="3">
        <f t="shared" si="41"/>
        <v>4.9744579001893552E-3</v>
      </c>
      <c r="I318" s="3">
        <f t="shared" si="42"/>
        <v>4.9744579001893552E-3</v>
      </c>
      <c r="K318" s="12" t="str">
        <f>IF(AND(G318=1,G317&lt;&gt;1),MAX($K$50:K317)+1,"")</f>
        <v/>
      </c>
      <c r="L318" s="13" t="str">
        <f>IF(AND(G318&lt;&gt;1,G317=1),MAX($L$50:L317)+1,"")</f>
        <v/>
      </c>
      <c r="M318" s="13" t="str">
        <f>IF(AND(G318=-1,G317&lt;&gt;-1),MAX($M$50:M317)+1,"")</f>
        <v/>
      </c>
      <c r="N318" s="13" t="str">
        <f>IF(AND(G318&lt;&gt;-1,G317=-1),MAX($N$50:N317)+1,"")</f>
        <v/>
      </c>
      <c r="T318" s="7">
        <f t="shared" si="43"/>
        <v>101.50772487594978</v>
      </c>
      <c r="U318" s="1">
        <f t="shared" si="44"/>
        <v>118.24682523419963</v>
      </c>
    </row>
    <row r="319" spans="1:21" x14ac:dyDescent="0.3">
      <c r="A319" s="2">
        <v>40637</v>
      </c>
      <c r="B319" s="1">
        <v>2251.64</v>
      </c>
      <c r="C319" s="2">
        <f t="shared" si="36"/>
        <v>40637</v>
      </c>
      <c r="D319" s="1">
        <f t="shared" si="37"/>
        <v>2251.64</v>
      </c>
      <c r="E319" s="4">
        <f t="shared" si="38"/>
        <v>2209.2991999999999</v>
      </c>
      <c r="F319" s="3">
        <f t="shared" si="39"/>
        <v>1.0191648102710578</v>
      </c>
      <c r="G319" s="18">
        <f t="shared" si="40"/>
        <v>1</v>
      </c>
      <c r="H319" s="3">
        <f t="shared" si="41"/>
        <v>4.7098970043268906E-4</v>
      </c>
      <c r="I319" s="3">
        <f t="shared" si="42"/>
        <v>4.7098970043268906E-4</v>
      </c>
      <c r="K319" s="12" t="str">
        <f>IF(AND(G319=1,G318&lt;&gt;1),MAX($K$50:K318)+1,"")</f>
        <v/>
      </c>
      <c r="L319" s="13" t="str">
        <f>IF(AND(G319&lt;&gt;1,G318=1),MAX($L$50:L318)+1,"")</f>
        <v/>
      </c>
      <c r="M319" s="13" t="str">
        <f>IF(AND(G319=-1,G318&lt;&gt;-1),MAX($M$50:M318)+1,"")</f>
        <v/>
      </c>
      <c r="N319" s="13" t="str">
        <f>IF(AND(G319&lt;&gt;-1,G318=-1),MAX($N$50:N318)+1,"")</f>
        <v/>
      </c>
      <c r="T319" s="7">
        <f t="shared" si="43"/>
        <v>101.55553396888071</v>
      </c>
      <c r="U319" s="1">
        <f t="shared" si="44"/>
        <v>118.3025182709938</v>
      </c>
    </row>
    <row r="320" spans="1:21" x14ac:dyDescent="0.3">
      <c r="A320" s="2">
        <v>40638</v>
      </c>
      <c r="B320" s="1">
        <v>2251.2600000000002</v>
      </c>
      <c r="C320" s="2">
        <f t="shared" si="36"/>
        <v>40638</v>
      </c>
      <c r="D320" s="1">
        <f t="shared" si="37"/>
        <v>2251.2600000000002</v>
      </c>
      <c r="E320" s="4">
        <f t="shared" si="38"/>
        <v>2210.8838000000001</v>
      </c>
      <c r="F320" s="3">
        <f t="shared" si="39"/>
        <v>1.0182624704202003</v>
      </c>
      <c r="G320" s="18">
        <f t="shared" si="40"/>
        <v>1</v>
      </c>
      <c r="H320" s="3">
        <f t="shared" si="41"/>
        <v>-1.6876587731595727E-4</v>
      </c>
      <c r="I320" s="3">
        <f t="shared" si="42"/>
        <v>-1.6876587731595727E-4</v>
      </c>
      <c r="K320" s="12" t="str">
        <f>IF(AND(G320=1,G319&lt;&gt;1),MAX($K$50:K319)+1,"")</f>
        <v/>
      </c>
      <c r="L320" s="13" t="str">
        <f>IF(AND(G320&lt;&gt;1,G319=1),MAX($L$50:L319)+1,"")</f>
        <v/>
      </c>
      <c r="M320" s="13" t="str">
        <f>IF(AND(G320=-1,G319&lt;&gt;-1),MAX($M$50:M319)+1,"")</f>
        <v/>
      </c>
      <c r="N320" s="13" t="str">
        <f>IF(AND(G320&lt;&gt;-1,G319=-1),MAX($N$50:N319)+1,"")</f>
        <v/>
      </c>
      <c r="T320" s="7">
        <f t="shared" si="43"/>
        <v>101.53839486009416</v>
      </c>
      <c r="U320" s="1">
        <f t="shared" si="44"/>
        <v>118.28255284270911</v>
      </c>
    </row>
    <row r="321" spans="1:21" x14ac:dyDescent="0.3">
      <c r="A321" s="2">
        <v>40639</v>
      </c>
      <c r="B321" s="1">
        <v>2257.11</v>
      </c>
      <c r="C321" s="2">
        <f t="shared" si="36"/>
        <v>40639</v>
      </c>
      <c r="D321" s="1">
        <f t="shared" si="37"/>
        <v>2257.11</v>
      </c>
      <c r="E321" s="4">
        <f t="shared" si="38"/>
        <v>2212.5726000000004</v>
      </c>
      <c r="F321" s="3">
        <f t="shared" si="39"/>
        <v>1.0201292377931461</v>
      </c>
      <c r="G321" s="18">
        <f t="shared" si="40"/>
        <v>1</v>
      </c>
      <c r="H321" s="3">
        <f t="shared" si="41"/>
        <v>2.598544814903514E-3</v>
      </c>
      <c r="I321" s="3">
        <f t="shared" si="42"/>
        <v>2.598544814903514E-3</v>
      </c>
      <c r="K321" s="12" t="str">
        <f>IF(AND(G321=1,G320&lt;&gt;1),MAX($K$50:K320)+1,"")</f>
        <v/>
      </c>
      <c r="L321" s="13" t="str">
        <f>IF(AND(G321&lt;&gt;1,G320=1),MAX($L$50:L320)+1,"")</f>
        <v/>
      </c>
      <c r="M321" s="13" t="str">
        <f>IF(AND(G321=-1,G320&lt;&gt;-1),MAX($M$50:M320)+1,"")</f>
        <v/>
      </c>
      <c r="N321" s="13" t="str">
        <f>IF(AND(G321&lt;&gt;-1,G320=-1),MAX($N$50:N320)+1,"")</f>
        <v/>
      </c>
      <c r="T321" s="7">
        <f t="shared" si="43"/>
        <v>101.80224692957148</v>
      </c>
      <c r="U321" s="1">
        <f t="shared" si="44"/>
        <v>118.5899153570921</v>
      </c>
    </row>
    <row r="322" spans="1:21" x14ac:dyDescent="0.3">
      <c r="A322" s="2">
        <v>40640</v>
      </c>
      <c r="B322" s="1">
        <v>2253.7600000000002</v>
      </c>
      <c r="C322" s="2">
        <f t="shared" si="36"/>
        <v>40640</v>
      </c>
      <c r="D322" s="1">
        <f t="shared" si="37"/>
        <v>2253.7600000000002</v>
      </c>
      <c r="E322" s="4">
        <f t="shared" si="38"/>
        <v>2214.0094000000004</v>
      </c>
      <c r="F322" s="3">
        <f t="shared" si="39"/>
        <v>1.017954124314016</v>
      </c>
      <c r="G322" s="18">
        <f t="shared" si="40"/>
        <v>1</v>
      </c>
      <c r="H322" s="3">
        <f t="shared" si="41"/>
        <v>-1.4841988206156786E-3</v>
      </c>
      <c r="I322" s="3">
        <f t="shared" si="42"/>
        <v>-1.4841988206156786E-3</v>
      </c>
      <c r="K322" s="12" t="str">
        <f>IF(AND(G322=1,G321&lt;&gt;1),MAX($K$50:K321)+1,"")</f>
        <v/>
      </c>
      <c r="L322" s="13" t="str">
        <f>IF(AND(G322&lt;&gt;1,G321=1),MAX($L$50:L321)+1,"")</f>
        <v/>
      </c>
      <c r="M322" s="13" t="str">
        <f>IF(AND(G322=-1,G321&lt;&gt;-1),MAX($M$50:M321)+1,"")</f>
        <v/>
      </c>
      <c r="N322" s="13" t="str">
        <f>IF(AND(G322&lt;&gt;-1,G321=-1),MAX($N$50:N321)+1,"")</f>
        <v/>
      </c>
      <c r="T322" s="7">
        <f t="shared" si="43"/>
        <v>101.65115215474259</v>
      </c>
      <c r="U322" s="1">
        <f t="shared" si="44"/>
        <v>118.41390434458218</v>
      </c>
    </row>
    <row r="323" spans="1:21" x14ac:dyDescent="0.3">
      <c r="A323" s="2">
        <v>40641</v>
      </c>
      <c r="B323" s="1">
        <v>2244.7399999999998</v>
      </c>
      <c r="C323" s="2">
        <f t="shared" si="36"/>
        <v>40641</v>
      </c>
      <c r="D323" s="1">
        <f t="shared" si="37"/>
        <v>2244.7399999999998</v>
      </c>
      <c r="E323" s="4">
        <f t="shared" si="38"/>
        <v>2215.1656000000007</v>
      </c>
      <c r="F323" s="3">
        <f t="shared" si="39"/>
        <v>1.0133508754379352</v>
      </c>
      <c r="G323" s="18">
        <f t="shared" si="40"/>
        <v>1</v>
      </c>
      <c r="H323" s="3">
        <f t="shared" si="41"/>
        <v>-4.0022007667188664E-3</v>
      </c>
      <c r="I323" s="3">
        <f t="shared" si="42"/>
        <v>-4.0022007667188664E-3</v>
      </c>
      <c r="K323" s="12" t="str">
        <f>IF(AND(G323=1,G322&lt;&gt;1),MAX($K$50:K322)+1,"")</f>
        <v/>
      </c>
      <c r="L323" s="13" t="str">
        <f>IF(AND(G323&lt;&gt;1,G322=1),MAX($L$50:L322)+1,"")</f>
        <v/>
      </c>
      <c r="M323" s="13" t="str">
        <f>IF(AND(G323=-1,G322&lt;&gt;-1),MAX($M$50:M322)+1,"")</f>
        <v/>
      </c>
      <c r="N323" s="13" t="str">
        <f>IF(AND(G323&lt;&gt;-1,G322=-1),MAX($N$50:N322)+1,"")</f>
        <v/>
      </c>
      <c r="T323" s="7">
        <f t="shared" si="43"/>
        <v>101.24432383565102</v>
      </c>
      <c r="U323" s="1">
        <f t="shared" si="44"/>
        <v>117.93998812582412</v>
      </c>
    </row>
    <row r="324" spans="1:21" x14ac:dyDescent="0.3">
      <c r="A324" s="2">
        <v>40644</v>
      </c>
      <c r="B324" s="1">
        <v>2238.5100000000002</v>
      </c>
      <c r="C324" s="2">
        <f t="shared" si="36"/>
        <v>40644</v>
      </c>
      <c r="D324" s="1">
        <f t="shared" si="37"/>
        <v>2238.5100000000002</v>
      </c>
      <c r="E324" s="4">
        <f t="shared" si="38"/>
        <v>2216.9768000000004</v>
      </c>
      <c r="F324" s="3">
        <f t="shared" si="39"/>
        <v>1.0097128666389292</v>
      </c>
      <c r="G324" s="18">
        <f t="shared" si="40"/>
        <v>1</v>
      </c>
      <c r="H324" s="3">
        <f t="shared" si="41"/>
        <v>-2.7753771038069308E-3</v>
      </c>
      <c r="I324" s="3">
        <f t="shared" si="42"/>
        <v>-2.7753771038069308E-3</v>
      </c>
      <c r="K324" s="12" t="str">
        <f>IF(AND(G324=1,G323&lt;&gt;1),MAX($K$50:K323)+1,"")</f>
        <v/>
      </c>
      <c r="L324" s="13" t="str">
        <f>IF(AND(G324&lt;&gt;1,G323=1),MAX($L$50:L323)+1,"")</f>
        <v/>
      </c>
      <c r="M324" s="13" t="str">
        <f>IF(AND(G324=-1,G323&lt;&gt;-1),MAX($M$50:M323)+1,"")</f>
        <v/>
      </c>
      <c r="N324" s="13" t="str">
        <f>IF(AND(G324&lt;&gt;-1,G323=-1),MAX($N$50:N323)+1,"")</f>
        <v/>
      </c>
      <c r="T324" s="7">
        <f t="shared" si="43"/>
        <v>100.96333265738714</v>
      </c>
      <c r="U324" s="1">
        <f t="shared" si="44"/>
        <v>117.61266018315644</v>
      </c>
    </row>
    <row r="325" spans="1:21" x14ac:dyDescent="0.3">
      <c r="A325" s="2">
        <v>40645</v>
      </c>
      <c r="B325" s="1">
        <v>2221.12</v>
      </c>
      <c r="C325" s="2">
        <f t="shared" si="36"/>
        <v>40645</v>
      </c>
      <c r="D325" s="1">
        <f t="shared" si="37"/>
        <v>2221.12</v>
      </c>
      <c r="E325" s="4">
        <f t="shared" si="38"/>
        <v>2218.1112000000003</v>
      </c>
      <c r="F325" s="3">
        <f t="shared" si="39"/>
        <v>1.0013564694141572</v>
      </c>
      <c r="G325" s="18">
        <f t="shared" si="40"/>
        <v>1</v>
      </c>
      <c r="H325" s="3">
        <f t="shared" si="41"/>
        <v>-7.7685603370100109E-3</v>
      </c>
      <c r="I325" s="3">
        <f t="shared" si="42"/>
        <v>-7.7685603370100109E-3</v>
      </c>
      <c r="K325" s="12" t="str">
        <f>IF(AND(G325=1,G324&lt;&gt;1),MAX($K$50:K324)+1,"")</f>
        <v/>
      </c>
      <c r="L325" s="13" t="str">
        <f>IF(AND(G325&lt;&gt;1,G324=1),MAX($L$50:L324)+1,"")</f>
        <v/>
      </c>
      <c r="M325" s="13" t="str">
        <f>IF(AND(G325=-1,G324&lt;&gt;-1),MAX($M$50:M324)+1,"")</f>
        <v/>
      </c>
      <c r="N325" s="13" t="str">
        <f>IF(AND(G325&lt;&gt;-1,G324=-1),MAX($N$50:N324)+1,"")</f>
        <v/>
      </c>
      <c r="T325" s="7">
        <f t="shared" si="43"/>
        <v>100.17899291581261</v>
      </c>
      <c r="U325" s="1">
        <f t="shared" si="44"/>
        <v>116.69897913612733</v>
      </c>
    </row>
    <row r="326" spans="1:21" x14ac:dyDescent="0.3">
      <c r="A326" s="2">
        <v>40646</v>
      </c>
      <c r="B326" s="1">
        <v>2221.77</v>
      </c>
      <c r="C326" s="2">
        <f t="shared" si="36"/>
        <v>40646</v>
      </c>
      <c r="D326" s="1">
        <f t="shared" si="37"/>
        <v>2221.77</v>
      </c>
      <c r="E326" s="4">
        <f t="shared" si="38"/>
        <v>2218.5358000000001</v>
      </c>
      <c r="F326" s="3">
        <f t="shared" si="39"/>
        <v>1.0014578083436831</v>
      </c>
      <c r="G326" s="18">
        <f t="shared" si="40"/>
        <v>1</v>
      </c>
      <c r="H326" s="3">
        <f t="shared" si="41"/>
        <v>2.9264515199534102E-4</v>
      </c>
      <c r="I326" s="3">
        <f t="shared" si="42"/>
        <v>2.9264515199534102E-4</v>
      </c>
      <c r="K326" s="12" t="str">
        <f>IF(AND(G326=1,G325&lt;&gt;1),MAX($K$50:K325)+1,"")</f>
        <v/>
      </c>
      <c r="L326" s="13" t="str">
        <f>IF(AND(G326&lt;&gt;1,G325=1),MAX($L$50:L325)+1,"")</f>
        <v/>
      </c>
      <c r="M326" s="13" t="str">
        <f>IF(AND(G326=-1,G325&lt;&gt;-1),MAX($M$50:M325)+1,"")</f>
        <v/>
      </c>
      <c r="N326" s="13" t="str">
        <f>IF(AND(G326&lt;&gt;-1,G325=-1),MAX($N$50:N325)+1,"")</f>
        <v/>
      </c>
      <c r="T326" s="7">
        <f t="shared" si="43"/>
        <v>100.20830981242121</v>
      </c>
      <c r="U326" s="1">
        <f t="shared" si="44"/>
        <v>116.73313052661435</v>
      </c>
    </row>
    <row r="327" spans="1:21" x14ac:dyDescent="0.3">
      <c r="A327" s="2">
        <v>40647</v>
      </c>
      <c r="B327" s="1">
        <v>2221.9899999999998</v>
      </c>
      <c r="C327" s="2">
        <f t="shared" si="36"/>
        <v>40647</v>
      </c>
      <c r="D327" s="1">
        <f t="shared" si="37"/>
        <v>2221.9899999999998</v>
      </c>
      <c r="E327" s="4">
        <f t="shared" si="38"/>
        <v>2219.0768000000007</v>
      </c>
      <c r="F327" s="3">
        <f t="shared" si="39"/>
        <v>1.0013127981870655</v>
      </c>
      <c r="G327" s="18">
        <f t="shared" si="40"/>
        <v>1</v>
      </c>
      <c r="H327" s="3">
        <f t="shared" si="41"/>
        <v>9.9020150600592771E-5</v>
      </c>
      <c r="I327" s="3">
        <f t="shared" si="42"/>
        <v>9.9020150600592771E-5</v>
      </c>
      <c r="K327" s="12" t="str">
        <f>IF(AND(G327=1,G326&lt;&gt;1),MAX($K$50:K326)+1,"")</f>
        <v/>
      </c>
      <c r="L327" s="13" t="str">
        <f>IF(AND(G327&lt;&gt;1,G326=1),MAX($L$50:L326)+1,"")</f>
        <v/>
      </c>
      <c r="M327" s="13" t="str">
        <f>IF(AND(G327=-1,G326&lt;&gt;-1),MAX($M$50:M326)+1,"")</f>
        <v/>
      </c>
      <c r="N327" s="13" t="str">
        <f>IF(AND(G327&lt;&gt;-1,G326=-1),MAX($N$50:N326)+1,"")</f>
        <v/>
      </c>
      <c r="T327" s="7">
        <f t="shared" si="43"/>
        <v>100.21823245435026</v>
      </c>
      <c r="U327" s="1">
        <f t="shared" si="44"/>
        <v>116.74468945877916</v>
      </c>
    </row>
    <row r="328" spans="1:21" x14ac:dyDescent="0.3">
      <c r="A328" s="2">
        <v>40648</v>
      </c>
      <c r="B328" s="1">
        <v>2230.71</v>
      </c>
      <c r="C328" s="2">
        <f t="shared" si="36"/>
        <v>40648</v>
      </c>
      <c r="D328" s="1">
        <f t="shared" si="37"/>
        <v>2230.71</v>
      </c>
      <c r="E328" s="4">
        <f t="shared" si="38"/>
        <v>2219.6826000000005</v>
      </c>
      <c r="F328" s="3">
        <f t="shared" si="39"/>
        <v>1.0049680075881118</v>
      </c>
      <c r="G328" s="18">
        <f t="shared" si="40"/>
        <v>1</v>
      </c>
      <c r="H328" s="3">
        <f t="shared" si="41"/>
        <v>3.9244101008557575E-3</v>
      </c>
      <c r="I328" s="3">
        <f t="shared" si="42"/>
        <v>3.9244101008557575E-3</v>
      </c>
      <c r="K328" s="12" t="str">
        <f>IF(AND(G328=1,G327&lt;&gt;1),MAX($K$50:K327)+1,"")</f>
        <v/>
      </c>
      <c r="L328" s="13" t="str">
        <f>IF(AND(G328&lt;&gt;1,G327=1),MAX($L$50:L327)+1,"")</f>
        <v/>
      </c>
      <c r="M328" s="13" t="str">
        <f>IF(AND(G328=-1,G327&lt;&gt;-1),MAX($M$50:M327)+1,"")</f>
        <v/>
      </c>
      <c r="N328" s="13" t="str">
        <f>IF(AND(G328&lt;&gt;-1,G327=-1),MAX($N$50:N327)+1,"")</f>
        <v/>
      </c>
      <c r="T328" s="7">
        <f t="shared" si="43"/>
        <v>100.61152989808402</v>
      </c>
      <c r="U328" s="1">
        <f t="shared" si="44"/>
        <v>117.20284349731246</v>
      </c>
    </row>
    <row r="329" spans="1:21" x14ac:dyDescent="0.3">
      <c r="A329" s="2">
        <v>40651</v>
      </c>
      <c r="B329" s="1">
        <v>2206.15</v>
      </c>
      <c r="C329" s="2">
        <f t="shared" si="36"/>
        <v>40651</v>
      </c>
      <c r="D329" s="1">
        <f t="shared" si="37"/>
        <v>2206.15</v>
      </c>
      <c r="E329" s="4">
        <f t="shared" si="38"/>
        <v>2219.6696000000006</v>
      </c>
      <c r="F329" s="3">
        <f t="shared" si="39"/>
        <v>0.99390918360101854</v>
      </c>
      <c r="G329" s="18">
        <f t="shared" si="40"/>
        <v>1</v>
      </c>
      <c r="H329" s="3">
        <f t="shared" si="41"/>
        <v>-1.100994750550266E-2</v>
      </c>
      <c r="I329" s="3">
        <f t="shared" si="42"/>
        <v>-1.100994750550266E-2</v>
      </c>
      <c r="K329" s="12" t="str">
        <f>IF(AND(G329=1,G328&lt;&gt;1),MAX($K$50:K328)+1,"")</f>
        <v/>
      </c>
      <c r="L329" s="13" t="str">
        <f>IF(AND(G329&lt;&gt;1,G328=1),MAX($L$50:L328)+1,"")</f>
        <v/>
      </c>
      <c r="M329" s="13" t="str">
        <f>IF(AND(G329=-1,G328&lt;&gt;-1),MAX($M$50:M328)+1,"")</f>
        <v/>
      </c>
      <c r="N329" s="13" t="str">
        <f>IF(AND(G329&lt;&gt;-1,G328=-1),MAX($N$50:N328)+1,"")</f>
        <v/>
      </c>
      <c r="T329" s="7">
        <f t="shared" si="43"/>
        <v>99.503802235457798</v>
      </c>
      <c r="U329" s="1">
        <f t="shared" si="44"/>
        <v>115.91244634291139</v>
      </c>
    </row>
    <row r="330" spans="1:21" x14ac:dyDescent="0.3">
      <c r="A330" s="2">
        <v>40652</v>
      </c>
      <c r="B330" s="1">
        <v>2218.86</v>
      </c>
      <c r="C330" s="2">
        <f t="shared" si="36"/>
        <v>40652</v>
      </c>
      <c r="D330" s="1">
        <f t="shared" si="37"/>
        <v>2218.86</v>
      </c>
      <c r="E330" s="4">
        <f t="shared" si="38"/>
        <v>2219.6348000000003</v>
      </c>
      <c r="F330" s="3">
        <f t="shared" si="39"/>
        <v>0.99965093356799051</v>
      </c>
      <c r="G330" s="18">
        <f t="shared" si="40"/>
        <v>1</v>
      </c>
      <c r="H330" s="3">
        <f t="shared" si="41"/>
        <v>5.7611676449924598E-3</v>
      </c>
      <c r="I330" s="3">
        <f t="shared" si="42"/>
        <v>5.7611676449924598E-3</v>
      </c>
      <c r="K330" s="12" t="str">
        <f>IF(AND(G330=1,G329&lt;&gt;1),MAX($K$50:K329)+1,"")</f>
        <v/>
      </c>
      <c r="L330" s="13" t="str">
        <f>IF(AND(G330&lt;&gt;1,G329=1),MAX($L$50:L329)+1,"")</f>
        <v/>
      </c>
      <c r="M330" s="13" t="str">
        <f>IF(AND(G330=-1,G329&lt;&gt;-1),MAX($M$50:M329)+1,"")</f>
        <v/>
      </c>
      <c r="N330" s="13" t="str">
        <f>IF(AND(G330&lt;&gt;-1,G329=-1),MAX($N$50:N329)+1,"")</f>
        <v/>
      </c>
      <c r="T330" s="7">
        <f t="shared" si="43"/>
        <v>100.07706032145045</v>
      </c>
      <c r="U330" s="1">
        <f t="shared" si="44"/>
        <v>116.58023737843409</v>
      </c>
    </row>
    <row r="331" spans="1:21" x14ac:dyDescent="0.3">
      <c r="A331" s="2">
        <v>40653</v>
      </c>
      <c r="B331" s="1">
        <v>2248.9</v>
      </c>
      <c r="C331" s="2">
        <f t="shared" si="36"/>
        <v>40653</v>
      </c>
      <c r="D331" s="1">
        <f t="shared" si="37"/>
        <v>2248.9</v>
      </c>
      <c r="E331" s="4">
        <f t="shared" si="38"/>
        <v>2220.0010000000002</v>
      </c>
      <c r="F331" s="3">
        <f t="shared" si="39"/>
        <v>1.0130175617038011</v>
      </c>
      <c r="G331" s="18">
        <f t="shared" si="40"/>
        <v>1</v>
      </c>
      <c r="H331" s="3">
        <f t="shared" si="41"/>
        <v>1.3538483725877182E-2</v>
      </c>
      <c r="I331" s="3">
        <f t="shared" si="42"/>
        <v>1.3538483725877182E-2</v>
      </c>
      <c r="K331" s="12" t="str">
        <f>IF(AND(G331=1,G330&lt;&gt;1),MAX($K$50:K330)+1,"")</f>
        <v/>
      </c>
      <c r="L331" s="13" t="str">
        <f>IF(AND(G331&lt;&gt;1,G330=1),MAX($L$50:L330)+1,"")</f>
        <v/>
      </c>
      <c r="M331" s="13" t="str">
        <f>IF(AND(G331=-1,G330&lt;&gt;-1),MAX($M$50:M330)+1,"")</f>
        <v/>
      </c>
      <c r="N331" s="13" t="str">
        <f>IF(AND(G331&lt;&gt;-1,G330=-1),MAX($N$50:N330)+1,"")</f>
        <v/>
      </c>
      <c r="T331" s="7">
        <f t="shared" si="43"/>
        <v>101.43195197394603</v>
      </c>
      <c r="U331" s="1">
        <f t="shared" si="44"/>
        <v>118.15855702494093</v>
      </c>
    </row>
    <row r="332" spans="1:21" x14ac:dyDescent="0.3">
      <c r="A332" s="2">
        <v>40654</v>
      </c>
      <c r="B332" s="1">
        <v>2260.84</v>
      </c>
      <c r="C332" s="2">
        <f t="shared" si="36"/>
        <v>40654</v>
      </c>
      <c r="D332" s="1">
        <f t="shared" si="37"/>
        <v>2260.84</v>
      </c>
      <c r="E332" s="4">
        <f t="shared" si="38"/>
        <v>2220.7249999999999</v>
      </c>
      <c r="F332" s="3">
        <f t="shared" si="39"/>
        <v>1.0180639205664819</v>
      </c>
      <c r="G332" s="18">
        <f t="shared" si="40"/>
        <v>1</v>
      </c>
      <c r="H332" s="3">
        <f t="shared" si="41"/>
        <v>5.3092623060162492E-3</v>
      </c>
      <c r="I332" s="3">
        <f t="shared" si="42"/>
        <v>5.3092623060162492E-3</v>
      </c>
      <c r="K332" s="12" t="str">
        <f>IF(AND(G332=1,G331&lt;&gt;1),MAX($K$50:K331)+1,"")</f>
        <v/>
      </c>
      <c r="L332" s="13" t="str">
        <f>IF(AND(G332&lt;&gt;1,G331=1),MAX($L$50:L331)+1,"")</f>
        <v/>
      </c>
      <c r="M332" s="13" t="str">
        <f>IF(AND(G332=-1,G331&lt;&gt;-1),MAX($M$50:M331)+1,"")</f>
        <v/>
      </c>
      <c r="N332" s="13" t="str">
        <f>IF(AND(G332&lt;&gt;-1,G331=-1),MAX($N$50:N331)+1,"")</f>
        <v/>
      </c>
      <c r="T332" s="7">
        <f t="shared" si="43"/>
        <v>101.97048081318695</v>
      </c>
      <c r="U332" s="1">
        <f t="shared" si="44"/>
        <v>118.78589179788673</v>
      </c>
    </row>
    <row r="333" spans="1:21" x14ac:dyDescent="0.3">
      <c r="A333" s="2">
        <v>40658</v>
      </c>
      <c r="B333" s="1">
        <v>2257.2399999999998</v>
      </c>
      <c r="C333" s="2">
        <f t="shared" si="36"/>
        <v>40658</v>
      </c>
      <c r="D333" s="1">
        <f t="shared" si="37"/>
        <v>2257.2399999999998</v>
      </c>
      <c r="E333" s="4">
        <f t="shared" si="38"/>
        <v>2221.3395999999998</v>
      </c>
      <c r="F333" s="3">
        <f t="shared" si="39"/>
        <v>1.0161615990639161</v>
      </c>
      <c r="G333" s="18">
        <f t="shared" si="40"/>
        <v>1</v>
      </c>
      <c r="H333" s="3">
        <f t="shared" si="41"/>
        <v>-1.592328515065411E-3</v>
      </c>
      <c r="I333" s="3">
        <f t="shared" si="42"/>
        <v>-1.592328515065411E-3</v>
      </c>
      <c r="K333" s="12" t="str">
        <f>IF(AND(G333=1,G332&lt;&gt;1),MAX($K$50:K332)+1,"")</f>
        <v/>
      </c>
      <c r="L333" s="13" t="str">
        <f>IF(AND(G333&lt;&gt;1,G332=1),MAX($L$50:L332)+1,"")</f>
        <v/>
      </c>
      <c r="M333" s="13" t="str">
        <f>IF(AND(G333=-1,G332&lt;&gt;-1),MAX($M$50:M332)+1,"")</f>
        <v/>
      </c>
      <c r="N333" s="13" t="str">
        <f>IF(AND(G333&lt;&gt;-1,G332=-1),MAX($N$50:N332)+1,"")</f>
        <v/>
      </c>
      <c r="T333" s="7">
        <f t="shared" si="43"/>
        <v>101.80811030889319</v>
      </c>
      <c r="U333" s="1">
        <f t="shared" si="44"/>
        <v>118.59674563518951</v>
      </c>
    </row>
    <row r="334" spans="1:21" x14ac:dyDescent="0.3">
      <c r="A334" s="2">
        <v>40659</v>
      </c>
      <c r="B334" s="1">
        <v>2277.5100000000002</v>
      </c>
      <c r="C334" s="2">
        <f t="shared" si="36"/>
        <v>40659</v>
      </c>
      <c r="D334" s="1">
        <f t="shared" si="37"/>
        <v>2277.5100000000002</v>
      </c>
      <c r="E334" s="4">
        <f t="shared" si="38"/>
        <v>2222.1082000000001</v>
      </c>
      <c r="F334" s="3">
        <f t="shared" si="39"/>
        <v>1.0249320892655003</v>
      </c>
      <c r="G334" s="18">
        <f t="shared" si="40"/>
        <v>1</v>
      </c>
      <c r="H334" s="3">
        <f t="shared" si="41"/>
        <v>8.9799932661127624E-3</v>
      </c>
      <c r="I334" s="3">
        <f t="shared" si="42"/>
        <v>8.9799932661127624E-3</v>
      </c>
      <c r="K334" s="12" t="str">
        <f>IF(AND(G334=1,G333&lt;&gt;1),MAX($K$50:K333)+1,"")</f>
        <v/>
      </c>
      <c r="L334" s="13" t="str">
        <f>IF(AND(G334&lt;&gt;1,G333=1),MAX($L$50:L333)+1,"")</f>
        <v/>
      </c>
      <c r="M334" s="13" t="str">
        <f>IF(AND(G334=-1,G333&lt;&gt;-1),MAX($M$50:M333)+1,"")</f>
        <v/>
      </c>
      <c r="N334" s="13" t="str">
        <f>IF(AND(G334&lt;&gt;-1,G333=-1),MAX($N$50:N333)+1,"")</f>
        <v/>
      </c>
      <c r="T334" s="7">
        <f t="shared" si="43"/>
        <v>102.72234645390272</v>
      </c>
      <c r="U334" s="1">
        <f t="shared" si="44"/>
        <v>119.6617436123764</v>
      </c>
    </row>
    <row r="335" spans="1:21" x14ac:dyDescent="0.3">
      <c r="A335" s="2">
        <v>40660</v>
      </c>
      <c r="B335" s="1">
        <v>2292.13</v>
      </c>
      <c r="C335" s="2">
        <f t="shared" si="36"/>
        <v>40660</v>
      </c>
      <c r="D335" s="1">
        <f t="shared" si="37"/>
        <v>2292.13</v>
      </c>
      <c r="E335" s="4">
        <f t="shared" si="38"/>
        <v>2223.0529999999999</v>
      </c>
      <c r="F335" s="3">
        <f t="shared" si="39"/>
        <v>1.0310730333464835</v>
      </c>
      <c r="G335" s="18">
        <f t="shared" si="40"/>
        <v>1</v>
      </c>
      <c r="H335" s="3">
        <f t="shared" si="41"/>
        <v>6.4192912435070415E-3</v>
      </c>
      <c r="I335" s="3">
        <f t="shared" si="42"/>
        <v>6.4192912435070415E-3</v>
      </c>
      <c r="K335" s="12" t="str">
        <f>IF(AND(G335=1,G334&lt;&gt;1),MAX($K$50:K334)+1,"")</f>
        <v/>
      </c>
      <c r="L335" s="13" t="str">
        <f>IF(AND(G335&lt;&gt;1,G334=1),MAX($L$50:L334)+1,"")</f>
        <v/>
      </c>
      <c r="M335" s="13" t="str">
        <f>IF(AND(G335=-1,G334&lt;&gt;-1),MAX($M$50:M334)+1,"")</f>
        <v/>
      </c>
      <c r="N335" s="13" t="str">
        <f>IF(AND(G335&lt;&gt;-1,G334=-1),MAX($N$50:N334)+1,"")</f>
        <v/>
      </c>
      <c r="T335" s="7">
        <f t="shared" si="43"/>
        <v>103.38175111300676</v>
      </c>
      <c r="U335" s="1">
        <f t="shared" si="44"/>
        <v>120.42988719533012</v>
      </c>
    </row>
    <row r="336" spans="1:21" x14ac:dyDescent="0.3">
      <c r="A336" s="2">
        <v>40661</v>
      </c>
      <c r="B336" s="1">
        <v>2300.46</v>
      </c>
      <c r="C336" s="2">
        <f t="shared" si="36"/>
        <v>40661</v>
      </c>
      <c r="D336" s="1">
        <f t="shared" si="37"/>
        <v>2300.46</v>
      </c>
      <c r="E336" s="4">
        <f t="shared" si="38"/>
        <v>2224.3042</v>
      </c>
      <c r="F336" s="3">
        <f t="shared" si="39"/>
        <v>1.034238032729516</v>
      </c>
      <c r="G336" s="18">
        <f t="shared" si="40"/>
        <v>1</v>
      </c>
      <c r="H336" s="3">
        <f t="shared" si="41"/>
        <v>3.6341743269361348E-3</v>
      </c>
      <c r="I336" s="3">
        <f t="shared" si="42"/>
        <v>3.6341743269361348E-3</v>
      </c>
      <c r="K336" s="12" t="str">
        <f>IF(AND(G336=1,G335&lt;&gt;1),MAX($K$50:K335)+1,"")</f>
        <v/>
      </c>
      <c r="L336" s="13" t="str">
        <f>IF(AND(G336&lt;&gt;1,G335=1),MAX($L$50:L335)+1,"")</f>
        <v/>
      </c>
      <c r="M336" s="13" t="str">
        <f>IF(AND(G336=-1,G335&lt;&gt;-1),MAX($M$50:M335)+1,"")</f>
        <v/>
      </c>
      <c r="N336" s="13" t="str">
        <f>IF(AND(G336&lt;&gt;-1,G335=-1),MAX($N$50:N335)+1,"")</f>
        <v/>
      </c>
      <c r="T336" s="7">
        <f t="shared" si="43"/>
        <v>103.75745841877534</v>
      </c>
      <c r="U336" s="1">
        <f t="shared" si="44"/>
        <v>120.86755039957119</v>
      </c>
    </row>
    <row r="337" spans="1:21" x14ac:dyDescent="0.3">
      <c r="A337" s="2">
        <v>40662</v>
      </c>
      <c r="B337" s="1">
        <v>2305.7600000000002</v>
      </c>
      <c r="C337" s="2">
        <f t="shared" si="36"/>
        <v>40662</v>
      </c>
      <c r="D337" s="1">
        <f t="shared" si="37"/>
        <v>2305.7600000000002</v>
      </c>
      <c r="E337" s="4">
        <f t="shared" si="38"/>
        <v>2225.3733999999995</v>
      </c>
      <c r="F337" s="3">
        <f t="shared" si="39"/>
        <v>1.0361227468612686</v>
      </c>
      <c r="G337" s="18">
        <f t="shared" si="40"/>
        <v>1</v>
      </c>
      <c r="H337" s="3">
        <f t="shared" si="41"/>
        <v>2.3038870486773444E-3</v>
      </c>
      <c r="I337" s="3">
        <f t="shared" si="42"/>
        <v>2.3038870486773444E-3</v>
      </c>
      <c r="K337" s="12" t="str">
        <f>IF(AND(G337=1,G336&lt;&gt;1),MAX($K$50:K336)+1,"")</f>
        <v/>
      </c>
      <c r="L337" s="13" t="str">
        <f>IF(AND(G337&lt;&gt;1,G336=1),MAX($L$50:L336)+1,"")</f>
        <v/>
      </c>
      <c r="M337" s="13" t="str">
        <f>IF(AND(G337=-1,G336&lt;&gt;-1),MAX($M$50:M336)+1,"")</f>
        <v/>
      </c>
      <c r="N337" s="13" t="str">
        <f>IF(AND(G337&lt;&gt;-1,G336=-1),MAX($N$50:N336)+1,"")</f>
        <v/>
      </c>
      <c r="T337" s="7">
        <f t="shared" si="43"/>
        <v>103.99650388343004</v>
      </c>
      <c r="U337" s="1">
        <f t="shared" si="44"/>
        <v>121.14601558354211</v>
      </c>
    </row>
    <row r="338" spans="1:21" x14ac:dyDescent="0.3">
      <c r="A338" s="2">
        <v>40665</v>
      </c>
      <c r="B338" s="1">
        <v>2301.7199999999998</v>
      </c>
      <c r="C338" s="2">
        <f t="shared" si="36"/>
        <v>40665</v>
      </c>
      <c r="D338" s="1">
        <f t="shared" si="37"/>
        <v>2301.7199999999998</v>
      </c>
      <c r="E338" s="4">
        <f t="shared" si="38"/>
        <v>2226.2194</v>
      </c>
      <c r="F338" s="3">
        <f t="shared" si="39"/>
        <v>1.0339142673898178</v>
      </c>
      <c r="G338" s="18">
        <f t="shared" si="40"/>
        <v>1</v>
      </c>
      <c r="H338" s="3">
        <f t="shared" si="41"/>
        <v>-1.7521337866909237E-3</v>
      </c>
      <c r="I338" s="3">
        <f t="shared" si="42"/>
        <v>-1.7521337866909237E-3</v>
      </c>
      <c r="K338" s="12" t="str">
        <f>IF(AND(G338=1,G337&lt;&gt;1),MAX($K$50:K337)+1,"")</f>
        <v/>
      </c>
      <c r="L338" s="13" t="str">
        <f>IF(AND(G338&lt;&gt;1,G337=1),MAX($L$50:L337)+1,"")</f>
        <v/>
      </c>
      <c r="M338" s="13" t="str">
        <f>IF(AND(G338=-1,G337&lt;&gt;-1),MAX($M$50:M337)+1,"")</f>
        <v/>
      </c>
      <c r="N338" s="13" t="str">
        <f>IF(AND(G338&lt;&gt;-1,G337=-1),MAX($N$50:N337)+1,"")</f>
        <v/>
      </c>
      <c r="T338" s="7">
        <f t="shared" si="43"/>
        <v>103.81428809527814</v>
      </c>
      <c r="U338" s="1">
        <f t="shared" si="44"/>
        <v>120.93375155651519</v>
      </c>
    </row>
    <row r="339" spans="1:21" x14ac:dyDescent="0.3">
      <c r="A339" s="2">
        <v>40666</v>
      </c>
      <c r="B339" s="1">
        <v>2293.9499999999998</v>
      </c>
      <c r="C339" s="2">
        <f t="shared" si="36"/>
        <v>40666</v>
      </c>
      <c r="D339" s="1">
        <f t="shared" si="37"/>
        <v>2293.9499999999998</v>
      </c>
      <c r="E339" s="4">
        <f t="shared" si="38"/>
        <v>2226.8226</v>
      </c>
      <c r="F339" s="3">
        <f t="shared" si="39"/>
        <v>1.0301449248808594</v>
      </c>
      <c r="G339" s="18">
        <f t="shared" si="40"/>
        <v>1</v>
      </c>
      <c r="H339" s="3">
        <f t="shared" si="41"/>
        <v>-3.3757364058182304E-3</v>
      </c>
      <c r="I339" s="3">
        <f t="shared" si="42"/>
        <v>-3.3757364058182304E-3</v>
      </c>
      <c r="K339" s="12" t="str">
        <f>IF(AND(G339=1,G338&lt;&gt;1),MAX($K$50:K338)+1,"")</f>
        <v/>
      </c>
      <c r="L339" s="13" t="str">
        <f>IF(AND(G339&lt;&gt;1,G338=1),MAX($L$50:L338)+1,"")</f>
        <v/>
      </c>
      <c r="M339" s="13" t="str">
        <f>IF(AND(G339=-1,G338&lt;&gt;-1),MAX($M$50:M338)+1,"")</f>
        <v/>
      </c>
      <c r="N339" s="13" t="str">
        <f>IF(AND(G339&lt;&gt;-1,G338=-1),MAX($N$50:N338)+1,"")</f>
        <v/>
      </c>
      <c r="T339" s="7">
        <f t="shared" si="43"/>
        <v>103.46383842351081</v>
      </c>
      <c r="U339" s="1">
        <f t="shared" si="44"/>
        <v>120.52551108869368</v>
      </c>
    </row>
    <row r="340" spans="1:21" x14ac:dyDescent="0.3">
      <c r="A340" s="2">
        <v>40667</v>
      </c>
      <c r="B340" s="1">
        <v>2278.63</v>
      </c>
      <c r="C340" s="2">
        <f t="shared" si="36"/>
        <v>40667</v>
      </c>
      <c r="D340" s="1">
        <f t="shared" si="37"/>
        <v>2278.63</v>
      </c>
      <c r="E340" s="4">
        <f t="shared" si="38"/>
        <v>2228.0482000000002</v>
      </c>
      <c r="F340" s="3">
        <f t="shared" si="39"/>
        <v>1.0227022916290589</v>
      </c>
      <c r="G340" s="18">
        <f t="shared" si="40"/>
        <v>1</v>
      </c>
      <c r="H340" s="3">
        <f t="shared" si="41"/>
        <v>-6.6784367575577486E-3</v>
      </c>
      <c r="I340" s="3">
        <f t="shared" si="42"/>
        <v>-6.6784367575577486E-3</v>
      </c>
      <c r="K340" s="12" t="str">
        <f>IF(AND(G340=1,G339&lt;&gt;1),MAX($K$50:K339)+1,"")</f>
        <v/>
      </c>
      <c r="L340" s="13" t="str">
        <f>IF(AND(G340&lt;&gt;1,G339=1),MAX($L$50:L339)+1,"")</f>
        <v/>
      </c>
      <c r="M340" s="13" t="str">
        <f>IF(AND(G340=-1,G339&lt;&gt;-1),MAX($M$50:M339)+1,"")</f>
        <v/>
      </c>
      <c r="N340" s="13" t="str">
        <f>IF(AND(G340&lt;&gt;-1,G339=-1),MAX($N$50:N339)+1,"")</f>
        <v/>
      </c>
      <c r="T340" s="7">
        <f t="shared" si="43"/>
        <v>102.77286172190522</v>
      </c>
      <c r="U340" s="1">
        <f t="shared" si="44"/>
        <v>119.72058908521551</v>
      </c>
    </row>
    <row r="341" spans="1:21" x14ac:dyDescent="0.3">
      <c r="A341" s="2">
        <v>40668</v>
      </c>
      <c r="B341" s="1">
        <v>2258.08</v>
      </c>
      <c r="C341" s="2">
        <f t="shared" si="36"/>
        <v>40668</v>
      </c>
      <c r="D341" s="1">
        <f t="shared" si="37"/>
        <v>2258.08</v>
      </c>
      <c r="E341" s="4">
        <f t="shared" si="38"/>
        <v>2229.1320000000001</v>
      </c>
      <c r="F341" s="3">
        <f t="shared" si="39"/>
        <v>1.0129862206455247</v>
      </c>
      <c r="G341" s="18">
        <f t="shared" si="40"/>
        <v>1</v>
      </c>
      <c r="H341" s="3">
        <f t="shared" si="41"/>
        <v>-9.0185769519405268E-3</v>
      </c>
      <c r="I341" s="3">
        <f t="shared" si="42"/>
        <v>-9.0185769519405268E-3</v>
      </c>
      <c r="K341" s="12" t="str">
        <f>IF(AND(G341=1,G340&lt;&gt;1),MAX($K$50:K340)+1,"")</f>
        <v/>
      </c>
      <c r="L341" s="13" t="str">
        <f>IF(AND(G341&lt;&gt;1,G340=1),MAX($L$50:L340)+1,"")</f>
        <v/>
      </c>
      <c r="M341" s="13" t="str">
        <f>IF(AND(G341=-1,G340&lt;&gt;-1),MAX($M$50:M340)+1,"")</f>
        <v/>
      </c>
      <c r="N341" s="13" t="str">
        <f>IF(AND(G341&lt;&gt;-1,G340=-1),MAX($N$50:N340)+1,"")</f>
        <v/>
      </c>
      <c r="T341" s="7">
        <f t="shared" si="43"/>
        <v>101.84599675989507</v>
      </c>
      <c r="U341" s="1">
        <f t="shared" si="44"/>
        <v>118.64087973981884</v>
      </c>
    </row>
    <row r="342" spans="1:21" x14ac:dyDescent="0.3">
      <c r="A342" s="2">
        <v>40669</v>
      </c>
      <c r="B342" s="1">
        <v>2266.9699999999998</v>
      </c>
      <c r="C342" s="2">
        <f t="shared" si="36"/>
        <v>40669</v>
      </c>
      <c r="D342" s="1">
        <f t="shared" si="37"/>
        <v>2266.9699999999998</v>
      </c>
      <c r="E342" s="4">
        <f t="shared" si="38"/>
        <v>2230.4268000000002</v>
      </c>
      <c r="F342" s="3">
        <f t="shared" si="39"/>
        <v>1.0163839494754994</v>
      </c>
      <c r="G342" s="18">
        <f t="shared" si="40"/>
        <v>1</v>
      </c>
      <c r="H342" s="3">
        <f t="shared" si="41"/>
        <v>3.9369730036136197E-3</v>
      </c>
      <c r="I342" s="3">
        <f t="shared" si="42"/>
        <v>3.9369730036136197E-3</v>
      </c>
      <c r="K342" s="12" t="str">
        <f>IF(AND(G342=1,G341&lt;&gt;1),MAX($K$50:K341)+1,"")</f>
        <v/>
      </c>
      <c r="L342" s="13" t="str">
        <f>IF(AND(G342&lt;&gt;1,G341=1),MAX($L$50:L341)+1,"")</f>
        <v/>
      </c>
      <c r="M342" s="13" t="str">
        <f>IF(AND(G342=-1,G341&lt;&gt;-1),MAX($M$50:M341)+1,"")</f>
        <v/>
      </c>
      <c r="N342" s="13" t="str">
        <f>IF(AND(G342&lt;&gt;-1,G341=-1),MAX($N$50:N341)+1,"")</f>
        <v/>
      </c>
      <c r="T342" s="7">
        <f t="shared" si="43"/>
        <v>102.24696169966489</v>
      </c>
      <c r="U342" s="1">
        <f t="shared" si="44"/>
        <v>119.1079656804795</v>
      </c>
    </row>
    <row r="343" spans="1:21" x14ac:dyDescent="0.3">
      <c r="A343" s="2">
        <v>40672</v>
      </c>
      <c r="B343" s="1">
        <v>2277.3000000000002</v>
      </c>
      <c r="C343" s="2">
        <f t="shared" si="36"/>
        <v>40672</v>
      </c>
      <c r="D343" s="1">
        <f t="shared" si="37"/>
        <v>2277.3000000000002</v>
      </c>
      <c r="E343" s="4">
        <f t="shared" si="38"/>
        <v>2231.4518000000007</v>
      </c>
      <c r="F343" s="3">
        <f t="shared" si="39"/>
        <v>1.0205463546198934</v>
      </c>
      <c r="G343" s="18">
        <f t="shared" si="40"/>
        <v>1</v>
      </c>
      <c r="H343" s="3">
        <f t="shared" si="41"/>
        <v>4.5567431417268267E-3</v>
      </c>
      <c r="I343" s="3">
        <f t="shared" si="42"/>
        <v>4.5567431417268267E-3</v>
      </c>
      <c r="K343" s="12" t="str">
        <f>IF(AND(G343=1,G342&lt;&gt;1),MAX($K$50:K342)+1,"")</f>
        <v/>
      </c>
      <c r="L343" s="13" t="str">
        <f>IF(AND(G343&lt;&gt;1,G342=1),MAX($L$50:L342)+1,"")</f>
        <v/>
      </c>
      <c r="M343" s="13" t="str">
        <f>IF(AND(G343=-1,G342&lt;&gt;-1),MAX($M$50:M342)+1,"")</f>
        <v/>
      </c>
      <c r="N343" s="13" t="str">
        <f>IF(AND(G343&lt;&gt;-1,G342=-1),MAX($N$50:N342)+1,"")</f>
        <v/>
      </c>
      <c r="T343" s="7">
        <f t="shared" si="43"/>
        <v>102.71287484115224</v>
      </c>
      <c r="U343" s="1">
        <f t="shared" si="44"/>
        <v>119.65071008621906</v>
      </c>
    </row>
    <row r="344" spans="1:21" x14ac:dyDescent="0.3">
      <c r="A344" s="2">
        <v>40673</v>
      </c>
      <c r="B344" s="1">
        <v>2295.7199999999998</v>
      </c>
      <c r="C344" s="2">
        <f t="shared" si="36"/>
        <v>40673</v>
      </c>
      <c r="D344" s="1">
        <f t="shared" si="37"/>
        <v>2295.7199999999998</v>
      </c>
      <c r="E344" s="4">
        <f t="shared" si="38"/>
        <v>2232.5952000000007</v>
      </c>
      <c r="F344" s="3">
        <f t="shared" si="39"/>
        <v>1.0282741806486009</v>
      </c>
      <c r="G344" s="18">
        <f t="shared" si="40"/>
        <v>1</v>
      </c>
      <c r="H344" s="3">
        <f t="shared" si="41"/>
        <v>8.0885258859173526E-3</v>
      </c>
      <c r="I344" s="3">
        <f t="shared" si="42"/>
        <v>8.0885258859173526E-3</v>
      </c>
      <c r="K344" s="12" t="str">
        <f>IF(AND(G344=1,G343&lt;&gt;1),MAX($K$50:K343)+1,"")</f>
        <v/>
      </c>
      <c r="L344" s="13" t="str">
        <f>IF(AND(G344&lt;&gt;1,G343=1),MAX($L$50:L343)+1,"")</f>
        <v/>
      </c>
      <c r="M344" s="13" t="str">
        <f>IF(AND(G344=-1,G343&lt;&gt;-1),MAX($M$50:M343)+1,"")</f>
        <v/>
      </c>
      <c r="N344" s="13" t="str">
        <f>IF(AND(G344&lt;&gt;-1,G343=-1),MAX($N$50:N343)+1,"")</f>
        <v/>
      </c>
      <c r="T344" s="7">
        <f t="shared" si="43"/>
        <v>103.5436705881219</v>
      </c>
      <c r="U344" s="1">
        <f t="shared" si="44"/>
        <v>120.61850795201984</v>
      </c>
    </row>
    <row r="345" spans="1:21" x14ac:dyDescent="0.3">
      <c r="A345" s="2">
        <v>40674</v>
      </c>
      <c r="B345" s="1">
        <v>2271.4699999999998</v>
      </c>
      <c r="C345" s="2">
        <f t="shared" si="36"/>
        <v>40674</v>
      </c>
      <c r="D345" s="1">
        <f t="shared" si="37"/>
        <v>2271.4699999999998</v>
      </c>
      <c r="E345" s="4">
        <f t="shared" si="38"/>
        <v>2233.9582000000005</v>
      </c>
      <c r="F345" s="3">
        <f t="shared" si="39"/>
        <v>1.0167916302104485</v>
      </c>
      <c r="G345" s="18">
        <f t="shared" si="40"/>
        <v>1</v>
      </c>
      <c r="H345" s="3">
        <f t="shared" si="41"/>
        <v>-1.0563134877075608E-2</v>
      </c>
      <c r="I345" s="3">
        <f t="shared" si="42"/>
        <v>-1.0563134877075608E-2</v>
      </c>
      <c r="K345" s="12" t="str">
        <f>IF(AND(G345=1,G344&lt;&gt;1),MAX($K$50:K344)+1,"")</f>
        <v/>
      </c>
      <c r="L345" s="13" t="str">
        <f>IF(AND(G345&lt;&gt;1,G344=1),MAX($L$50:L344)+1,"")</f>
        <v/>
      </c>
      <c r="M345" s="13" t="str">
        <f>IF(AND(G345=-1,G344&lt;&gt;-1),MAX($M$50:M344)+1,"")</f>
        <v/>
      </c>
      <c r="N345" s="13" t="str">
        <f>IF(AND(G345&lt;&gt;-1,G344=-1),MAX($N$50:N344)+1,"")</f>
        <v/>
      </c>
      <c r="T345" s="7">
        <f t="shared" si="43"/>
        <v>102.44992483003207</v>
      </c>
      <c r="U345" s="1">
        <f t="shared" si="44"/>
        <v>119.34439838385103</v>
      </c>
    </row>
    <row r="346" spans="1:21" x14ac:dyDescent="0.3">
      <c r="A346" s="2">
        <v>40675</v>
      </c>
      <c r="B346" s="1">
        <v>2282.84</v>
      </c>
      <c r="C346" s="2">
        <f t="shared" si="36"/>
        <v>40675</v>
      </c>
      <c r="D346" s="1">
        <f t="shared" si="37"/>
        <v>2282.84</v>
      </c>
      <c r="E346" s="4">
        <f t="shared" si="38"/>
        <v>2235.4702000000007</v>
      </c>
      <c r="F346" s="3">
        <f t="shared" si="39"/>
        <v>1.0211900834106398</v>
      </c>
      <c r="G346" s="18">
        <f t="shared" si="40"/>
        <v>1</v>
      </c>
      <c r="H346" s="3">
        <f t="shared" si="41"/>
        <v>5.0055690808157305E-3</v>
      </c>
      <c r="I346" s="3">
        <f t="shared" si="42"/>
        <v>5.0055690808157305E-3</v>
      </c>
      <c r="K346" s="12" t="str">
        <f>IF(AND(G346=1,G345&lt;&gt;1),MAX($K$50:K345)+1,"")</f>
        <v/>
      </c>
      <c r="L346" s="13" t="str">
        <f>IF(AND(G346&lt;&gt;1,G345=1),MAX($L$50:L345)+1,"")</f>
        <v/>
      </c>
      <c r="M346" s="13" t="str">
        <f>IF(AND(G346=-1,G345&lt;&gt;-1),MAX($M$50:M345)+1,"")</f>
        <v/>
      </c>
      <c r="N346" s="13" t="str">
        <f>IF(AND(G346&lt;&gt;-1,G345=-1),MAX($N$50:N345)+1,"")</f>
        <v/>
      </c>
      <c r="T346" s="7">
        <f t="shared" si="43"/>
        <v>102.96274500609317</v>
      </c>
      <c r="U346" s="1">
        <f t="shared" si="44"/>
        <v>119.94178501436977</v>
      </c>
    </row>
    <row r="347" spans="1:21" x14ac:dyDescent="0.3">
      <c r="A347" s="2">
        <v>40676</v>
      </c>
      <c r="B347" s="1">
        <v>2264.52</v>
      </c>
      <c r="C347" s="2">
        <f t="shared" si="36"/>
        <v>40676</v>
      </c>
      <c r="D347" s="1">
        <f t="shared" si="37"/>
        <v>2264.52</v>
      </c>
      <c r="E347" s="4">
        <f t="shared" si="38"/>
        <v>2235.8540000000003</v>
      </c>
      <c r="F347" s="3">
        <f t="shared" si="39"/>
        <v>1.0128210518218093</v>
      </c>
      <c r="G347" s="18">
        <f t="shared" si="40"/>
        <v>1</v>
      </c>
      <c r="H347" s="3">
        <f t="shared" si="41"/>
        <v>-8.025091552627539E-3</v>
      </c>
      <c r="I347" s="3">
        <f t="shared" si="42"/>
        <v>-8.025091552627539E-3</v>
      </c>
      <c r="K347" s="12" t="str">
        <f>IF(AND(G347=1,G346&lt;&gt;1),MAX($K$50:K346)+1,"")</f>
        <v/>
      </c>
      <c r="L347" s="13" t="str">
        <f>IF(AND(G347&lt;&gt;1,G346=1),MAX($L$50:L346)+1,"")</f>
        <v/>
      </c>
      <c r="M347" s="13" t="str">
        <f>IF(AND(G347=-1,G346&lt;&gt;-1),MAX($M$50:M346)+1,"")</f>
        <v/>
      </c>
      <c r="N347" s="13" t="str">
        <f>IF(AND(G347&lt;&gt;-1,G346=-1),MAX($N$50:N346)+1,"")</f>
        <v/>
      </c>
      <c r="T347" s="7">
        <f t="shared" si="43"/>
        <v>102.13645955090944</v>
      </c>
      <c r="U347" s="1">
        <f t="shared" si="44"/>
        <v>118.97924120864388</v>
      </c>
    </row>
    <row r="348" spans="1:21" x14ac:dyDescent="0.3">
      <c r="A348" s="2">
        <v>40679</v>
      </c>
      <c r="B348" s="1">
        <v>2250.61</v>
      </c>
      <c r="C348" s="2">
        <f t="shared" si="36"/>
        <v>40679</v>
      </c>
      <c r="D348" s="1">
        <f t="shared" si="37"/>
        <v>2250.61</v>
      </c>
      <c r="E348" s="4">
        <f t="shared" si="38"/>
        <v>2236.2905999999998</v>
      </c>
      <c r="F348" s="3">
        <f t="shared" si="39"/>
        <v>1.0064031928587458</v>
      </c>
      <c r="G348" s="18">
        <f t="shared" si="40"/>
        <v>1</v>
      </c>
      <c r="H348" s="3">
        <f t="shared" si="41"/>
        <v>-6.1425820924522201E-3</v>
      </c>
      <c r="I348" s="3">
        <f t="shared" si="42"/>
        <v>-6.1425820924522201E-3</v>
      </c>
      <c r="K348" s="12" t="str">
        <f>IF(AND(G348=1,G347&lt;&gt;1),MAX($K$50:K347)+1,"")</f>
        <v/>
      </c>
      <c r="L348" s="13" t="str">
        <f>IF(AND(G348&lt;&gt;1,G347=1),MAX($L$50:L347)+1,"")</f>
        <v/>
      </c>
      <c r="M348" s="13" t="str">
        <f>IF(AND(G348=-1,G347&lt;&gt;-1),MAX($M$50:M347)+1,"")</f>
        <v/>
      </c>
      <c r="N348" s="13" t="str">
        <f>IF(AND(G348&lt;&gt;-1,G347=-1),MAX($N$50:N347)+1,"")</f>
        <v/>
      </c>
      <c r="T348" s="7">
        <f t="shared" si="43"/>
        <v>101.50907796348555</v>
      </c>
      <c r="U348" s="1">
        <f t="shared" si="44"/>
        <v>118.24840145222213</v>
      </c>
    </row>
    <row r="349" spans="1:21" x14ac:dyDescent="0.3">
      <c r="A349" s="2">
        <v>40680</v>
      </c>
      <c r="B349" s="1">
        <v>2250.35</v>
      </c>
      <c r="C349" s="2">
        <f t="shared" si="36"/>
        <v>40680</v>
      </c>
      <c r="D349" s="1">
        <f t="shared" si="37"/>
        <v>2250.35</v>
      </c>
      <c r="E349" s="4">
        <f t="shared" si="38"/>
        <v>2237.0924</v>
      </c>
      <c r="F349" s="3">
        <f t="shared" si="39"/>
        <v>1.0059262639308058</v>
      </c>
      <c r="G349" s="18">
        <f t="shared" si="40"/>
        <v>1</v>
      </c>
      <c r="H349" s="3">
        <f t="shared" si="41"/>
        <v>-1.1552423565175385E-4</v>
      </c>
      <c r="I349" s="3">
        <f t="shared" si="42"/>
        <v>-1.1552423565175385E-4</v>
      </c>
      <c r="K349" s="12" t="str">
        <f>IF(AND(G349=1,G348&lt;&gt;1),MAX($K$50:K348)+1,"")</f>
        <v/>
      </c>
      <c r="L349" s="13" t="str">
        <f>IF(AND(G349&lt;&gt;1,G348=1),MAX($L$50:L348)+1,"")</f>
        <v/>
      </c>
      <c r="M349" s="13" t="str">
        <f>IF(AND(G349=-1,G348&lt;&gt;-1),MAX($M$50:M348)+1,"")</f>
        <v/>
      </c>
      <c r="N349" s="13" t="str">
        <f>IF(AND(G349&lt;&gt;-1,G348=-1),MAX($N$50:N348)+1,"")</f>
        <v/>
      </c>
      <c r="T349" s="7">
        <f t="shared" si="43"/>
        <v>101.4973512048421</v>
      </c>
      <c r="U349" s="1">
        <f t="shared" si="44"/>
        <v>118.2347408960273</v>
      </c>
    </row>
    <row r="350" spans="1:21" x14ac:dyDescent="0.3">
      <c r="A350" s="2">
        <v>40681</v>
      </c>
      <c r="B350" s="1">
        <v>2270.5700000000002</v>
      </c>
      <c r="C350" s="2">
        <f t="shared" si="36"/>
        <v>40681</v>
      </c>
      <c r="D350" s="1">
        <f t="shared" si="37"/>
        <v>2270.5700000000002</v>
      </c>
      <c r="E350" s="4">
        <f t="shared" si="38"/>
        <v>2237.8958000000002</v>
      </c>
      <c r="F350" s="3">
        <f t="shared" si="39"/>
        <v>1.0146004116903029</v>
      </c>
      <c r="G350" s="18">
        <f t="shared" si="40"/>
        <v>1</v>
      </c>
      <c r="H350" s="3">
        <f t="shared" si="41"/>
        <v>8.9852689581622069E-3</v>
      </c>
      <c r="I350" s="3">
        <f t="shared" si="42"/>
        <v>8.9852689581622069E-3</v>
      </c>
      <c r="K350" s="12" t="str">
        <f>IF(AND(G350=1,G349&lt;&gt;1),MAX($K$50:K349)+1,"")</f>
        <v/>
      </c>
      <c r="L350" s="13" t="str">
        <f>IF(AND(G350&lt;&gt;1,G349=1),MAX($L$50:L349)+1,"")</f>
        <v/>
      </c>
      <c r="M350" s="13" t="str">
        <f>IF(AND(G350=-1,G349&lt;&gt;-1),MAX($M$50:M349)+1,"")</f>
        <v/>
      </c>
      <c r="N350" s="13" t="str">
        <f>IF(AND(G350&lt;&gt;-1,G349=-1),MAX($N$50:N349)+1,"")</f>
        <v/>
      </c>
      <c r="T350" s="7">
        <f t="shared" si="43"/>
        <v>102.40933220395866</v>
      </c>
      <c r="U350" s="1">
        <f t="shared" si="44"/>
        <v>119.29711184317674</v>
      </c>
    </row>
    <row r="351" spans="1:21" x14ac:dyDescent="0.3">
      <c r="A351" s="2">
        <v>40682</v>
      </c>
      <c r="B351" s="1">
        <v>2275.71</v>
      </c>
      <c r="C351" s="2">
        <f t="shared" si="36"/>
        <v>40682</v>
      </c>
      <c r="D351" s="1">
        <f t="shared" si="37"/>
        <v>2275.71</v>
      </c>
      <c r="E351" s="4">
        <f t="shared" si="38"/>
        <v>2238.8560000000007</v>
      </c>
      <c r="F351" s="3">
        <f t="shared" si="39"/>
        <v>1.0164610854829428</v>
      </c>
      <c r="G351" s="18">
        <f t="shared" si="40"/>
        <v>1</v>
      </c>
      <c r="H351" s="3">
        <f t="shared" si="41"/>
        <v>2.2637487503136544E-3</v>
      </c>
      <c r="I351" s="3">
        <f t="shared" si="42"/>
        <v>2.2637487503136544E-3</v>
      </c>
      <c r="K351" s="12" t="str">
        <f>IF(AND(G351=1,G350&lt;&gt;1),MAX($K$50:K350)+1,"")</f>
        <v/>
      </c>
      <c r="L351" s="13" t="str">
        <f>IF(AND(G351&lt;&gt;1,G350=1),MAX($L$50:L350)+1,"")</f>
        <v/>
      </c>
      <c r="M351" s="13" t="str">
        <f>IF(AND(G351=-1,G350&lt;&gt;-1),MAX($M$50:M350)+1,"")</f>
        <v/>
      </c>
      <c r="N351" s="13" t="str">
        <f>IF(AND(G351&lt;&gt;-1,G350=-1),MAX($N$50:N350)+1,"")</f>
        <v/>
      </c>
      <c r="T351" s="7">
        <f t="shared" si="43"/>
        <v>102.64116120175582</v>
      </c>
      <c r="U351" s="1">
        <f t="shared" si="44"/>
        <v>119.56717053102776</v>
      </c>
    </row>
    <row r="352" spans="1:21" x14ac:dyDescent="0.3">
      <c r="A352" s="2">
        <v>40683</v>
      </c>
      <c r="B352" s="1">
        <v>2258.21</v>
      </c>
      <c r="C352" s="2">
        <f t="shared" si="36"/>
        <v>40683</v>
      </c>
      <c r="D352" s="1">
        <f t="shared" si="37"/>
        <v>2258.21</v>
      </c>
      <c r="E352" s="4">
        <f t="shared" si="38"/>
        <v>2240.3072000000011</v>
      </c>
      <c r="F352" s="3">
        <f t="shared" si="39"/>
        <v>1.0079912254890753</v>
      </c>
      <c r="G352" s="18">
        <f t="shared" si="40"/>
        <v>1</v>
      </c>
      <c r="H352" s="3">
        <f t="shared" si="41"/>
        <v>-7.6899077650491865E-3</v>
      </c>
      <c r="I352" s="3">
        <f t="shared" si="42"/>
        <v>-7.6899077650491865E-3</v>
      </c>
      <c r="K352" s="12" t="str">
        <f>IF(AND(G352=1,G351&lt;&gt;1),MAX($K$50:K351)+1,"")</f>
        <v/>
      </c>
      <c r="L352" s="13" t="str">
        <f>IF(AND(G352&lt;&gt;1,G351=1),MAX($L$50:L351)+1,"")</f>
        <v/>
      </c>
      <c r="M352" s="13" t="str">
        <f>IF(AND(G352=-1,G351&lt;&gt;-1),MAX($M$50:M351)+1,"")</f>
        <v/>
      </c>
      <c r="N352" s="13" t="str">
        <f>IF(AND(G352&lt;&gt;-1,G351=-1),MAX($N$50:N351)+1,"")</f>
        <v/>
      </c>
      <c r="T352" s="7">
        <f t="shared" si="43"/>
        <v>101.85186013921677</v>
      </c>
      <c r="U352" s="1">
        <f t="shared" si="44"/>
        <v>118.64771001791624</v>
      </c>
    </row>
    <row r="353" spans="1:21" x14ac:dyDescent="0.3">
      <c r="A353" s="2">
        <v>40686</v>
      </c>
      <c r="B353" s="1">
        <v>2231.31</v>
      </c>
      <c r="C353" s="2">
        <f t="shared" si="36"/>
        <v>40686</v>
      </c>
      <c r="D353" s="1">
        <f t="shared" si="37"/>
        <v>2231.31</v>
      </c>
      <c r="E353" s="4">
        <f t="shared" si="38"/>
        <v>2240.8972000000008</v>
      </c>
      <c r="F353" s="3">
        <f t="shared" si="39"/>
        <v>0.99572171360649619</v>
      </c>
      <c r="G353" s="18">
        <f t="shared" si="40"/>
        <v>1</v>
      </c>
      <c r="H353" s="3">
        <f t="shared" si="41"/>
        <v>-1.191208966393742E-2</v>
      </c>
      <c r="I353" s="3">
        <f t="shared" si="42"/>
        <v>-1.191208966393742E-2</v>
      </c>
      <c r="K353" s="12" t="str">
        <f>IF(AND(G353=1,G352&lt;&gt;1),MAX($K$50:K352)+1,"")</f>
        <v/>
      </c>
      <c r="L353" s="13" t="str">
        <f>IF(AND(G353&lt;&gt;1,G352=1),MAX($L$50:L352)+1,"")</f>
        <v/>
      </c>
      <c r="M353" s="13" t="str">
        <f>IF(AND(G353=-1,G352&lt;&gt;-1),MAX($M$50:M352)+1,"")</f>
        <v/>
      </c>
      <c r="N353" s="13" t="str">
        <f>IF(AND(G353&lt;&gt;-1,G352=-1),MAX($N$50:N352)+1,"")</f>
        <v/>
      </c>
      <c r="T353" s="7">
        <f t="shared" si="43"/>
        <v>100.6385916487996</v>
      </c>
      <c r="U353" s="1">
        <f t="shared" si="44"/>
        <v>117.23436785776197</v>
      </c>
    </row>
    <row r="354" spans="1:21" x14ac:dyDescent="0.3">
      <c r="A354" s="2">
        <v>40687</v>
      </c>
      <c r="B354" s="1">
        <v>2229.4899999999998</v>
      </c>
      <c r="C354" s="2">
        <f t="shared" si="36"/>
        <v>40687</v>
      </c>
      <c r="D354" s="1">
        <f t="shared" si="37"/>
        <v>2229.4899999999998</v>
      </c>
      <c r="E354" s="4">
        <f t="shared" si="38"/>
        <v>2241.7158000000009</v>
      </c>
      <c r="F354" s="3">
        <f t="shared" si="39"/>
        <v>0.99454623106104656</v>
      </c>
      <c r="G354" s="18">
        <f t="shared" si="40"/>
        <v>1</v>
      </c>
      <c r="H354" s="3">
        <f t="shared" si="41"/>
        <v>-8.1566434067881222E-4</v>
      </c>
      <c r="I354" s="3">
        <f t="shared" si="42"/>
        <v>-8.1566434067881222E-4</v>
      </c>
      <c r="K354" s="12" t="str">
        <f>IF(AND(G354=1,G353&lt;&gt;1),MAX($K$50:K353)+1,"")</f>
        <v/>
      </c>
      <c r="L354" s="13" t="str">
        <f>IF(AND(G354&lt;&gt;1,G353=1),MAX($L$50:L353)+1,"")</f>
        <v/>
      </c>
      <c r="M354" s="13" t="str">
        <f>IF(AND(G354=-1,G353&lt;&gt;-1),MAX($M$50:M353)+1,"")</f>
        <v/>
      </c>
      <c r="N354" s="13" t="str">
        <f>IF(AND(G354&lt;&gt;-1,G353=-1),MAX($N$50:N353)+1,"")</f>
        <v/>
      </c>
      <c r="T354" s="7">
        <f t="shared" si="43"/>
        <v>100.55650433829554</v>
      </c>
      <c r="U354" s="1">
        <f t="shared" si="44"/>
        <v>117.13874396439836</v>
      </c>
    </row>
    <row r="355" spans="1:21" x14ac:dyDescent="0.3">
      <c r="A355" s="2">
        <v>40688</v>
      </c>
      <c r="B355" s="1">
        <v>2236.75</v>
      </c>
      <c r="C355" s="2">
        <f t="shared" si="36"/>
        <v>40688</v>
      </c>
      <c r="D355" s="1">
        <f t="shared" si="37"/>
        <v>2236.75</v>
      </c>
      <c r="E355" s="4">
        <f t="shared" si="38"/>
        <v>2243.1696000000011</v>
      </c>
      <c r="F355" s="3">
        <f t="shared" si="39"/>
        <v>0.99713815665119521</v>
      </c>
      <c r="G355" s="18">
        <f t="shared" si="40"/>
        <v>1</v>
      </c>
      <c r="H355" s="3">
        <f t="shared" si="41"/>
        <v>3.2563501069753364E-3</v>
      </c>
      <c r="I355" s="3">
        <f t="shared" si="42"/>
        <v>3.2563501069753364E-3</v>
      </c>
      <c r="K355" s="12" t="str">
        <f>IF(AND(G355=1,G354&lt;&gt;1),MAX($K$50:K354)+1,"")</f>
        <v/>
      </c>
      <c r="L355" s="13" t="str">
        <f>IF(AND(G355&lt;&gt;1,G354=1),MAX($L$50:L354)+1,"")</f>
        <v/>
      </c>
      <c r="M355" s="13" t="str">
        <f>IF(AND(G355=-1,G354&lt;&gt;-1),MAX($M$50:M354)+1,"")</f>
        <v/>
      </c>
      <c r="N355" s="13" t="str">
        <f>IF(AND(G355&lt;&gt;-1,G354=-1),MAX($N$50:N354)+1,"")</f>
        <v/>
      </c>
      <c r="T355" s="7">
        <f t="shared" si="43"/>
        <v>100.88395152195461</v>
      </c>
      <c r="U355" s="1">
        <f t="shared" si="44"/>
        <v>117.52018872583778</v>
      </c>
    </row>
    <row r="356" spans="1:21" x14ac:dyDescent="0.3">
      <c r="A356" s="2">
        <v>40689</v>
      </c>
      <c r="B356" s="1">
        <v>2246.13</v>
      </c>
      <c r="C356" s="2">
        <f t="shared" si="36"/>
        <v>40689</v>
      </c>
      <c r="D356" s="1">
        <f t="shared" si="37"/>
        <v>2246.13</v>
      </c>
      <c r="E356" s="4">
        <f t="shared" si="38"/>
        <v>2245.6534000000011</v>
      </c>
      <c r="F356" s="3">
        <f t="shared" si="39"/>
        <v>1.0002122322171352</v>
      </c>
      <c r="G356" s="18">
        <f t="shared" si="40"/>
        <v>1</v>
      </c>
      <c r="H356" s="3">
        <f t="shared" si="41"/>
        <v>4.1935844417122503E-3</v>
      </c>
      <c r="I356" s="3">
        <f t="shared" si="42"/>
        <v>4.1935844417122503E-3</v>
      </c>
      <c r="K356" s="12" t="str">
        <f>IF(AND(G356=1,G355&lt;&gt;1),MAX($K$50:K355)+1,"")</f>
        <v/>
      </c>
      <c r="L356" s="13" t="str">
        <f>IF(AND(G356&lt;&gt;1,G355=1),MAX($L$50:L355)+1,"")</f>
        <v/>
      </c>
      <c r="M356" s="13" t="str">
        <f>IF(AND(G356=-1,G355&lt;&gt;-1),MAX($M$50:M355)+1,"")</f>
        <v/>
      </c>
      <c r="N356" s="13" t="str">
        <f>IF(AND(G356&lt;&gt;-1,G355=-1),MAX($N$50:N355)+1,"")</f>
        <v/>
      </c>
      <c r="T356" s="7">
        <f t="shared" si="43"/>
        <v>101.30701689147554</v>
      </c>
      <c r="U356" s="1">
        <f t="shared" si="44"/>
        <v>118.01301956086556</v>
      </c>
    </row>
    <row r="357" spans="1:21" x14ac:dyDescent="0.3">
      <c r="A357" s="2">
        <v>40690</v>
      </c>
      <c r="B357" s="1">
        <v>2255.7399999999998</v>
      </c>
      <c r="C357" s="2">
        <f t="shared" si="36"/>
        <v>40690</v>
      </c>
      <c r="D357" s="1">
        <f t="shared" si="37"/>
        <v>2255.7399999999998</v>
      </c>
      <c r="E357" s="4">
        <f t="shared" si="38"/>
        <v>2247.7596000000008</v>
      </c>
      <c r="F357" s="3">
        <f t="shared" si="39"/>
        <v>1.0035503796758332</v>
      </c>
      <c r="G357" s="18">
        <f t="shared" si="40"/>
        <v>1</v>
      </c>
      <c r="H357" s="3">
        <f t="shared" si="41"/>
        <v>4.2784700796478781E-3</v>
      </c>
      <c r="I357" s="3">
        <f t="shared" si="42"/>
        <v>4.2784700796478781E-3</v>
      </c>
      <c r="K357" s="12" t="str">
        <f>IF(AND(G357=1,G356&lt;&gt;1),MAX($K$50:K356)+1,"")</f>
        <v/>
      </c>
      <c r="L357" s="13" t="str">
        <f>IF(AND(G357&lt;&gt;1,G356=1),MAX($L$50:L356)+1,"")</f>
        <v/>
      </c>
      <c r="M357" s="13" t="str">
        <f>IF(AND(G357=-1,G356&lt;&gt;-1),MAX($M$50:M356)+1,"")</f>
        <v/>
      </c>
      <c r="N357" s="13" t="str">
        <f>IF(AND(G357&lt;&gt;-1,G356=-1),MAX($N$50:N356)+1,"")</f>
        <v/>
      </c>
      <c r="T357" s="7">
        <f t="shared" si="43"/>
        <v>101.7404559321041</v>
      </c>
      <c r="U357" s="1">
        <f t="shared" si="44"/>
        <v>118.51793473406562</v>
      </c>
    </row>
    <row r="358" spans="1:21" x14ac:dyDescent="0.3">
      <c r="A358" s="2">
        <v>40694</v>
      </c>
      <c r="B358" s="1">
        <v>2279.66</v>
      </c>
      <c r="C358" s="2">
        <f t="shared" si="36"/>
        <v>40694</v>
      </c>
      <c r="D358" s="1">
        <f t="shared" si="37"/>
        <v>2279.66</v>
      </c>
      <c r="E358" s="4">
        <f t="shared" si="38"/>
        <v>2250.159000000001</v>
      </c>
      <c r="F358" s="3">
        <f t="shared" si="39"/>
        <v>1.0131106290711007</v>
      </c>
      <c r="G358" s="18">
        <f t="shared" si="40"/>
        <v>1</v>
      </c>
      <c r="H358" s="3">
        <f t="shared" si="41"/>
        <v>1.0604058978428421E-2</v>
      </c>
      <c r="I358" s="3">
        <f t="shared" si="42"/>
        <v>1.0604058978428421E-2</v>
      </c>
      <c r="K358" s="12" t="str">
        <f>IF(AND(G358=1,G357&lt;&gt;1),MAX($K$50:K357)+1,"")</f>
        <v/>
      </c>
      <c r="L358" s="13" t="str">
        <f>IF(AND(G358&lt;&gt;1,G357=1),MAX($L$50:L357)+1,"")</f>
        <v/>
      </c>
      <c r="M358" s="13" t="str">
        <f>IF(AND(G358=-1,G357&lt;&gt;-1),MAX($M$50:M357)+1,"")</f>
        <v/>
      </c>
      <c r="N358" s="13" t="str">
        <f>IF(AND(G358&lt;&gt;-1,G357=-1),MAX($N$50:N357)+1,"")</f>
        <v/>
      </c>
      <c r="T358" s="7">
        <f t="shared" si="43"/>
        <v>102.81931772730033</v>
      </c>
      <c r="U358" s="1">
        <f t="shared" si="44"/>
        <v>119.77470590398718</v>
      </c>
    </row>
    <row r="359" spans="1:21" x14ac:dyDescent="0.3">
      <c r="A359" s="2">
        <v>40695</v>
      </c>
      <c r="B359" s="1">
        <v>2227.96</v>
      </c>
      <c r="C359" s="2">
        <f t="shared" si="36"/>
        <v>40695</v>
      </c>
      <c r="D359" s="1">
        <f t="shared" si="37"/>
        <v>2227.96</v>
      </c>
      <c r="E359" s="4">
        <f t="shared" si="38"/>
        <v>2250.8764000000015</v>
      </c>
      <c r="F359" s="3">
        <f t="shared" si="39"/>
        <v>0.98981889898530129</v>
      </c>
      <c r="G359" s="18">
        <f t="shared" si="40"/>
        <v>1</v>
      </c>
      <c r="H359" s="3">
        <f t="shared" si="41"/>
        <v>-2.2678820525867782E-2</v>
      </c>
      <c r="I359" s="3">
        <f t="shared" si="42"/>
        <v>-2.2678820525867782E-2</v>
      </c>
      <c r="K359" s="12" t="str">
        <f>IF(AND(G359=1,G358&lt;&gt;1),MAX($K$50:K358)+1,"")</f>
        <v/>
      </c>
      <c r="L359" s="13" t="str">
        <f>IF(AND(G359&lt;&gt;1,G358=1),MAX($L$50:L358)+1,"")</f>
        <v/>
      </c>
      <c r="M359" s="13" t="str">
        <f>IF(AND(G359=-1,G358&lt;&gt;-1),MAX($M$50:M358)+1,"")</f>
        <v/>
      </c>
      <c r="N359" s="13" t="str">
        <f>IF(AND(G359&lt;&gt;-1,G358=-1),MAX($N$50:N358)+1,"")</f>
        <v/>
      </c>
      <c r="T359" s="7">
        <f t="shared" si="43"/>
        <v>100.48749687397071</v>
      </c>
      <c r="U359" s="1">
        <f t="shared" si="44"/>
        <v>117.05835684525206</v>
      </c>
    </row>
    <row r="360" spans="1:21" x14ac:dyDescent="0.3">
      <c r="A360" s="2">
        <v>40696</v>
      </c>
      <c r="B360" s="1">
        <v>2225.36</v>
      </c>
      <c r="C360" s="2">
        <f t="shared" si="36"/>
        <v>40696</v>
      </c>
      <c r="D360" s="1">
        <f t="shared" si="37"/>
        <v>2225.36</v>
      </c>
      <c r="E360" s="4">
        <f t="shared" si="38"/>
        <v>2251.6922000000013</v>
      </c>
      <c r="F360" s="3">
        <f t="shared" si="39"/>
        <v>0.98830559523188777</v>
      </c>
      <c r="G360" s="18">
        <f t="shared" si="40"/>
        <v>1</v>
      </c>
      <c r="H360" s="3">
        <f t="shared" si="41"/>
        <v>-1.1669868399791783E-3</v>
      </c>
      <c r="I360" s="3">
        <f t="shared" si="42"/>
        <v>-1.1669868399791783E-3</v>
      </c>
      <c r="K360" s="12" t="str">
        <f>IF(AND(G360=1,G359&lt;&gt;1),MAX($K$50:K359)+1,"")</f>
        <v/>
      </c>
      <c r="L360" s="13" t="str">
        <f>IF(AND(G360&lt;&gt;1,G359=1),MAX($L$50:L359)+1,"")</f>
        <v/>
      </c>
      <c r="M360" s="13" t="str">
        <f>IF(AND(G360=-1,G359&lt;&gt;-1),MAX($M$50:M359)+1,"")</f>
        <v/>
      </c>
      <c r="N360" s="13" t="str">
        <f>IF(AND(G360&lt;&gt;-1,G359=-1),MAX($N$50:N359)+1,"")</f>
        <v/>
      </c>
      <c r="T360" s="7">
        <f t="shared" si="43"/>
        <v>100.37022928753635</v>
      </c>
      <c r="U360" s="1">
        <f t="shared" si="44"/>
        <v>116.92175128330406</v>
      </c>
    </row>
    <row r="361" spans="1:21" x14ac:dyDescent="0.3">
      <c r="A361" s="2">
        <v>40697</v>
      </c>
      <c r="B361" s="1">
        <v>2203.81</v>
      </c>
      <c r="C361" s="2">
        <f t="shared" si="36"/>
        <v>40697</v>
      </c>
      <c r="D361" s="1">
        <f t="shared" si="37"/>
        <v>2203.81</v>
      </c>
      <c r="E361" s="4">
        <f t="shared" si="38"/>
        <v>2251.9492000000009</v>
      </c>
      <c r="F361" s="3">
        <f t="shared" si="39"/>
        <v>0.97862331885639298</v>
      </c>
      <c r="G361" s="18">
        <f t="shared" si="40"/>
        <v>1</v>
      </c>
      <c r="H361" s="3">
        <f t="shared" si="41"/>
        <v>-9.683826437070886E-3</v>
      </c>
      <c r="I361" s="3">
        <f t="shared" si="42"/>
        <v>-9.683826437070886E-3</v>
      </c>
      <c r="K361" s="12" t="str">
        <f>IF(AND(G361=1,G360&lt;&gt;1),MAX($K$50:K360)+1,"")</f>
        <v/>
      </c>
      <c r="L361" s="13" t="str">
        <f>IF(AND(G361&lt;&gt;1,G360=1),MAX($L$50:L360)+1,"")</f>
        <v/>
      </c>
      <c r="M361" s="13" t="str">
        <f>IF(AND(G361=-1,G360&lt;&gt;-1),MAX($M$50:M360)+1,"")</f>
        <v/>
      </c>
      <c r="N361" s="13" t="str">
        <f>IF(AND(G361&lt;&gt;-1,G360=-1),MAX($N$50:N360)+1,"")</f>
        <v/>
      </c>
      <c r="T361" s="7">
        <f t="shared" si="43"/>
        <v>99.398261407666837</v>
      </c>
      <c r="U361" s="1">
        <f t="shared" si="44"/>
        <v>115.78950133715817</v>
      </c>
    </row>
    <row r="362" spans="1:21" x14ac:dyDescent="0.3">
      <c r="A362" s="2">
        <v>40700</v>
      </c>
      <c r="B362" s="1">
        <v>2180.14</v>
      </c>
      <c r="C362" s="2">
        <f t="shared" si="36"/>
        <v>40700</v>
      </c>
      <c r="D362" s="1">
        <f t="shared" si="37"/>
        <v>2180.14</v>
      </c>
      <c r="E362" s="4">
        <f t="shared" si="38"/>
        <v>2251.3236000000011</v>
      </c>
      <c r="F362" s="3">
        <f t="shared" si="39"/>
        <v>0.96838144458664177</v>
      </c>
      <c r="G362" s="18">
        <f t="shared" si="40"/>
        <v>1</v>
      </c>
      <c r="H362" s="3">
        <f t="shared" si="41"/>
        <v>-1.0740490332651231E-2</v>
      </c>
      <c r="I362" s="3">
        <f t="shared" si="42"/>
        <v>-1.0740490332651231E-2</v>
      </c>
      <c r="K362" s="12" t="str">
        <f>IF(AND(G362=1,G361&lt;&gt;1),MAX($K$50:K361)+1,"")</f>
        <v/>
      </c>
      <c r="L362" s="13" t="str">
        <f>IF(AND(G362&lt;&gt;1,G361=1),MAX($L$50:L361)+1,"")</f>
        <v/>
      </c>
      <c r="M362" s="13" t="str">
        <f>IF(AND(G362=-1,G361&lt;&gt;-1),MAX($M$50:M361)+1,"")</f>
        <v/>
      </c>
      <c r="N362" s="13" t="str">
        <f>IF(AND(G362&lt;&gt;-1,G361=-1),MAX($N$50:N361)+1,"")</f>
        <v/>
      </c>
      <c r="T362" s="7">
        <f t="shared" si="43"/>
        <v>98.330675341935446</v>
      </c>
      <c r="U362" s="1">
        <f t="shared" si="44"/>
        <v>114.54586531742393</v>
      </c>
    </row>
    <row r="363" spans="1:21" x14ac:dyDescent="0.3">
      <c r="A363" s="2">
        <v>40701</v>
      </c>
      <c r="B363" s="1">
        <v>2178.15</v>
      </c>
      <c r="C363" s="2">
        <f t="shared" si="36"/>
        <v>40701</v>
      </c>
      <c r="D363" s="1">
        <f t="shared" si="37"/>
        <v>2178.15</v>
      </c>
      <c r="E363" s="4">
        <f t="shared" si="38"/>
        <v>2250.5182000000009</v>
      </c>
      <c r="F363" s="3">
        <f t="shared" si="39"/>
        <v>0.96784376149457452</v>
      </c>
      <c r="G363" s="18">
        <f t="shared" si="40"/>
        <v>1</v>
      </c>
      <c r="H363" s="3">
        <f t="shared" si="41"/>
        <v>-9.1278541745010155E-4</v>
      </c>
      <c r="I363" s="3">
        <f t="shared" si="42"/>
        <v>-9.1278541745010155E-4</v>
      </c>
      <c r="K363" s="12" t="str">
        <f>IF(AND(G363=1,G362&lt;&gt;1),MAX($K$50:K362)+1,"")</f>
        <v/>
      </c>
      <c r="L363" s="13" t="str">
        <f>IF(AND(G363&lt;&gt;1,G362=1),MAX($L$50:L362)+1,"")</f>
        <v/>
      </c>
      <c r="M363" s="13" t="str">
        <f>IF(AND(G363=-1,G362&lt;&gt;-1),MAX($M$50:M362)+1,"")</f>
        <v/>
      </c>
      <c r="N363" s="13" t="str">
        <f>IF(AND(G363&lt;&gt;-1,G362=-1),MAX($N$50:N362)+1,"")</f>
        <v/>
      </c>
      <c r="T363" s="7">
        <f t="shared" si="43"/>
        <v>98.240920535395304</v>
      </c>
      <c r="U363" s="1">
        <f t="shared" si="44"/>
        <v>114.44130952193296</v>
      </c>
    </row>
    <row r="364" spans="1:21" x14ac:dyDescent="0.3">
      <c r="A364" s="2">
        <v>40702</v>
      </c>
      <c r="B364" s="1">
        <v>2169.5</v>
      </c>
      <c r="C364" s="2">
        <f t="shared" si="36"/>
        <v>40702</v>
      </c>
      <c r="D364" s="1">
        <f t="shared" si="37"/>
        <v>2169.5</v>
      </c>
      <c r="E364" s="4">
        <f t="shared" si="38"/>
        <v>2249.6618000000008</v>
      </c>
      <c r="F364" s="3">
        <f t="shared" si="39"/>
        <v>0.96436717732416455</v>
      </c>
      <c r="G364" s="18">
        <f t="shared" si="40"/>
        <v>1</v>
      </c>
      <c r="H364" s="3">
        <f t="shared" si="41"/>
        <v>-3.971260014232314E-3</v>
      </c>
      <c r="I364" s="3">
        <f t="shared" si="42"/>
        <v>-3.971260014232314E-3</v>
      </c>
      <c r="K364" s="12" t="str">
        <f>IF(AND(G364=1,G363&lt;&gt;1),MAX($K$50:K363)+1,"")</f>
        <v/>
      </c>
      <c r="L364" s="13" t="str">
        <f>IF(AND(G364&lt;&gt;1,G363=1),MAX($L$50:L363)+1,"")</f>
        <v/>
      </c>
      <c r="M364" s="13" t="str">
        <f>IF(AND(G364=-1,G363&lt;&gt;-1),MAX($M$50:M363)+1,"")</f>
        <v/>
      </c>
      <c r="N364" s="13" t="str">
        <f>IF(AND(G364&lt;&gt;-1,G363=-1),MAX($N$50:N363)+1,"")</f>
        <v/>
      </c>
      <c r="T364" s="7">
        <f t="shared" si="43"/>
        <v>97.850780295911719</v>
      </c>
      <c r="U364" s="1">
        <f t="shared" si="44"/>
        <v>113.98683332545212</v>
      </c>
    </row>
    <row r="365" spans="1:21" x14ac:dyDescent="0.3">
      <c r="A365" s="2">
        <v>40703</v>
      </c>
      <c r="B365" s="1">
        <v>2185.52</v>
      </c>
      <c r="C365" s="2">
        <f t="shared" si="36"/>
        <v>40703</v>
      </c>
      <c r="D365" s="1">
        <f t="shared" si="37"/>
        <v>2185.52</v>
      </c>
      <c r="E365" s="4">
        <f t="shared" si="38"/>
        <v>2248.804000000001</v>
      </c>
      <c r="F365" s="3">
        <f t="shared" si="39"/>
        <v>0.97185881917677086</v>
      </c>
      <c r="G365" s="18">
        <f t="shared" si="40"/>
        <v>1</v>
      </c>
      <c r="H365" s="3">
        <f t="shared" si="41"/>
        <v>7.3841899055082649E-3</v>
      </c>
      <c r="I365" s="3">
        <f t="shared" si="42"/>
        <v>7.3841899055082649E-3</v>
      </c>
      <c r="K365" s="12" t="str">
        <f>IF(AND(G365=1,G364&lt;&gt;1),MAX($K$50:K364)+1,"")</f>
        <v/>
      </c>
      <c r="L365" s="13" t="str">
        <f>IF(AND(G365&lt;&gt;1,G364=1),MAX($L$50:L364)+1,"")</f>
        <v/>
      </c>
      <c r="M365" s="13" t="str">
        <f>IF(AND(G365=-1,G364&lt;&gt;-1),MAX($M$50:M364)+1,"")</f>
        <v/>
      </c>
      <c r="N365" s="13" t="str">
        <f>IF(AND(G365&lt;&gt;-1,G364=-1),MAX($N$50:N364)+1,"")</f>
        <v/>
      </c>
      <c r="T365" s="7">
        <f t="shared" si="43"/>
        <v>98.573329040018891</v>
      </c>
      <c r="U365" s="1">
        <f t="shared" si="44"/>
        <v>114.82853374945478</v>
      </c>
    </row>
    <row r="366" spans="1:21" x14ac:dyDescent="0.3">
      <c r="A366" s="2">
        <v>40704</v>
      </c>
      <c r="B366" s="1">
        <v>2155</v>
      </c>
      <c r="C366" s="2">
        <f t="shared" si="36"/>
        <v>40704</v>
      </c>
      <c r="D366" s="1">
        <f t="shared" si="37"/>
        <v>2155</v>
      </c>
      <c r="E366" s="4">
        <f t="shared" si="38"/>
        <v>2247.0330000000013</v>
      </c>
      <c r="F366" s="3">
        <f t="shared" si="39"/>
        <v>0.95904243506882136</v>
      </c>
      <c r="G366" s="18">
        <f t="shared" si="40"/>
        <v>1</v>
      </c>
      <c r="H366" s="3">
        <f t="shared" si="41"/>
        <v>-1.3964639994143213E-2</v>
      </c>
      <c r="I366" s="3">
        <f t="shared" si="42"/>
        <v>-1.3964639994143213E-2</v>
      </c>
      <c r="K366" s="12" t="str">
        <f>IF(AND(G366=1,G365&lt;&gt;1),MAX($K$50:K365)+1,"")</f>
        <v/>
      </c>
      <c r="L366" s="13" t="str">
        <f>IF(AND(G366&lt;&gt;1,G365=1),MAX($L$50:L365)+1,"")</f>
        <v/>
      </c>
      <c r="M366" s="13" t="str">
        <f>IF(AND(G366=-1,G365&lt;&gt;-1),MAX($M$50:M365)+1,"")</f>
        <v/>
      </c>
      <c r="N366" s="13" t="str">
        <f>IF(AND(G366&lt;&gt;-1,G365=-1),MAX($N$50:N365)+1,"")</f>
        <v/>
      </c>
      <c r="T366" s="7">
        <f t="shared" si="43"/>
        <v>97.19678798695081</v>
      </c>
      <c r="U366" s="1">
        <f t="shared" si="44"/>
        <v>113.22499461458831</v>
      </c>
    </row>
    <row r="367" spans="1:21" x14ac:dyDescent="0.3">
      <c r="A367" s="2">
        <v>40707</v>
      </c>
      <c r="B367" s="1">
        <v>2157.15</v>
      </c>
      <c r="C367" s="2">
        <f t="shared" si="36"/>
        <v>40707</v>
      </c>
      <c r="D367" s="1">
        <f t="shared" si="37"/>
        <v>2157.15</v>
      </c>
      <c r="E367" s="4">
        <f t="shared" si="38"/>
        <v>2245.387200000001</v>
      </c>
      <c r="F367" s="3">
        <f t="shared" si="39"/>
        <v>0.9607029023769259</v>
      </c>
      <c r="G367" s="18">
        <f t="shared" si="40"/>
        <v>1</v>
      </c>
      <c r="H367" s="3">
        <f t="shared" si="41"/>
        <v>9.9767981438514397E-4</v>
      </c>
      <c r="I367" s="3">
        <f t="shared" si="42"/>
        <v>9.9767981438514397E-4</v>
      </c>
      <c r="K367" s="12" t="str">
        <f>IF(AND(G367=1,G366&lt;&gt;1),MAX($K$50:K366)+1,"")</f>
        <v/>
      </c>
      <c r="L367" s="13" t="str">
        <f>IF(AND(G367&lt;&gt;1,G366=1),MAX($L$50:L366)+1,"")</f>
        <v/>
      </c>
      <c r="M367" s="13" t="str">
        <f>IF(AND(G367=-1,G366&lt;&gt;-1),MAX($M$50:M366)+1,"")</f>
        <v/>
      </c>
      <c r="N367" s="13" t="str">
        <f>IF(AND(G367&lt;&gt;-1,G366=-1),MAX($N$50:N366)+1,"")</f>
        <v/>
      </c>
      <c r="T367" s="7">
        <f t="shared" si="43"/>
        <v>97.293759260348466</v>
      </c>
      <c r="U367" s="1">
        <f t="shared" si="44"/>
        <v>113.33795690619915</v>
      </c>
    </row>
    <row r="368" spans="1:21" x14ac:dyDescent="0.3">
      <c r="A368" s="2">
        <v>40708</v>
      </c>
      <c r="B368" s="1">
        <v>2184.48</v>
      </c>
      <c r="C368" s="2">
        <f t="shared" si="36"/>
        <v>40708</v>
      </c>
      <c r="D368" s="1">
        <f t="shared" si="37"/>
        <v>2184.48</v>
      </c>
      <c r="E368" s="4">
        <f t="shared" si="38"/>
        <v>2244.0652000000009</v>
      </c>
      <c r="F368" s="3">
        <f t="shared" si="39"/>
        <v>0.97344765205574202</v>
      </c>
      <c r="G368" s="18">
        <f t="shared" si="40"/>
        <v>1</v>
      </c>
      <c r="H368" s="3">
        <f t="shared" si="41"/>
        <v>1.26694944718726E-2</v>
      </c>
      <c r="I368" s="3">
        <f t="shared" si="42"/>
        <v>1.26694944718726E-2</v>
      </c>
      <c r="K368" s="12" t="str">
        <f>IF(AND(G368=1,G367&lt;&gt;1),MAX($K$50:K367)+1,"")</f>
        <v/>
      </c>
      <c r="L368" s="13" t="str">
        <f>IF(AND(G368&lt;&gt;1,G367=1),MAX($L$50:L367)+1,"")</f>
        <v/>
      </c>
      <c r="M368" s="13" t="str">
        <f>IF(AND(G368=-1,G367&lt;&gt;-1),MAX($M$50:M367)+1,"")</f>
        <v/>
      </c>
      <c r="N368" s="13" t="str">
        <f>IF(AND(G368&lt;&gt;-1,G367=-1),MAX($N$50:N367)+1,"")</f>
        <v/>
      </c>
      <c r="T368" s="7">
        <f t="shared" si="43"/>
        <v>98.526422005445156</v>
      </c>
      <c r="U368" s="1">
        <f t="shared" si="44"/>
        <v>114.77389152467558</v>
      </c>
    </row>
    <row r="369" spans="1:21" x14ac:dyDescent="0.3">
      <c r="A369" s="2">
        <v>40709</v>
      </c>
      <c r="B369" s="1">
        <v>2146.4499999999998</v>
      </c>
      <c r="C369" s="2">
        <f t="shared" si="36"/>
        <v>40709</v>
      </c>
      <c r="D369" s="1">
        <f t="shared" si="37"/>
        <v>2146.4499999999998</v>
      </c>
      <c r="E369" s="4">
        <f t="shared" si="38"/>
        <v>2241.9614000000006</v>
      </c>
      <c r="F369" s="3">
        <f t="shared" si="39"/>
        <v>0.95739828526931781</v>
      </c>
      <c r="G369" s="18">
        <f t="shared" si="40"/>
        <v>1</v>
      </c>
      <c r="H369" s="3">
        <f t="shared" si="41"/>
        <v>-1.7409177470153137E-2</v>
      </c>
      <c r="I369" s="3">
        <f t="shared" si="42"/>
        <v>-1.7409177470153137E-2</v>
      </c>
      <c r="K369" s="12" t="str">
        <f>IF(AND(G369=1,G368&lt;&gt;1),MAX($K$50:K368)+1,"")</f>
        <v/>
      </c>
      <c r="L369" s="13" t="str">
        <f>IF(AND(G369&lt;&gt;1,G368=1),MAX($L$50:L368)+1,"")</f>
        <v/>
      </c>
      <c r="M369" s="13" t="str">
        <f>IF(AND(G369=-1,G368&lt;&gt;-1),MAX($M$50:M368)+1,"")</f>
        <v/>
      </c>
      <c r="N369" s="13" t="str">
        <f>IF(AND(G369&lt;&gt;-1,G368=-1),MAX($N$50:N368)+1,"")</f>
        <v/>
      </c>
      <c r="T369" s="7">
        <f t="shared" si="43"/>
        <v>96.811158039253158</v>
      </c>
      <c r="U369" s="1">
        <f t="shared" si="44"/>
        <v>112.77577247818239</v>
      </c>
    </row>
    <row r="370" spans="1:21" x14ac:dyDescent="0.3">
      <c r="A370" s="2">
        <v>40710</v>
      </c>
      <c r="B370" s="1">
        <v>2150.58</v>
      </c>
      <c r="C370" s="2">
        <f t="shared" si="36"/>
        <v>40710</v>
      </c>
      <c r="D370" s="1">
        <f t="shared" si="37"/>
        <v>2150.58</v>
      </c>
      <c r="E370" s="4">
        <f t="shared" si="38"/>
        <v>2239.9478000000004</v>
      </c>
      <c r="F370" s="3">
        <f t="shared" si="39"/>
        <v>0.96010273096542675</v>
      </c>
      <c r="G370" s="18">
        <f t="shared" si="40"/>
        <v>1</v>
      </c>
      <c r="H370" s="3">
        <f t="shared" si="41"/>
        <v>1.924107246849438E-3</v>
      </c>
      <c r="I370" s="3">
        <f t="shared" si="42"/>
        <v>1.924107246849438E-3</v>
      </c>
      <c r="K370" s="12" t="str">
        <f>IF(AND(G370=1,G369&lt;&gt;1),MAX($K$50:K369)+1,"")</f>
        <v/>
      </c>
      <c r="L370" s="13" t="str">
        <f>IF(AND(G370&lt;&gt;1,G369=1),MAX($L$50:L369)+1,"")</f>
        <v/>
      </c>
      <c r="M370" s="13" t="str">
        <f>IF(AND(G370=-1,G369&lt;&gt;-1),MAX($M$50:M369)+1,"")</f>
        <v/>
      </c>
      <c r="N370" s="13" t="str">
        <f>IF(AND(G370&lt;&gt;-1,G369=-1),MAX($N$50:N369)+1,"")</f>
        <v/>
      </c>
      <c r="T370" s="7">
        <f t="shared" si="43"/>
        <v>96.997433090012365</v>
      </c>
      <c r="U370" s="1">
        <f t="shared" si="44"/>
        <v>112.9927651592767</v>
      </c>
    </row>
    <row r="371" spans="1:21" x14ac:dyDescent="0.3">
      <c r="A371" s="2">
        <v>40711</v>
      </c>
      <c r="B371" s="1">
        <v>2157.14</v>
      </c>
      <c r="C371" s="2">
        <f t="shared" si="36"/>
        <v>40711</v>
      </c>
      <c r="D371" s="1">
        <f t="shared" si="37"/>
        <v>2157.14</v>
      </c>
      <c r="E371" s="4">
        <f t="shared" si="38"/>
        <v>2237.9484000000007</v>
      </c>
      <c r="F371" s="3">
        <f t="shared" si="39"/>
        <v>0.96389175014044082</v>
      </c>
      <c r="G371" s="18">
        <f t="shared" si="40"/>
        <v>1</v>
      </c>
      <c r="H371" s="3">
        <f t="shared" si="41"/>
        <v>3.050339908303723E-3</v>
      </c>
      <c r="I371" s="3">
        <f t="shared" si="42"/>
        <v>3.050339908303723E-3</v>
      </c>
      <c r="K371" s="12" t="str">
        <f>IF(AND(G371=1,G370&lt;&gt;1),MAX($K$50:K370)+1,"")</f>
        <v/>
      </c>
      <c r="L371" s="13" t="str">
        <f>IF(AND(G371&lt;&gt;1,G370=1),MAX($L$50:L370)+1,"")</f>
        <v/>
      </c>
      <c r="M371" s="13" t="str">
        <f>IF(AND(G371=-1,G370&lt;&gt;-1),MAX($M$50:M370)+1,"")</f>
        <v/>
      </c>
      <c r="N371" s="13" t="str">
        <f>IF(AND(G371&lt;&gt;-1,G370=-1),MAX($N$50:N370)+1,"")</f>
        <v/>
      </c>
      <c r="T371" s="7">
        <f t="shared" si="43"/>
        <v>97.293308231169846</v>
      </c>
      <c r="U371" s="1">
        <f t="shared" si="44"/>
        <v>113.33743150019164</v>
      </c>
    </row>
    <row r="372" spans="1:21" x14ac:dyDescent="0.3">
      <c r="A372" s="2">
        <v>40714</v>
      </c>
      <c r="B372" s="1">
        <v>2168.8000000000002</v>
      </c>
      <c r="C372" s="2">
        <f t="shared" ref="C372:C435" si="45">A372</f>
        <v>40714</v>
      </c>
      <c r="D372" s="1">
        <f t="shared" ref="D372:D435" si="46">B372</f>
        <v>2168.8000000000002</v>
      </c>
      <c r="E372" s="4">
        <f t="shared" ref="E372:E435" si="47">AVERAGE(B323:B372)</f>
        <v>2236.2492000000002</v>
      </c>
      <c r="F372" s="3">
        <f t="shared" ref="F372:F435" si="48">D372/E372</f>
        <v>0.96983824521882445</v>
      </c>
      <c r="G372" s="18">
        <f t="shared" ref="G372:G435" si="49">IF(F372&gt;=$Q$51,1,IF(F372&lt;=$Q$52,-1,0))</f>
        <v>1</v>
      </c>
      <c r="H372" s="3">
        <f t="shared" si="41"/>
        <v>5.4053051725897472E-3</v>
      </c>
      <c r="I372" s="3">
        <f t="shared" si="42"/>
        <v>5.4053051725897472E-3</v>
      </c>
      <c r="K372" s="12" t="str">
        <f>IF(AND(G372=1,G371&lt;&gt;1),MAX($K$50:K371)+1,"")</f>
        <v/>
      </c>
      <c r="L372" s="13" t="str">
        <f>IF(AND(G372&lt;&gt;1,G371=1),MAX($L$50:L371)+1,"")</f>
        <v/>
      </c>
      <c r="M372" s="13" t="str">
        <f>IF(AND(G372=-1,G371&lt;&gt;-1),MAX($M$50:M371)+1,"")</f>
        <v/>
      </c>
      <c r="N372" s="13" t="str">
        <f>IF(AND(G372&lt;&gt;-1,G371=-1),MAX($N$50:N371)+1,"")</f>
        <v/>
      </c>
      <c r="T372" s="7">
        <f t="shared" si="43"/>
        <v>97.819208253410153</v>
      </c>
      <c r="U372" s="1">
        <f t="shared" si="44"/>
        <v>113.95005490492767</v>
      </c>
    </row>
    <row r="373" spans="1:21" x14ac:dyDescent="0.3">
      <c r="A373" s="2">
        <v>40715</v>
      </c>
      <c r="B373" s="1">
        <v>2198.15</v>
      </c>
      <c r="C373" s="2">
        <f t="shared" si="45"/>
        <v>40715</v>
      </c>
      <c r="D373" s="1">
        <f t="shared" si="46"/>
        <v>2198.15</v>
      </c>
      <c r="E373" s="4">
        <f t="shared" si="47"/>
        <v>2235.3174000000004</v>
      </c>
      <c r="F373" s="3">
        <f t="shared" si="48"/>
        <v>0.98337265213432312</v>
      </c>
      <c r="G373" s="18">
        <f t="shared" si="49"/>
        <v>1</v>
      </c>
      <c r="H373" s="3">
        <f t="shared" ref="H373:H436" si="50">D373/D372-1</f>
        <v>1.3532829214311981E-2</v>
      </c>
      <c r="I373" s="3">
        <f t="shared" ref="I373:I436" si="51">G372*H373</f>
        <v>1.3532829214311981E-2</v>
      </c>
      <c r="K373" s="12" t="str">
        <f>IF(AND(G373=1,G372&lt;&gt;1),MAX($K$50:K372)+1,"")</f>
        <v/>
      </c>
      <c r="L373" s="13" t="str">
        <f>IF(AND(G373&lt;&gt;1,G372=1),MAX($L$50:L372)+1,"")</f>
        <v/>
      </c>
      <c r="M373" s="13" t="str">
        <f>IF(AND(G373=-1,G372&lt;&gt;-1),MAX($M$50:M372)+1,"")</f>
        <v/>
      </c>
      <c r="N373" s="13" t="str">
        <f>IF(AND(G373&lt;&gt;-1,G372=-1),MAX($N$50:N372)+1,"")</f>
        <v/>
      </c>
      <c r="T373" s="7">
        <f t="shared" ref="T373:T436" si="52">T372*(1+I373)</f>
        <v>99.142978892582775</v>
      </c>
      <c r="U373" s="1">
        <f t="shared" ref="U373:U436" si="53">U372*D373/D372</f>
        <v>115.49212153691754</v>
      </c>
    </row>
    <row r="374" spans="1:21" x14ac:dyDescent="0.3">
      <c r="A374" s="2">
        <v>40716</v>
      </c>
      <c r="B374" s="1">
        <v>2184.0300000000002</v>
      </c>
      <c r="C374" s="2">
        <f t="shared" si="45"/>
        <v>40716</v>
      </c>
      <c r="D374" s="1">
        <f t="shared" si="46"/>
        <v>2184.0300000000002</v>
      </c>
      <c r="E374" s="4">
        <f t="shared" si="47"/>
        <v>2234.2278000000001</v>
      </c>
      <c r="F374" s="3">
        <f t="shared" si="48"/>
        <v>0.97753237158717665</v>
      </c>
      <c r="G374" s="18">
        <f t="shared" si="49"/>
        <v>1</v>
      </c>
      <c r="H374" s="3">
        <f t="shared" si="50"/>
        <v>-6.4235834679161607E-3</v>
      </c>
      <c r="I374" s="3">
        <f t="shared" si="51"/>
        <v>-6.4235834679161607E-3</v>
      </c>
      <c r="K374" s="12" t="str">
        <f>IF(AND(G374=1,G373&lt;&gt;1),MAX($K$50:K373)+1,"")</f>
        <v/>
      </c>
      <c r="L374" s="13" t="str">
        <f>IF(AND(G374&lt;&gt;1,G373=1),MAX($L$50:L373)+1,"")</f>
        <v/>
      </c>
      <c r="M374" s="13" t="str">
        <f>IF(AND(G374=-1,G373&lt;&gt;-1),MAX($M$50:M373)+1,"")</f>
        <v/>
      </c>
      <c r="N374" s="13" t="str">
        <f>IF(AND(G374&lt;&gt;-1,G373=-1),MAX($N$50:N373)+1,"")</f>
        <v/>
      </c>
      <c r="T374" s="7">
        <f t="shared" si="52"/>
        <v>98.506125692408418</v>
      </c>
      <c r="U374" s="1">
        <f t="shared" si="53"/>
        <v>114.75024825433843</v>
      </c>
    </row>
    <row r="375" spans="1:21" x14ac:dyDescent="0.3">
      <c r="A375" s="2">
        <v>40717</v>
      </c>
      <c r="B375" s="1">
        <v>2177.85</v>
      </c>
      <c r="C375" s="2">
        <f t="shared" si="45"/>
        <v>40717</v>
      </c>
      <c r="D375" s="1">
        <f t="shared" si="46"/>
        <v>2177.85</v>
      </c>
      <c r="E375" s="4">
        <f t="shared" si="47"/>
        <v>2233.3624</v>
      </c>
      <c r="F375" s="3">
        <f t="shared" si="48"/>
        <v>0.97514402499119712</v>
      </c>
      <c r="G375" s="18">
        <f t="shared" si="49"/>
        <v>1</v>
      </c>
      <c r="H375" s="3">
        <f t="shared" si="50"/>
        <v>-2.8296314611064854E-3</v>
      </c>
      <c r="I375" s="3">
        <f t="shared" si="51"/>
        <v>-2.8296314611064854E-3</v>
      </c>
      <c r="K375" s="12" t="str">
        <f>IF(AND(G375=1,G374&lt;&gt;1),MAX($K$50:K374)+1,"")</f>
        <v/>
      </c>
      <c r="L375" s="13" t="str">
        <f>IF(AND(G375&lt;&gt;1,G374=1),MAX($L$50:L374)+1,"")</f>
        <v/>
      </c>
      <c r="M375" s="13" t="str">
        <f>IF(AND(G375=-1,G374&lt;&gt;-1),MAX($M$50:M374)+1,"")</f>
        <v/>
      </c>
      <c r="N375" s="13" t="str">
        <f>IF(AND(G375&lt;&gt;-1,G374=-1),MAX($N$50:N374)+1,"")</f>
        <v/>
      </c>
      <c r="T375" s="7">
        <f t="shared" si="52"/>
        <v>98.227389660037474</v>
      </c>
      <c r="U375" s="1">
        <f t="shared" si="53"/>
        <v>114.42554734170818</v>
      </c>
    </row>
    <row r="376" spans="1:21" x14ac:dyDescent="0.3">
      <c r="A376" s="2">
        <v>40718</v>
      </c>
      <c r="B376" s="1">
        <v>2152.31</v>
      </c>
      <c r="C376" s="2">
        <f t="shared" si="45"/>
        <v>40718</v>
      </c>
      <c r="D376" s="1">
        <f t="shared" si="46"/>
        <v>2152.31</v>
      </c>
      <c r="E376" s="4">
        <f t="shared" si="47"/>
        <v>2231.9731999999999</v>
      </c>
      <c r="F376" s="3">
        <f t="shared" si="48"/>
        <v>0.96430817359276533</v>
      </c>
      <c r="G376" s="18">
        <f t="shared" si="49"/>
        <v>1</v>
      </c>
      <c r="H376" s="3">
        <f t="shared" si="50"/>
        <v>-1.172716210941982E-2</v>
      </c>
      <c r="I376" s="3">
        <f t="shared" si="51"/>
        <v>-1.172716210941982E-2</v>
      </c>
      <c r="K376" s="12" t="str">
        <f>IF(AND(G376=1,G375&lt;&gt;1),MAX($K$50:K375)+1,"")</f>
        <v/>
      </c>
      <c r="L376" s="13" t="str">
        <f>IF(AND(G376&lt;&gt;1,G375=1),MAX($L$50:L375)+1,"")</f>
        <v/>
      </c>
      <c r="M376" s="13" t="str">
        <f>IF(AND(G376=-1,G375&lt;&gt;-1),MAX($M$50:M375)+1,"")</f>
        <v/>
      </c>
      <c r="N376" s="13" t="str">
        <f>IF(AND(G376&lt;&gt;-1,G375=-1),MAX($N$50:N375)+1,"")</f>
        <v/>
      </c>
      <c r="T376" s="7">
        <f t="shared" si="52"/>
        <v>97.075461137909073</v>
      </c>
      <c r="U376" s="1">
        <f t="shared" si="53"/>
        <v>113.08366039857287</v>
      </c>
    </row>
    <row r="377" spans="1:21" x14ac:dyDescent="0.3">
      <c r="A377" s="2">
        <v>40721</v>
      </c>
      <c r="B377" s="1">
        <v>2172.08</v>
      </c>
      <c r="C377" s="2">
        <f t="shared" si="45"/>
        <v>40721</v>
      </c>
      <c r="D377" s="1">
        <f t="shared" si="46"/>
        <v>2172.08</v>
      </c>
      <c r="E377" s="4">
        <f t="shared" si="47"/>
        <v>2230.9749999999999</v>
      </c>
      <c r="F377" s="3">
        <f t="shared" si="48"/>
        <v>0.97360122816257466</v>
      </c>
      <c r="G377" s="18">
        <f t="shared" si="49"/>
        <v>1</v>
      </c>
      <c r="H377" s="3">
        <f t="shared" si="50"/>
        <v>9.1854797868335947E-3</v>
      </c>
      <c r="I377" s="3">
        <f t="shared" si="51"/>
        <v>9.1854797868335947E-3</v>
      </c>
      <c r="K377" s="12" t="str">
        <f>IF(AND(G377=1,G376&lt;&gt;1),MAX($K$50:K376)+1,"")</f>
        <v/>
      </c>
      <c r="L377" s="13" t="str">
        <f>IF(AND(G377&lt;&gt;1,G376=1),MAX($L$50:L376)+1,"")</f>
        <v/>
      </c>
      <c r="M377" s="13" t="str">
        <f>IF(AND(G377=-1,G376&lt;&gt;-1),MAX($M$50:M376)+1,"")</f>
        <v/>
      </c>
      <c r="N377" s="13" t="str">
        <f>IF(AND(G377&lt;&gt;-1,G376=-1),MAX($N$50:N376)+1,"")</f>
        <v/>
      </c>
      <c r="T377" s="7">
        <f t="shared" si="52"/>
        <v>97.967145823988886</v>
      </c>
      <c r="U377" s="1">
        <f t="shared" si="53"/>
        <v>114.12238807538513</v>
      </c>
    </row>
    <row r="378" spans="1:21" x14ac:dyDescent="0.3">
      <c r="A378" s="2">
        <v>40722</v>
      </c>
      <c r="B378" s="1">
        <v>2200.6799999999998</v>
      </c>
      <c r="C378" s="2">
        <f t="shared" si="45"/>
        <v>40722</v>
      </c>
      <c r="D378" s="1">
        <f t="shared" si="46"/>
        <v>2200.6799999999998</v>
      </c>
      <c r="E378" s="4">
        <f t="shared" si="47"/>
        <v>2230.3743999999997</v>
      </c>
      <c r="F378" s="3">
        <f t="shared" si="48"/>
        <v>0.98668636081906258</v>
      </c>
      <c r="G378" s="18">
        <f t="shared" si="49"/>
        <v>1</v>
      </c>
      <c r="H378" s="3">
        <f t="shared" si="50"/>
        <v>1.3167102500828642E-2</v>
      </c>
      <c r="I378" s="3">
        <f t="shared" si="51"/>
        <v>1.3167102500828642E-2</v>
      </c>
      <c r="K378" s="12" t="str">
        <f>IF(AND(G378=1,G377&lt;&gt;1),MAX($K$50:K377)+1,"")</f>
        <v/>
      </c>
      <c r="L378" s="13" t="str">
        <f>IF(AND(G378&lt;&gt;1,G377=1),MAX($L$50:L377)+1,"")</f>
        <v/>
      </c>
      <c r="M378" s="13" t="str">
        <f>IF(AND(G378=-1,G377&lt;&gt;-1),MAX($M$50:M377)+1,"")</f>
        <v/>
      </c>
      <c r="N378" s="13" t="str">
        <f>IF(AND(G378&lt;&gt;-1,G377=-1),MAX($N$50:N377)+1,"")</f>
        <v/>
      </c>
      <c r="T378" s="7">
        <f t="shared" si="52"/>
        <v>99.257089274766969</v>
      </c>
      <c r="U378" s="1">
        <f t="shared" si="53"/>
        <v>115.62504925681307</v>
      </c>
    </row>
    <row r="379" spans="1:21" x14ac:dyDescent="0.3">
      <c r="A379" s="2">
        <v>40723</v>
      </c>
      <c r="B379" s="1">
        <v>2219.1999999999998</v>
      </c>
      <c r="C379" s="2">
        <f t="shared" si="45"/>
        <v>40723</v>
      </c>
      <c r="D379" s="1">
        <f t="shared" si="46"/>
        <v>2219.1999999999998</v>
      </c>
      <c r="E379" s="4">
        <f t="shared" si="47"/>
        <v>2230.6353999999997</v>
      </c>
      <c r="F379" s="3">
        <f t="shared" si="48"/>
        <v>0.99487347865097098</v>
      </c>
      <c r="G379" s="18">
        <f t="shared" si="49"/>
        <v>1</v>
      </c>
      <c r="H379" s="3">
        <f t="shared" si="50"/>
        <v>8.4155806387116172E-3</v>
      </c>
      <c r="I379" s="3">
        <f t="shared" si="51"/>
        <v>8.4155806387116172E-3</v>
      </c>
      <c r="K379" s="12" t="str">
        <f>IF(AND(G379=1,G378&lt;&gt;1),MAX($K$50:K378)+1,"")</f>
        <v/>
      </c>
      <c r="L379" s="13" t="str">
        <f>IF(AND(G379&lt;&gt;1,G378=1),MAX($L$50:L378)+1,"")</f>
        <v/>
      </c>
      <c r="M379" s="13" t="str">
        <f>IF(AND(G379=-1,G378&lt;&gt;-1),MAX($M$50:M378)+1,"")</f>
        <v/>
      </c>
      <c r="N379" s="13" t="str">
        <f>IF(AND(G379&lt;&gt;-1,G378=-1),MAX($N$50:N378)+1,"")</f>
        <v/>
      </c>
      <c r="T379" s="7">
        <f t="shared" si="52"/>
        <v>100.09239531352257</v>
      </c>
      <c r="U379" s="1">
        <f t="shared" si="53"/>
        <v>116.59810118268878</v>
      </c>
    </row>
    <row r="380" spans="1:21" x14ac:dyDescent="0.3">
      <c r="A380" s="2">
        <v>40724</v>
      </c>
      <c r="B380" s="1">
        <v>2241.66</v>
      </c>
      <c r="C380" s="2">
        <f t="shared" si="45"/>
        <v>40724</v>
      </c>
      <c r="D380" s="1">
        <f t="shared" si="46"/>
        <v>2241.66</v>
      </c>
      <c r="E380" s="4">
        <f t="shared" si="47"/>
        <v>2231.0913999999993</v>
      </c>
      <c r="F380" s="3">
        <f t="shared" si="48"/>
        <v>1.0047369641602315</v>
      </c>
      <c r="G380" s="18">
        <f t="shared" si="49"/>
        <v>1</v>
      </c>
      <c r="H380" s="3">
        <f t="shared" si="50"/>
        <v>1.0120764239365476E-2</v>
      </c>
      <c r="I380" s="3">
        <f t="shared" si="51"/>
        <v>1.0120764239365476E-2</v>
      </c>
      <c r="K380" s="12" t="str">
        <f>IF(AND(G380=1,G379&lt;&gt;1),MAX($K$50:K379)+1,"")</f>
        <v/>
      </c>
      <c r="L380" s="13" t="str">
        <f>IF(AND(G380&lt;&gt;1,G379=1),MAX($L$50:L379)+1,"")</f>
        <v/>
      </c>
      <c r="M380" s="13" t="str">
        <f>IF(AND(G380=-1,G379&lt;&gt;-1),MAX($M$50:M379)+1,"")</f>
        <v/>
      </c>
      <c r="N380" s="13" t="str">
        <f>IF(AND(G380&lt;&gt;-1,G379=-1),MAX($N$50:N379)+1,"")</f>
        <v/>
      </c>
      <c r="T380" s="7">
        <f t="shared" si="52"/>
        <v>101.10540684864411</v>
      </c>
      <c r="U380" s="1">
        <f t="shared" si="53"/>
        <v>117.77816307551646</v>
      </c>
    </row>
    <row r="381" spans="1:21" x14ac:dyDescent="0.3">
      <c r="A381" s="2">
        <v>40725</v>
      </c>
      <c r="B381" s="1">
        <v>2274.2600000000002</v>
      </c>
      <c r="C381" s="2">
        <f t="shared" si="45"/>
        <v>40725</v>
      </c>
      <c r="D381" s="1">
        <f t="shared" si="46"/>
        <v>2274.2600000000002</v>
      </c>
      <c r="E381" s="4">
        <f t="shared" si="47"/>
        <v>2231.5985999999989</v>
      </c>
      <c r="F381" s="3">
        <f t="shared" si="48"/>
        <v>1.019116968436887</v>
      </c>
      <c r="G381" s="18">
        <f t="shared" si="49"/>
        <v>1</v>
      </c>
      <c r="H381" s="3">
        <f t="shared" si="50"/>
        <v>1.4542794179313701E-2</v>
      </c>
      <c r="I381" s="3">
        <f t="shared" si="51"/>
        <v>1.4542794179313701E-2</v>
      </c>
      <c r="K381" s="12" t="str">
        <f>IF(AND(G381=1,G380&lt;&gt;1),MAX($K$50:K380)+1,"")</f>
        <v/>
      </c>
      <c r="L381" s="13" t="str">
        <f>IF(AND(G381&lt;&gt;1,G380=1),MAX($L$50:L380)+1,"")</f>
        <v/>
      </c>
      <c r="M381" s="13" t="str">
        <f>IF(AND(G381=-1,G380&lt;&gt;-1),MAX($M$50:M380)+1,"")</f>
        <v/>
      </c>
      <c r="N381" s="13" t="str">
        <f>IF(AND(G381&lt;&gt;-1,G380=-1),MAX($N$50:N380)+1,"")</f>
        <v/>
      </c>
      <c r="T381" s="7">
        <f t="shared" si="52"/>
        <v>102.57576197085972</v>
      </c>
      <c r="U381" s="1">
        <f t="shared" si="53"/>
        <v>119.49098665994134</v>
      </c>
    </row>
    <row r="382" spans="1:21" x14ac:dyDescent="0.3">
      <c r="A382" s="2">
        <v>40729</v>
      </c>
      <c r="B382" s="1">
        <v>2271.29</v>
      </c>
      <c r="C382" s="2">
        <f t="shared" si="45"/>
        <v>40729</v>
      </c>
      <c r="D382" s="1">
        <f t="shared" si="46"/>
        <v>2271.29</v>
      </c>
      <c r="E382" s="4">
        <f t="shared" si="47"/>
        <v>2231.8075999999992</v>
      </c>
      <c r="F382" s="3">
        <f t="shared" si="48"/>
        <v>1.0176907722690796</v>
      </c>
      <c r="G382" s="18">
        <f t="shared" si="49"/>
        <v>1</v>
      </c>
      <c r="H382" s="3">
        <f t="shared" si="50"/>
        <v>-1.3059192880322534E-3</v>
      </c>
      <c r="I382" s="3">
        <f t="shared" si="51"/>
        <v>-1.3059192880322534E-3</v>
      </c>
      <c r="K382" s="12" t="str">
        <f>IF(AND(G382=1,G381&lt;&gt;1),MAX($K$50:K381)+1,"")</f>
        <v/>
      </c>
      <c r="L382" s="13" t="str">
        <f>IF(AND(G382&lt;&gt;1,G381=1),MAX($L$50:L381)+1,"")</f>
        <v/>
      </c>
      <c r="M382" s="13" t="str">
        <f>IF(AND(G382=-1,G381&lt;&gt;-1),MAX($M$50:M381)+1,"")</f>
        <v/>
      </c>
      <c r="N382" s="13" t="str">
        <f>IF(AND(G382&lt;&gt;-1,G381=-1),MAX($N$50:N381)+1,"")</f>
        <v/>
      </c>
      <c r="T382" s="7">
        <f t="shared" si="52"/>
        <v>102.44180630481736</v>
      </c>
      <c r="U382" s="1">
        <f t="shared" si="53"/>
        <v>119.33494107571612</v>
      </c>
    </row>
    <row r="383" spans="1:21" x14ac:dyDescent="0.3">
      <c r="A383" s="2">
        <v>40730</v>
      </c>
      <c r="B383" s="1">
        <v>2274.42</v>
      </c>
      <c r="C383" s="2">
        <f t="shared" si="45"/>
        <v>40730</v>
      </c>
      <c r="D383" s="1">
        <f t="shared" si="46"/>
        <v>2274.42</v>
      </c>
      <c r="E383" s="4">
        <f t="shared" si="47"/>
        <v>2232.1511999999989</v>
      </c>
      <c r="F383" s="3">
        <f t="shared" si="48"/>
        <v>1.0189363516234926</v>
      </c>
      <c r="G383" s="18">
        <f t="shared" si="49"/>
        <v>1</v>
      </c>
      <c r="H383" s="3">
        <f t="shared" si="50"/>
        <v>1.3780714924118698E-3</v>
      </c>
      <c r="I383" s="3">
        <f t="shared" si="51"/>
        <v>1.3780714924118698E-3</v>
      </c>
      <c r="K383" s="12" t="str">
        <f>IF(AND(G383=1,G382&lt;&gt;1),MAX($K$50:K382)+1,"")</f>
        <v/>
      </c>
      <c r="L383" s="13" t="str">
        <f>IF(AND(G383&lt;&gt;1,G382=1),MAX($L$50:L382)+1,"")</f>
        <v/>
      </c>
      <c r="M383" s="13" t="str">
        <f>IF(AND(G383=-1,G382&lt;&gt;-1),MAX($M$50:M382)+1,"")</f>
        <v/>
      </c>
      <c r="N383" s="13" t="str">
        <f>IF(AND(G383&lt;&gt;-1,G382=-1),MAX($N$50:N382)+1,"")</f>
        <v/>
      </c>
      <c r="T383" s="7">
        <f t="shared" si="52"/>
        <v>102.58297843771722</v>
      </c>
      <c r="U383" s="1">
        <f t="shared" si="53"/>
        <v>119.4993931560612</v>
      </c>
    </row>
    <row r="384" spans="1:21" x14ac:dyDescent="0.3">
      <c r="A384" s="2">
        <v>40731</v>
      </c>
      <c r="B384" s="1">
        <v>2298.31</v>
      </c>
      <c r="C384" s="2">
        <f t="shared" si="45"/>
        <v>40731</v>
      </c>
      <c r="D384" s="1">
        <f t="shared" si="46"/>
        <v>2298.31</v>
      </c>
      <c r="E384" s="4">
        <f t="shared" si="47"/>
        <v>2232.567199999999</v>
      </c>
      <c r="F384" s="3">
        <f t="shared" si="48"/>
        <v>1.0294471763268764</v>
      </c>
      <c r="G384" s="18">
        <f t="shared" si="49"/>
        <v>1</v>
      </c>
      <c r="H384" s="3">
        <f t="shared" si="50"/>
        <v>1.0503776787049057E-2</v>
      </c>
      <c r="I384" s="3">
        <f t="shared" si="51"/>
        <v>1.0503776787049057E-2</v>
      </c>
      <c r="K384" s="12" t="str">
        <f>IF(AND(G384=1,G383&lt;&gt;1),MAX($K$50:K383)+1,"")</f>
        <v/>
      </c>
      <c r="L384" s="13" t="str">
        <f>IF(AND(G384&lt;&gt;1,G383=1),MAX($L$50:L383)+1,"")</f>
        <v/>
      </c>
      <c r="M384" s="13" t="str">
        <f>IF(AND(G384=-1,G383&lt;&gt;-1),MAX($M$50:M383)+1,"")</f>
        <v/>
      </c>
      <c r="N384" s="13" t="str">
        <f>IF(AND(G384&lt;&gt;-1,G383=-1),MAX($N$50:N383)+1,"")</f>
        <v/>
      </c>
      <c r="T384" s="7">
        <f t="shared" si="52"/>
        <v>103.66048714537766</v>
      </c>
      <c r="U384" s="1">
        <f t="shared" si="53"/>
        <v>120.75458810796027</v>
      </c>
    </row>
    <row r="385" spans="1:21" x14ac:dyDescent="0.3">
      <c r="A385" s="2">
        <v>40732</v>
      </c>
      <c r="B385" s="1">
        <v>2282.3200000000002</v>
      </c>
      <c r="C385" s="2">
        <f t="shared" si="45"/>
        <v>40732</v>
      </c>
      <c r="D385" s="1">
        <f t="shared" si="46"/>
        <v>2282.3200000000002</v>
      </c>
      <c r="E385" s="4">
        <f t="shared" si="47"/>
        <v>2232.3709999999996</v>
      </c>
      <c r="F385" s="3">
        <f t="shared" si="48"/>
        <v>1.022374865109787</v>
      </c>
      <c r="G385" s="18">
        <f t="shared" si="49"/>
        <v>1</v>
      </c>
      <c r="H385" s="3">
        <f t="shared" si="50"/>
        <v>-6.9572860058041419E-3</v>
      </c>
      <c r="I385" s="3">
        <f t="shared" si="51"/>
        <v>-6.9572860058041419E-3</v>
      </c>
      <c r="K385" s="12" t="str">
        <f>IF(AND(G385=1,G384&lt;&gt;1),MAX($K$50:K384)+1,"")</f>
        <v/>
      </c>
      <c r="L385" s="13" t="str">
        <f>IF(AND(G385&lt;&gt;1,G384=1),MAX($L$50:L384)+1,"")</f>
        <v/>
      </c>
      <c r="M385" s="13" t="str">
        <f>IF(AND(G385=-1,G384&lt;&gt;-1),MAX($M$50:M384)+1,"")</f>
        <v/>
      </c>
      <c r="N385" s="13" t="str">
        <f>IF(AND(G385&lt;&gt;-1,G384=-1),MAX($N$50:N384)+1,"")</f>
        <v/>
      </c>
      <c r="T385" s="7">
        <f t="shared" si="52"/>
        <v>102.93929148880628</v>
      </c>
      <c r="U385" s="1">
        <f t="shared" si="53"/>
        <v>119.91446390198011</v>
      </c>
    </row>
    <row r="386" spans="1:21" x14ac:dyDescent="0.3">
      <c r="A386" s="2">
        <v>40735</v>
      </c>
      <c r="B386" s="1">
        <v>2241.0700000000002</v>
      </c>
      <c r="C386" s="2">
        <f t="shared" si="45"/>
        <v>40735</v>
      </c>
      <c r="D386" s="1">
        <f t="shared" si="46"/>
        <v>2241.0700000000002</v>
      </c>
      <c r="E386" s="4">
        <f t="shared" si="47"/>
        <v>2231.1831999999995</v>
      </c>
      <c r="F386" s="3">
        <f t="shared" si="48"/>
        <v>1.0044311914862036</v>
      </c>
      <c r="G386" s="18">
        <f t="shared" si="49"/>
        <v>1</v>
      </c>
      <c r="H386" s="3">
        <f t="shared" si="50"/>
        <v>-1.8073714465981938E-2</v>
      </c>
      <c r="I386" s="3">
        <f t="shared" si="51"/>
        <v>-1.8073714465981938E-2</v>
      </c>
      <c r="K386" s="12" t="str">
        <f>IF(AND(G386=1,G385&lt;&gt;1),MAX($K$50:K385)+1,"")</f>
        <v/>
      </c>
      <c r="L386" s="13" t="str">
        <f>IF(AND(G386&lt;&gt;1,G385=1),MAX($L$50:L385)+1,"")</f>
        <v/>
      </c>
      <c r="M386" s="13" t="str">
        <f>IF(AND(G386=-1,G385&lt;&gt;-1),MAX($M$50:M385)+1,"")</f>
        <v/>
      </c>
      <c r="N386" s="13" t="str">
        <f>IF(AND(G386&lt;&gt;-1,G385=-1),MAX($N$50:N385)+1,"")</f>
        <v/>
      </c>
      <c r="T386" s="7">
        <f t="shared" si="52"/>
        <v>101.07879612710711</v>
      </c>
      <c r="U386" s="1">
        <f t="shared" si="53"/>
        <v>117.74716412107441</v>
      </c>
    </row>
    <row r="387" spans="1:21" x14ac:dyDescent="0.3">
      <c r="A387" s="2">
        <v>40736</v>
      </c>
      <c r="B387" s="1">
        <v>2231.15</v>
      </c>
      <c r="C387" s="2">
        <f t="shared" si="45"/>
        <v>40736</v>
      </c>
      <c r="D387" s="1">
        <f t="shared" si="46"/>
        <v>2231.15</v>
      </c>
      <c r="E387" s="4">
        <f t="shared" si="47"/>
        <v>2229.6909999999993</v>
      </c>
      <c r="F387" s="3">
        <f t="shared" si="48"/>
        <v>1.0006543507598142</v>
      </c>
      <c r="G387" s="18">
        <f t="shared" si="49"/>
        <v>1</v>
      </c>
      <c r="H387" s="3">
        <f t="shared" si="50"/>
        <v>-4.4264570049128427E-3</v>
      </c>
      <c r="I387" s="3">
        <f t="shared" si="51"/>
        <v>-4.4264570049128427E-3</v>
      </c>
      <c r="K387" s="12" t="str">
        <f>IF(AND(G387=1,G386&lt;&gt;1),MAX($K$50:K386)+1,"")</f>
        <v/>
      </c>
      <c r="L387" s="13" t="str">
        <f>IF(AND(G387&lt;&gt;1,G386=1),MAX($L$50:L386)+1,"")</f>
        <v/>
      </c>
      <c r="M387" s="13" t="str">
        <f>IF(AND(G387=-1,G386&lt;&gt;-1),MAX($M$50:M386)+1,"")</f>
        <v/>
      </c>
      <c r="N387" s="13" t="str">
        <f>IF(AND(G387&lt;&gt;-1,G386=-1),MAX($N$50:N386)+1,"")</f>
        <v/>
      </c>
      <c r="T387" s="7">
        <f t="shared" si="52"/>
        <v>100.63137518194212</v>
      </c>
      <c r="U387" s="1">
        <f t="shared" si="53"/>
        <v>117.22596136164205</v>
      </c>
    </row>
    <row r="388" spans="1:21" x14ac:dyDescent="0.3">
      <c r="A388" s="2">
        <v>40737</v>
      </c>
      <c r="B388" s="1">
        <v>2238.29</v>
      </c>
      <c r="C388" s="2">
        <f t="shared" si="45"/>
        <v>40737</v>
      </c>
      <c r="D388" s="1">
        <f t="shared" si="46"/>
        <v>2238.29</v>
      </c>
      <c r="E388" s="4">
        <f t="shared" si="47"/>
        <v>2228.4223999999995</v>
      </c>
      <c r="F388" s="3">
        <f t="shared" si="48"/>
        <v>1.0044280653434468</v>
      </c>
      <c r="G388" s="18">
        <f t="shared" si="49"/>
        <v>1</v>
      </c>
      <c r="H388" s="3">
        <f t="shared" si="50"/>
        <v>3.2001434237949322E-3</v>
      </c>
      <c r="I388" s="3">
        <f t="shared" si="51"/>
        <v>3.2001434237949322E-3</v>
      </c>
      <c r="K388" s="12" t="str">
        <f>IF(AND(G388=1,G387&lt;&gt;1),MAX($K$50:K387)+1,"")</f>
        <v/>
      </c>
      <c r="L388" s="13" t="str">
        <f>IF(AND(G388&lt;&gt;1,G387=1),MAX($L$50:L387)+1,"")</f>
        <v/>
      </c>
      <c r="M388" s="13" t="str">
        <f>IF(AND(G388=-1,G387&lt;&gt;-1),MAX($M$50:M387)+1,"")</f>
        <v/>
      </c>
      <c r="N388" s="13" t="str">
        <f>IF(AND(G388&lt;&gt;-1,G387=-1),MAX($N$50:N387)+1,"")</f>
        <v/>
      </c>
      <c r="T388" s="7">
        <f t="shared" si="52"/>
        <v>100.95341001545805</v>
      </c>
      <c r="U388" s="1">
        <f t="shared" si="53"/>
        <v>117.60110125099153</v>
      </c>
    </row>
    <row r="389" spans="1:21" x14ac:dyDescent="0.3">
      <c r="A389" s="2">
        <v>40738</v>
      </c>
      <c r="B389" s="1">
        <v>2223.29</v>
      </c>
      <c r="C389" s="2">
        <f t="shared" si="45"/>
        <v>40738</v>
      </c>
      <c r="D389" s="1">
        <f t="shared" si="46"/>
        <v>2223.29</v>
      </c>
      <c r="E389" s="4">
        <f t="shared" si="47"/>
        <v>2227.0091999999995</v>
      </c>
      <c r="F389" s="3">
        <f t="shared" si="48"/>
        <v>0.9983299575053397</v>
      </c>
      <c r="G389" s="18">
        <f t="shared" si="49"/>
        <v>1</v>
      </c>
      <c r="H389" s="3">
        <f t="shared" si="50"/>
        <v>-6.7015444826183934E-3</v>
      </c>
      <c r="I389" s="3">
        <f t="shared" si="51"/>
        <v>-6.7015444826183934E-3</v>
      </c>
      <c r="K389" s="12" t="str">
        <f>IF(AND(G389=1,G388&lt;&gt;1),MAX($K$50:K388)+1,"")</f>
        <v/>
      </c>
      <c r="L389" s="13" t="str">
        <f>IF(AND(G389&lt;&gt;1,G388=1),MAX($L$50:L388)+1,"")</f>
        <v/>
      </c>
      <c r="M389" s="13" t="str">
        <f>IF(AND(G389=-1,G388&lt;&gt;-1),MAX($M$50:M388)+1,"")</f>
        <v/>
      </c>
      <c r="N389" s="13" t="str">
        <f>IF(AND(G389&lt;&gt;-1,G388=-1),MAX($N$50:N388)+1,"")</f>
        <v/>
      </c>
      <c r="T389" s="7">
        <f t="shared" si="52"/>
        <v>100.27686624756744</v>
      </c>
      <c r="U389" s="1">
        <f t="shared" si="53"/>
        <v>116.8129922397531</v>
      </c>
    </row>
    <row r="390" spans="1:21" x14ac:dyDescent="0.3">
      <c r="A390" s="2">
        <v>40739</v>
      </c>
      <c r="B390" s="1">
        <v>2235.65</v>
      </c>
      <c r="C390" s="2">
        <f t="shared" si="45"/>
        <v>40739</v>
      </c>
      <c r="D390" s="1">
        <f t="shared" si="46"/>
        <v>2235.65</v>
      </c>
      <c r="E390" s="4">
        <f t="shared" si="47"/>
        <v>2226.1495999999988</v>
      </c>
      <c r="F390" s="3">
        <f t="shared" si="48"/>
        <v>1.0042676377185078</v>
      </c>
      <c r="G390" s="18">
        <f t="shared" si="49"/>
        <v>1</v>
      </c>
      <c r="H390" s="3">
        <f t="shared" si="50"/>
        <v>5.5593287425392823E-3</v>
      </c>
      <c r="I390" s="3">
        <f t="shared" si="51"/>
        <v>5.5593287425392823E-3</v>
      </c>
      <c r="K390" s="12" t="str">
        <f>IF(AND(G390=1,G389&lt;&gt;1),MAX($K$50:K389)+1,"")</f>
        <v/>
      </c>
      <c r="L390" s="13" t="str">
        <f>IF(AND(G390&lt;&gt;1,G389=1),MAX($L$50:L389)+1,"")</f>
        <v/>
      </c>
      <c r="M390" s="13" t="str">
        <f>IF(AND(G390=-1,G389&lt;&gt;-1),MAX($M$50:M389)+1,"")</f>
        <v/>
      </c>
      <c r="N390" s="13" t="str">
        <f>IF(AND(G390&lt;&gt;-1,G389=-1),MAX($N$50:N389)+1,"")</f>
        <v/>
      </c>
      <c r="T390" s="7">
        <f t="shared" si="52"/>
        <v>100.83433831230931</v>
      </c>
      <c r="U390" s="1">
        <f t="shared" si="53"/>
        <v>117.46239406501358</v>
      </c>
    </row>
    <row r="391" spans="1:21" x14ac:dyDescent="0.3">
      <c r="A391" s="2">
        <v>40742</v>
      </c>
      <c r="B391" s="1">
        <v>2217.5500000000002</v>
      </c>
      <c r="C391" s="2">
        <f t="shared" si="45"/>
        <v>40742</v>
      </c>
      <c r="D391" s="1">
        <f t="shared" si="46"/>
        <v>2217.5500000000002</v>
      </c>
      <c r="E391" s="4">
        <f t="shared" si="47"/>
        <v>2225.3389999999995</v>
      </c>
      <c r="F391" s="3">
        <f t="shared" si="48"/>
        <v>0.99649985912258787</v>
      </c>
      <c r="G391" s="18">
        <f t="shared" si="49"/>
        <v>1</v>
      </c>
      <c r="H391" s="3">
        <f t="shared" si="50"/>
        <v>-8.0960794399838054E-3</v>
      </c>
      <c r="I391" s="3">
        <f t="shared" si="51"/>
        <v>-8.0960794399838054E-3</v>
      </c>
      <c r="K391" s="12" t="str">
        <f>IF(AND(G391=1,G390&lt;&gt;1),MAX($K$50:K390)+1,"")</f>
        <v/>
      </c>
      <c r="L391" s="13" t="str">
        <f>IF(AND(G391&lt;&gt;1,G390=1),MAX($L$50:L390)+1,"")</f>
        <v/>
      </c>
      <c r="M391" s="13" t="str">
        <f>IF(AND(G391=-1,G390&lt;&gt;-1),MAX($M$50:M390)+1,"")</f>
        <v/>
      </c>
      <c r="N391" s="13" t="str">
        <f>IF(AND(G391&lt;&gt;-1,G390=-1),MAX($N$50:N390)+1,"")</f>
        <v/>
      </c>
      <c r="T391" s="7">
        <f t="shared" si="52"/>
        <v>100.01797549905466</v>
      </c>
      <c r="U391" s="1">
        <f t="shared" si="53"/>
        <v>116.51140919145254</v>
      </c>
    </row>
    <row r="392" spans="1:21" x14ac:dyDescent="0.3">
      <c r="A392" s="2">
        <v>40743</v>
      </c>
      <c r="B392" s="1">
        <v>2253.71</v>
      </c>
      <c r="C392" s="2">
        <f t="shared" si="45"/>
        <v>40743</v>
      </c>
      <c r="D392" s="1">
        <f t="shared" si="46"/>
        <v>2253.71</v>
      </c>
      <c r="E392" s="4">
        <f t="shared" si="47"/>
        <v>2225.0737999999997</v>
      </c>
      <c r="F392" s="3">
        <f t="shared" si="48"/>
        <v>1.0128697753755405</v>
      </c>
      <c r="G392" s="18">
        <f t="shared" si="49"/>
        <v>1</v>
      </c>
      <c r="H392" s="3">
        <f t="shared" si="50"/>
        <v>1.6306283962030044E-2</v>
      </c>
      <c r="I392" s="3">
        <f t="shared" si="51"/>
        <v>1.6306283962030044E-2</v>
      </c>
      <c r="K392" s="12" t="str">
        <f>IF(AND(G392=1,G391&lt;&gt;1),MAX($K$50:K391)+1,"")</f>
        <v/>
      </c>
      <c r="L392" s="13" t="str">
        <f>IF(AND(G392&lt;&gt;1,G391=1),MAX($L$50:L391)+1,"")</f>
        <v/>
      </c>
      <c r="M392" s="13" t="str">
        <f>IF(AND(G392=-1,G391&lt;&gt;-1),MAX($M$50:M391)+1,"")</f>
        <v/>
      </c>
      <c r="N392" s="13" t="str">
        <f>IF(AND(G392&lt;&gt;-1,G391=-1),MAX($N$50:N391)+1,"")</f>
        <v/>
      </c>
      <c r="T392" s="7">
        <f t="shared" si="52"/>
        <v>101.6488970088496</v>
      </c>
      <c r="U392" s="1">
        <f t="shared" si="53"/>
        <v>118.41127731454466</v>
      </c>
    </row>
    <row r="393" spans="1:21" x14ac:dyDescent="0.3">
      <c r="A393" s="2">
        <v>40744</v>
      </c>
      <c r="B393" s="1">
        <v>2252.52</v>
      </c>
      <c r="C393" s="2">
        <f t="shared" si="45"/>
        <v>40744</v>
      </c>
      <c r="D393" s="1">
        <f t="shared" si="46"/>
        <v>2252.52</v>
      </c>
      <c r="E393" s="4">
        <f t="shared" si="47"/>
        <v>2224.5781999999999</v>
      </c>
      <c r="F393" s="3">
        <f t="shared" si="48"/>
        <v>1.0125604934904064</v>
      </c>
      <c r="G393" s="18">
        <f t="shared" si="49"/>
        <v>1</v>
      </c>
      <c r="H393" s="3">
        <f t="shared" si="50"/>
        <v>-5.2801824547077381E-4</v>
      </c>
      <c r="I393" s="3">
        <f t="shared" si="51"/>
        <v>-5.2801824547077381E-4</v>
      </c>
      <c r="K393" s="12" t="str">
        <f>IF(AND(G393=1,G392&lt;&gt;1),MAX($K$50:K392)+1,"")</f>
        <v/>
      </c>
      <c r="L393" s="13" t="str">
        <f>IF(AND(G393&lt;&gt;1,G392=1),MAX($L$50:L392)+1,"")</f>
        <v/>
      </c>
      <c r="M393" s="13" t="str">
        <f>IF(AND(G393=-1,G392&lt;&gt;-1),MAX($M$50:M392)+1,"")</f>
        <v/>
      </c>
      <c r="N393" s="13" t="str">
        <f>IF(AND(G393&lt;&gt;-1,G392=-1),MAX($N$50:N392)+1,"")</f>
        <v/>
      </c>
      <c r="T393" s="7">
        <f t="shared" si="52"/>
        <v>101.59522453659694</v>
      </c>
      <c r="U393" s="1">
        <f t="shared" si="53"/>
        <v>118.34875399965307</v>
      </c>
    </row>
    <row r="394" spans="1:21" x14ac:dyDescent="0.3">
      <c r="A394" s="2">
        <v>40745</v>
      </c>
      <c r="B394" s="1">
        <v>2283.23</v>
      </c>
      <c r="C394" s="2">
        <f t="shared" si="45"/>
        <v>40745</v>
      </c>
      <c r="D394" s="1">
        <f t="shared" si="46"/>
        <v>2283.23</v>
      </c>
      <c r="E394" s="4">
        <f t="shared" si="47"/>
        <v>2224.3283999999999</v>
      </c>
      <c r="F394" s="3">
        <f t="shared" si="48"/>
        <v>1.0264806221958953</v>
      </c>
      <c r="G394" s="18">
        <f t="shared" si="49"/>
        <v>1</v>
      </c>
      <c r="H394" s="3">
        <f t="shared" si="50"/>
        <v>1.3633619235345229E-2</v>
      </c>
      <c r="I394" s="3">
        <f t="shared" si="51"/>
        <v>1.3633619235345229E-2</v>
      </c>
      <c r="K394" s="12" t="str">
        <f>IF(AND(G394=1,G393&lt;&gt;1),MAX($K$50:K393)+1,"")</f>
        <v/>
      </c>
      <c r="L394" s="13" t="str">
        <f>IF(AND(G394&lt;&gt;1,G393=1),MAX($L$50:L393)+1,"")</f>
        <v/>
      </c>
      <c r="M394" s="13" t="str">
        <f>IF(AND(G394=-1,G393&lt;&gt;-1),MAX($M$50:M393)+1,"")</f>
        <v/>
      </c>
      <c r="N394" s="13" t="str">
        <f>IF(AND(G394&lt;&gt;-1,G393=-1),MAX($N$50:N393)+1,"")</f>
        <v/>
      </c>
      <c r="T394" s="7">
        <f t="shared" si="52"/>
        <v>102.98033514405832</v>
      </c>
      <c r="U394" s="1">
        <f t="shared" si="53"/>
        <v>119.96227584866187</v>
      </c>
    </row>
    <row r="395" spans="1:21" x14ac:dyDescent="0.3">
      <c r="A395" s="2">
        <v>40746</v>
      </c>
      <c r="B395" s="1">
        <v>2285.34</v>
      </c>
      <c r="C395" s="2">
        <f t="shared" si="45"/>
        <v>40746</v>
      </c>
      <c r="D395" s="1">
        <f t="shared" si="46"/>
        <v>2285.34</v>
      </c>
      <c r="E395" s="4">
        <f t="shared" si="47"/>
        <v>2224.6057999999994</v>
      </c>
      <c r="F395" s="3">
        <f t="shared" si="48"/>
        <v>1.027301106560093</v>
      </c>
      <c r="G395" s="18">
        <f t="shared" si="49"/>
        <v>1</v>
      </c>
      <c r="H395" s="3">
        <f t="shared" si="50"/>
        <v>9.2412941315589414E-4</v>
      </c>
      <c r="I395" s="3">
        <f t="shared" si="51"/>
        <v>9.2412941315589414E-4</v>
      </c>
      <c r="K395" s="12" t="str">
        <f>IF(AND(G395=1,G394&lt;&gt;1),MAX($K$50:K394)+1,"")</f>
        <v/>
      </c>
      <c r="L395" s="13" t="str">
        <f>IF(AND(G395&lt;&gt;1,G394=1),MAX($L$50:L394)+1,"")</f>
        <v/>
      </c>
      <c r="M395" s="13" t="str">
        <f>IF(AND(G395=-1,G394&lt;&gt;-1),MAX($M$50:M394)+1,"")</f>
        <v/>
      </c>
      <c r="N395" s="13" t="str">
        <f>IF(AND(G395&lt;&gt;-1,G394=-1),MAX($N$50:N394)+1,"")</f>
        <v/>
      </c>
      <c r="T395" s="7">
        <f t="shared" si="52"/>
        <v>103.07550230074159</v>
      </c>
      <c r="U395" s="1">
        <f t="shared" si="53"/>
        <v>120.07313651624276</v>
      </c>
    </row>
    <row r="396" spans="1:21" x14ac:dyDescent="0.3">
      <c r="A396" s="2">
        <v>40749</v>
      </c>
      <c r="B396" s="1">
        <v>2272.4699999999998</v>
      </c>
      <c r="C396" s="2">
        <f t="shared" si="45"/>
        <v>40749</v>
      </c>
      <c r="D396" s="1">
        <f t="shared" si="46"/>
        <v>2272.4699999999998</v>
      </c>
      <c r="E396" s="4">
        <f t="shared" si="47"/>
        <v>2224.3983999999996</v>
      </c>
      <c r="F396" s="3">
        <f t="shared" si="48"/>
        <v>1.021611056724371</v>
      </c>
      <c r="G396" s="18">
        <f t="shared" si="49"/>
        <v>1</v>
      </c>
      <c r="H396" s="3">
        <f t="shared" si="50"/>
        <v>-5.6315471658485716E-3</v>
      </c>
      <c r="I396" s="3">
        <f t="shared" si="51"/>
        <v>-5.6315471658485716E-3</v>
      </c>
      <c r="K396" s="12" t="str">
        <f>IF(AND(G396=1,G395&lt;&gt;1),MAX($K$50:K395)+1,"")</f>
        <v/>
      </c>
      <c r="L396" s="13" t="str">
        <f>IF(AND(G396&lt;&gt;1,G395=1),MAX($L$50:L395)+1,"")</f>
        <v/>
      </c>
      <c r="M396" s="13" t="str">
        <f>IF(AND(G396=-1,G395&lt;&gt;-1),MAX($M$50:M395)+1,"")</f>
        <v/>
      </c>
      <c r="N396" s="13" t="str">
        <f>IF(AND(G396&lt;&gt;-1,G395=-1),MAX($N$50:N395)+1,"")</f>
        <v/>
      </c>
      <c r="T396" s="7">
        <f t="shared" si="52"/>
        <v>102.49502774789143</v>
      </c>
      <c r="U396" s="1">
        <f t="shared" si="53"/>
        <v>119.39693898460015</v>
      </c>
    </row>
    <row r="397" spans="1:21" x14ac:dyDescent="0.3">
      <c r="A397" s="2">
        <v>40750</v>
      </c>
      <c r="B397" s="1">
        <v>2263.15</v>
      </c>
      <c r="C397" s="2">
        <f t="shared" si="45"/>
        <v>40750</v>
      </c>
      <c r="D397" s="1">
        <f t="shared" si="46"/>
        <v>2263.15</v>
      </c>
      <c r="E397" s="4">
        <f t="shared" si="47"/>
        <v>2224.3709999999996</v>
      </c>
      <c r="F397" s="3">
        <f t="shared" si="48"/>
        <v>1.0174336924910461</v>
      </c>
      <c r="G397" s="18">
        <f t="shared" si="49"/>
        <v>1</v>
      </c>
      <c r="H397" s="3">
        <f t="shared" si="50"/>
        <v>-4.1012642631144125E-3</v>
      </c>
      <c r="I397" s="3">
        <f t="shared" si="51"/>
        <v>-4.1012642631144125E-3</v>
      </c>
      <c r="K397" s="12" t="str">
        <f>IF(AND(G397=1,G396&lt;&gt;1),MAX($K$50:K396)+1,"")</f>
        <v/>
      </c>
      <c r="L397" s="13" t="str">
        <f>IF(AND(G397&lt;&gt;1,G396=1),MAX($L$50:L396)+1,"")</f>
        <v/>
      </c>
      <c r="M397" s="13" t="str">
        <f>IF(AND(G397=-1,G396&lt;&gt;-1),MAX($M$50:M396)+1,"")</f>
        <v/>
      </c>
      <c r="N397" s="13" t="str">
        <f>IF(AND(G397&lt;&gt;-1,G396=-1),MAX($N$50:N396)+1,"")</f>
        <v/>
      </c>
      <c r="T397" s="7">
        <f t="shared" si="52"/>
        <v>102.07466855344208</v>
      </c>
      <c r="U397" s="1">
        <f t="shared" si="53"/>
        <v>118.90726058561735</v>
      </c>
    </row>
    <row r="398" spans="1:21" x14ac:dyDescent="0.3">
      <c r="A398" s="2">
        <v>40751</v>
      </c>
      <c r="B398" s="1">
        <v>2217.29</v>
      </c>
      <c r="C398" s="2">
        <f t="shared" si="45"/>
        <v>40751</v>
      </c>
      <c r="D398" s="1">
        <f t="shared" si="46"/>
        <v>2217.29</v>
      </c>
      <c r="E398" s="4">
        <f t="shared" si="47"/>
        <v>2223.7045999999991</v>
      </c>
      <c r="F398" s="3">
        <f t="shared" si="48"/>
        <v>0.99711535426063369</v>
      </c>
      <c r="G398" s="18">
        <f t="shared" si="49"/>
        <v>1</v>
      </c>
      <c r="H398" s="3">
        <f t="shared" si="50"/>
        <v>-2.0263791617877835E-2</v>
      </c>
      <c r="I398" s="3">
        <f t="shared" si="51"/>
        <v>-2.0263791617877835E-2</v>
      </c>
      <c r="K398" s="12" t="str">
        <f>IF(AND(G398=1,G397&lt;&gt;1),MAX($K$50:K397)+1,"")</f>
        <v/>
      </c>
      <c r="L398" s="13" t="str">
        <f>IF(AND(G398&lt;&gt;1,G397=1),MAX($L$50:L397)+1,"")</f>
        <v/>
      </c>
      <c r="M398" s="13" t="str">
        <f>IF(AND(G398=-1,G397&lt;&gt;-1),MAX($M$50:M397)+1,"")</f>
        <v/>
      </c>
      <c r="N398" s="13" t="str">
        <f>IF(AND(G398&lt;&gt;-1,G397=-1),MAX($N$50:N397)+1,"")</f>
        <v/>
      </c>
      <c r="T398" s="7">
        <f t="shared" si="52"/>
        <v>100.00624874041118</v>
      </c>
      <c r="U398" s="1">
        <f t="shared" si="53"/>
        <v>116.49774863525769</v>
      </c>
    </row>
    <row r="399" spans="1:21" x14ac:dyDescent="0.3">
      <c r="A399" s="2">
        <v>40752</v>
      </c>
      <c r="B399" s="1">
        <v>2210.33</v>
      </c>
      <c r="C399" s="2">
        <f t="shared" si="45"/>
        <v>40752</v>
      </c>
      <c r="D399" s="1">
        <f t="shared" si="46"/>
        <v>2210.33</v>
      </c>
      <c r="E399" s="4">
        <f t="shared" si="47"/>
        <v>2222.9041999999995</v>
      </c>
      <c r="F399" s="3">
        <f t="shared" si="48"/>
        <v>0.99434334597055529</v>
      </c>
      <c r="G399" s="18">
        <f t="shared" si="49"/>
        <v>1</v>
      </c>
      <c r="H399" s="3">
        <f t="shared" si="50"/>
        <v>-3.1389669371169049E-3</v>
      </c>
      <c r="I399" s="3">
        <f t="shared" si="51"/>
        <v>-3.1389669371169049E-3</v>
      </c>
      <c r="K399" s="12" t="str">
        <f>IF(AND(G399=1,G398&lt;&gt;1),MAX($K$50:K398)+1,"")</f>
        <v/>
      </c>
      <c r="L399" s="13" t="str">
        <f>IF(AND(G399&lt;&gt;1,G398=1),MAX($L$50:L398)+1,"")</f>
        <v/>
      </c>
      <c r="M399" s="13" t="str">
        <f>IF(AND(G399=-1,G398&lt;&gt;-1),MAX($M$50:M398)+1,"")</f>
        <v/>
      </c>
      <c r="N399" s="13" t="str">
        <f>IF(AND(G399&lt;&gt;-1,G398=-1),MAX($N$50:N398)+1,"")</f>
        <v/>
      </c>
      <c r="T399" s="7">
        <f t="shared" si="52"/>
        <v>99.692332432109936</v>
      </c>
      <c r="U399" s="1">
        <f t="shared" si="53"/>
        <v>116.13206605404307</v>
      </c>
    </row>
    <row r="400" spans="1:21" x14ac:dyDescent="0.3">
      <c r="A400" s="2">
        <v>40753</v>
      </c>
      <c r="B400" s="1">
        <v>2196.08</v>
      </c>
      <c r="C400" s="2">
        <f t="shared" si="45"/>
        <v>40753</v>
      </c>
      <c r="D400" s="1">
        <f t="shared" si="46"/>
        <v>2196.08</v>
      </c>
      <c r="E400" s="4">
        <f t="shared" si="47"/>
        <v>2221.4143999999997</v>
      </c>
      <c r="F400" s="3">
        <f t="shared" si="48"/>
        <v>0.98859537419042587</v>
      </c>
      <c r="G400" s="18">
        <f t="shared" si="49"/>
        <v>1</v>
      </c>
      <c r="H400" s="3">
        <f t="shared" si="50"/>
        <v>-6.4470011265286287E-3</v>
      </c>
      <c r="I400" s="3">
        <f t="shared" si="51"/>
        <v>-6.4470011265286287E-3</v>
      </c>
      <c r="K400" s="12" t="str">
        <f>IF(AND(G400=1,G399&lt;&gt;1),MAX($K$50:K399)+1,"")</f>
        <v/>
      </c>
      <c r="L400" s="13" t="str">
        <f>IF(AND(G400&lt;&gt;1,G399=1),MAX($L$50:L399)+1,"")</f>
        <v/>
      </c>
      <c r="M400" s="13" t="str">
        <f>IF(AND(G400=-1,G399&lt;&gt;-1),MAX($M$50:M399)+1,"")</f>
        <v/>
      </c>
      <c r="N400" s="13" t="str">
        <f>IF(AND(G400&lt;&gt;-1,G399=-1),MAX($N$50:N399)+1,"")</f>
        <v/>
      </c>
      <c r="T400" s="7">
        <f t="shared" si="52"/>
        <v>99.049615852613854</v>
      </c>
      <c r="U400" s="1">
        <f t="shared" si="53"/>
        <v>115.38336249336656</v>
      </c>
    </row>
    <row r="401" spans="1:21" x14ac:dyDescent="0.3">
      <c r="A401" s="2">
        <v>40756</v>
      </c>
      <c r="B401" s="1">
        <v>2187</v>
      </c>
      <c r="C401" s="2">
        <f t="shared" si="45"/>
        <v>40756</v>
      </c>
      <c r="D401" s="1">
        <f t="shared" si="46"/>
        <v>2187</v>
      </c>
      <c r="E401" s="4">
        <f t="shared" si="47"/>
        <v>2219.6401999999998</v>
      </c>
      <c r="F401" s="3">
        <f t="shared" si="48"/>
        <v>0.98529482390884804</v>
      </c>
      <c r="G401" s="18">
        <f t="shared" si="49"/>
        <v>1</v>
      </c>
      <c r="H401" s="3">
        <f t="shared" si="50"/>
        <v>-4.1346399038285631E-3</v>
      </c>
      <c r="I401" s="3">
        <f t="shared" si="51"/>
        <v>-4.1346399038285631E-3</v>
      </c>
      <c r="K401" s="12" t="str">
        <f>IF(AND(G401=1,G400&lt;&gt;1),MAX($K$50:K400)+1,"")</f>
        <v/>
      </c>
      <c r="L401" s="13" t="str">
        <f>IF(AND(G401&lt;&gt;1,G400=1),MAX($L$50:L400)+1,"")</f>
        <v/>
      </c>
      <c r="M401" s="13" t="str">
        <f>IF(AND(G401=-1,G400&lt;&gt;-1),MAX($M$50:M400)+1,"")</f>
        <v/>
      </c>
      <c r="N401" s="13" t="str">
        <f>IF(AND(G401&lt;&gt;-1,G400=-1),MAX($N$50:N400)+1,"")</f>
        <v/>
      </c>
      <c r="T401" s="7">
        <f t="shared" si="52"/>
        <v>98.640081358450743</v>
      </c>
      <c r="U401" s="1">
        <f t="shared" si="53"/>
        <v>114.90629383856357</v>
      </c>
    </row>
    <row r="402" spans="1:21" x14ac:dyDescent="0.3">
      <c r="A402" s="2">
        <v>40757</v>
      </c>
      <c r="B402" s="1">
        <v>2131.1</v>
      </c>
      <c r="C402" s="2">
        <f t="shared" si="45"/>
        <v>40757</v>
      </c>
      <c r="D402" s="1">
        <f t="shared" si="46"/>
        <v>2131.1</v>
      </c>
      <c r="E402" s="4">
        <f t="shared" si="47"/>
        <v>2217.098</v>
      </c>
      <c r="F402" s="3">
        <f t="shared" si="48"/>
        <v>0.96121145749984893</v>
      </c>
      <c r="G402" s="18">
        <f t="shared" si="49"/>
        <v>1</v>
      </c>
      <c r="H402" s="3">
        <f t="shared" si="50"/>
        <v>-2.5560128029263884E-2</v>
      </c>
      <c r="I402" s="3">
        <f t="shared" si="51"/>
        <v>-2.5560128029263884E-2</v>
      </c>
      <c r="K402" s="12" t="str">
        <f>IF(AND(G402=1,G401&lt;&gt;1),MAX($K$50:K401)+1,"")</f>
        <v/>
      </c>
      <c r="L402" s="13" t="str">
        <f>IF(AND(G402&lt;&gt;1,G401=1),MAX($L$50:L401)+1,"")</f>
        <v/>
      </c>
      <c r="M402" s="13" t="str">
        <f>IF(AND(G402=-1,G401&lt;&gt;-1),MAX($M$50:M401)+1,"")</f>
        <v/>
      </c>
      <c r="N402" s="13" t="str">
        <f>IF(AND(G402&lt;&gt;-1,G401=-1),MAX($N$50:N401)+1,"")</f>
        <v/>
      </c>
      <c r="T402" s="7">
        <f t="shared" si="52"/>
        <v>96.118828250111733</v>
      </c>
      <c r="U402" s="1">
        <f t="shared" si="53"/>
        <v>111.96927425668167</v>
      </c>
    </row>
    <row r="403" spans="1:21" x14ac:dyDescent="0.3">
      <c r="A403" s="2">
        <v>40758</v>
      </c>
      <c r="B403" s="1">
        <v>2142.56</v>
      </c>
      <c r="C403" s="2">
        <f t="shared" si="45"/>
        <v>40758</v>
      </c>
      <c r="D403" s="1">
        <f t="shared" si="46"/>
        <v>2142.56</v>
      </c>
      <c r="E403" s="4">
        <f t="shared" si="47"/>
        <v>2215.3229999999999</v>
      </c>
      <c r="F403" s="3">
        <f t="shared" si="48"/>
        <v>0.96715467676722544</v>
      </c>
      <c r="G403" s="18">
        <f t="shared" si="49"/>
        <v>1</v>
      </c>
      <c r="H403" s="3">
        <f t="shared" si="50"/>
        <v>5.37750457510211E-3</v>
      </c>
      <c r="I403" s="3">
        <f t="shared" si="51"/>
        <v>5.37750457510211E-3</v>
      </c>
      <c r="K403" s="12" t="str">
        <f>IF(AND(G403=1,G402&lt;&gt;1),MAX($K$50:K402)+1,"")</f>
        <v/>
      </c>
      <c r="L403" s="13" t="str">
        <f>IF(AND(G403&lt;&gt;1,G402=1),MAX($L$50:L402)+1,"")</f>
        <v/>
      </c>
      <c r="M403" s="13" t="str">
        <f>IF(AND(G403=-1,G402&lt;&gt;-1),MAX($M$50:M402)+1,"")</f>
        <v/>
      </c>
      <c r="N403" s="13" t="str">
        <f>IF(AND(G403&lt;&gt;-1,G402=-1),MAX($N$50:N402)+1,"")</f>
        <v/>
      </c>
      <c r="T403" s="7">
        <f t="shared" si="52"/>
        <v>96.635707688780158</v>
      </c>
      <c r="U403" s="1">
        <f t="shared" si="53"/>
        <v>112.57138954126783</v>
      </c>
    </row>
    <row r="404" spans="1:21" x14ac:dyDescent="0.3">
      <c r="A404" s="2">
        <v>40759</v>
      </c>
      <c r="B404" s="1">
        <v>2040.2</v>
      </c>
      <c r="C404" s="2">
        <f t="shared" si="45"/>
        <v>40759</v>
      </c>
      <c r="D404" s="1">
        <f t="shared" si="46"/>
        <v>2040.2</v>
      </c>
      <c r="E404" s="4">
        <f t="shared" si="47"/>
        <v>2211.5371999999998</v>
      </c>
      <c r="F404" s="3">
        <f t="shared" si="48"/>
        <v>0.92252574363207651</v>
      </c>
      <c r="G404" s="18">
        <f t="shared" si="49"/>
        <v>-1</v>
      </c>
      <c r="H404" s="3">
        <f t="shared" si="50"/>
        <v>-4.7774624747965011E-2</v>
      </c>
      <c r="I404" s="3">
        <f t="shared" si="51"/>
        <v>-4.7774624747965011E-2</v>
      </c>
      <c r="K404" s="12" t="str">
        <f>IF(AND(G404=1,G403&lt;&gt;1),MAX($K$50:K403)+1,"")</f>
        <v/>
      </c>
      <c r="L404" s="13">
        <f>IF(AND(G404&lt;&gt;1,G403=1),MAX($L$50:L403)+1,"")</f>
        <v>4</v>
      </c>
      <c r="M404" s="13">
        <f>IF(AND(G404=-1,G403&lt;&gt;-1),MAX($M$50:M403)+1,"")</f>
        <v>4</v>
      </c>
      <c r="N404" s="13" t="str">
        <f>IF(AND(G404&lt;&gt;-1,G403=-1),MAX($N$50:N403)+1,"")</f>
        <v/>
      </c>
      <c r="T404" s="7">
        <f t="shared" si="52"/>
        <v>92.018973016694645</v>
      </c>
      <c r="U404" s="1">
        <f t="shared" si="53"/>
        <v>107.19333364857677</v>
      </c>
    </row>
    <row r="405" spans="1:21" x14ac:dyDescent="0.3">
      <c r="A405" s="2">
        <v>40760</v>
      </c>
      <c r="B405" s="1">
        <v>2039.04</v>
      </c>
      <c r="C405" s="2">
        <f t="shared" si="45"/>
        <v>40760</v>
      </c>
      <c r="D405" s="1">
        <f t="shared" si="46"/>
        <v>2039.04</v>
      </c>
      <c r="E405" s="4">
        <f t="shared" si="47"/>
        <v>2207.5829999999996</v>
      </c>
      <c r="F405" s="3">
        <f t="shared" si="48"/>
        <v>0.92365270071385774</v>
      </c>
      <c r="G405" s="18">
        <f t="shared" si="49"/>
        <v>-1</v>
      </c>
      <c r="H405" s="3">
        <f t="shared" si="50"/>
        <v>-5.6857170865609596E-4</v>
      </c>
      <c r="I405" s="3">
        <f t="shared" si="51"/>
        <v>5.6857170865609596E-4</v>
      </c>
      <c r="K405" s="12" t="str">
        <f>IF(AND(G405=1,G404&lt;&gt;1),MAX($K$50:K404)+1,"")</f>
        <v/>
      </c>
      <c r="L405" s="13" t="str">
        <f>IF(AND(G405&lt;&gt;1,G404=1),MAX($L$50:L404)+1,"")</f>
        <v/>
      </c>
      <c r="M405" s="13" t="str">
        <f>IF(AND(G405=-1,G404&lt;&gt;-1),MAX($M$50:M404)+1,"")</f>
        <v/>
      </c>
      <c r="N405" s="13" t="str">
        <f>IF(AND(G405&lt;&gt;-1,G404=-1),MAX($N$50:N404)+1,"")</f>
        <v/>
      </c>
      <c r="T405" s="7">
        <f t="shared" si="52"/>
        <v>92.071292401411526</v>
      </c>
      <c r="U405" s="1">
        <f t="shared" si="53"/>
        <v>107.13238655170767</v>
      </c>
    </row>
    <row r="406" spans="1:21" x14ac:dyDescent="0.3">
      <c r="A406" s="2">
        <v>40763</v>
      </c>
      <c r="B406" s="1">
        <v>1903.47</v>
      </c>
      <c r="C406" s="2">
        <f t="shared" si="45"/>
        <v>40763</v>
      </c>
      <c r="D406" s="1">
        <f t="shared" si="46"/>
        <v>1903.47</v>
      </c>
      <c r="E406" s="4">
        <f t="shared" si="47"/>
        <v>2200.7297999999992</v>
      </c>
      <c r="F406" s="3">
        <f t="shared" si="48"/>
        <v>0.86492671658283571</v>
      </c>
      <c r="G406" s="18">
        <f t="shared" si="49"/>
        <v>-1</v>
      </c>
      <c r="H406" s="3">
        <f t="shared" si="50"/>
        <v>-6.6487170433145004E-2</v>
      </c>
      <c r="I406" s="3">
        <f t="shared" si="51"/>
        <v>6.6487170433145004E-2</v>
      </c>
      <c r="K406" s="12" t="str">
        <f>IF(AND(G406=1,G405&lt;&gt;1),MAX($K$50:K405)+1,"")</f>
        <v/>
      </c>
      <c r="L406" s="13" t="str">
        <f>IF(AND(G406&lt;&gt;1,G405=1),MAX($L$50:L405)+1,"")</f>
        <v/>
      </c>
      <c r="M406" s="13" t="str">
        <f>IF(AND(G406=-1,G405&lt;&gt;-1),MAX($M$50:M405)+1,"")</f>
        <v/>
      </c>
      <c r="N406" s="13" t="str">
        <f>IF(AND(G406&lt;&gt;-1,G405=-1),MAX($N$50:N405)+1,"")</f>
        <v/>
      </c>
      <c r="T406" s="7">
        <f t="shared" si="52"/>
        <v>98.192852111304092</v>
      </c>
      <c r="U406" s="1">
        <f t="shared" si="53"/>
        <v>100.0094573081347</v>
      </c>
    </row>
    <row r="407" spans="1:21" x14ac:dyDescent="0.3">
      <c r="A407" s="2">
        <v>40764</v>
      </c>
      <c r="B407" s="1">
        <v>1993.76</v>
      </c>
      <c r="C407" s="2">
        <f t="shared" si="45"/>
        <v>40764</v>
      </c>
      <c r="D407" s="1">
        <f t="shared" si="46"/>
        <v>1993.76</v>
      </c>
      <c r="E407" s="4">
        <f t="shared" si="47"/>
        <v>2195.4901999999993</v>
      </c>
      <c r="F407" s="3">
        <f t="shared" si="48"/>
        <v>0.90811610090539263</v>
      </c>
      <c r="G407" s="18">
        <f t="shared" si="49"/>
        <v>-1</v>
      </c>
      <c r="H407" s="3">
        <f t="shared" si="50"/>
        <v>4.7434422396990694E-2</v>
      </c>
      <c r="I407" s="3">
        <f t="shared" si="51"/>
        <v>-4.7434422396990694E-2</v>
      </c>
      <c r="K407" s="12" t="str">
        <f>IF(AND(G407=1,G406&lt;&gt;1),MAX($K$50:K406)+1,"")</f>
        <v/>
      </c>
      <c r="L407" s="13" t="str">
        <f>IF(AND(G407&lt;&gt;1,G406=1),MAX($L$50:L406)+1,"")</f>
        <v/>
      </c>
      <c r="M407" s="13" t="str">
        <f>IF(AND(G407=-1,G406&lt;&gt;-1),MAX($M$50:M406)+1,"")</f>
        <v/>
      </c>
      <c r="N407" s="13" t="str">
        <f>IF(AND(G407&lt;&gt;-1,G406=-1),MAX($N$50:N406)+1,"")</f>
        <v/>
      </c>
      <c r="T407" s="7">
        <f t="shared" si="52"/>
        <v>93.535130887891256</v>
      </c>
      <c r="U407" s="1">
        <f t="shared" si="53"/>
        <v>104.75334814978258</v>
      </c>
    </row>
    <row r="408" spans="1:21" x14ac:dyDescent="0.3">
      <c r="A408" s="2">
        <v>40765</v>
      </c>
      <c r="B408" s="1">
        <v>1906.53</v>
      </c>
      <c r="C408" s="2">
        <f t="shared" si="45"/>
        <v>40765</v>
      </c>
      <c r="D408" s="1">
        <f t="shared" si="46"/>
        <v>1906.53</v>
      </c>
      <c r="E408" s="4">
        <f t="shared" si="47"/>
        <v>2188.0275999999994</v>
      </c>
      <c r="F408" s="3">
        <f t="shared" si="48"/>
        <v>0.87134641263208945</v>
      </c>
      <c r="G408" s="18">
        <f t="shared" si="49"/>
        <v>-1</v>
      </c>
      <c r="H408" s="3">
        <f t="shared" si="50"/>
        <v>-4.3751504694647281E-2</v>
      </c>
      <c r="I408" s="3">
        <f t="shared" si="51"/>
        <v>4.3751504694647281E-2</v>
      </c>
      <c r="K408" s="12" t="str">
        <f>IF(AND(G408=1,G407&lt;&gt;1),MAX($K$50:K407)+1,"")</f>
        <v/>
      </c>
      <c r="L408" s="13" t="str">
        <f>IF(AND(G408&lt;&gt;1,G407=1),MAX($L$50:L407)+1,"")</f>
        <v/>
      </c>
      <c r="M408" s="13" t="str">
        <f>IF(AND(G408=-1,G407&lt;&gt;-1),MAX($M$50:M407)+1,"")</f>
        <v/>
      </c>
      <c r="N408" s="13" t="str">
        <f>IF(AND(G408&lt;&gt;-1,G407=-1),MAX($N$50:N407)+1,"")</f>
        <v/>
      </c>
      <c r="T408" s="7">
        <f t="shared" si="52"/>
        <v>97.627433606047276</v>
      </c>
      <c r="U408" s="1">
        <f t="shared" si="53"/>
        <v>100.17023154642735</v>
      </c>
    </row>
    <row r="409" spans="1:21" x14ac:dyDescent="0.3">
      <c r="A409" s="2">
        <v>40766</v>
      </c>
      <c r="B409" s="1">
        <v>1995.14</v>
      </c>
      <c r="C409" s="2">
        <f t="shared" si="45"/>
        <v>40766</v>
      </c>
      <c r="D409" s="1">
        <f t="shared" si="46"/>
        <v>1995.14</v>
      </c>
      <c r="E409" s="4">
        <f t="shared" si="47"/>
        <v>2183.3711999999996</v>
      </c>
      <c r="F409" s="3">
        <f t="shared" si="48"/>
        <v>0.913788731847338</v>
      </c>
      <c r="G409" s="18">
        <f t="shared" si="49"/>
        <v>-1</v>
      </c>
      <c r="H409" s="3">
        <f t="shared" si="50"/>
        <v>4.6477107624847358E-2</v>
      </c>
      <c r="I409" s="3">
        <f t="shared" si="51"/>
        <v>-4.6477107624847358E-2</v>
      </c>
      <c r="K409" s="12" t="str">
        <f>IF(AND(G409=1,G408&lt;&gt;1),MAX($K$50:K408)+1,"")</f>
        <v/>
      </c>
      <c r="L409" s="13" t="str">
        <f>IF(AND(G409&lt;&gt;1,G408=1),MAX($L$50:L408)+1,"")</f>
        <v/>
      </c>
      <c r="M409" s="13" t="str">
        <f>IF(AND(G409=-1,G408&lt;&gt;-1),MAX($M$50:M408)+1,"")</f>
        <v/>
      </c>
      <c r="N409" s="13" t="str">
        <f>IF(AND(G409&lt;&gt;-1,G408=-1),MAX($N$50:N408)+1,"")</f>
        <v/>
      </c>
      <c r="T409" s="7">
        <f t="shared" si="52"/>
        <v>93.089992867201374</v>
      </c>
      <c r="U409" s="1">
        <f t="shared" si="53"/>
        <v>104.82585417881653</v>
      </c>
    </row>
    <row r="410" spans="1:21" x14ac:dyDescent="0.3">
      <c r="A410" s="2">
        <v>40767</v>
      </c>
      <c r="B410" s="1">
        <v>2005.67</v>
      </c>
      <c r="C410" s="2">
        <f t="shared" si="45"/>
        <v>40767</v>
      </c>
      <c r="D410" s="1">
        <f t="shared" si="46"/>
        <v>2005.67</v>
      </c>
      <c r="E410" s="4">
        <f t="shared" si="47"/>
        <v>2178.9773999999998</v>
      </c>
      <c r="F410" s="3">
        <f t="shared" si="48"/>
        <v>0.92046388365478238</v>
      </c>
      <c r="G410" s="18">
        <f t="shared" si="49"/>
        <v>-1</v>
      </c>
      <c r="H410" s="3">
        <f t="shared" si="50"/>
        <v>5.2778251150296107E-3</v>
      </c>
      <c r="I410" s="3">
        <f t="shared" si="51"/>
        <v>-5.2778251150296107E-3</v>
      </c>
      <c r="K410" s="12" t="str">
        <f>IF(AND(G410=1,G409&lt;&gt;1),MAX($K$50:K409)+1,"")</f>
        <v/>
      </c>
      <c r="L410" s="13" t="str">
        <f>IF(AND(G410&lt;&gt;1,G409=1),MAX($L$50:L409)+1,"")</f>
        <v/>
      </c>
      <c r="M410" s="13" t="str">
        <f>IF(AND(G410=-1,G409&lt;&gt;-1),MAX($M$50:M409)+1,"")</f>
        <v/>
      </c>
      <c r="N410" s="13" t="str">
        <f>IF(AND(G410&lt;&gt;-1,G409=-1),MAX($N$50:N409)+1,"")</f>
        <v/>
      </c>
      <c r="T410" s="7">
        <f t="shared" si="52"/>
        <v>92.598680164888933</v>
      </c>
      <c r="U410" s="1">
        <f t="shared" si="53"/>
        <v>105.3791067047059</v>
      </c>
    </row>
    <row r="411" spans="1:21" x14ac:dyDescent="0.3">
      <c r="A411" s="2">
        <v>40770</v>
      </c>
      <c r="B411" s="1">
        <v>2049.5100000000002</v>
      </c>
      <c r="C411" s="2">
        <f t="shared" si="45"/>
        <v>40770</v>
      </c>
      <c r="D411" s="1">
        <f t="shared" si="46"/>
        <v>2049.5100000000002</v>
      </c>
      <c r="E411" s="4">
        <f t="shared" si="47"/>
        <v>2175.8913999999995</v>
      </c>
      <c r="F411" s="3">
        <f t="shared" si="48"/>
        <v>0.94191741370915882</v>
      </c>
      <c r="G411" s="18">
        <f t="shared" si="49"/>
        <v>-1</v>
      </c>
      <c r="H411" s="3">
        <f t="shared" si="50"/>
        <v>2.1858032477925171E-2</v>
      </c>
      <c r="I411" s="3">
        <f t="shared" si="51"/>
        <v>-2.1858032477925171E-2</v>
      </c>
      <c r="K411" s="12" t="str">
        <f>IF(AND(G411=1,G410&lt;&gt;1),MAX($K$50:K410)+1,"")</f>
        <v/>
      </c>
      <c r="L411" s="13" t="str">
        <f>IF(AND(G411&lt;&gt;1,G410=1),MAX($L$50:L410)+1,"")</f>
        <v/>
      </c>
      <c r="M411" s="13" t="str">
        <f>IF(AND(G411=-1,G410&lt;&gt;-1),MAX($M$50:M410)+1,"")</f>
        <v/>
      </c>
      <c r="N411" s="13" t="str">
        <f>IF(AND(G411&lt;&gt;-1,G410=-1),MAX($N$50:N410)+1,"")</f>
        <v/>
      </c>
      <c r="T411" s="7">
        <f t="shared" si="52"/>
        <v>90.574655206431785</v>
      </c>
      <c r="U411" s="1">
        <f t="shared" si="53"/>
        <v>107.6824866415521</v>
      </c>
    </row>
    <row r="412" spans="1:21" x14ac:dyDescent="0.3">
      <c r="A412" s="2">
        <v>40771</v>
      </c>
      <c r="B412" s="1">
        <v>2029.92</v>
      </c>
      <c r="C412" s="2">
        <f t="shared" si="45"/>
        <v>40771</v>
      </c>
      <c r="D412" s="1">
        <f t="shared" si="46"/>
        <v>2029.92</v>
      </c>
      <c r="E412" s="4">
        <f t="shared" si="47"/>
        <v>2172.8869999999997</v>
      </c>
      <c r="F412" s="3">
        <f t="shared" si="48"/>
        <v>0.93420412566323063</v>
      </c>
      <c r="G412" s="18">
        <f t="shared" si="49"/>
        <v>-1</v>
      </c>
      <c r="H412" s="3">
        <f t="shared" si="50"/>
        <v>-9.5583822474640812E-3</v>
      </c>
      <c r="I412" s="3">
        <f t="shared" si="51"/>
        <v>9.5583822474640812E-3</v>
      </c>
      <c r="K412" s="12" t="str">
        <f>IF(AND(G412=1,G411&lt;&gt;1),MAX($K$50:K411)+1,"")</f>
        <v/>
      </c>
      <c r="L412" s="13" t="str">
        <f>IF(AND(G412&lt;&gt;1,G411=1),MAX($L$50:L411)+1,"")</f>
        <v/>
      </c>
      <c r="M412" s="13" t="str">
        <f>IF(AND(G412=-1,G411&lt;&gt;-1),MAX($M$50:M411)+1,"")</f>
        <v/>
      </c>
      <c r="N412" s="13" t="str">
        <f>IF(AND(G412&lt;&gt;-1,G411=-1),MAX($N$50:N411)+1,"")</f>
        <v/>
      </c>
      <c r="T412" s="7">
        <f t="shared" si="52"/>
        <v>91.440402382827116</v>
      </c>
      <c r="U412" s="1">
        <f t="shared" si="53"/>
        <v>106.6532162728747</v>
      </c>
    </row>
    <row r="413" spans="1:21" x14ac:dyDescent="0.3">
      <c r="A413" s="2">
        <v>40772</v>
      </c>
      <c r="B413" s="1">
        <v>2032.41</v>
      </c>
      <c r="C413" s="2">
        <f t="shared" si="45"/>
        <v>40772</v>
      </c>
      <c r="D413" s="1">
        <f t="shared" si="46"/>
        <v>2032.41</v>
      </c>
      <c r="E413" s="4">
        <f t="shared" si="47"/>
        <v>2169.9721999999992</v>
      </c>
      <c r="F413" s="3">
        <f t="shared" si="48"/>
        <v>0.9366064689676673</v>
      </c>
      <c r="G413" s="18">
        <f t="shared" si="49"/>
        <v>-1</v>
      </c>
      <c r="H413" s="3">
        <f t="shared" si="50"/>
        <v>1.2266493260817413E-3</v>
      </c>
      <c r="I413" s="3">
        <f t="shared" si="51"/>
        <v>-1.2266493260817413E-3</v>
      </c>
      <c r="K413" s="12" t="str">
        <f>IF(AND(G413=1,G412&lt;&gt;1),MAX($K$50:K412)+1,"")</f>
        <v/>
      </c>
      <c r="L413" s="13" t="str">
        <f>IF(AND(G413&lt;&gt;1,G412=1),MAX($L$50:L412)+1,"")</f>
        <v/>
      </c>
      <c r="M413" s="13" t="str">
        <f>IF(AND(G413=-1,G412&lt;&gt;-1),MAX($M$50:M412)+1,"")</f>
        <v/>
      </c>
      <c r="N413" s="13" t="str">
        <f>IF(AND(G413&lt;&gt;-1,G412=-1),MAX($N$50:N412)+1,"")</f>
        <v/>
      </c>
      <c r="T413" s="7">
        <f t="shared" si="52"/>
        <v>91.328237074867573</v>
      </c>
      <c r="U413" s="1">
        <f t="shared" si="53"/>
        <v>106.78404236874027</v>
      </c>
    </row>
    <row r="414" spans="1:21" x14ac:dyDescent="0.3">
      <c r="A414" s="2">
        <v>40773</v>
      </c>
      <c r="B414" s="1">
        <v>1941.92</v>
      </c>
      <c r="C414" s="2">
        <f t="shared" si="45"/>
        <v>40773</v>
      </c>
      <c r="D414" s="1">
        <f t="shared" si="46"/>
        <v>1941.92</v>
      </c>
      <c r="E414" s="4">
        <f t="shared" si="47"/>
        <v>2165.4205999999995</v>
      </c>
      <c r="F414" s="3">
        <f t="shared" si="48"/>
        <v>0.89678651805566112</v>
      </c>
      <c r="G414" s="18">
        <f t="shared" si="49"/>
        <v>-1</v>
      </c>
      <c r="H414" s="3">
        <f t="shared" si="50"/>
        <v>-4.452349673540279E-2</v>
      </c>
      <c r="I414" s="3">
        <f t="shared" si="51"/>
        <v>4.452349673540279E-2</v>
      </c>
      <c r="K414" s="12" t="str">
        <f>IF(AND(G414=1,G413&lt;&gt;1),MAX($K$50:K413)+1,"")</f>
        <v/>
      </c>
      <c r="L414" s="13" t="str">
        <f>IF(AND(G414&lt;&gt;1,G413=1),MAX($L$50:L413)+1,"")</f>
        <v/>
      </c>
      <c r="M414" s="13" t="str">
        <f>IF(AND(G414=-1,G413&lt;&gt;-1),MAX($M$50:M413)+1,"")</f>
        <v/>
      </c>
      <c r="N414" s="13" t="str">
        <f>IF(AND(G414&lt;&gt;-1,G413=-1),MAX($N$50:N413)+1,"")</f>
        <v/>
      </c>
      <c r="T414" s="7">
        <f t="shared" si="52"/>
        <v>95.394489540120546</v>
      </c>
      <c r="U414" s="1">
        <f t="shared" si="53"/>
        <v>102.02964340694255</v>
      </c>
    </row>
    <row r="415" spans="1:21" x14ac:dyDescent="0.3">
      <c r="A415" s="2">
        <v>40774</v>
      </c>
      <c r="B415" s="1">
        <v>1912.77</v>
      </c>
      <c r="C415" s="2">
        <f t="shared" si="45"/>
        <v>40774</v>
      </c>
      <c r="D415" s="1">
        <f t="shared" si="46"/>
        <v>1912.77</v>
      </c>
      <c r="E415" s="4">
        <f t="shared" si="47"/>
        <v>2159.9655999999995</v>
      </c>
      <c r="F415" s="3">
        <f t="shared" si="48"/>
        <v>0.8855557699622626</v>
      </c>
      <c r="G415" s="18">
        <f t="shared" si="49"/>
        <v>-1</v>
      </c>
      <c r="H415" s="3">
        <f t="shared" si="50"/>
        <v>-1.5010917030567783E-2</v>
      </c>
      <c r="I415" s="3">
        <f t="shared" si="51"/>
        <v>1.5010917030567783E-2</v>
      </c>
      <c r="K415" s="12" t="str">
        <f>IF(AND(G415=1,G414&lt;&gt;1),MAX($K$50:K414)+1,"")</f>
        <v/>
      </c>
      <c r="L415" s="13" t="str">
        <f>IF(AND(G415&lt;&gt;1,G414=1),MAX($L$50:L414)+1,"")</f>
        <v/>
      </c>
      <c r="M415" s="13" t="str">
        <f>IF(AND(G415=-1,G414&lt;&gt;-1),MAX($M$50:M414)+1,"")</f>
        <v/>
      </c>
      <c r="N415" s="13" t="str">
        <f>IF(AND(G415&lt;&gt;-1,G414=-1),MAX($N$50:N414)+1,"")</f>
        <v/>
      </c>
      <c r="T415" s="7">
        <f t="shared" si="52"/>
        <v>96.826448307780652</v>
      </c>
      <c r="U415" s="1">
        <f t="shared" si="53"/>
        <v>100.49808489510252</v>
      </c>
    </row>
    <row r="416" spans="1:21" x14ac:dyDescent="0.3">
      <c r="A416" s="2">
        <v>40777</v>
      </c>
      <c r="B416" s="1">
        <v>1913.27</v>
      </c>
      <c r="C416" s="2">
        <f t="shared" si="45"/>
        <v>40777</v>
      </c>
      <c r="D416" s="1">
        <f t="shared" si="46"/>
        <v>1913.27</v>
      </c>
      <c r="E416" s="4">
        <f t="shared" si="47"/>
        <v>2155.1309999999999</v>
      </c>
      <c r="F416" s="3">
        <f t="shared" si="48"/>
        <v>0.88777433947170736</v>
      </c>
      <c r="G416" s="18">
        <f t="shared" si="49"/>
        <v>-1</v>
      </c>
      <c r="H416" s="3">
        <f t="shared" si="50"/>
        <v>2.6140100482541229E-4</v>
      </c>
      <c r="I416" s="3">
        <f t="shared" si="51"/>
        <v>-2.6140100482541229E-4</v>
      </c>
      <c r="K416" s="12" t="str">
        <f>IF(AND(G416=1,G415&lt;&gt;1),MAX($K$50:K415)+1,"")</f>
        <v/>
      </c>
      <c r="L416" s="13" t="str">
        <f>IF(AND(G416&lt;&gt;1,G415=1),MAX($L$50:L415)+1,"")</f>
        <v/>
      </c>
      <c r="M416" s="13" t="str">
        <f>IF(AND(G416=-1,G415&lt;&gt;-1),MAX($M$50:M415)+1,"")</f>
        <v/>
      </c>
      <c r="N416" s="13" t="str">
        <f>IF(AND(G416&lt;&gt;-1,G415=-1),MAX($N$50:N415)+1,"")</f>
        <v/>
      </c>
      <c r="T416" s="7">
        <f t="shared" si="52"/>
        <v>96.801137776899324</v>
      </c>
      <c r="U416" s="1">
        <f t="shared" si="53"/>
        <v>100.52435519547714</v>
      </c>
    </row>
    <row r="417" spans="1:21" x14ac:dyDescent="0.3">
      <c r="A417" s="2">
        <v>40778</v>
      </c>
      <c r="B417" s="1">
        <v>1978.89</v>
      </c>
      <c r="C417" s="2">
        <f t="shared" si="45"/>
        <v>40778</v>
      </c>
      <c r="D417" s="1">
        <f t="shared" si="46"/>
        <v>1978.89</v>
      </c>
      <c r="E417" s="4">
        <f t="shared" si="47"/>
        <v>2151.5657999999999</v>
      </c>
      <c r="F417" s="3">
        <f t="shared" si="48"/>
        <v>0.91974412309398124</v>
      </c>
      <c r="G417" s="18">
        <f t="shared" si="49"/>
        <v>-1</v>
      </c>
      <c r="H417" s="3">
        <f t="shared" si="50"/>
        <v>3.4297302523951245E-2</v>
      </c>
      <c r="I417" s="3">
        <f t="shared" si="51"/>
        <v>-3.4297302523951245E-2</v>
      </c>
      <c r="K417" s="12" t="str">
        <f>IF(AND(G417=1,G416&lt;&gt;1),MAX($K$50:K416)+1,"")</f>
        <v/>
      </c>
      <c r="L417" s="13" t="str">
        <f>IF(AND(G417&lt;&gt;1,G416=1),MAX($L$50:L416)+1,"")</f>
        <v/>
      </c>
      <c r="M417" s="13" t="str">
        <f>IF(AND(G417=-1,G416&lt;&gt;-1),MAX($M$50:M416)+1,"")</f>
        <v/>
      </c>
      <c r="N417" s="13" t="str">
        <f>IF(AND(G417&lt;&gt;-1,G416=-1),MAX($N$50:N416)+1,"")</f>
        <v/>
      </c>
      <c r="T417" s="7">
        <f t="shared" si="52"/>
        <v>93.481119869902329</v>
      </c>
      <c r="U417" s="1">
        <f t="shared" si="53"/>
        <v>103.97206941664155</v>
      </c>
    </row>
    <row r="418" spans="1:21" x14ac:dyDescent="0.3">
      <c r="A418" s="2">
        <v>40779</v>
      </c>
      <c r="B418" s="1">
        <v>2005.13</v>
      </c>
      <c r="C418" s="2">
        <f t="shared" si="45"/>
        <v>40779</v>
      </c>
      <c r="D418" s="1">
        <f t="shared" si="46"/>
        <v>2005.13</v>
      </c>
      <c r="E418" s="4">
        <f t="shared" si="47"/>
        <v>2147.9787999999999</v>
      </c>
      <c r="F418" s="3">
        <f t="shared" si="48"/>
        <v>0.9334961778952382</v>
      </c>
      <c r="G418" s="18">
        <f t="shared" si="49"/>
        <v>-1</v>
      </c>
      <c r="H418" s="3">
        <f t="shared" si="50"/>
        <v>1.3259958865828869E-2</v>
      </c>
      <c r="I418" s="3">
        <f t="shared" si="51"/>
        <v>-1.3259958865828869E-2</v>
      </c>
      <c r="K418" s="12" t="str">
        <f>IF(AND(G418=1,G417&lt;&gt;1),MAX($K$50:K417)+1,"")</f>
        <v/>
      </c>
      <c r="L418" s="13" t="str">
        <f>IF(AND(G418&lt;&gt;1,G417=1),MAX($L$50:L417)+1,"")</f>
        <v/>
      </c>
      <c r="M418" s="13" t="str">
        <f>IF(AND(G418=-1,G417&lt;&gt;-1),MAX($M$50:M417)+1,"")</f>
        <v/>
      </c>
      <c r="N418" s="13" t="str">
        <f>IF(AND(G418&lt;&gt;-1,G417=-1),MAX($N$50:N417)+1,"")</f>
        <v/>
      </c>
      <c r="T418" s="7">
        <f t="shared" si="52"/>
        <v>92.241564065695812</v>
      </c>
      <c r="U418" s="1">
        <f t="shared" si="53"/>
        <v>105.35073478030131</v>
      </c>
    </row>
    <row r="419" spans="1:21" x14ac:dyDescent="0.3">
      <c r="A419" s="2">
        <v>40780</v>
      </c>
      <c r="B419" s="1">
        <v>1973.96</v>
      </c>
      <c r="C419" s="2">
        <f t="shared" si="45"/>
        <v>40780</v>
      </c>
      <c r="D419" s="1">
        <f t="shared" si="46"/>
        <v>1973.96</v>
      </c>
      <c r="E419" s="4">
        <f t="shared" si="47"/>
        <v>2144.5290000000005</v>
      </c>
      <c r="F419" s="3">
        <f t="shared" si="48"/>
        <v>0.92046318795409132</v>
      </c>
      <c r="G419" s="18">
        <f t="shared" si="49"/>
        <v>-1</v>
      </c>
      <c r="H419" s="3">
        <f t="shared" si="50"/>
        <v>-1.5545126749886617E-2</v>
      </c>
      <c r="I419" s="3">
        <f t="shared" si="51"/>
        <v>1.5545126749886617E-2</v>
      </c>
      <c r="K419" s="12" t="str">
        <f>IF(AND(G419=1,G418&lt;&gt;1),MAX($K$50:K418)+1,"")</f>
        <v/>
      </c>
      <c r="L419" s="13" t="str">
        <f>IF(AND(G419&lt;&gt;1,G418=1),MAX($L$50:L418)+1,"")</f>
        <v/>
      </c>
      <c r="M419" s="13" t="str">
        <f>IF(AND(G419=-1,G418&lt;&gt;-1),MAX($M$50:M418)+1,"")</f>
        <v/>
      </c>
      <c r="N419" s="13" t="str">
        <f>IF(AND(G419&lt;&gt;-1,G418=-1),MAX($N$50:N418)+1,"")</f>
        <v/>
      </c>
      <c r="T419" s="7">
        <f t="shared" si="52"/>
        <v>93.675470870704828</v>
      </c>
      <c r="U419" s="1">
        <f t="shared" si="53"/>
        <v>103.71304425494783</v>
      </c>
    </row>
    <row r="420" spans="1:21" x14ac:dyDescent="0.3">
      <c r="A420" s="2">
        <v>40781</v>
      </c>
      <c r="B420" s="1">
        <v>2004.11</v>
      </c>
      <c r="C420" s="2">
        <f t="shared" si="45"/>
        <v>40781</v>
      </c>
      <c r="D420" s="1">
        <f t="shared" si="46"/>
        <v>2004.11</v>
      </c>
      <c r="E420" s="4">
        <f t="shared" si="47"/>
        <v>2141.5996000000005</v>
      </c>
      <c r="F420" s="3">
        <f t="shared" si="48"/>
        <v>0.93580051098253825</v>
      </c>
      <c r="G420" s="18">
        <f t="shared" si="49"/>
        <v>-1</v>
      </c>
      <c r="H420" s="3">
        <f t="shared" si="50"/>
        <v>1.5273865731828318E-2</v>
      </c>
      <c r="I420" s="3">
        <f t="shared" si="51"/>
        <v>-1.5273865731828318E-2</v>
      </c>
      <c r="K420" s="12" t="str">
        <f>IF(AND(G420=1,G419&lt;&gt;1),MAX($K$50:K419)+1,"")</f>
        <v/>
      </c>
      <c r="L420" s="13" t="str">
        <f>IF(AND(G420&lt;&gt;1,G419=1),MAX($L$50:L419)+1,"")</f>
        <v/>
      </c>
      <c r="M420" s="13" t="str">
        <f>IF(AND(G420=-1,G419&lt;&gt;-1),MAX($M$50:M419)+1,"")</f>
        <v/>
      </c>
      <c r="N420" s="13" t="str">
        <f>IF(AND(G420&lt;&gt;-1,G419=-1),MAX($N$50:N419)+1,"")</f>
        <v/>
      </c>
      <c r="T420" s="7">
        <f t="shared" si="52"/>
        <v>92.244684306259884</v>
      </c>
      <c r="U420" s="1">
        <f t="shared" si="53"/>
        <v>105.29714336753707</v>
      </c>
    </row>
    <row r="421" spans="1:21" x14ac:dyDescent="0.3">
      <c r="A421" s="2">
        <v>40784</v>
      </c>
      <c r="B421" s="1">
        <v>2061.0500000000002</v>
      </c>
      <c r="C421" s="2">
        <f t="shared" si="45"/>
        <v>40784</v>
      </c>
      <c r="D421" s="1">
        <f t="shared" si="46"/>
        <v>2061.0500000000002</v>
      </c>
      <c r="E421" s="4">
        <f t="shared" si="47"/>
        <v>2139.6778000000004</v>
      </c>
      <c r="F421" s="3">
        <f t="shared" si="48"/>
        <v>0.96325250465280321</v>
      </c>
      <c r="G421" s="18">
        <f t="shared" si="49"/>
        <v>1</v>
      </c>
      <c r="H421" s="3">
        <f t="shared" si="50"/>
        <v>2.8411614132956897E-2</v>
      </c>
      <c r="I421" s="3">
        <f t="shared" si="51"/>
        <v>-2.8411614132956897E-2</v>
      </c>
      <c r="K421" s="12">
        <f>IF(AND(G421=1,G420&lt;&gt;1),MAX($K$50:K420)+1,"")</f>
        <v>5</v>
      </c>
      <c r="L421" s="13" t="str">
        <f>IF(AND(G421&lt;&gt;1,G420=1),MAX($L$50:L420)+1,"")</f>
        <v/>
      </c>
      <c r="M421" s="13" t="str">
        <f>IF(AND(G421=-1,G420&lt;&gt;-1),MAX($M$50:M420)+1,"")</f>
        <v/>
      </c>
      <c r="N421" s="13">
        <f>IF(AND(G421&lt;&gt;-1,G420=-1),MAX($N$50:N420)+1,"")</f>
        <v>4</v>
      </c>
      <c r="T421" s="7">
        <f t="shared" si="52"/>
        <v>89.623863929934004</v>
      </c>
      <c r="U421" s="1">
        <f t="shared" si="53"/>
        <v>108.28880517419819</v>
      </c>
    </row>
    <row r="422" spans="1:21" x14ac:dyDescent="0.3">
      <c r="A422" s="2">
        <v>40785</v>
      </c>
      <c r="B422" s="1">
        <v>2066.37</v>
      </c>
      <c r="C422" s="2">
        <f t="shared" si="45"/>
        <v>40785</v>
      </c>
      <c r="D422" s="1">
        <f t="shared" si="46"/>
        <v>2066.37</v>
      </c>
      <c r="E422" s="4">
        <f t="shared" si="47"/>
        <v>2137.6292000000003</v>
      </c>
      <c r="F422" s="3">
        <f t="shared" si="48"/>
        <v>0.96666437752627987</v>
      </c>
      <c r="G422" s="18">
        <f t="shared" si="49"/>
        <v>1</v>
      </c>
      <c r="H422" s="3">
        <f t="shared" si="50"/>
        <v>2.5812086072631857E-3</v>
      </c>
      <c r="I422" s="3">
        <f t="shared" si="51"/>
        <v>2.5812086072631857E-3</v>
      </c>
      <c r="K422" s="12" t="str">
        <f>IF(AND(G422=1,G421&lt;&gt;1),MAX($K$50:K421)+1,"")</f>
        <v/>
      </c>
      <c r="L422" s="13" t="str">
        <f>IF(AND(G422&lt;&gt;1,G421=1),MAX($L$50:L421)+1,"")</f>
        <v/>
      </c>
      <c r="M422" s="13" t="str">
        <f>IF(AND(G422=-1,G421&lt;&gt;-1),MAX($M$50:M421)+1,"")</f>
        <v/>
      </c>
      <c r="N422" s="13" t="str">
        <f>IF(AND(G422&lt;&gt;-1,G421=-1),MAX($N$50:N421)+1,"")</f>
        <v/>
      </c>
      <c r="T422" s="7">
        <f t="shared" si="52"/>
        <v>89.855201818926133</v>
      </c>
      <c r="U422" s="1">
        <f t="shared" si="53"/>
        <v>108.56832117018408</v>
      </c>
    </row>
    <row r="423" spans="1:21" x14ac:dyDescent="0.3">
      <c r="A423" s="2">
        <v>40786</v>
      </c>
      <c r="B423" s="1">
        <v>2076.7800000000002</v>
      </c>
      <c r="C423" s="2">
        <f t="shared" si="45"/>
        <v>40786</v>
      </c>
      <c r="D423" s="1">
        <f t="shared" si="46"/>
        <v>2076.7800000000002</v>
      </c>
      <c r="E423" s="4">
        <f t="shared" si="47"/>
        <v>2135.2018000000003</v>
      </c>
      <c r="F423" s="3">
        <f t="shared" si="48"/>
        <v>0.97263874543380391</v>
      </c>
      <c r="G423" s="18">
        <f t="shared" si="49"/>
        <v>1</v>
      </c>
      <c r="H423" s="3">
        <f t="shared" si="50"/>
        <v>5.0378199451213135E-3</v>
      </c>
      <c r="I423" s="3">
        <f t="shared" si="51"/>
        <v>5.0378199451213135E-3</v>
      </c>
      <c r="K423" s="12" t="str">
        <f>IF(AND(G423=1,G422&lt;&gt;1),MAX($K$50:K422)+1,"")</f>
        <v/>
      </c>
      <c r="L423" s="13" t="str">
        <f>IF(AND(G423&lt;&gt;1,G422=1),MAX($L$50:L422)+1,"")</f>
        <v/>
      </c>
      <c r="M423" s="13" t="str">
        <f>IF(AND(G423=-1,G422&lt;&gt;-1),MAX($M$50:M422)+1,"")</f>
        <v/>
      </c>
      <c r="N423" s="13" t="str">
        <f>IF(AND(G423&lt;&gt;-1,G422=-1),MAX($N$50:N422)+1,"")</f>
        <v/>
      </c>
      <c r="T423" s="7">
        <f t="shared" si="52"/>
        <v>90.307876146822423</v>
      </c>
      <c r="U423" s="1">
        <f t="shared" si="53"/>
        <v>109.11526882398357</v>
      </c>
    </row>
    <row r="424" spans="1:21" x14ac:dyDescent="0.3">
      <c r="A424" s="2">
        <v>40787</v>
      </c>
      <c r="B424" s="1">
        <v>2052.3000000000002</v>
      </c>
      <c r="C424" s="2">
        <f t="shared" si="45"/>
        <v>40787</v>
      </c>
      <c r="D424" s="1">
        <f t="shared" si="46"/>
        <v>2052.3000000000002</v>
      </c>
      <c r="E424" s="4">
        <f t="shared" si="47"/>
        <v>2132.5672000000004</v>
      </c>
      <c r="F424" s="3">
        <f t="shared" si="48"/>
        <v>0.96236123297779308</v>
      </c>
      <c r="G424" s="18">
        <f t="shared" si="49"/>
        <v>1</v>
      </c>
      <c r="H424" s="3">
        <f t="shared" si="50"/>
        <v>-1.1787478692976583E-2</v>
      </c>
      <c r="I424" s="3">
        <f t="shared" si="51"/>
        <v>-1.1787478692976583E-2</v>
      </c>
      <c r="K424" s="12" t="str">
        <f>IF(AND(G424=1,G423&lt;&gt;1),MAX($K$50:K423)+1,"")</f>
        <v/>
      </c>
      <c r="L424" s="13" t="str">
        <f>IF(AND(G424&lt;&gt;1,G423=1),MAX($L$50:L423)+1,"")</f>
        <v/>
      </c>
      <c r="M424" s="13" t="str">
        <f>IF(AND(G424=-1,G423&lt;&gt;-1),MAX($M$50:M423)+1,"")</f>
        <v/>
      </c>
      <c r="N424" s="13" t="str">
        <f>IF(AND(G424&lt;&gt;-1,G423=-1),MAX($N$50:N423)+1,"")</f>
        <v/>
      </c>
      <c r="T424" s="7">
        <f t="shared" si="52"/>
        <v>89.243373980933782</v>
      </c>
      <c r="U424" s="1">
        <f t="shared" si="53"/>
        <v>107.82907491764244</v>
      </c>
    </row>
    <row r="425" spans="1:21" x14ac:dyDescent="0.3">
      <c r="A425" s="2">
        <v>40788</v>
      </c>
      <c r="B425" s="1">
        <v>2000.5</v>
      </c>
      <c r="C425" s="2">
        <f t="shared" si="45"/>
        <v>40788</v>
      </c>
      <c r="D425" s="1">
        <f t="shared" si="46"/>
        <v>2000.5</v>
      </c>
      <c r="E425" s="4">
        <f t="shared" si="47"/>
        <v>2129.0202000000004</v>
      </c>
      <c r="F425" s="3">
        <f t="shared" si="48"/>
        <v>0.93963410962469951</v>
      </c>
      <c r="G425" s="18">
        <f t="shared" si="49"/>
        <v>-1</v>
      </c>
      <c r="H425" s="3">
        <f t="shared" si="50"/>
        <v>-2.5239974662573772E-2</v>
      </c>
      <c r="I425" s="3">
        <f t="shared" si="51"/>
        <v>-2.5239974662573772E-2</v>
      </c>
      <c r="K425" s="12" t="str">
        <f>IF(AND(G425=1,G424&lt;&gt;1),MAX($K$50:K424)+1,"")</f>
        <v/>
      </c>
      <c r="L425" s="13">
        <f>IF(AND(G425&lt;&gt;1,G424=1),MAX($L$50:L424)+1,"")</f>
        <v>5</v>
      </c>
      <c r="M425" s="13">
        <f>IF(AND(G425=-1,G424&lt;&gt;-1),MAX($M$50:M424)+1,"")</f>
        <v>5</v>
      </c>
      <c r="N425" s="13" t="str">
        <f>IF(AND(G425&lt;&gt;-1,G424=-1),MAX($N$50:N424)+1,"")</f>
        <v/>
      </c>
      <c r="T425" s="7">
        <f t="shared" si="52"/>
        <v>86.990873482852422</v>
      </c>
      <c r="U425" s="1">
        <f t="shared" si="53"/>
        <v>105.10747179883238</v>
      </c>
    </row>
    <row r="426" spans="1:21" x14ac:dyDescent="0.3">
      <c r="A426" s="2">
        <v>40792</v>
      </c>
      <c r="B426" s="1">
        <v>1985.67</v>
      </c>
      <c r="C426" s="2">
        <f t="shared" si="45"/>
        <v>40792</v>
      </c>
      <c r="D426" s="1">
        <f t="shared" si="46"/>
        <v>1985.67</v>
      </c>
      <c r="E426" s="4">
        <f t="shared" si="47"/>
        <v>2125.6874000000003</v>
      </c>
      <c r="F426" s="3">
        <f t="shared" si="48"/>
        <v>0.93413076635821424</v>
      </c>
      <c r="G426" s="18">
        <f t="shared" si="49"/>
        <v>-1</v>
      </c>
      <c r="H426" s="3">
        <f t="shared" si="50"/>
        <v>-7.4131467133216056E-3</v>
      </c>
      <c r="I426" s="3">
        <f t="shared" si="51"/>
        <v>7.4131467133216056E-3</v>
      </c>
      <c r="K426" s="12" t="str">
        <f>IF(AND(G426=1,G425&lt;&gt;1),MAX($K$50:K425)+1,"")</f>
        <v/>
      </c>
      <c r="L426" s="13" t="str">
        <f>IF(AND(G426&lt;&gt;1,G425=1),MAX($L$50:L425)+1,"")</f>
        <v/>
      </c>
      <c r="M426" s="13" t="str">
        <f>IF(AND(G426=-1,G425&lt;&gt;-1),MAX($M$50:M425)+1,"")</f>
        <v/>
      </c>
      <c r="N426" s="13" t="str">
        <f>IF(AND(G426&lt;&gt;-1,G425=-1),MAX($N$50:N425)+1,"")</f>
        <v/>
      </c>
      <c r="T426" s="7">
        <f t="shared" si="52"/>
        <v>87.635749590700811</v>
      </c>
      <c r="U426" s="1">
        <f t="shared" si="53"/>
        <v>104.32829468972132</v>
      </c>
    </row>
    <row r="427" spans="1:21" x14ac:dyDescent="0.3">
      <c r="A427" s="2">
        <v>40793</v>
      </c>
      <c r="B427" s="1">
        <v>2043.05</v>
      </c>
      <c r="C427" s="2">
        <f t="shared" si="45"/>
        <v>40793</v>
      </c>
      <c r="D427" s="1">
        <f t="shared" si="46"/>
        <v>2043.05</v>
      </c>
      <c r="E427" s="4">
        <f t="shared" si="47"/>
        <v>2123.1068</v>
      </c>
      <c r="F427" s="3">
        <f t="shared" si="48"/>
        <v>0.96229261759229445</v>
      </c>
      <c r="G427" s="18">
        <f t="shared" si="49"/>
        <v>1</v>
      </c>
      <c r="H427" s="3">
        <f t="shared" si="50"/>
        <v>2.8897047344221383E-2</v>
      </c>
      <c r="I427" s="3">
        <f t="shared" si="51"/>
        <v>-2.8897047344221383E-2</v>
      </c>
      <c r="K427" s="12">
        <f>IF(AND(G427=1,G426&lt;&gt;1),MAX($K$50:K426)+1,"")</f>
        <v>6</v>
      </c>
      <c r="L427" s="13" t="str">
        <f>IF(AND(G427&lt;&gt;1,G426=1),MAX($L$50:L426)+1,"")</f>
        <v/>
      </c>
      <c r="M427" s="13" t="str">
        <f>IF(AND(G427=-1,G426&lt;&gt;-1),MAX($M$50:M426)+1,"")</f>
        <v/>
      </c>
      <c r="N427" s="13">
        <f>IF(AND(G427&lt;&gt;-1,G426=-1),MAX($N$50:N426)+1,"")</f>
        <v>5</v>
      </c>
      <c r="T427" s="7">
        <f t="shared" si="52"/>
        <v>85.103335185732007</v>
      </c>
      <c r="U427" s="1">
        <f t="shared" si="53"/>
        <v>107.34307436071207</v>
      </c>
    </row>
    <row r="428" spans="1:21" x14ac:dyDescent="0.3">
      <c r="A428" s="2">
        <v>40794</v>
      </c>
      <c r="B428" s="1">
        <v>2021.42</v>
      </c>
      <c r="C428" s="2">
        <f t="shared" si="45"/>
        <v>40794</v>
      </c>
      <c r="D428" s="1">
        <f t="shared" si="46"/>
        <v>2021.42</v>
      </c>
      <c r="E428" s="4">
        <f t="shared" si="47"/>
        <v>2119.5216000000005</v>
      </c>
      <c r="F428" s="3">
        <f t="shared" si="48"/>
        <v>0.95371521573547524</v>
      </c>
      <c r="G428" s="18">
        <f t="shared" si="49"/>
        <v>1</v>
      </c>
      <c r="H428" s="3">
        <f t="shared" si="50"/>
        <v>-1.0587112405472165E-2</v>
      </c>
      <c r="I428" s="3">
        <f t="shared" si="51"/>
        <v>-1.0587112405472165E-2</v>
      </c>
      <c r="K428" s="12" t="str">
        <f>IF(AND(G428=1,G427&lt;&gt;1),MAX($K$50:K427)+1,"")</f>
        <v/>
      </c>
      <c r="L428" s="13" t="str">
        <f>IF(AND(G428&lt;&gt;1,G427=1),MAX($L$50:L427)+1,"")</f>
        <v/>
      </c>
      <c r="M428" s="13" t="str">
        <f>IF(AND(G428=-1,G427&lt;&gt;-1),MAX($M$50:M427)+1,"")</f>
        <v/>
      </c>
      <c r="N428" s="13" t="str">
        <f>IF(AND(G428&lt;&gt;-1,G427=-1),MAX($N$50:N427)+1,"")</f>
        <v/>
      </c>
      <c r="T428" s="7">
        <f t="shared" si="52"/>
        <v>84.202336610040092</v>
      </c>
      <c r="U428" s="1">
        <f t="shared" si="53"/>
        <v>106.20662116650625</v>
      </c>
    </row>
    <row r="429" spans="1:21" x14ac:dyDescent="0.3">
      <c r="A429" s="2">
        <v>40795</v>
      </c>
      <c r="B429" s="1">
        <v>1967.47</v>
      </c>
      <c r="C429" s="2">
        <f t="shared" si="45"/>
        <v>40795</v>
      </c>
      <c r="D429" s="1">
        <f t="shared" si="46"/>
        <v>1967.47</v>
      </c>
      <c r="E429" s="4">
        <f t="shared" si="47"/>
        <v>2114.4870000000005</v>
      </c>
      <c r="F429" s="3">
        <f t="shared" si="48"/>
        <v>0.93047155172862239</v>
      </c>
      <c r="G429" s="18">
        <f t="shared" si="49"/>
        <v>-1</v>
      </c>
      <c r="H429" s="3">
        <f t="shared" si="50"/>
        <v>-2.6689159105975024E-2</v>
      </c>
      <c r="I429" s="3">
        <f t="shared" si="51"/>
        <v>-2.6689159105975024E-2</v>
      </c>
      <c r="K429" s="12" t="str">
        <f>IF(AND(G429=1,G428&lt;&gt;1),MAX($K$50:K428)+1,"")</f>
        <v/>
      </c>
      <c r="L429" s="13">
        <f>IF(AND(G429&lt;&gt;1,G428=1),MAX($L$50:L428)+1,"")</f>
        <v>6</v>
      </c>
      <c r="M429" s="13">
        <f>IF(AND(G429=-1,G428&lt;&gt;-1),MAX($M$50:M428)+1,"")</f>
        <v>6</v>
      </c>
      <c r="N429" s="13" t="str">
        <f>IF(AND(G429&lt;&gt;-1,G428=-1),MAX($N$50:N428)+1,"")</f>
        <v/>
      </c>
      <c r="T429" s="7">
        <f t="shared" si="52"/>
        <v>81.955047051159866</v>
      </c>
      <c r="U429" s="1">
        <f t="shared" si="53"/>
        <v>103.37205575608535</v>
      </c>
    </row>
    <row r="430" spans="1:21" x14ac:dyDescent="0.3">
      <c r="A430" s="2">
        <v>40798</v>
      </c>
      <c r="B430" s="1">
        <v>1981.3</v>
      </c>
      <c r="C430" s="2">
        <f t="shared" si="45"/>
        <v>40798</v>
      </c>
      <c r="D430" s="1">
        <f t="shared" si="46"/>
        <v>1981.3</v>
      </c>
      <c r="E430" s="4">
        <f t="shared" si="47"/>
        <v>2109.2798000000003</v>
      </c>
      <c r="F430" s="3">
        <f t="shared" si="48"/>
        <v>0.93932535645579107</v>
      </c>
      <c r="G430" s="18">
        <f t="shared" si="49"/>
        <v>-1</v>
      </c>
      <c r="H430" s="3">
        <f t="shared" si="50"/>
        <v>7.0293320863850095E-3</v>
      </c>
      <c r="I430" s="3">
        <f t="shared" si="51"/>
        <v>-7.0293320863850095E-3</v>
      </c>
      <c r="K430" s="12" t="str">
        <f>IF(AND(G430=1,G429&lt;&gt;1),MAX($K$50:K429)+1,"")</f>
        <v/>
      </c>
      <c r="L430" s="13" t="str">
        <f>IF(AND(G430&lt;&gt;1,G429=1),MAX($L$50:L429)+1,"")</f>
        <v/>
      </c>
      <c r="M430" s="13" t="str">
        <f>IF(AND(G430=-1,G429&lt;&gt;-1),MAX($M$50:M429)+1,"")</f>
        <v/>
      </c>
      <c r="N430" s="13" t="str">
        <f>IF(AND(G430&lt;&gt;-1,G429=-1),MAX($N$50:N429)+1,"")</f>
        <v/>
      </c>
      <c r="T430" s="7">
        <f t="shared" si="52"/>
        <v>81.378957809281957</v>
      </c>
      <c r="U430" s="1">
        <f t="shared" si="53"/>
        <v>104.09869226444717</v>
      </c>
    </row>
    <row r="431" spans="1:21" x14ac:dyDescent="0.3">
      <c r="A431" s="2">
        <v>40799</v>
      </c>
      <c r="B431" s="1">
        <v>2000.08</v>
      </c>
      <c r="C431" s="2">
        <f t="shared" si="45"/>
        <v>40799</v>
      </c>
      <c r="D431" s="1">
        <f t="shared" si="46"/>
        <v>2000.08</v>
      </c>
      <c r="E431" s="4">
        <f t="shared" si="47"/>
        <v>2103.7962000000007</v>
      </c>
      <c r="F431" s="3">
        <f t="shared" si="48"/>
        <v>0.95070045282903315</v>
      </c>
      <c r="G431" s="18">
        <f t="shared" si="49"/>
        <v>1</v>
      </c>
      <c r="H431" s="3">
        <f t="shared" si="50"/>
        <v>9.4786251451066672E-3</v>
      </c>
      <c r="I431" s="3">
        <f t="shared" si="51"/>
        <v>-9.4786251451066672E-3</v>
      </c>
      <c r="K431" s="12">
        <f>IF(AND(G431=1,G430&lt;&gt;1),MAX($K$50:K430)+1,"")</f>
        <v>7</v>
      </c>
      <c r="L431" s="13" t="str">
        <f>IF(AND(G431&lt;&gt;1,G430=1),MAX($L$50:L430)+1,"")</f>
        <v/>
      </c>
      <c r="M431" s="13" t="str">
        <f>IF(AND(G431=-1,G430&lt;&gt;-1),MAX($M$50:M430)+1,"")</f>
        <v/>
      </c>
      <c r="N431" s="13">
        <f>IF(AND(G431&lt;&gt;-1,G430=-1),MAX($N$50:N430)+1,"")</f>
        <v>6</v>
      </c>
      <c r="T431" s="7">
        <f t="shared" si="52"/>
        <v>80.607597173508324</v>
      </c>
      <c r="U431" s="1">
        <f t="shared" si="53"/>
        <v>105.0854047465177</v>
      </c>
    </row>
    <row r="432" spans="1:21" x14ac:dyDescent="0.3">
      <c r="A432" s="2">
        <v>40800</v>
      </c>
      <c r="B432" s="1">
        <v>2027.04</v>
      </c>
      <c r="C432" s="2">
        <f t="shared" si="45"/>
        <v>40800</v>
      </c>
      <c r="D432" s="1">
        <f t="shared" si="46"/>
        <v>2027.04</v>
      </c>
      <c r="E432" s="4">
        <f t="shared" si="47"/>
        <v>2098.9112000000005</v>
      </c>
      <c r="F432" s="3">
        <f t="shared" si="48"/>
        <v>0.9657578653160741</v>
      </c>
      <c r="G432" s="18">
        <f t="shared" si="49"/>
        <v>1</v>
      </c>
      <c r="H432" s="3">
        <f t="shared" si="50"/>
        <v>1.3479460821567146E-2</v>
      </c>
      <c r="I432" s="3">
        <f t="shared" si="51"/>
        <v>1.3479460821567146E-2</v>
      </c>
      <c r="K432" s="12" t="str">
        <f>IF(AND(G432=1,G431&lt;&gt;1),MAX($K$50:K431)+1,"")</f>
        <v/>
      </c>
      <c r="L432" s="13" t="str">
        <f>IF(AND(G432&lt;&gt;1,G431=1),MAX($L$50:L431)+1,"")</f>
        <v/>
      </c>
      <c r="M432" s="13" t="str">
        <f>IF(AND(G432=-1,G431&lt;&gt;-1),MAX($M$50:M431)+1,"")</f>
        <v/>
      </c>
      <c r="N432" s="13" t="str">
        <f>IF(AND(G432&lt;&gt;-1,G431=-1),MAX($N$50:N431)+1,"")</f>
        <v/>
      </c>
      <c r="T432" s="7">
        <f t="shared" si="52"/>
        <v>81.694144121529291</v>
      </c>
      <c r="U432" s="1">
        <f t="shared" si="53"/>
        <v>106.50189934271691</v>
      </c>
    </row>
    <row r="433" spans="1:21" x14ac:dyDescent="0.3">
      <c r="A433" s="2">
        <v>40801</v>
      </c>
      <c r="B433" s="1">
        <v>2062.25</v>
      </c>
      <c r="C433" s="2">
        <f t="shared" si="45"/>
        <v>40801</v>
      </c>
      <c r="D433" s="1">
        <f t="shared" si="46"/>
        <v>2062.25</v>
      </c>
      <c r="E433" s="4">
        <f t="shared" si="47"/>
        <v>2094.6678000000006</v>
      </c>
      <c r="F433" s="3">
        <f t="shared" si="48"/>
        <v>0.98452365573194922</v>
      </c>
      <c r="G433" s="18">
        <f t="shared" si="49"/>
        <v>1</v>
      </c>
      <c r="H433" s="3">
        <f t="shared" si="50"/>
        <v>1.7370155497671513E-2</v>
      </c>
      <c r="I433" s="3">
        <f t="shared" si="51"/>
        <v>1.7370155497671513E-2</v>
      </c>
      <c r="K433" s="12" t="str">
        <f>IF(AND(G433=1,G432&lt;&gt;1),MAX($K$50:K432)+1,"")</f>
        <v/>
      </c>
      <c r="L433" s="13" t="str">
        <f>IF(AND(G433&lt;&gt;1,G432=1),MAX($L$50:L432)+1,"")</f>
        <v/>
      </c>
      <c r="M433" s="13" t="str">
        <f>IF(AND(G433=-1,G432&lt;&gt;-1),MAX($M$50:M432)+1,"")</f>
        <v/>
      </c>
      <c r="N433" s="13" t="str">
        <f>IF(AND(G433&lt;&gt;-1,G432=-1),MAX($N$50:N432)+1,"")</f>
        <v/>
      </c>
      <c r="T433" s="7">
        <f t="shared" si="52"/>
        <v>83.113184108169449</v>
      </c>
      <c r="U433" s="1">
        <f t="shared" si="53"/>
        <v>108.35185389509726</v>
      </c>
    </row>
    <row r="434" spans="1:21" x14ac:dyDescent="0.3">
      <c r="A434" s="2">
        <v>40802</v>
      </c>
      <c r="B434" s="1">
        <v>2074.06</v>
      </c>
      <c r="C434" s="2">
        <f t="shared" si="45"/>
        <v>40802</v>
      </c>
      <c r="D434" s="1">
        <f t="shared" si="46"/>
        <v>2074.06</v>
      </c>
      <c r="E434" s="4">
        <f t="shared" si="47"/>
        <v>2090.1828000000005</v>
      </c>
      <c r="F434" s="3">
        <f t="shared" si="48"/>
        <v>0.99228641628856551</v>
      </c>
      <c r="G434" s="18">
        <f t="shared" si="49"/>
        <v>1</v>
      </c>
      <c r="H434" s="3">
        <f t="shared" si="50"/>
        <v>5.7267547581525413E-3</v>
      </c>
      <c r="I434" s="3">
        <f t="shared" si="51"/>
        <v>5.7267547581525413E-3</v>
      </c>
      <c r="K434" s="12" t="str">
        <f>IF(AND(G434=1,G433&lt;&gt;1),MAX($K$50:K433)+1,"")</f>
        <v/>
      </c>
      <c r="L434" s="13" t="str">
        <f>IF(AND(G434&lt;&gt;1,G433=1),MAX($L$50:L433)+1,"")</f>
        <v/>
      </c>
      <c r="M434" s="13" t="str">
        <f>IF(AND(G434=-1,G433&lt;&gt;-1),MAX($M$50:M433)+1,"")</f>
        <v/>
      </c>
      <c r="N434" s="13" t="str">
        <f>IF(AND(G434&lt;&gt;-1,G433=-1),MAX($N$50:N433)+1,"")</f>
        <v/>
      </c>
      <c r="T434" s="7">
        <f t="shared" si="52"/>
        <v>83.589152930726115</v>
      </c>
      <c r="U434" s="1">
        <f t="shared" si="53"/>
        <v>108.97235838994565</v>
      </c>
    </row>
    <row r="435" spans="1:21" x14ac:dyDescent="0.3">
      <c r="A435" s="2">
        <v>40805</v>
      </c>
      <c r="B435" s="1">
        <v>2053.7399999999998</v>
      </c>
      <c r="C435" s="2">
        <f t="shared" si="45"/>
        <v>40805</v>
      </c>
      <c r="D435" s="1">
        <f t="shared" si="46"/>
        <v>2053.7399999999998</v>
      </c>
      <c r="E435" s="4">
        <f t="shared" si="47"/>
        <v>2085.6112000000003</v>
      </c>
      <c r="F435" s="3">
        <f t="shared" si="48"/>
        <v>0.98471853238992935</v>
      </c>
      <c r="G435" s="18">
        <f t="shared" si="49"/>
        <v>1</v>
      </c>
      <c r="H435" s="3">
        <f t="shared" si="50"/>
        <v>-9.7972093382062697E-3</v>
      </c>
      <c r="I435" s="3">
        <f t="shared" si="51"/>
        <v>-9.7972093382062697E-3</v>
      </c>
      <c r="K435" s="12" t="str">
        <f>IF(AND(G435=1,G434&lt;&gt;1),MAX($K$50:K434)+1,"")</f>
        <v/>
      </c>
      <c r="L435" s="13" t="str">
        <f>IF(AND(G435&lt;&gt;1,G434=1),MAX($L$50:L434)+1,"")</f>
        <v/>
      </c>
      <c r="M435" s="13" t="str">
        <f>IF(AND(G435=-1,G434&lt;&gt;-1),MAX($M$50:M434)+1,"")</f>
        <v/>
      </c>
      <c r="N435" s="13" t="str">
        <f>IF(AND(G435&lt;&gt;-1,G434=-1),MAX($N$50:N434)+1,"")</f>
        <v/>
      </c>
      <c r="T435" s="7">
        <f t="shared" si="52"/>
        <v>82.770212501060456</v>
      </c>
      <c r="U435" s="1">
        <f t="shared" si="53"/>
        <v>107.90473338272132</v>
      </c>
    </row>
    <row r="436" spans="1:21" x14ac:dyDescent="0.3">
      <c r="A436" s="2">
        <v>40806</v>
      </c>
      <c r="B436" s="1">
        <v>2050.39</v>
      </c>
      <c r="C436" s="2">
        <f t="shared" ref="C436:C499" si="54">A436</f>
        <v>40806</v>
      </c>
      <c r="D436" s="1">
        <f t="shared" ref="D436:D499" si="55">B436</f>
        <v>2050.39</v>
      </c>
      <c r="E436" s="4">
        <f t="shared" ref="E436:E499" si="56">AVERAGE(B387:B436)</f>
        <v>2081.7975999999999</v>
      </c>
      <c r="F436" s="3">
        <f t="shared" ref="F436:F499" si="57">D436/E436</f>
        <v>0.98491323075787962</v>
      </c>
      <c r="G436" s="18">
        <f t="shared" ref="G436:G499" si="58">IF(F436&gt;=$Q$51,1,IF(F436&lt;=$Q$52,-1,0))</f>
        <v>1</v>
      </c>
      <c r="H436" s="3">
        <f t="shared" si="50"/>
        <v>-1.631170450008268E-3</v>
      </c>
      <c r="I436" s="3">
        <f t="shared" si="51"/>
        <v>-1.631170450008268E-3</v>
      </c>
      <c r="K436" s="12" t="str">
        <f>IF(AND(G436=1,G435&lt;&gt;1),MAX($K$50:K435)+1,"")</f>
        <v/>
      </c>
      <c r="L436" s="13" t="str">
        <f>IF(AND(G436&lt;&gt;1,G435=1),MAX($L$50:L435)+1,"")</f>
        <v/>
      </c>
      <c r="M436" s="13" t="str">
        <f>IF(AND(G436=-1,G435&lt;&gt;-1),MAX($M$50:M435)+1,"")</f>
        <v/>
      </c>
      <c r="N436" s="13" t="str">
        <f>IF(AND(G436&lt;&gt;-1,G435=-1),MAX($N$50:N435)+1,"")</f>
        <v/>
      </c>
      <c r="T436" s="7">
        <f t="shared" si="52"/>
        <v>82.635200176287825</v>
      </c>
      <c r="U436" s="1">
        <f t="shared" si="53"/>
        <v>107.7287223702114</v>
      </c>
    </row>
    <row r="437" spans="1:21" x14ac:dyDescent="0.3">
      <c r="A437" s="2">
        <v>40807</v>
      </c>
      <c r="B437" s="1">
        <v>1990.2</v>
      </c>
      <c r="C437" s="2">
        <f t="shared" si="54"/>
        <v>40807</v>
      </c>
      <c r="D437" s="1">
        <f t="shared" si="55"/>
        <v>1990.2</v>
      </c>
      <c r="E437" s="4">
        <f t="shared" si="56"/>
        <v>2076.9785999999999</v>
      </c>
      <c r="F437" s="3">
        <f t="shared" si="57"/>
        <v>0.9582188280611077</v>
      </c>
      <c r="G437" s="18">
        <f t="shared" si="58"/>
        <v>1</v>
      </c>
      <c r="H437" s="3">
        <f t="shared" ref="H437:H500" si="59">D437/D436-1</f>
        <v>-2.9355390925628666E-2</v>
      </c>
      <c r="I437" s="3">
        <f t="shared" ref="I437:I500" si="60">G436*H437</f>
        <v>-2.9355390925628666E-2</v>
      </c>
      <c r="K437" s="12" t="str">
        <f>IF(AND(G437=1,G436&lt;&gt;1),MAX($K$50:K436)+1,"")</f>
        <v/>
      </c>
      <c r="L437" s="13" t="str">
        <f>IF(AND(G437&lt;&gt;1,G436=1),MAX($L$50:L436)+1,"")</f>
        <v/>
      </c>
      <c r="M437" s="13" t="str">
        <f>IF(AND(G437=-1,G436&lt;&gt;-1),MAX($M$50:M436)+1,"")</f>
        <v/>
      </c>
      <c r="N437" s="13" t="str">
        <f>IF(AND(G437&lt;&gt;-1,G436=-1),MAX($N$50:N436)+1,"")</f>
        <v/>
      </c>
      <c r="T437" s="7">
        <f t="shared" ref="T437:T500" si="61">T436*(1+I437)</f>
        <v>80.209411570895313</v>
      </c>
      <c r="U437" s="1">
        <f t="shared" ref="U437:U500" si="62">U436*D437/D436</f>
        <v>104.56630361111532</v>
      </c>
    </row>
    <row r="438" spans="1:21" x14ac:dyDescent="0.3">
      <c r="A438" s="2">
        <v>40808</v>
      </c>
      <c r="B438" s="1">
        <v>1926.76</v>
      </c>
      <c r="C438" s="2">
        <f t="shared" si="54"/>
        <v>40808</v>
      </c>
      <c r="D438" s="1">
        <f t="shared" si="55"/>
        <v>1926.76</v>
      </c>
      <c r="E438" s="4">
        <f t="shared" si="56"/>
        <v>2070.7479999999996</v>
      </c>
      <c r="F438" s="3">
        <f t="shared" si="57"/>
        <v>0.93046570611199453</v>
      </c>
      <c r="G438" s="18">
        <f t="shared" si="58"/>
        <v>-1</v>
      </c>
      <c r="H438" s="3">
        <f t="shared" si="59"/>
        <v>-3.1876193347402326E-2</v>
      </c>
      <c r="I438" s="3">
        <f t="shared" si="60"/>
        <v>-3.1876193347402326E-2</v>
      </c>
      <c r="K438" s="12" t="str">
        <f>IF(AND(G438=1,G437&lt;&gt;1),MAX($K$50:K437)+1,"")</f>
        <v/>
      </c>
      <c r="L438" s="13">
        <f>IF(AND(G438&lt;&gt;1,G437=1),MAX($L$50:L437)+1,"")</f>
        <v>7</v>
      </c>
      <c r="M438" s="13">
        <f>IF(AND(G438=-1,G437&lt;&gt;-1),MAX($M$50:M437)+1,"")</f>
        <v>7</v>
      </c>
      <c r="N438" s="13" t="str">
        <f>IF(AND(G438&lt;&gt;-1,G437=-1),MAX($N$50:N437)+1,"")</f>
        <v/>
      </c>
      <c r="T438" s="7">
        <f t="shared" si="61"/>
        <v>77.652640859380085</v>
      </c>
      <c r="U438" s="1">
        <f t="shared" si="62"/>
        <v>101.23312789958423</v>
      </c>
    </row>
    <row r="439" spans="1:21" x14ac:dyDescent="0.3">
      <c r="A439" s="2">
        <v>40809</v>
      </c>
      <c r="B439" s="1">
        <v>1938.73</v>
      </c>
      <c r="C439" s="2">
        <f t="shared" si="54"/>
        <v>40809</v>
      </c>
      <c r="D439" s="1">
        <f t="shared" si="55"/>
        <v>1938.73</v>
      </c>
      <c r="E439" s="4">
        <f t="shared" si="56"/>
        <v>2065.0567999999998</v>
      </c>
      <c r="F439" s="3">
        <f t="shared" si="57"/>
        <v>0.93882647683104903</v>
      </c>
      <c r="G439" s="18">
        <f t="shared" si="58"/>
        <v>-1</v>
      </c>
      <c r="H439" s="3">
        <f t="shared" si="59"/>
        <v>6.2125018165211099E-3</v>
      </c>
      <c r="I439" s="3">
        <f t="shared" si="60"/>
        <v>-6.2125018165211099E-3</v>
      </c>
      <c r="K439" s="12" t="str">
        <f>IF(AND(G439=1,G438&lt;&gt;1),MAX($K$50:K438)+1,"")</f>
        <v/>
      </c>
      <c r="L439" s="13" t="str">
        <f>IF(AND(G439&lt;&gt;1,G438=1),MAX($L$50:L438)+1,"")</f>
        <v/>
      </c>
      <c r="M439" s="13" t="str">
        <f>IF(AND(G439=-1,G438&lt;&gt;-1),MAX($M$50:M438)+1,"")</f>
        <v/>
      </c>
      <c r="N439" s="13" t="str">
        <f>IF(AND(G439&lt;&gt;-1,G438=-1),MAX($N$50:N438)+1,"")</f>
        <v/>
      </c>
      <c r="T439" s="7">
        <f t="shared" si="61"/>
        <v>77.170223686983519</v>
      </c>
      <c r="U439" s="1">
        <f t="shared" si="62"/>
        <v>101.8620388905525</v>
      </c>
    </row>
    <row r="440" spans="1:21" x14ac:dyDescent="0.3">
      <c r="A440" s="2">
        <v>40812</v>
      </c>
      <c r="B440" s="1">
        <v>1983.97</v>
      </c>
      <c r="C440" s="2">
        <f t="shared" si="54"/>
        <v>40812</v>
      </c>
      <c r="D440" s="1">
        <f t="shared" si="55"/>
        <v>1983.97</v>
      </c>
      <c r="E440" s="4">
        <f t="shared" si="56"/>
        <v>2060.0231999999996</v>
      </c>
      <c r="F440" s="3">
        <f t="shared" si="57"/>
        <v>0.96308138665622811</v>
      </c>
      <c r="G440" s="18">
        <f t="shared" si="58"/>
        <v>1</v>
      </c>
      <c r="H440" s="3">
        <f t="shared" si="59"/>
        <v>2.333486354469172E-2</v>
      </c>
      <c r="I440" s="3">
        <f t="shared" si="60"/>
        <v>-2.333486354469172E-2</v>
      </c>
      <c r="K440" s="12">
        <f>IF(AND(G440=1,G439&lt;&gt;1),MAX($K$50:K439)+1,"")</f>
        <v>8</v>
      </c>
      <c r="L440" s="13" t="str">
        <f>IF(AND(G440&lt;&gt;1,G439=1),MAX($L$50:L439)+1,"")</f>
        <v/>
      </c>
      <c r="M440" s="13" t="str">
        <f>IF(AND(G440=-1,G439&lt;&gt;-1),MAX($M$50:M439)+1,"")</f>
        <v/>
      </c>
      <c r="N440" s="13">
        <f>IF(AND(G440&lt;&gt;-1,G439=-1),MAX($N$50:N439)+1,"")</f>
        <v>7</v>
      </c>
      <c r="T440" s="7">
        <f t="shared" si="61"/>
        <v>75.369467047534428</v>
      </c>
      <c r="U440" s="1">
        <f t="shared" si="62"/>
        <v>104.23897566844762</v>
      </c>
    </row>
    <row r="441" spans="1:21" x14ac:dyDescent="0.3">
      <c r="A441" s="2">
        <v>40813</v>
      </c>
      <c r="B441" s="1">
        <v>2005.19</v>
      </c>
      <c r="C441" s="2">
        <f t="shared" si="54"/>
        <v>40813</v>
      </c>
      <c r="D441" s="1">
        <f t="shared" si="55"/>
        <v>2005.19</v>
      </c>
      <c r="E441" s="4">
        <f t="shared" si="56"/>
        <v>2055.7759999999998</v>
      </c>
      <c r="F441" s="3">
        <f t="shared" si="57"/>
        <v>0.9753932335040395</v>
      </c>
      <c r="G441" s="18">
        <f t="shared" si="58"/>
        <v>1</v>
      </c>
      <c r="H441" s="3">
        <f t="shared" si="59"/>
        <v>1.0695726245860682E-2</v>
      </c>
      <c r="I441" s="3">
        <f t="shared" si="60"/>
        <v>1.0695726245860682E-2</v>
      </c>
      <c r="K441" s="12" t="str">
        <f>IF(AND(G441=1,G440&lt;&gt;1),MAX($K$50:K440)+1,"")</f>
        <v/>
      </c>
      <c r="L441" s="13" t="str">
        <f>IF(AND(G441&lt;&gt;1,G440=1),MAX($L$50:L440)+1,"")</f>
        <v/>
      </c>
      <c r="M441" s="13" t="str">
        <f>IF(AND(G441=-1,G440&lt;&gt;-1),MAX($M$50:M440)+1,"")</f>
        <v/>
      </c>
      <c r="N441" s="13" t="str">
        <f>IF(AND(G441&lt;&gt;-1,G440=-1),MAX($N$50:N440)+1,"")</f>
        <v/>
      </c>
      <c r="T441" s="7">
        <f t="shared" si="61"/>
        <v>76.175598234371279</v>
      </c>
      <c r="U441" s="1">
        <f t="shared" si="62"/>
        <v>105.35388721634627</v>
      </c>
    </row>
    <row r="442" spans="1:21" x14ac:dyDescent="0.3">
      <c r="A442" s="2">
        <v>40814</v>
      </c>
      <c r="B442" s="1">
        <v>1964.2</v>
      </c>
      <c r="C442" s="2">
        <f t="shared" si="54"/>
        <v>40814</v>
      </c>
      <c r="D442" s="1">
        <f t="shared" si="55"/>
        <v>1964.2</v>
      </c>
      <c r="E442" s="4">
        <f t="shared" si="56"/>
        <v>2049.9857999999995</v>
      </c>
      <c r="F442" s="3">
        <f t="shared" si="57"/>
        <v>0.95815297842550939</v>
      </c>
      <c r="G442" s="18">
        <f t="shared" si="58"/>
        <v>1</v>
      </c>
      <c r="H442" s="3">
        <f t="shared" si="59"/>
        <v>-2.0441953131623447E-2</v>
      </c>
      <c r="I442" s="3">
        <f t="shared" si="60"/>
        <v>-2.0441953131623447E-2</v>
      </c>
      <c r="K442" s="12" t="str">
        <f>IF(AND(G442=1,G441&lt;&gt;1),MAX($K$50:K441)+1,"")</f>
        <v/>
      </c>
      <c r="L442" s="13" t="str">
        <f>IF(AND(G442&lt;&gt;1,G441=1),MAX($L$50:L441)+1,"")</f>
        <v/>
      </c>
      <c r="M442" s="13" t="str">
        <f>IF(AND(G442=-1,G441&lt;&gt;-1),MAX($M$50:M441)+1,"")</f>
        <v/>
      </c>
      <c r="N442" s="13" t="str">
        <f>IF(AND(G442&lt;&gt;-1,G441=-1),MAX($N$50:N441)+1,"")</f>
        <v/>
      </c>
      <c r="T442" s="7">
        <f t="shared" si="61"/>
        <v>74.61842022549088</v>
      </c>
      <c r="U442" s="1">
        <f t="shared" si="62"/>
        <v>103.20024799163538</v>
      </c>
    </row>
    <row r="443" spans="1:21" x14ac:dyDescent="0.3">
      <c r="A443" s="2">
        <v>40815</v>
      </c>
      <c r="B443" s="1">
        <v>1980.23</v>
      </c>
      <c r="C443" s="2">
        <f t="shared" si="54"/>
        <v>40815</v>
      </c>
      <c r="D443" s="1">
        <f t="shared" si="55"/>
        <v>1980.23</v>
      </c>
      <c r="E443" s="4">
        <f t="shared" si="56"/>
        <v>2044.5399999999997</v>
      </c>
      <c r="F443" s="3">
        <f t="shared" si="57"/>
        <v>0.96854549189548766</v>
      </c>
      <c r="G443" s="18">
        <f t="shared" si="58"/>
        <v>1</v>
      </c>
      <c r="H443" s="3">
        <f t="shared" si="59"/>
        <v>8.1610833927299176E-3</v>
      </c>
      <c r="I443" s="3">
        <f t="shared" si="60"/>
        <v>8.1610833927299176E-3</v>
      </c>
      <c r="K443" s="12" t="str">
        <f>IF(AND(G443=1,G442&lt;&gt;1),MAX($K$50:K442)+1,"")</f>
        <v/>
      </c>
      <c r="L443" s="13" t="str">
        <f>IF(AND(G443&lt;&gt;1,G442=1),MAX($L$50:L442)+1,"")</f>
        <v/>
      </c>
      <c r="M443" s="13" t="str">
        <f>IF(AND(G443=-1,G442&lt;&gt;-1),MAX($M$50:M442)+1,"")</f>
        <v/>
      </c>
      <c r="N443" s="13" t="str">
        <f>IF(AND(G443&lt;&gt;-1,G442=-1),MAX($N$50:N442)+1,"")</f>
        <v/>
      </c>
      <c r="T443" s="7">
        <f t="shared" si="61"/>
        <v>75.227387375584883</v>
      </c>
      <c r="U443" s="1">
        <f t="shared" si="62"/>
        <v>104.04247382164552</v>
      </c>
    </row>
    <row r="444" spans="1:21" x14ac:dyDescent="0.3">
      <c r="A444" s="2">
        <v>40816</v>
      </c>
      <c r="B444" s="1">
        <v>1930.79</v>
      </c>
      <c r="C444" s="2">
        <f t="shared" si="54"/>
        <v>40816</v>
      </c>
      <c r="D444" s="1">
        <f t="shared" si="55"/>
        <v>1930.79</v>
      </c>
      <c r="E444" s="4">
        <f t="shared" si="56"/>
        <v>2037.4911999999997</v>
      </c>
      <c r="F444" s="3">
        <f t="shared" si="57"/>
        <v>0.94763108670113527</v>
      </c>
      <c r="G444" s="18">
        <f t="shared" si="58"/>
        <v>-1</v>
      </c>
      <c r="H444" s="3">
        <f t="shared" si="59"/>
        <v>-2.4966796786231926E-2</v>
      </c>
      <c r="I444" s="3">
        <f t="shared" si="60"/>
        <v>-2.4966796786231926E-2</v>
      </c>
      <c r="K444" s="12" t="str">
        <f>IF(AND(G444=1,G443&lt;&gt;1),MAX($K$50:K443)+1,"")</f>
        <v/>
      </c>
      <c r="L444" s="13">
        <f>IF(AND(G444&lt;&gt;1,G443=1),MAX($L$50:L443)+1,"")</f>
        <v>8</v>
      </c>
      <c r="M444" s="13">
        <f>IF(AND(G444=-1,G443&lt;&gt;-1),MAX($M$50:M443)+1,"")</f>
        <v>8</v>
      </c>
      <c r="N444" s="13" t="str">
        <f>IF(AND(G444&lt;&gt;-1,G443=-1),MAX($N$50:N443)+1,"")</f>
        <v/>
      </c>
      <c r="T444" s="7">
        <f t="shared" si="61"/>
        <v>73.349200482219501</v>
      </c>
      <c r="U444" s="1">
        <f t="shared" si="62"/>
        <v>101.44486652060364</v>
      </c>
    </row>
    <row r="445" spans="1:21" x14ac:dyDescent="0.3">
      <c r="A445" s="2">
        <v>40819</v>
      </c>
      <c r="B445" s="1">
        <v>1875.95</v>
      </c>
      <c r="C445" s="2">
        <f t="shared" si="54"/>
        <v>40819</v>
      </c>
      <c r="D445" s="1">
        <f t="shared" si="55"/>
        <v>1875.95</v>
      </c>
      <c r="E445" s="4">
        <f t="shared" si="56"/>
        <v>2029.3033999999993</v>
      </c>
      <c r="F445" s="3">
        <f t="shared" si="57"/>
        <v>0.92443052133062054</v>
      </c>
      <c r="G445" s="18">
        <f t="shared" si="58"/>
        <v>-1</v>
      </c>
      <c r="H445" s="3">
        <f t="shared" si="59"/>
        <v>-2.8402881721989348E-2</v>
      </c>
      <c r="I445" s="3">
        <f t="shared" si="60"/>
        <v>2.8402881721989348E-2</v>
      </c>
      <c r="K445" s="12" t="str">
        <f>IF(AND(G445=1,G444&lt;&gt;1),MAX($K$50:K444)+1,"")</f>
        <v/>
      </c>
      <c r="L445" s="13" t="str">
        <f>IF(AND(G445&lt;&gt;1,G444=1),MAX($L$50:L444)+1,"")</f>
        <v/>
      </c>
      <c r="M445" s="13" t="str">
        <f>IF(AND(G445=-1,G444&lt;&gt;-1),MAX($M$50:M444)+1,"")</f>
        <v/>
      </c>
      <c r="N445" s="13" t="str">
        <f>IF(AND(G445&lt;&gt;-1,G444=-1),MAX($N$50:N444)+1,"")</f>
        <v/>
      </c>
      <c r="T445" s="7">
        <f t="shared" si="61"/>
        <v>75.432529147918473</v>
      </c>
      <c r="U445" s="1">
        <f t="shared" si="62"/>
        <v>98.563539975515937</v>
      </c>
    </row>
    <row r="446" spans="1:21" x14ac:dyDescent="0.3">
      <c r="A446" s="2">
        <v>40820</v>
      </c>
      <c r="B446" s="1">
        <v>1918.39</v>
      </c>
      <c r="C446" s="2">
        <f t="shared" si="54"/>
        <v>40820</v>
      </c>
      <c r="D446" s="1">
        <f t="shared" si="55"/>
        <v>1918.39</v>
      </c>
      <c r="E446" s="4">
        <f t="shared" si="56"/>
        <v>2022.2217999999993</v>
      </c>
      <c r="F446" s="3">
        <f t="shared" si="57"/>
        <v>0.94865459367513527</v>
      </c>
      <c r="G446" s="18">
        <f t="shared" si="58"/>
        <v>-1</v>
      </c>
      <c r="H446" s="3">
        <f t="shared" si="59"/>
        <v>2.2623204243183537E-2</v>
      </c>
      <c r="I446" s="3">
        <f t="shared" si="60"/>
        <v>-2.2623204243183537E-2</v>
      </c>
      <c r="K446" s="12" t="str">
        <f>IF(AND(G446=1,G445&lt;&gt;1),MAX($K$50:K445)+1,"")</f>
        <v/>
      </c>
      <c r="L446" s="13" t="str">
        <f>IF(AND(G446&lt;&gt;1,G445=1),MAX($L$50:L445)+1,"")</f>
        <v/>
      </c>
      <c r="M446" s="13" t="str">
        <f>IF(AND(G446=-1,G445&lt;&gt;-1),MAX($M$50:M445)+1,"")</f>
        <v/>
      </c>
      <c r="N446" s="13" t="str">
        <f>IF(AND(G446&lt;&gt;-1,G445=-1),MAX($N$50:N445)+1,"")</f>
        <v/>
      </c>
      <c r="T446" s="7">
        <f t="shared" si="61"/>
        <v>73.726003634425211</v>
      </c>
      <c r="U446" s="1">
        <f t="shared" si="62"/>
        <v>100.79336307131322</v>
      </c>
    </row>
    <row r="447" spans="1:21" x14ac:dyDescent="0.3">
      <c r="A447" s="2">
        <v>40821</v>
      </c>
      <c r="B447" s="1">
        <v>1953.67</v>
      </c>
      <c r="C447" s="2">
        <f t="shared" si="54"/>
        <v>40821</v>
      </c>
      <c r="D447" s="1">
        <f t="shared" si="55"/>
        <v>1953.67</v>
      </c>
      <c r="E447" s="4">
        <f t="shared" si="56"/>
        <v>2016.0321999999994</v>
      </c>
      <c r="F447" s="3">
        <f t="shared" si="57"/>
        <v>0.96906686311855561</v>
      </c>
      <c r="G447" s="18">
        <f t="shared" si="58"/>
        <v>1</v>
      </c>
      <c r="H447" s="3">
        <f t="shared" si="59"/>
        <v>1.8390421134388824E-2</v>
      </c>
      <c r="I447" s="3">
        <f t="shared" si="60"/>
        <v>-1.8390421134388824E-2</v>
      </c>
      <c r="K447" s="12">
        <f>IF(AND(G447=1,G446&lt;&gt;1),MAX($K$50:K446)+1,"")</f>
        <v>9</v>
      </c>
      <c r="L447" s="13" t="str">
        <f>IF(AND(G447&lt;&gt;1,G446=1),MAX($L$50:L446)+1,"")</f>
        <v/>
      </c>
      <c r="M447" s="13" t="str">
        <f>IF(AND(G447=-1,G446&lt;&gt;-1),MAX($M$50:M446)+1,"")</f>
        <v/>
      </c>
      <c r="N447" s="13">
        <f>IF(AND(G447&lt;&gt;-1,G446=-1),MAX($N$50:N446)+1,"")</f>
        <v>8</v>
      </c>
      <c r="T447" s="7">
        <f t="shared" si="61"/>
        <v>72.370151379032649</v>
      </c>
      <c r="U447" s="1">
        <f t="shared" si="62"/>
        <v>102.64699546574602</v>
      </c>
    </row>
    <row r="448" spans="1:21" x14ac:dyDescent="0.3">
      <c r="A448" s="2">
        <v>40822</v>
      </c>
      <c r="B448" s="1">
        <v>1989.61</v>
      </c>
      <c r="C448" s="2">
        <f t="shared" si="54"/>
        <v>40822</v>
      </c>
      <c r="D448" s="1">
        <f t="shared" si="55"/>
        <v>1989.61</v>
      </c>
      <c r="E448" s="4">
        <f t="shared" si="56"/>
        <v>2011.4785999999992</v>
      </c>
      <c r="F448" s="3">
        <f t="shared" si="57"/>
        <v>0.98912809711224403</v>
      </c>
      <c r="G448" s="18">
        <f t="shared" si="58"/>
        <v>1</v>
      </c>
      <c r="H448" s="3">
        <f t="shared" si="59"/>
        <v>1.8396146739213748E-2</v>
      </c>
      <c r="I448" s="3">
        <f t="shared" si="60"/>
        <v>1.8396146739213748E-2</v>
      </c>
      <c r="K448" s="12" t="str">
        <f>IF(AND(G448=1,G447&lt;&gt;1),MAX($K$50:K447)+1,"")</f>
        <v/>
      </c>
      <c r="L448" s="13" t="str">
        <f>IF(AND(G448&lt;&gt;1,G447=1),MAX($L$50:L447)+1,"")</f>
        <v/>
      </c>
      <c r="M448" s="13" t="str">
        <f>IF(AND(G448=-1,G447&lt;&gt;-1),MAX($M$50:M447)+1,"")</f>
        <v/>
      </c>
      <c r="N448" s="13" t="str">
        <f>IF(AND(G448&lt;&gt;-1,G447=-1),MAX($N$50:N447)+1,"")</f>
        <v/>
      </c>
      <c r="T448" s="7">
        <f t="shared" si="61"/>
        <v>73.701483303340439</v>
      </c>
      <c r="U448" s="1">
        <f t="shared" si="62"/>
        <v>104.53530465667329</v>
      </c>
    </row>
    <row r="449" spans="1:21" x14ac:dyDescent="0.3">
      <c r="A449" s="2">
        <v>40823</v>
      </c>
      <c r="B449" s="1">
        <v>1973.42</v>
      </c>
      <c r="C449" s="2">
        <f t="shared" si="54"/>
        <v>40823</v>
      </c>
      <c r="D449" s="1">
        <f t="shared" si="55"/>
        <v>1973.42</v>
      </c>
      <c r="E449" s="4">
        <f t="shared" si="56"/>
        <v>2006.7403999999995</v>
      </c>
      <c r="F449" s="3">
        <f t="shared" si="57"/>
        <v>0.98339575961095949</v>
      </c>
      <c r="G449" s="18">
        <f t="shared" si="58"/>
        <v>1</v>
      </c>
      <c r="H449" s="3">
        <f t="shared" si="59"/>
        <v>-8.1372731339306448E-3</v>
      </c>
      <c r="I449" s="3">
        <f t="shared" si="60"/>
        <v>-8.1372731339306448E-3</v>
      </c>
      <c r="K449" s="12" t="str">
        <f>IF(AND(G449=1,G448&lt;&gt;1),MAX($K$50:K448)+1,"")</f>
        <v/>
      </c>
      <c r="L449" s="13" t="str">
        <f>IF(AND(G449&lt;&gt;1,G448=1),MAX($L$50:L448)+1,"")</f>
        <v/>
      </c>
      <c r="M449" s="13" t="str">
        <f>IF(AND(G449=-1,G448&lt;&gt;-1),MAX($M$50:M448)+1,"")</f>
        <v/>
      </c>
      <c r="N449" s="13" t="str">
        <f>IF(AND(G449&lt;&gt;-1,G448=-1),MAX($N$50:N448)+1,"")</f>
        <v/>
      </c>
      <c r="T449" s="7">
        <f t="shared" si="61"/>
        <v>73.101754203325328</v>
      </c>
      <c r="U449" s="1">
        <f t="shared" si="62"/>
        <v>103.68467233054329</v>
      </c>
    </row>
    <row r="450" spans="1:21" x14ac:dyDescent="0.3">
      <c r="A450" s="2">
        <v>40826</v>
      </c>
      <c r="B450" s="1">
        <v>2040.76</v>
      </c>
      <c r="C450" s="2">
        <f t="shared" si="54"/>
        <v>40826</v>
      </c>
      <c r="D450" s="1">
        <f t="shared" si="55"/>
        <v>2040.76</v>
      </c>
      <c r="E450" s="4">
        <f t="shared" si="56"/>
        <v>2003.6339999999996</v>
      </c>
      <c r="F450" s="3">
        <f t="shared" si="57"/>
        <v>1.0185293322033866</v>
      </c>
      <c r="G450" s="18">
        <f t="shared" si="58"/>
        <v>1</v>
      </c>
      <c r="H450" s="3">
        <f t="shared" si="59"/>
        <v>3.4123501332711692E-2</v>
      </c>
      <c r="I450" s="3">
        <f t="shared" si="60"/>
        <v>3.4123501332711692E-2</v>
      </c>
      <c r="K450" s="12" t="str">
        <f>IF(AND(G450=1,G449&lt;&gt;1),MAX($K$50:K449)+1,"")</f>
        <v/>
      </c>
      <c r="L450" s="13" t="str">
        <f>IF(AND(G450&lt;&gt;1,G449=1),MAX($L$50:L449)+1,"")</f>
        <v/>
      </c>
      <c r="M450" s="13" t="str">
        <f>IF(AND(G450=-1,G449&lt;&gt;-1),MAX($M$50:M449)+1,"")</f>
        <v/>
      </c>
      <c r="N450" s="13" t="str">
        <f>IF(AND(G450&lt;&gt;-1,G449=-1),MAX($N$50:N449)+1,"")</f>
        <v/>
      </c>
      <c r="T450" s="7">
        <f t="shared" si="61"/>
        <v>75.596242010306057</v>
      </c>
      <c r="U450" s="1">
        <f t="shared" si="62"/>
        <v>107.22275638499636</v>
      </c>
    </row>
    <row r="451" spans="1:21" x14ac:dyDescent="0.3">
      <c r="A451" s="2">
        <v>40827</v>
      </c>
      <c r="B451" s="1">
        <v>2041.9</v>
      </c>
      <c r="C451" s="2">
        <f t="shared" si="54"/>
        <v>40827</v>
      </c>
      <c r="D451" s="1">
        <f t="shared" si="55"/>
        <v>2041.9</v>
      </c>
      <c r="E451" s="4">
        <f t="shared" si="56"/>
        <v>2000.7319999999995</v>
      </c>
      <c r="F451" s="3">
        <f t="shared" si="57"/>
        <v>1.0205764690123418</v>
      </c>
      <c r="G451" s="18">
        <f t="shared" si="58"/>
        <v>1</v>
      </c>
      <c r="H451" s="3">
        <f t="shared" si="59"/>
        <v>5.5861541778567947E-4</v>
      </c>
      <c r="I451" s="3">
        <f t="shared" si="60"/>
        <v>5.5861541778567947E-4</v>
      </c>
      <c r="K451" s="12" t="str">
        <f>IF(AND(G451=1,G450&lt;&gt;1),MAX($K$50:K450)+1,"")</f>
        <v/>
      </c>
      <c r="L451" s="13" t="str">
        <f>IF(AND(G451&lt;&gt;1,G450=1),MAX($L$50:L450)+1,"")</f>
        <v/>
      </c>
      <c r="M451" s="13" t="str">
        <f>IF(AND(G451=-1,G450&lt;&gt;-1),MAX($M$50:M450)+1,"")</f>
        <v/>
      </c>
      <c r="N451" s="13" t="str">
        <f>IF(AND(G451&lt;&gt;-1,G450=-1),MAX($N$50:N450)+1,"")</f>
        <v/>
      </c>
      <c r="T451" s="7">
        <f t="shared" si="61"/>
        <v>75.638471236619665</v>
      </c>
      <c r="U451" s="1">
        <f t="shared" si="62"/>
        <v>107.28265266985048</v>
      </c>
    </row>
    <row r="452" spans="1:21" x14ac:dyDescent="0.3">
      <c r="A452" s="2">
        <v>40828</v>
      </c>
      <c r="B452" s="1">
        <v>2062.2199999999998</v>
      </c>
      <c r="C452" s="2">
        <f t="shared" si="54"/>
        <v>40828</v>
      </c>
      <c r="D452" s="1">
        <f t="shared" si="55"/>
        <v>2062.2199999999998</v>
      </c>
      <c r="E452" s="4">
        <f t="shared" si="56"/>
        <v>1999.3543999999997</v>
      </c>
      <c r="F452" s="3">
        <f t="shared" si="57"/>
        <v>1.0314429497841904</v>
      </c>
      <c r="G452" s="18">
        <f t="shared" si="58"/>
        <v>1</v>
      </c>
      <c r="H452" s="3">
        <f t="shared" si="59"/>
        <v>9.9515157451390834E-3</v>
      </c>
      <c r="I452" s="3">
        <f t="shared" si="60"/>
        <v>9.9515157451390834E-3</v>
      </c>
      <c r="K452" s="12" t="str">
        <f>IF(AND(G452=1,G451&lt;&gt;1),MAX($K$50:K451)+1,"")</f>
        <v/>
      </c>
      <c r="L452" s="13" t="str">
        <f>IF(AND(G452&lt;&gt;1,G451=1),MAX($L$50:L451)+1,"")</f>
        <v/>
      </c>
      <c r="M452" s="13" t="str">
        <f>IF(AND(G452=-1,G451&lt;&gt;-1),MAX($M$50:M451)+1,"")</f>
        <v/>
      </c>
      <c r="N452" s="13" t="str">
        <f>IF(AND(G452&lt;&gt;-1,G451=-1),MAX($N$50:N451)+1,"")</f>
        <v/>
      </c>
      <c r="T452" s="7">
        <f t="shared" si="61"/>
        <v>76.391188674069141</v>
      </c>
      <c r="U452" s="1">
        <f t="shared" si="62"/>
        <v>108.3502776770748</v>
      </c>
    </row>
    <row r="453" spans="1:21" x14ac:dyDescent="0.3">
      <c r="A453" s="2">
        <v>40829</v>
      </c>
      <c r="B453" s="1">
        <v>2056.2600000000002</v>
      </c>
      <c r="C453" s="2">
        <f t="shared" si="54"/>
        <v>40829</v>
      </c>
      <c r="D453" s="1">
        <f t="shared" si="55"/>
        <v>2056.2600000000002</v>
      </c>
      <c r="E453" s="4">
        <f t="shared" si="56"/>
        <v>1997.6283999999994</v>
      </c>
      <c r="F453" s="3">
        <f t="shared" si="57"/>
        <v>1.0293506039461597</v>
      </c>
      <c r="G453" s="18">
        <f t="shared" si="58"/>
        <v>1</v>
      </c>
      <c r="H453" s="3">
        <f t="shared" si="59"/>
        <v>-2.8900893212167045E-3</v>
      </c>
      <c r="I453" s="3">
        <f t="shared" si="60"/>
        <v>-2.8900893212167045E-3</v>
      </c>
      <c r="K453" s="12" t="str">
        <f>IF(AND(G453=1,G452&lt;&gt;1),MAX($K$50:K452)+1,"")</f>
        <v/>
      </c>
      <c r="L453" s="13" t="str">
        <f>IF(AND(G453&lt;&gt;1,G452=1),MAX($L$50:L452)+1,"")</f>
        <v/>
      </c>
      <c r="M453" s="13" t="str">
        <f>IF(AND(G453=-1,G452&lt;&gt;-1),MAX($M$50:M452)+1,"")</f>
        <v/>
      </c>
      <c r="N453" s="13" t="str">
        <f>IF(AND(G453&lt;&gt;-1,G452=-1),MAX($N$50:N452)+1,"")</f>
        <v/>
      </c>
      <c r="T453" s="7">
        <f t="shared" si="61"/>
        <v>76.170411315447168</v>
      </c>
      <c r="U453" s="1">
        <f t="shared" si="62"/>
        <v>108.03713569660941</v>
      </c>
    </row>
    <row r="454" spans="1:21" x14ac:dyDescent="0.3">
      <c r="A454" s="2">
        <v>40830</v>
      </c>
      <c r="B454" s="1">
        <v>2091.9899999999998</v>
      </c>
      <c r="C454" s="2">
        <f t="shared" si="54"/>
        <v>40830</v>
      </c>
      <c r="D454" s="1">
        <f t="shared" si="55"/>
        <v>2091.9899999999998</v>
      </c>
      <c r="E454" s="4">
        <f t="shared" si="56"/>
        <v>1998.6641999999995</v>
      </c>
      <c r="F454" s="3">
        <f t="shared" si="57"/>
        <v>1.0466940869806947</v>
      </c>
      <c r="G454" s="18">
        <f t="shared" si="58"/>
        <v>1</v>
      </c>
      <c r="H454" s="3">
        <f t="shared" si="59"/>
        <v>1.7376207288961387E-2</v>
      </c>
      <c r="I454" s="3">
        <f t="shared" si="60"/>
        <v>1.7376207288961387E-2</v>
      </c>
      <c r="K454" s="12" t="str">
        <f>IF(AND(G454=1,G453&lt;&gt;1),MAX($K$50:K453)+1,"")</f>
        <v/>
      </c>
      <c r="L454" s="13" t="str">
        <f>IF(AND(G454&lt;&gt;1,G453=1),MAX($L$50:L453)+1,"")</f>
        <v/>
      </c>
      <c r="M454" s="13" t="str">
        <f>IF(AND(G454=-1,G453&lt;&gt;-1),MAX($M$50:M453)+1,"")</f>
        <v/>
      </c>
      <c r="N454" s="13" t="str">
        <f>IF(AND(G454&lt;&gt;-1,G453=-1),MAX($N$50:N453)+1,"")</f>
        <v/>
      </c>
      <c r="T454" s="7">
        <f t="shared" si="61"/>
        <v>77.493964171749823</v>
      </c>
      <c r="U454" s="1">
        <f t="shared" si="62"/>
        <v>109.91441136137934</v>
      </c>
    </row>
    <row r="455" spans="1:21" x14ac:dyDescent="0.3">
      <c r="A455" s="2">
        <v>40833</v>
      </c>
      <c r="B455" s="1">
        <v>2051.54</v>
      </c>
      <c r="C455" s="2">
        <f t="shared" si="54"/>
        <v>40833</v>
      </c>
      <c r="D455" s="1">
        <f t="shared" si="55"/>
        <v>2051.54</v>
      </c>
      <c r="E455" s="4">
        <f t="shared" si="56"/>
        <v>1998.9141999999993</v>
      </c>
      <c r="F455" s="3">
        <f t="shared" si="57"/>
        <v>1.0263271930330979</v>
      </c>
      <c r="G455" s="18">
        <f t="shared" si="58"/>
        <v>1</v>
      </c>
      <c r="H455" s="3">
        <f t="shared" si="59"/>
        <v>-1.9335656480193419E-2</v>
      </c>
      <c r="I455" s="3">
        <f t="shared" si="60"/>
        <v>-1.9335656480193419E-2</v>
      </c>
      <c r="K455" s="12" t="str">
        <f>IF(AND(G455=1,G454&lt;&gt;1),MAX($K$50:K454)+1,"")</f>
        <v/>
      </c>
      <c r="L455" s="13" t="str">
        <f>IF(AND(G455&lt;&gt;1,G454=1),MAX($L$50:L454)+1,"")</f>
        <v/>
      </c>
      <c r="M455" s="13" t="str">
        <f>IF(AND(G455=-1,G454&lt;&gt;-1),MAX($M$50:M454)+1,"")</f>
        <v/>
      </c>
      <c r="N455" s="13" t="str">
        <f>IF(AND(G455&lt;&gt;-1,G454=-1),MAX($N$50:N454)+1,"")</f>
        <v/>
      </c>
      <c r="T455" s="7">
        <f t="shared" si="61"/>
        <v>75.995567501236451</v>
      </c>
      <c r="U455" s="1">
        <f t="shared" si="62"/>
        <v>107.78914406107305</v>
      </c>
    </row>
    <row r="456" spans="1:21" x14ac:dyDescent="0.3">
      <c r="A456" s="2">
        <v>40834</v>
      </c>
      <c r="B456" s="1">
        <v>2093.4299999999998</v>
      </c>
      <c r="C456" s="2">
        <f t="shared" si="54"/>
        <v>40834</v>
      </c>
      <c r="D456" s="1">
        <f t="shared" si="55"/>
        <v>2093.4299999999998</v>
      </c>
      <c r="E456" s="4">
        <f t="shared" si="56"/>
        <v>2002.7133999999994</v>
      </c>
      <c r="F456" s="3">
        <f t="shared" si="57"/>
        <v>1.045296845769345</v>
      </c>
      <c r="G456" s="18">
        <f t="shared" si="58"/>
        <v>1</v>
      </c>
      <c r="H456" s="3">
        <f t="shared" si="59"/>
        <v>2.0418807334977584E-2</v>
      </c>
      <c r="I456" s="3">
        <f t="shared" si="60"/>
        <v>2.0418807334977584E-2</v>
      </c>
      <c r="K456" s="12" t="str">
        <f>IF(AND(G456=1,G455&lt;&gt;1),MAX($K$50:K455)+1,"")</f>
        <v/>
      </c>
      <c r="L456" s="13" t="str">
        <f>IF(AND(G456&lt;&gt;1,G455=1),MAX($L$50:L455)+1,"")</f>
        <v/>
      </c>
      <c r="M456" s="13" t="str">
        <f>IF(AND(G456=-1,G455&lt;&gt;-1),MAX($M$50:M455)+1,"")</f>
        <v/>
      </c>
      <c r="N456" s="13" t="str">
        <f>IF(AND(G456&lt;&gt;-1,G455=-1),MAX($N$50:N455)+1,"")</f>
        <v/>
      </c>
      <c r="T456" s="7">
        <f t="shared" si="61"/>
        <v>77.547306352356486</v>
      </c>
      <c r="U456" s="1">
        <f t="shared" si="62"/>
        <v>109.99006982645822</v>
      </c>
    </row>
    <row r="457" spans="1:21" x14ac:dyDescent="0.3">
      <c r="A457" s="2">
        <v>40835</v>
      </c>
      <c r="B457" s="1">
        <v>2067.2800000000002</v>
      </c>
      <c r="C457" s="2">
        <f t="shared" si="54"/>
        <v>40835</v>
      </c>
      <c r="D457" s="1">
        <f t="shared" si="55"/>
        <v>2067.2800000000002</v>
      </c>
      <c r="E457" s="4">
        <f t="shared" si="56"/>
        <v>2004.1837999999991</v>
      </c>
      <c r="F457" s="3">
        <f t="shared" si="57"/>
        <v>1.0314822422973386</v>
      </c>
      <c r="G457" s="18">
        <f t="shared" si="58"/>
        <v>1</v>
      </c>
      <c r="H457" s="3">
        <f t="shared" si="59"/>
        <v>-1.2491461381560209E-2</v>
      </c>
      <c r="I457" s="3">
        <f t="shared" si="60"/>
        <v>-1.2491461381560209E-2</v>
      </c>
      <c r="K457" s="12" t="str">
        <f>IF(AND(G457=1,G456&lt;&gt;1),MAX($K$50:K456)+1,"")</f>
        <v/>
      </c>
      <c r="L457" s="13" t="str">
        <f>IF(AND(G457&lt;&gt;1,G456=1),MAX($L$50:L456)+1,"")</f>
        <v/>
      </c>
      <c r="M457" s="13" t="str">
        <f>IF(AND(G457=-1,G456&lt;&gt;-1),MAX($M$50:M456)+1,"")</f>
        <v/>
      </c>
      <c r="N457" s="13" t="str">
        <f>IF(AND(G457&lt;&gt;-1,G456=-1),MAX($N$50:N456)+1,"")</f>
        <v/>
      </c>
      <c r="T457" s="7">
        <f t="shared" si="61"/>
        <v>76.578627169812009</v>
      </c>
      <c r="U457" s="1">
        <f t="shared" si="62"/>
        <v>108.61613311686591</v>
      </c>
    </row>
    <row r="458" spans="1:21" x14ac:dyDescent="0.3">
      <c r="A458" s="2">
        <v>40836</v>
      </c>
      <c r="B458" s="1">
        <v>2076.75</v>
      </c>
      <c r="C458" s="2">
        <f t="shared" si="54"/>
        <v>40836</v>
      </c>
      <c r="D458" s="1">
        <f t="shared" si="55"/>
        <v>2076.75</v>
      </c>
      <c r="E458" s="4">
        <f t="shared" si="56"/>
        <v>2007.5881999999992</v>
      </c>
      <c r="F458" s="3">
        <f t="shared" si="57"/>
        <v>1.0344501925245431</v>
      </c>
      <c r="G458" s="18">
        <f t="shared" si="58"/>
        <v>1</v>
      </c>
      <c r="H458" s="3">
        <f t="shared" si="59"/>
        <v>4.5808985720365847E-3</v>
      </c>
      <c r="I458" s="3">
        <f t="shared" si="60"/>
        <v>4.5808985720365847E-3</v>
      </c>
      <c r="K458" s="12" t="str">
        <f>IF(AND(G458=1,G457&lt;&gt;1),MAX($K$50:K457)+1,"")</f>
        <v/>
      </c>
      <c r="L458" s="13" t="str">
        <f>IF(AND(G458&lt;&gt;1,G457=1),MAX($L$50:L457)+1,"")</f>
        <v/>
      </c>
      <c r="M458" s="13" t="str">
        <f>IF(AND(G458=-1,G457&lt;&gt;-1),MAX($M$50:M457)+1,"")</f>
        <v/>
      </c>
      <c r="N458" s="13" t="str">
        <f>IF(AND(G458&lt;&gt;-1,G457=-1),MAX($N$50:N457)+1,"")</f>
        <v/>
      </c>
      <c r="T458" s="7">
        <f t="shared" si="61"/>
        <v>76.929426093662727</v>
      </c>
      <c r="U458" s="1">
        <f t="shared" si="62"/>
        <v>109.11369260596109</v>
      </c>
    </row>
    <row r="459" spans="1:21" x14ac:dyDescent="0.3">
      <c r="A459" s="2">
        <v>40837</v>
      </c>
      <c r="B459" s="1">
        <v>2115.86</v>
      </c>
      <c r="C459" s="2">
        <f t="shared" si="54"/>
        <v>40837</v>
      </c>
      <c r="D459" s="1">
        <f t="shared" si="55"/>
        <v>2115.86</v>
      </c>
      <c r="E459" s="4">
        <f t="shared" si="56"/>
        <v>2010.0025999999991</v>
      </c>
      <c r="F459" s="3">
        <f t="shared" si="57"/>
        <v>1.0526653050100538</v>
      </c>
      <c r="G459" s="18">
        <f t="shared" si="58"/>
        <v>1</v>
      </c>
      <c r="H459" s="3">
        <f t="shared" si="59"/>
        <v>1.8832310099915706E-2</v>
      </c>
      <c r="I459" s="3">
        <f t="shared" si="60"/>
        <v>1.8832310099915706E-2</v>
      </c>
      <c r="K459" s="12" t="str">
        <f>IF(AND(G459=1,G458&lt;&gt;1),MAX($K$50:K458)+1,"")</f>
        <v/>
      </c>
      <c r="L459" s="13" t="str">
        <f>IF(AND(G459&lt;&gt;1,G458=1),MAX($L$50:L458)+1,"")</f>
        <v/>
      </c>
      <c r="M459" s="13" t="str">
        <f>IF(AND(G459=-1,G458&lt;&gt;-1),MAX($M$50:M458)+1,"")</f>
        <v/>
      </c>
      <c r="N459" s="13" t="str">
        <f>IF(AND(G459&lt;&gt;-1,G458=-1),MAX($N$50:N458)+1,"")</f>
        <v/>
      </c>
      <c r="T459" s="7">
        <f t="shared" si="61"/>
        <v>78.378184901667126</v>
      </c>
      <c r="U459" s="1">
        <f t="shared" si="62"/>
        <v>111.16855550126344</v>
      </c>
    </row>
    <row r="460" spans="1:21" x14ac:dyDescent="0.3">
      <c r="A460" s="2">
        <v>40840</v>
      </c>
      <c r="B460" s="1">
        <v>2143.13</v>
      </c>
      <c r="C460" s="2">
        <f t="shared" si="54"/>
        <v>40840</v>
      </c>
      <c r="D460" s="1">
        <f t="shared" si="55"/>
        <v>2143.13</v>
      </c>
      <c r="E460" s="4">
        <f t="shared" si="56"/>
        <v>2012.7517999999993</v>
      </c>
      <c r="F460" s="3">
        <f t="shared" si="57"/>
        <v>1.064776094101618</v>
      </c>
      <c r="G460" s="18">
        <f t="shared" si="58"/>
        <v>1</v>
      </c>
      <c r="H460" s="3">
        <f t="shared" si="59"/>
        <v>1.2888376357603981E-2</v>
      </c>
      <c r="I460" s="3">
        <f t="shared" si="60"/>
        <v>1.2888376357603981E-2</v>
      </c>
      <c r="K460" s="12" t="str">
        <f>IF(AND(G460=1,G459&lt;&gt;1),MAX($K$50:K459)+1,"")</f>
        <v/>
      </c>
      <c r="L460" s="13" t="str">
        <f>IF(AND(G460&lt;&gt;1,G459=1),MAX($L$50:L459)+1,"")</f>
        <v/>
      </c>
      <c r="M460" s="13" t="str">
        <f>IF(AND(G460=-1,G459&lt;&gt;-1),MAX($M$50:M459)+1,"")</f>
        <v/>
      </c>
      <c r="N460" s="13" t="str">
        <f>IF(AND(G460&lt;&gt;-1,G459=-1),MAX($N$50:N459)+1,"")</f>
        <v/>
      </c>
      <c r="T460" s="7">
        <f t="shared" si="61"/>
        <v>79.388352446905685</v>
      </c>
      <c r="U460" s="1">
        <f t="shared" si="62"/>
        <v>112.60133768369491</v>
      </c>
    </row>
    <row r="461" spans="1:21" x14ac:dyDescent="0.3">
      <c r="A461" s="2">
        <v>40841</v>
      </c>
      <c r="B461" s="1">
        <v>2100.17</v>
      </c>
      <c r="C461" s="2">
        <f t="shared" si="54"/>
        <v>40841</v>
      </c>
      <c r="D461" s="1">
        <f t="shared" si="55"/>
        <v>2100.17</v>
      </c>
      <c r="E461" s="4">
        <f t="shared" si="56"/>
        <v>2013.7649999999994</v>
      </c>
      <c r="F461" s="3">
        <f t="shared" si="57"/>
        <v>1.0429071912561796</v>
      </c>
      <c r="G461" s="18">
        <f t="shared" si="58"/>
        <v>1</v>
      </c>
      <c r="H461" s="3">
        <f t="shared" si="59"/>
        <v>-2.004544754634574E-2</v>
      </c>
      <c r="I461" s="3">
        <f t="shared" si="60"/>
        <v>-2.004544754634574E-2</v>
      </c>
      <c r="K461" s="12" t="str">
        <f>IF(AND(G461=1,G460&lt;&gt;1),MAX($K$50:K460)+1,"")</f>
        <v/>
      </c>
      <c r="L461" s="13" t="str">
        <f>IF(AND(G461&lt;&gt;1,G460=1),MAX($L$50:L460)+1,"")</f>
        <v/>
      </c>
      <c r="M461" s="13" t="str">
        <f>IF(AND(G461=-1,G460&lt;&gt;-1),MAX($M$50:M460)+1,"")</f>
        <v/>
      </c>
      <c r="N461" s="13" t="str">
        <f>IF(AND(G461&lt;&gt;-1,G460=-1),MAX($N$50:N460)+1,"")</f>
        <v/>
      </c>
      <c r="T461" s="7">
        <f t="shared" si="61"/>
        <v>77.796977392140434</v>
      </c>
      <c r="U461" s="1">
        <f t="shared" si="62"/>
        <v>110.34419347550804</v>
      </c>
    </row>
    <row r="462" spans="1:21" x14ac:dyDescent="0.3">
      <c r="A462" s="2">
        <v>40842</v>
      </c>
      <c r="B462" s="1">
        <v>2122.3200000000002</v>
      </c>
      <c r="C462" s="2">
        <f t="shared" si="54"/>
        <v>40842</v>
      </c>
      <c r="D462" s="1">
        <f t="shared" si="55"/>
        <v>2122.3200000000002</v>
      </c>
      <c r="E462" s="4">
        <f t="shared" si="56"/>
        <v>2015.6129999999998</v>
      </c>
      <c r="F462" s="3">
        <f t="shared" si="57"/>
        <v>1.0529402221557413</v>
      </c>
      <c r="G462" s="18">
        <f t="shared" si="58"/>
        <v>1</v>
      </c>
      <c r="H462" s="3">
        <f t="shared" si="59"/>
        <v>1.0546765261859825E-2</v>
      </c>
      <c r="I462" s="3">
        <f t="shared" si="60"/>
        <v>1.0546765261859825E-2</v>
      </c>
      <c r="K462" s="12" t="str">
        <f>IF(AND(G462=1,G461&lt;&gt;1),MAX($K$50:K461)+1,"")</f>
        <v/>
      </c>
      <c r="L462" s="13" t="str">
        <f>IF(AND(G462&lt;&gt;1,G461=1),MAX($L$50:L461)+1,"")</f>
        <v/>
      </c>
      <c r="M462" s="13" t="str">
        <f>IF(AND(G462=-1,G461&lt;&gt;-1),MAX($M$50:M461)+1,"")</f>
        <v/>
      </c>
      <c r="N462" s="13" t="str">
        <f>IF(AND(G462&lt;&gt;-1,G461=-1),MAX($N$50:N461)+1,"")</f>
        <v/>
      </c>
      <c r="T462" s="7">
        <f t="shared" si="61"/>
        <v>78.61748385077756</v>
      </c>
      <c r="U462" s="1">
        <f t="shared" si="62"/>
        <v>111.50796778210346</v>
      </c>
    </row>
    <row r="463" spans="1:21" x14ac:dyDescent="0.3">
      <c r="A463" s="2">
        <v>40843</v>
      </c>
      <c r="B463" s="1">
        <v>2195.2199999999998</v>
      </c>
      <c r="C463" s="2">
        <f t="shared" si="54"/>
        <v>40843</v>
      </c>
      <c r="D463" s="1">
        <f t="shared" si="55"/>
        <v>2195.2199999999998</v>
      </c>
      <c r="E463" s="4">
        <f t="shared" si="56"/>
        <v>2018.8691999999999</v>
      </c>
      <c r="F463" s="3">
        <f t="shared" si="57"/>
        <v>1.0873512756547081</v>
      </c>
      <c r="G463" s="18">
        <f t="shared" si="58"/>
        <v>1</v>
      </c>
      <c r="H463" s="3">
        <f t="shared" si="59"/>
        <v>3.4349202759244468E-2</v>
      </c>
      <c r="I463" s="3">
        <f t="shared" si="60"/>
        <v>3.4349202759244468E-2</v>
      </c>
      <c r="K463" s="12" t="str">
        <f>IF(AND(G463=1,G462&lt;&gt;1),MAX($K$50:K462)+1,"")</f>
        <v/>
      </c>
      <c r="L463" s="13" t="str">
        <f>IF(AND(G463&lt;&gt;1,G462=1),MAX($L$50:L462)+1,"")</f>
        <v/>
      </c>
      <c r="M463" s="13" t="str">
        <f>IF(AND(G463=-1,G462&lt;&gt;-1),MAX($M$50:M462)+1,"")</f>
        <v/>
      </c>
      <c r="N463" s="13" t="str">
        <f>IF(AND(G463&lt;&gt;-1,G462=-1),MAX($N$50:N462)+1,"")</f>
        <v/>
      </c>
      <c r="T463" s="7">
        <f t="shared" si="61"/>
        <v>81.317931743989547</v>
      </c>
      <c r="U463" s="1">
        <f t="shared" si="62"/>
        <v>115.33817757672223</v>
      </c>
    </row>
    <row r="464" spans="1:21" x14ac:dyDescent="0.3">
      <c r="A464" s="2">
        <v>40844</v>
      </c>
      <c r="B464" s="1">
        <v>2196.13</v>
      </c>
      <c r="C464" s="2">
        <f t="shared" si="54"/>
        <v>40844</v>
      </c>
      <c r="D464" s="1">
        <f t="shared" si="55"/>
        <v>2196.13</v>
      </c>
      <c r="E464" s="4">
        <f t="shared" si="56"/>
        <v>2023.9533999999996</v>
      </c>
      <c r="F464" s="3">
        <f t="shared" si="57"/>
        <v>1.0850694487333554</v>
      </c>
      <c r="G464" s="18">
        <f t="shared" si="58"/>
        <v>1</v>
      </c>
      <c r="H464" s="3">
        <f t="shared" si="59"/>
        <v>4.145370395678416E-4</v>
      </c>
      <c r="I464" s="3">
        <f t="shared" si="60"/>
        <v>4.145370395678416E-4</v>
      </c>
      <c r="K464" s="12" t="str">
        <f>IF(AND(G464=1,G463&lt;&gt;1),MAX($K$50:K463)+1,"")</f>
        <v/>
      </c>
      <c r="L464" s="13" t="str">
        <f>IF(AND(G464&lt;&gt;1,G463=1),MAX($L$50:L463)+1,"")</f>
        <v/>
      </c>
      <c r="M464" s="13" t="str">
        <f>IF(AND(G464=-1,G463&lt;&gt;-1),MAX($M$50:M463)+1,"")</f>
        <v/>
      </c>
      <c r="N464" s="13" t="str">
        <f>IF(AND(G464&lt;&gt;-1,G463=-1),MAX($N$50:N463)+1,"")</f>
        <v/>
      </c>
      <c r="T464" s="7">
        <f t="shared" si="61"/>
        <v>81.35164103867848</v>
      </c>
      <c r="U464" s="1">
        <f t="shared" si="62"/>
        <v>115.38598952340404</v>
      </c>
    </row>
    <row r="465" spans="1:21" x14ac:dyDescent="0.3">
      <c r="A465" s="2">
        <v>40847</v>
      </c>
      <c r="B465" s="1">
        <v>2141.81</v>
      </c>
      <c r="C465" s="2">
        <f t="shared" si="54"/>
        <v>40847</v>
      </c>
      <c r="D465" s="1">
        <f t="shared" si="55"/>
        <v>2141.81</v>
      </c>
      <c r="E465" s="4">
        <f t="shared" si="56"/>
        <v>2028.5341999999996</v>
      </c>
      <c r="F465" s="3">
        <f t="shared" si="57"/>
        <v>1.0558412079027311</v>
      </c>
      <c r="G465" s="18">
        <f t="shared" si="58"/>
        <v>1</v>
      </c>
      <c r="H465" s="3">
        <f t="shared" si="59"/>
        <v>-2.4734419182835365E-2</v>
      </c>
      <c r="I465" s="3">
        <f t="shared" si="60"/>
        <v>-2.4734419182835365E-2</v>
      </c>
      <c r="K465" s="12" t="str">
        <f>IF(AND(G465=1,G464&lt;&gt;1),MAX($K$50:K464)+1,"")</f>
        <v/>
      </c>
      <c r="L465" s="13" t="str">
        <f>IF(AND(G465&lt;&gt;1,G464=1),MAX($L$50:L464)+1,"")</f>
        <v/>
      </c>
      <c r="M465" s="13" t="str">
        <f>IF(AND(G465=-1,G464&lt;&gt;-1),MAX($M$50:M464)+1,"")</f>
        <v/>
      </c>
      <c r="N465" s="13" t="str">
        <f>IF(AND(G465&lt;&gt;-1,G464=-1),MAX($N$50:N464)+1,"")</f>
        <v/>
      </c>
      <c r="T465" s="7">
        <f t="shared" si="61"/>
        <v>79.339455448016253</v>
      </c>
      <c r="U465" s="1">
        <f t="shared" si="62"/>
        <v>112.5319840907059</v>
      </c>
    </row>
    <row r="466" spans="1:21" x14ac:dyDescent="0.3">
      <c r="A466" s="2">
        <v>40848</v>
      </c>
      <c r="B466" s="1">
        <v>2081.9699999999998</v>
      </c>
      <c r="C466" s="2">
        <f t="shared" si="54"/>
        <v>40848</v>
      </c>
      <c r="D466" s="1">
        <f t="shared" si="55"/>
        <v>2081.9699999999998</v>
      </c>
      <c r="E466" s="4">
        <f t="shared" si="56"/>
        <v>2031.9081999999999</v>
      </c>
      <c r="F466" s="3">
        <f t="shared" si="57"/>
        <v>1.0246378256655493</v>
      </c>
      <c r="G466" s="18">
        <f t="shared" si="58"/>
        <v>1</v>
      </c>
      <c r="H466" s="3">
        <f t="shared" si="59"/>
        <v>-2.7938986184582237E-2</v>
      </c>
      <c r="I466" s="3">
        <f t="shared" si="60"/>
        <v>-2.7938986184582237E-2</v>
      </c>
      <c r="K466" s="12" t="str">
        <f>IF(AND(G466=1,G465&lt;&gt;1),MAX($K$50:K465)+1,"")</f>
        <v/>
      </c>
      <c r="L466" s="13" t="str">
        <f>IF(AND(G466&lt;&gt;1,G465=1),MAX($L$50:L465)+1,"")</f>
        <v/>
      </c>
      <c r="M466" s="13" t="str">
        <f>IF(AND(G466=-1,G465&lt;&gt;-1),MAX($M$50:M465)+1,"")</f>
        <v/>
      </c>
      <c r="N466" s="13" t="str">
        <f>IF(AND(G466&lt;&gt;-1,G465=-1),MAX($N$50:N465)+1,"")</f>
        <v/>
      </c>
      <c r="T466" s="7">
        <f t="shared" si="61"/>
        <v>77.122791498361849</v>
      </c>
      <c r="U466" s="1">
        <f t="shared" si="62"/>
        <v>109.38795454187205</v>
      </c>
    </row>
    <row r="467" spans="1:21" x14ac:dyDescent="0.3">
      <c r="A467" s="2">
        <v>40849</v>
      </c>
      <c r="B467" s="1">
        <v>2115.6999999999998</v>
      </c>
      <c r="C467" s="2">
        <f t="shared" si="54"/>
        <v>40849</v>
      </c>
      <c r="D467" s="1">
        <f t="shared" si="55"/>
        <v>2115.6999999999998</v>
      </c>
      <c r="E467" s="4">
        <f t="shared" si="56"/>
        <v>2034.6443999999997</v>
      </c>
      <c r="F467" s="3">
        <f t="shared" si="57"/>
        <v>1.0398377229947406</v>
      </c>
      <c r="G467" s="18">
        <f t="shared" si="58"/>
        <v>1</v>
      </c>
      <c r="H467" s="3">
        <f t="shared" si="59"/>
        <v>1.6201001935666648E-2</v>
      </c>
      <c r="I467" s="3">
        <f t="shared" si="60"/>
        <v>1.6201001935666648E-2</v>
      </c>
      <c r="K467" s="12" t="str">
        <f>IF(AND(G467=1,G466&lt;&gt;1),MAX($K$50:K466)+1,"")</f>
        <v/>
      </c>
      <c r="L467" s="13" t="str">
        <f>IF(AND(G467&lt;&gt;1,G466=1),MAX($L$50:L466)+1,"")</f>
        <v/>
      </c>
      <c r="M467" s="13" t="str">
        <f>IF(AND(G467=-1,G466&lt;&gt;-1),MAX($M$50:M466)+1,"")</f>
        <v/>
      </c>
      <c r="N467" s="13" t="str">
        <f>IF(AND(G467&lt;&gt;-1,G466=-1),MAX($N$50:N466)+1,"")</f>
        <v/>
      </c>
      <c r="T467" s="7">
        <f t="shared" si="61"/>
        <v>78.372257992710828</v>
      </c>
      <c r="U467" s="1">
        <f t="shared" si="62"/>
        <v>111.16014900514354</v>
      </c>
    </row>
    <row r="468" spans="1:21" x14ac:dyDescent="0.3">
      <c r="A468" s="2">
        <v>40850</v>
      </c>
      <c r="B468" s="1">
        <v>2155.87</v>
      </c>
      <c r="C468" s="2">
        <f t="shared" si="54"/>
        <v>40850</v>
      </c>
      <c r="D468" s="1">
        <f t="shared" si="55"/>
        <v>2155.87</v>
      </c>
      <c r="E468" s="4">
        <f t="shared" si="56"/>
        <v>2037.6591999999998</v>
      </c>
      <c r="F468" s="3">
        <f t="shared" si="57"/>
        <v>1.0580130377052257</v>
      </c>
      <c r="G468" s="18">
        <f t="shared" si="58"/>
        <v>1</v>
      </c>
      <c r="H468" s="3">
        <f t="shared" si="59"/>
        <v>1.8986623812449865E-2</v>
      </c>
      <c r="I468" s="3">
        <f t="shared" si="60"/>
        <v>1.8986623812449865E-2</v>
      </c>
      <c r="K468" s="12" t="str">
        <f>IF(AND(G468=1,G467&lt;&gt;1),MAX($K$50:K467)+1,"")</f>
        <v/>
      </c>
      <c r="L468" s="13" t="str">
        <f>IF(AND(G468&lt;&gt;1,G467=1),MAX($L$50:L467)+1,"")</f>
        <v/>
      </c>
      <c r="M468" s="13" t="str">
        <f>IF(AND(G468=-1,G467&lt;&gt;-1),MAX($M$50:M467)+1,"")</f>
        <v/>
      </c>
      <c r="N468" s="13" t="str">
        <f>IF(AND(G468&lt;&gt;-1,G467=-1),MAX($N$50:N467)+1,"")</f>
        <v/>
      </c>
      <c r="T468" s="7">
        <f t="shared" si="61"/>
        <v>79.860282572550702</v>
      </c>
      <c r="U468" s="1">
        <f t="shared" si="62"/>
        <v>113.27070493724007</v>
      </c>
    </row>
    <row r="469" spans="1:21" x14ac:dyDescent="0.3">
      <c r="A469" s="2">
        <v>40851</v>
      </c>
      <c r="B469" s="1">
        <v>2142.34</v>
      </c>
      <c r="C469" s="2">
        <f t="shared" si="54"/>
        <v>40851</v>
      </c>
      <c r="D469" s="1">
        <f t="shared" si="55"/>
        <v>2142.34</v>
      </c>
      <c r="E469" s="4">
        <f t="shared" si="56"/>
        <v>2041.0267999999999</v>
      </c>
      <c r="F469" s="3">
        <f t="shared" si="57"/>
        <v>1.0496383486978222</v>
      </c>
      <c r="G469" s="18">
        <f t="shared" si="58"/>
        <v>1</v>
      </c>
      <c r="H469" s="3">
        <f t="shared" si="59"/>
        <v>-6.2758886203712061E-3</v>
      </c>
      <c r="I469" s="3">
        <f t="shared" si="60"/>
        <v>-6.2758886203712061E-3</v>
      </c>
      <c r="K469" s="12" t="str">
        <f>IF(AND(G469=1,G468&lt;&gt;1),MAX($K$50:K468)+1,"")</f>
        <v/>
      </c>
      <c r="L469" s="13" t="str">
        <f>IF(AND(G469&lt;&gt;1,G468=1),MAX($L$50:L468)+1,"")</f>
        <v/>
      </c>
      <c r="M469" s="13" t="str">
        <f>IF(AND(G469=-1,G468&lt;&gt;-1),MAX($M$50:M468)+1,"")</f>
        <v/>
      </c>
      <c r="N469" s="13" t="str">
        <f>IF(AND(G469&lt;&gt;-1,G468=-1),MAX($N$50:N468)+1,"")</f>
        <v/>
      </c>
      <c r="T469" s="7">
        <f t="shared" si="61"/>
        <v>79.359088333933997</v>
      </c>
      <c r="U469" s="1">
        <f t="shared" si="62"/>
        <v>112.55983060910302</v>
      </c>
    </row>
    <row r="470" spans="1:21" x14ac:dyDescent="0.3">
      <c r="A470" s="2">
        <v>40854</v>
      </c>
      <c r="B470" s="1">
        <v>2156</v>
      </c>
      <c r="C470" s="2">
        <f t="shared" si="54"/>
        <v>40854</v>
      </c>
      <c r="D470" s="1">
        <f t="shared" si="55"/>
        <v>2156</v>
      </c>
      <c r="E470" s="4">
        <f t="shared" si="56"/>
        <v>2044.0645999999999</v>
      </c>
      <c r="F470" s="3">
        <f t="shared" si="57"/>
        <v>1.0547611851406262</v>
      </c>
      <c r="G470" s="18">
        <f t="shared" si="58"/>
        <v>1</v>
      </c>
      <c r="H470" s="3">
        <f t="shared" si="59"/>
        <v>6.3762054575837723E-3</v>
      </c>
      <c r="I470" s="3">
        <f t="shared" si="60"/>
        <v>6.3762054575837723E-3</v>
      </c>
      <c r="K470" s="12" t="str">
        <f>IF(AND(G470=1,G469&lt;&gt;1),MAX($K$50:K469)+1,"")</f>
        <v/>
      </c>
      <c r="L470" s="13" t="str">
        <f>IF(AND(G470&lt;&gt;1,G469=1),MAX($L$50:L469)+1,"")</f>
        <v/>
      </c>
      <c r="M470" s="13" t="str">
        <f>IF(AND(G470=-1,G469&lt;&gt;-1),MAX($M$50:M469)+1,"")</f>
        <v/>
      </c>
      <c r="N470" s="13" t="str">
        <f>IF(AND(G470&lt;&gt;-1,G469=-1),MAX($N$50:N469)+1,"")</f>
        <v/>
      </c>
      <c r="T470" s="7">
        <f t="shared" si="61"/>
        <v>79.865098186077702</v>
      </c>
      <c r="U470" s="1">
        <f t="shared" si="62"/>
        <v>113.27753521533748</v>
      </c>
    </row>
    <row r="471" spans="1:21" x14ac:dyDescent="0.3">
      <c r="A471" s="2">
        <v>40855</v>
      </c>
      <c r="B471" s="1">
        <v>2182.61</v>
      </c>
      <c r="C471" s="2">
        <f t="shared" si="54"/>
        <v>40855</v>
      </c>
      <c r="D471" s="1">
        <f t="shared" si="55"/>
        <v>2182.61</v>
      </c>
      <c r="E471" s="4">
        <f t="shared" si="56"/>
        <v>2046.4958000000001</v>
      </c>
      <c r="F471" s="3">
        <f t="shared" si="57"/>
        <v>1.0665108621283268</v>
      </c>
      <c r="G471" s="18">
        <f t="shared" si="58"/>
        <v>1</v>
      </c>
      <c r="H471" s="3">
        <f t="shared" si="59"/>
        <v>1.2342300556586361E-2</v>
      </c>
      <c r="I471" s="3">
        <f t="shared" si="60"/>
        <v>1.2342300556586361E-2</v>
      </c>
      <c r="K471" s="12" t="str">
        <f>IF(AND(G471=1,G470&lt;&gt;1),MAX($K$50:K470)+1,"")</f>
        <v/>
      </c>
      <c r="L471" s="13" t="str">
        <f>IF(AND(G471&lt;&gt;1,G470=1),MAX($L$50:L470)+1,"")</f>
        <v/>
      </c>
      <c r="M471" s="13" t="str">
        <f>IF(AND(G471=-1,G470&lt;&gt;-1),MAX($M$50:M470)+1,"")</f>
        <v/>
      </c>
      <c r="N471" s="13" t="str">
        <f>IF(AND(G471&lt;&gt;-1,G470=-1),MAX($N$50:N470)+1,"")</f>
        <v/>
      </c>
      <c r="T471" s="7">
        <f t="shared" si="61"/>
        <v>80.850817231871559</v>
      </c>
      <c r="U471" s="1">
        <f t="shared" si="62"/>
        <v>114.67564060127447</v>
      </c>
    </row>
    <row r="472" spans="1:21" x14ac:dyDescent="0.3">
      <c r="A472" s="2">
        <v>40856</v>
      </c>
      <c r="B472" s="1">
        <v>2102.7199999999998</v>
      </c>
      <c r="C472" s="2">
        <f t="shared" si="54"/>
        <v>40856</v>
      </c>
      <c r="D472" s="1">
        <f t="shared" si="55"/>
        <v>2102.7199999999998</v>
      </c>
      <c r="E472" s="4">
        <f t="shared" si="56"/>
        <v>2047.2228</v>
      </c>
      <c r="F472" s="3">
        <f t="shared" si="57"/>
        <v>1.0271085296627216</v>
      </c>
      <c r="G472" s="18">
        <f t="shared" si="58"/>
        <v>1</v>
      </c>
      <c r="H472" s="3">
        <f t="shared" si="59"/>
        <v>-3.6602966173526319E-2</v>
      </c>
      <c r="I472" s="3">
        <f t="shared" si="60"/>
        <v>-3.6602966173526319E-2</v>
      </c>
      <c r="K472" s="12" t="str">
        <f>IF(AND(G472=1,G471&lt;&gt;1),MAX($K$50:K471)+1,"")</f>
        <v/>
      </c>
      <c r="L472" s="13" t="str">
        <f>IF(AND(G472&lt;&gt;1,G471=1),MAX($L$50:L471)+1,"")</f>
        <v/>
      </c>
      <c r="M472" s="13" t="str">
        <f>IF(AND(G472=-1,G471&lt;&gt;-1),MAX($M$50:M471)+1,"")</f>
        <v/>
      </c>
      <c r="N472" s="13" t="str">
        <f>IF(AND(G472&lt;&gt;-1,G471=-1),MAX($N$50:N471)+1,"")</f>
        <v/>
      </c>
      <c r="T472" s="7">
        <f t="shared" si="61"/>
        <v>77.891437503631408</v>
      </c>
      <c r="U472" s="1">
        <f t="shared" si="62"/>
        <v>110.47817200741856</v>
      </c>
    </row>
    <row r="473" spans="1:21" x14ac:dyDescent="0.3">
      <c r="A473" s="2">
        <v>40857</v>
      </c>
      <c r="B473" s="1">
        <v>2121.14</v>
      </c>
      <c r="C473" s="2">
        <f t="shared" si="54"/>
        <v>40857</v>
      </c>
      <c r="D473" s="1">
        <f t="shared" si="55"/>
        <v>2121.14</v>
      </c>
      <c r="E473" s="4">
        <f t="shared" si="56"/>
        <v>2048.11</v>
      </c>
      <c r="F473" s="3">
        <f t="shared" si="57"/>
        <v>1.0356572645023947</v>
      </c>
      <c r="G473" s="18">
        <f t="shared" si="58"/>
        <v>1</v>
      </c>
      <c r="H473" s="3">
        <f t="shared" si="59"/>
        <v>8.7600821792725991E-3</v>
      </c>
      <c r="I473" s="3">
        <f t="shared" si="60"/>
        <v>8.7600821792725991E-3</v>
      </c>
      <c r="K473" s="12" t="str">
        <f>IF(AND(G473=1,G472&lt;&gt;1),MAX($K$50:K472)+1,"")</f>
        <v/>
      </c>
      <c r="L473" s="13" t="str">
        <f>IF(AND(G473&lt;&gt;1,G472=1),MAX($L$50:L472)+1,"")</f>
        <v/>
      </c>
      <c r="M473" s="13" t="str">
        <f>IF(AND(G473=-1,G472&lt;&gt;-1),MAX($M$50:M472)+1,"")</f>
        <v/>
      </c>
      <c r="N473" s="13" t="str">
        <f>IF(AND(G473&lt;&gt;-1,G472=-1),MAX($N$50:N472)+1,"")</f>
        <v/>
      </c>
      <c r="T473" s="7">
        <f t="shared" si="61"/>
        <v>78.573772897224899</v>
      </c>
      <c r="U473" s="1">
        <f t="shared" si="62"/>
        <v>111.44596987321937</v>
      </c>
    </row>
    <row r="474" spans="1:21" x14ac:dyDescent="0.3">
      <c r="A474" s="2">
        <v>40858</v>
      </c>
      <c r="B474" s="1">
        <v>2162.48</v>
      </c>
      <c r="C474" s="2">
        <f t="shared" si="54"/>
        <v>40858</v>
      </c>
      <c r="D474" s="1">
        <f t="shared" si="55"/>
        <v>2162.48</v>
      </c>
      <c r="E474" s="4">
        <f t="shared" si="56"/>
        <v>2050.3136</v>
      </c>
      <c r="F474" s="3">
        <f t="shared" si="57"/>
        <v>1.0547069482444051</v>
      </c>
      <c r="G474" s="18">
        <f t="shared" si="58"/>
        <v>1</v>
      </c>
      <c r="H474" s="3">
        <f t="shared" si="59"/>
        <v>1.9489519786529907E-2</v>
      </c>
      <c r="I474" s="3">
        <f t="shared" si="60"/>
        <v>1.9489519786529907E-2</v>
      </c>
      <c r="K474" s="12" t="str">
        <f>IF(AND(G474=1,G473&lt;&gt;1),MAX($K$50:K473)+1,"")</f>
        <v/>
      </c>
      <c r="L474" s="13" t="str">
        <f>IF(AND(G474&lt;&gt;1,G473=1),MAX($L$50:L473)+1,"")</f>
        <v/>
      </c>
      <c r="M474" s="13" t="str">
        <f>IF(AND(G474=-1,G473&lt;&gt;-1),MAX($M$50:M473)+1,"")</f>
        <v/>
      </c>
      <c r="N474" s="13" t="str">
        <f>IF(AND(G474&lt;&gt;-1,G473=-1),MAX($N$50:N473)+1,"")</f>
        <v/>
      </c>
      <c r="T474" s="7">
        <f t="shared" si="61"/>
        <v>80.105137998807677</v>
      </c>
      <c r="U474" s="1">
        <f t="shared" si="62"/>
        <v>113.6179983081925</v>
      </c>
    </row>
    <row r="475" spans="1:21" x14ac:dyDescent="0.3">
      <c r="A475" s="2">
        <v>40861</v>
      </c>
      <c r="B475" s="1">
        <v>2142.09</v>
      </c>
      <c r="C475" s="2">
        <f t="shared" si="54"/>
        <v>40861</v>
      </c>
      <c r="D475" s="1">
        <f t="shared" si="55"/>
        <v>2142.09</v>
      </c>
      <c r="E475" s="4">
        <f t="shared" si="56"/>
        <v>2053.1453999999999</v>
      </c>
      <c r="F475" s="3">
        <f t="shared" si="57"/>
        <v>1.0433211403342404</v>
      </c>
      <c r="G475" s="18">
        <f t="shared" si="58"/>
        <v>1</v>
      </c>
      <c r="H475" s="3">
        <f t="shared" si="59"/>
        <v>-9.4289889386259818E-3</v>
      </c>
      <c r="I475" s="3">
        <f t="shared" si="60"/>
        <v>-9.4289889386259818E-3</v>
      </c>
      <c r="K475" s="12" t="str">
        <f>IF(AND(G475=1,G474&lt;&gt;1),MAX($K$50:K474)+1,"")</f>
        <v/>
      </c>
      <c r="L475" s="13" t="str">
        <f>IF(AND(G475&lt;&gt;1,G474=1),MAX($L$50:L474)+1,"")</f>
        <v/>
      </c>
      <c r="M475" s="13" t="str">
        <f>IF(AND(G475=-1,G474&lt;&gt;-1),MAX($M$50:M474)+1,"")</f>
        <v/>
      </c>
      <c r="N475" s="13" t="str">
        <f>IF(AND(G475&lt;&gt;-1,G474=-1),MAX($N$50:N474)+1,"")</f>
        <v/>
      </c>
      <c r="T475" s="7">
        <f t="shared" si="61"/>
        <v>79.349827538689809</v>
      </c>
      <c r="U475" s="1">
        <f t="shared" si="62"/>
        <v>112.54669545891572</v>
      </c>
    </row>
    <row r="476" spans="1:21" x14ac:dyDescent="0.3">
      <c r="A476" s="2">
        <v>40862</v>
      </c>
      <c r="B476" s="1">
        <v>2152.8000000000002</v>
      </c>
      <c r="C476" s="2">
        <f t="shared" si="54"/>
        <v>40862</v>
      </c>
      <c r="D476" s="1">
        <f t="shared" si="55"/>
        <v>2152.8000000000002</v>
      </c>
      <c r="E476" s="4">
        <f t="shared" si="56"/>
        <v>2056.4879999999998</v>
      </c>
      <c r="F476" s="3">
        <f t="shared" si="57"/>
        <v>1.0468332419153432</v>
      </c>
      <c r="G476" s="18">
        <f t="shared" si="58"/>
        <v>1</v>
      </c>
      <c r="H476" s="3">
        <f t="shared" si="59"/>
        <v>4.9997899247931077E-3</v>
      </c>
      <c r="I476" s="3">
        <f t="shared" si="60"/>
        <v>4.9997899247931077E-3</v>
      </c>
      <c r="K476" s="12" t="str">
        <f>IF(AND(G476=1,G475&lt;&gt;1),MAX($K$50:K475)+1,"")</f>
        <v/>
      </c>
      <c r="L476" s="13" t="str">
        <f>IF(AND(G476&lt;&gt;1,G475=1),MAX($L$50:L475)+1,"")</f>
        <v/>
      </c>
      <c r="M476" s="13" t="str">
        <f>IF(AND(G476=-1,G475&lt;&gt;-1),MAX($M$50:M475)+1,"")</f>
        <v/>
      </c>
      <c r="N476" s="13" t="str">
        <f>IF(AND(G476&lt;&gt;-1,G475=-1),MAX($N$50:N475)+1,"")</f>
        <v/>
      </c>
      <c r="T476" s="7">
        <f t="shared" si="61"/>
        <v>79.746560006951825</v>
      </c>
      <c r="U476" s="1">
        <f t="shared" si="62"/>
        <v>113.10940529293997</v>
      </c>
    </row>
    <row r="477" spans="1:21" x14ac:dyDescent="0.3">
      <c r="A477" s="2">
        <v>40863</v>
      </c>
      <c r="B477" s="1">
        <v>2117.64</v>
      </c>
      <c r="C477" s="2">
        <f t="shared" si="54"/>
        <v>40863</v>
      </c>
      <c r="D477" s="1">
        <f t="shared" si="55"/>
        <v>2117.64</v>
      </c>
      <c r="E477" s="4">
        <f t="shared" si="56"/>
        <v>2057.9797999999996</v>
      </c>
      <c r="F477" s="3">
        <f t="shared" si="57"/>
        <v>1.0289896917355557</v>
      </c>
      <c r="G477" s="18">
        <f t="shared" si="58"/>
        <v>1</v>
      </c>
      <c r="H477" s="3">
        <f t="shared" si="59"/>
        <v>-1.6332218506131646E-2</v>
      </c>
      <c r="I477" s="3">
        <f t="shared" si="60"/>
        <v>-1.6332218506131646E-2</v>
      </c>
      <c r="K477" s="12" t="str">
        <f>IF(AND(G477=1,G476&lt;&gt;1),MAX($K$50:K476)+1,"")</f>
        <v/>
      </c>
      <c r="L477" s="13" t="str">
        <f>IF(AND(G477&lt;&gt;1,G476=1),MAX($L$50:L476)+1,"")</f>
        <v/>
      </c>
      <c r="M477" s="13" t="str">
        <f>IF(AND(G477=-1,G476&lt;&gt;-1),MAX($M$50:M476)+1,"")</f>
        <v/>
      </c>
      <c r="N477" s="13" t="str">
        <f>IF(AND(G477&lt;&gt;-1,G476=-1),MAX($N$50:N476)+1,"")</f>
        <v/>
      </c>
      <c r="T477" s="7">
        <f t="shared" si="61"/>
        <v>78.444121763805953</v>
      </c>
      <c r="U477" s="1">
        <f t="shared" si="62"/>
        <v>111.26207777059707</v>
      </c>
    </row>
    <row r="478" spans="1:21" x14ac:dyDescent="0.3">
      <c r="A478" s="2">
        <v>40864</v>
      </c>
      <c r="B478" s="1">
        <v>2082.1</v>
      </c>
      <c r="C478" s="2">
        <f t="shared" si="54"/>
        <v>40864</v>
      </c>
      <c r="D478" s="1">
        <f t="shared" si="55"/>
        <v>2082.1</v>
      </c>
      <c r="E478" s="4">
        <f t="shared" si="56"/>
        <v>2059.1934000000001</v>
      </c>
      <c r="F478" s="3">
        <f t="shared" si="57"/>
        <v>1.0111240644030812</v>
      </c>
      <c r="G478" s="18">
        <f t="shared" si="58"/>
        <v>1</v>
      </c>
      <c r="H478" s="3">
        <f t="shared" si="59"/>
        <v>-1.6782833720556778E-2</v>
      </c>
      <c r="I478" s="3">
        <f t="shared" si="60"/>
        <v>-1.6782833720556778E-2</v>
      </c>
      <c r="K478" s="12" t="str">
        <f>IF(AND(G478=1,G477&lt;&gt;1),MAX($K$50:K477)+1,"")</f>
        <v/>
      </c>
      <c r="L478" s="13" t="str">
        <f>IF(AND(G478&lt;&gt;1,G477=1),MAX($L$50:L477)+1,"")</f>
        <v/>
      </c>
      <c r="M478" s="13" t="str">
        <f>IF(AND(G478=-1,G477&lt;&gt;-1),MAX($M$50:M477)+1,"")</f>
        <v/>
      </c>
      <c r="N478" s="13" t="str">
        <f>IF(AND(G478&lt;&gt;-1,G477=-1),MAX($N$50:N477)+1,"")</f>
        <v/>
      </c>
      <c r="T478" s="7">
        <f t="shared" si="61"/>
        <v>77.127607111888892</v>
      </c>
      <c r="U478" s="1">
        <f t="shared" si="62"/>
        <v>109.39478481996947</v>
      </c>
    </row>
    <row r="479" spans="1:21" x14ac:dyDescent="0.3">
      <c r="A479" s="2">
        <v>40865</v>
      </c>
      <c r="B479" s="1">
        <v>2081.42</v>
      </c>
      <c r="C479" s="2">
        <f t="shared" si="54"/>
        <v>40865</v>
      </c>
      <c r="D479" s="1">
        <f t="shared" si="55"/>
        <v>2081.42</v>
      </c>
      <c r="E479" s="4">
        <f t="shared" si="56"/>
        <v>2061.4724000000001</v>
      </c>
      <c r="F479" s="3">
        <f t="shared" si="57"/>
        <v>1.0096763847044472</v>
      </c>
      <c r="G479" s="18">
        <f t="shared" si="58"/>
        <v>1</v>
      </c>
      <c r="H479" s="3">
        <f t="shared" si="59"/>
        <v>-3.2659334325912948E-4</v>
      </c>
      <c r="I479" s="3">
        <f t="shared" si="60"/>
        <v>-3.2659334325912948E-4</v>
      </c>
      <c r="K479" s="12" t="str">
        <f>IF(AND(G479=1,G478&lt;&gt;1),MAX($K$50:K478)+1,"")</f>
        <v/>
      </c>
      <c r="L479" s="13" t="str">
        <f>IF(AND(G479&lt;&gt;1,G478=1),MAX($L$50:L478)+1,"")</f>
        <v/>
      </c>
      <c r="M479" s="13" t="str">
        <f>IF(AND(G479=-1,G478&lt;&gt;-1),MAX($M$50:M478)+1,"")</f>
        <v/>
      </c>
      <c r="N479" s="13" t="str">
        <f>IF(AND(G479&lt;&gt;-1,G478=-1),MAX($N$50:N478)+1,"")</f>
        <v/>
      </c>
      <c r="T479" s="7">
        <f t="shared" si="61"/>
        <v>77.102417748824649</v>
      </c>
      <c r="U479" s="1">
        <f t="shared" si="62"/>
        <v>109.35905721146001</v>
      </c>
    </row>
    <row r="480" spans="1:21" x14ac:dyDescent="0.3">
      <c r="A480" s="2">
        <v>40868</v>
      </c>
      <c r="B480" s="1">
        <v>2042.71</v>
      </c>
      <c r="C480" s="2">
        <f t="shared" si="54"/>
        <v>40868</v>
      </c>
      <c r="D480" s="1">
        <f t="shared" si="55"/>
        <v>2042.71</v>
      </c>
      <c r="E480" s="4">
        <f t="shared" si="56"/>
        <v>2062.7006000000001</v>
      </c>
      <c r="F480" s="3">
        <f t="shared" si="57"/>
        <v>0.9903085304769873</v>
      </c>
      <c r="G480" s="18">
        <f t="shared" si="58"/>
        <v>1</v>
      </c>
      <c r="H480" s="3">
        <f t="shared" si="59"/>
        <v>-1.8597880293261371E-2</v>
      </c>
      <c r="I480" s="3">
        <f t="shared" si="60"/>
        <v>-1.8597880293261371E-2</v>
      </c>
      <c r="K480" s="12" t="str">
        <f>IF(AND(G480=1,G479&lt;&gt;1),MAX($K$50:K479)+1,"")</f>
        <v/>
      </c>
      <c r="L480" s="13" t="str">
        <f>IF(AND(G480&lt;&gt;1,G479=1),MAX($L$50:L479)+1,"")</f>
        <v/>
      </c>
      <c r="M480" s="13" t="str">
        <f>IF(AND(G480=-1,G479&lt;&gt;-1),MAX($M$50:M479)+1,"")</f>
        <v/>
      </c>
      <c r="N480" s="13" t="str">
        <f>IF(AND(G480&lt;&gt;-1,G479=-1),MAX($N$50:N479)+1,"")</f>
        <v/>
      </c>
      <c r="T480" s="7">
        <f t="shared" si="61"/>
        <v>75.66847621321098</v>
      </c>
      <c r="U480" s="1">
        <f t="shared" si="62"/>
        <v>107.32521055645736</v>
      </c>
    </row>
    <row r="481" spans="1:21" x14ac:dyDescent="0.3">
      <c r="A481" s="2">
        <v>40869</v>
      </c>
      <c r="B481" s="1">
        <v>2034.41</v>
      </c>
      <c r="C481" s="2">
        <f t="shared" si="54"/>
        <v>40869</v>
      </c>
      <c r="D481" s="1">
        <f t="shared" si="55"/>
        <v>2034.41</v>
      </c>
      <c r="E481" s="4">
        <f t="shared" si="56"/>
        <v>2063.3872000000001</v>
      </c>
      <c r="F481" s="3">
        <f t="shared" si="57"/>
        <v>0.98595648940732017</v>
      </c>
      <c r="G481" s="18">
        <f t="shared" si="58"/>
        <v>1</v>
      </c>
      <c r="H481" s="3">
        <f t="shared" si="59"/>
        <v>-4.06322972913431E-3</v>
      </c>
      <c r="I481" s="3">
        <f t="shared" si="60"/>
        <v>-4.06322972913431E-3</v>
      </c>
      <c r="K481" s="12" t="str">
        <f>IF(AND(G481=1,G480&lt;&gt;1),MAX($K$50:K480)+1,"")</f>
        <v/>
      </c>
      <c r="L481" s="13" t="str">
        <f>IF(AND(G481&lt;&gt;1,G480=1),MAX($L$50:L480)+1,"")</f>
        <v/>
      </c>
      <c r="M481" s="13" t="str">
        <f>IF(AND(G481=-1,G480&lt;&gt;-1),MAX($M$50:M480)+1,"")</f>
        <v/>
      </c>
      <c r="N481" s="13" t="str">
        <f>IF(AND(G481&lt;&gt;-1,G480=-1),MAX($N$50:N480)+1,"")</f>
        <v/>
      </c>
      <c r="T481" s="7">
        <f t="shared" si="61"/>
        <v>75.361017811103167</v>
      </c>
      <c r="U481" s="1">
        <f t="shared" si="62"/>
        <v>106.88912357023877</v>
      </c>
    </row>
    <row r="482" spans="1:21" x14ac:dyDescent="0.3">
      <c r="A482" s="2">
        <v>40870</v>
      </c>
      <c r="B482" s="1">
        <v>1989.54</v>
      </c>
      <c r="C482" s="2">
        <f t="shared" si="54"/>
        <v>40870</v>
      </c>
      <c r="D482" s="1">
        <f t="shared" si="55"/>
        <v>1989.54</v>
      </c>
      <c r="E482" s="4">
        <f t="shared" si="56"/>
        <v>2062.6371999999997</v>
      </c>
      <c r="F482" s="3">
        <f t="shared" si="57"/>
        <v>0.96456129075922814</v>
      </c>
      <c r="G482" s="18">
        <f t="shared" si="58"/>
        <v>1</v>
      </c>
      <c r="H482" s="3">
        <f t="shared" si="59"/>
        <v>-2.2055534528438225E-2</v>
      </c>
      <c r="I482" s="3">
        <f t="shared" si="60"/>
        <v>-2.2055534528438225E-2</v>
      </c>
      <c r="K482" s="12" t="str">
        <f>IF(AND(G482=1,G481&lt;&gt;1),MAX($K$50:K481)+1,"")</f>
        <v/>
      </c>
      <c r="L482" s="13" t="str">
        <f>IF(AND(G482&lt;&gt;1,G481=1),MAX($L$50:L481)+1,"")</f>
        <v/>
      </c>
      <c r="M482" s="13" t="str">
        <f>IF(AND(G482=-1,G481&lt;&gt;-1),MAX($M$50:M481)+1,"")</f>
        <v/>
      </c>
      <c r="N482" s="13" t="str">
        <f>IF(AND(G482&lt;&gt;-1,G481=-1),MAX($N$50:N481)+1,"")</f>
        <v/>
      </c>
      <c r="T482" s="7">
        <f t="shared" si="61"/>
        <v>73.698890280672131</v>
      </c>
      <c r="U482" s="1">
        <f t="shared" si="62"/>
        <v>104.53162681462086</v>
      </c>
    </row>
    <row r="483" spans="1:21" x14ac:dyDescent="0.3">
      <c r="A483" s="2">
        <v>40872</v>
      </c>
      <c r="B483" s="1">
        <v>1984.5</v>
      </c>
      <c r="C483" s="2">
        <f t="shared" si="54"/>
        <v>40872</v>
      </c>
      <c r="D483" s="1">
        <f t="shared" si="55"/>
        <v>1984.5</v>
      </c>
      <c r="E483" s="4">
        <f t="shared" si="56"/>
        <v>2061.0821999999998</v>
      </c>
      <c r="F483" s="3">
        <f t="shared" si="57"/>
        <v>0.96284369444362783</v>
      </c>
      <c r="G483" s="18">
        <f t="shared" si="58"/>
        <v>1</v>
      </c>
      <c r="H483" s="3">
        <f t="shared" si="59"/>
        <v>-2.5332488917035878E-3</v>
      </c>
      <c r="I483" s="3">
        <f t="shared" si="60"/>
        <v>-2.5332488917035878E-3</v>
      </c>
      <c r="K483" s="12" t="str">
        <f>IF(AND(G483=1,G482&lt;&gt;1),MAX($K$50:K482)+1,"")</f>
        <v/>
      </c>
      <c r="L483" s="13" t="str">
        <f>IF(AND(G483&lt;&gt;1,G482=1),MAX($L$50:L482)+1,"")</f>
        <v/>
      </c>
      <c r="M483" s="13" t="str">
        <f>IF(AND(G483=-1,G482&lt;&gt;-1),MAX($M$50:M482)+1,"")</f>
        <v/>
      </c>
      <c r="N483" s="13" t="str">
        <f>IF(AND(G483&lt;&gt;-1,G482=-1),MAX($N$50:N482)+1,"")</f>
        <v/>
      </c>
      <c r="T483" s="7">
        <f t="shared" si="61"/>
        <v>73.512192648548833</v>
      </c>
      <c r="U483" s="1">
        <f t="shared" si="62"/>
        <v>104.26682218684476</v>
      </c>
    </row>
    <row r="484" spans="1:21" x14ac:dyDescent="0.3">
      <c r="A484" s="2">
        <v>40875</v>
      </c>
      <c r="B484" s="1">
        <v>2042.8</v>
      </c>
      <c r="C484" s="2">
        <f t="shared" si="54"/>
        <v>40875</v>
      </c>
      <c r="D484" s="1">
        <f t="shared" si="55"/>
        <v>2042.8</v>
      </c>
      <c r="E484" s="4">
        <f t="shared" si="56"/>
        <v>2060.4569999999999</v>
      </c>
      <c r="F484" s="3">
        <f t="shared" si="57"/>
        <v>0.99143054186522706</v>
      </c>
      <c r="G484" s="18">
        <f t="shared" si="58"/>
        <v>1</v>
      </c>
      <c r="H484" s="3">
        <f t="shared" si="59"/>
        <v>2.9377676996724666E-2</v>
      </c>
      <c r="I484" s="3">
        <f t="shared" si="60"/>
        <v>2.9377676996724666E-2</v>
      </c>
      <c r="K484" s="12" t="str">
        <f>IF(AND(G484=1,G483&lt;&gt;1),MAX($K$50:K483)+1,"")</f>
        <v/>
      </c>
      <c r="L484" s="13" t="str">
        <f>IF(AND(G484&lt;&gt;1,G483=1),MAX($L$50:L483)+1,"")</f>
        <v/>
      </c>
      <c r="M484" s="13" t="str">
        <f>IF(AND(G484=-1,G483&lt;&gt;-1),MAX($M$50:M483)+1,"")</f>
        <v/>
      </c>
      <c r="N484" s="13" t="str">
        <f>IF(AND(G484&lt;&gt;-1,G483=-1),MAX($N$50:N483)+1,"")</f>
        <v/>
      </c>
      <c r="T484" s="7">
        <f t="shared" si="61"/>
        <v>75.671810099498899</v>
      </c>
      <c r="U484" s="1">
        <f t="shared" si="62"/>
        <v>107.3299392105248</v>
      </c>
    </row>
    <row r="485" spans="1:21" x14ac:dyDescent="0.3">
      <c r="A485" s="2">
        <v>40876</v>
      </c>
      <c r="B485" s="1">
        <v>2048.06</v>
      </c>
      <c r="C485" s="2">
        <f t="shared" si="54"/>
        <v>40876</v>
      </c>
      <c r="D485" s="1">
        <f t="shared" si="55"/>
        <v>2048.06</v>
      </c>
      <c r="E485" s="4">
        <f t="shared" si="56"/>
        <v>2060.3433999999997</v>
      </c>
      <c r="F485" s="3">
        <f t="shared" si="57"/>
        <v>0.99403817829590946</v>
      </c>
      <c r="G485" s="18">
        <f t="shared" si="58"/>
        <v>1</v>
      </c>
      <c r="H485" s="3">
        <f t="shared" si="59"/>
        <v>2.5748971999217662E-3</v>
      </c>
      <c r="I485" s="3">
        <f t="shared" si="60"/>
        <v>2.5748971999217662E-3</v>
      </c>
      <c r="K485" s="12" t="str">
        <f>IF(AND(G485=1,G484&lt;&gt;1),MAX($K$50:K484)+1,"")</f>
        <v/>
      </c>
      <c r="L485" s="13" t="str">
        <f>IF(AND(G485&lt;&gt;1,G484=1),MAX($L$50:L484)+1,"")</f>
        <v/>
      </c>
      <c r="M485" s="13" t="str">
        <f>IF(AND(G485=-1,G484&lt;&gt;-1),MAX($M$50:M484)+1,"")</f>
        <v/>
      </c>
      <c r="N485" s="13" t="str">
        <f>IF(AND(G485&lt;&gt;-1,G484=-1),MAX($N$50:N484)+1,"")</f>
        <v/>
      </c>
      <c r="T485" s="7">
        <f t="shared" si="61"/>
        <v>75.866657231437117</v>
      </c>
      <c r="U485" s="1">
        <f t="shared" si="62"/>
        <v>107.60630277046573</v>
      </c>
    </row>
    <row r="486" spans="1:21" x14ac:dyDescent="0.3">
      <c r="A486" s="2">
        <v>40877</v>
      </c>
      <c r="B486" s="1">
        <v>2137.08</v>
      </c>
      <c r="C486" s="2">
        <f t="shared" si="54"/>
        <v>40877</v>
      </c>
      <c r="D486" s="1">
        <f t="shared" si="55"/>
        <v>2137.08</v>
      </c>
      <c r="E486" s="4">
        <f t="shared" si="56"/>
        <v>2062.0772000000002</v>
      </c>
      <c r="F486" s="3">
        <f t="shared" si="57"/>
        <v>1.0363724500712193</v>
      </c>
      <c r="G486" s="18">
        <f t="shared" si="58"/>
        <v>1</v>
      </c>
      <c r="H486" s="3">
        <f t="shared" si="59"/>
        <v>4.3465523470991974E-2</v>
      </c>
      <c r="I486" s="3">
        <f t="shared" si="60"/>
        <v>4.3465523470991974E-2</v>
      </c>
      <c r="K486" s="12" t="str">
        <f>IF(AND(G486=1,G485&lt;&gt;1),MAX($K$50:K485)+1,"")</f>
        <v/>
      </c>
      <c r="L486" s="13" t="str">
        <f>IF(AND(G486&lt;&gt;1,G485=1),MAX($L$50:L485)+1,"")</f>
        <v/>
      </c>
      <c r="M486" s="13" t="str">
        <f>IF(AND(G486=-1,G485&lt;&gt;-1),MAX($M$50:M485)+1,"")</f>
        <v/>
      </c>
      <c r="N486" s="13" t="str">
        <f>IF(AND(G486&lt;&gt;-1,G485=-1),MAX($N$50:N485)+1,"")</f>
        <v/>
      </c>
      <c r="T486" s="7">
        <f t="shared" si="61"/>
        <v>79.16424120199585</v>
      </c>
      <c r="U486" s="1">
        <f t="shared" si="62"/>
        <v>112.2834670491621</v>
      </c>
    </row>
    <row r="487" spans="1:21" x14ac:dyDescent="0.3">
      <c r="A487" s="2">
        <v>40878</v>
      </c>
      <c r="B487" s="1">
        <v>2133.0700000000002</v>
      </c>
      <c r="C487" s="2">
        <f t="shared" si="54"/>
        <v>40878</v>
      </c>
      <c r="D487" s="1">
        <f t="shared" si="55"/>
        <v>2133.0700000000002</v>
      </c>
      <c r="E487" s="4">
        <f t="shared" si="56"/>
        <v>2064.9346</v>
      </c>
      <c r="F487" s="3">
        <f t="shared" si="57"/>
        <v>1.0329963961086226</v>
      </c>
      <c r="G487" s="18">
        <f t="shared" si="58"/>
        <v>1</v>
      </c>
      <c r="H487" s="3">
        <f t="shared" si="59"/>
        <v>-1.8763920863981154E-3</v>
      </c>
      <c r="I487" s="3">
        <f t="shared" si="60"/>
        <v>-1.8763920863981154E-3</v>
      </c>
      <c r="K487" s="12" t="str">
        <f>IF(AND(G487=1,G486&lt;&gt;1),MAX($K$50:K486)+1,"")</f>
        <v/>
      </c>
      <c r="L487" s="13" t="str">
        <f>IF(AND(G487&lt;&gt;1,G486=1),MAX($L$50:L486)+1,"")</f>
        <v/>
      </c>
      <c r="M487" s="13" t="str">
        <f>IF(AND(G487=-1,G486&lt;&gt;-1),MAX($M$50:M486)+1,"")</f>
        <v/>
      </c>
      <c r="N487" s="13" t="str">
        <f>IF(AND(G487&lt;&gt;-1,G486=-1),MAX($N$50:N486)+1,"")</f>
        <v/>
      </c>
      <c r="T487" s="7">
        <f t="shared" si="61"/>
        <v>79.015698046278715</v>
      </c>
      <c r="U487" s="1">
        <f t="shared" si="62"/>
        <v>112.0727792401577</v>
      </c>
    </row>
    <row r="488" spans="1:21" x14ac:dyDescent="0.3">
      <c r="A488" s="2">
        <v>40879</v>
      </c>
      <c r="B488" s="1">
        <v>2132.64</v>
      </c>
      <c r="C488" s="2">
        <f t="shared" si="54"/>
        <v>40879</v>
      </c>
      <c r="D488" s="1">
        <f t="shared" si="55"/>
        <v>2132.64</v>
      </c>
      <c r="E488" s="4">
        <f t="shared" si="56"/>
        <v>2069.0522000000001</v>
      </c>
      <c r="F488" s="3">
        <f t="shared" si="57"/>
        <v>1.0307328157307969</v>
      </c>
      <c r="G488" s="18">
        <f t="shared" si="58"/>
        <v>1</v>
      </c>
      <c r="H488" s="3">
        <f t="shared" si="59"/>
        <v>-2.015873834427806E-4</v>
      </c>
      <c r="I488" s="3">
        <f t="shared" si="60"/>
        <v>-2.015873834427806E-4</v>
      </c>
      <c r="K488" s="12" t="str">
        <f>IF(AND(G488=1,G487&lt;&gt;1),MAX($K$50:K487)+1,"")</f>
        <v/>
      </c>
      <c r="L488" s="13" t="str">
        <f>IF(AND(G488&lt;&gt;1,G487=1),MAX($L$50:L487)+1,"")</f>
        <v/>
      </c>
      <c r="M488" s="13" t="str">
        <f>IF(AND(G488=-1,G487&lt;&gt;-1),MAX($M$50:M487)+1,"")</f>
        <v/>
      </c>
      <c r="N488" s="13" t="str">
        <f>IF(AND(G488&lt;&gt;-1,G487=-1),MAX($N$50:N487)+1,"")</f>
        <v/>
      </c>
      <c r="T488" s="7">
        <f t="shared" si="61"/>
        <v>78.99976947845866</v>
      </c>
      <c r="U488" s="1">
        <f t="shared" si="62"/>
        <v>112.05018678183552</v>
      </c>
    </row>
    <row r="489" spans="1:21" x14ac:dyDescent="0.3">
      <c r="A489" s="2">
        <v>40882</v>
      </c>
      <c r="B489" s="1">
        <v>2154.6799999999998</v>
      </c>
      <c r="C489" s="2">
        <f t="shared" si="54"/>
        <v>40882</v>
      </c>
      <c r="D489" s="1">
        <f t="shared" si="55"/>
        <v>2154.6799999999998</v>
      </c>
      <c r="E489" s="4">
        <f t="shared" si="56"/>
        <v>2073.3712</v>
      </c>
      <c r="F489" s="3">
        <f t="shared" si="57"/>
        <v>1.0392157467992222</v>
      </c>
      <c r="G489" s="18">
        <f t="shared" si="58"/>
        <v>1</v>
      </c>
      <c r="H489" s="3">
        <f t="shared" si="59"/>
        <v>1.0334608747843088E-2</v>
      </c>
      <c r="I489" s="3">
        <f t="shared" si="60"/>
        <v>1.0334608747843088E-2</v>
      </c>
      <c r="K489" s="12" t="str">
        <f>IF(AND(G489=1,G488&lt;&gt;1),MAX($K$50:K488)+1,"")</f>
        <v/>
      </c>
      <c r="L489" s="13" t="str">
        <f>IF(AND(G489&lt;&gt;1,G488=1),MAX($L$50:L488)+1,"")</f>
        <v/>
      </c>
      <c r="M489" s="13" t="str">
        <f>IF(AND(G489=-1,G488&lt;&gt;-1),MAX($M$50:M488)+1,"")</f>
        <v/>
      </c>
      <c r="N489" s="13" t="str">
        <f>IF(AND(G489&lt;&gt;-1,G488=-1),MAX($N$50:N488)+1,"")</f>
        <v/>
      </c>
      <c r="T489" s="7">
        <f t="shared" si="61"/>
        <v>79.816201187188327</v>
      </c>
      <c r="U489" s="1">
        <f t="shared" si="62"/>
        <v>113.20818162234852</v>
      </c>
    </row>
    <row r="490" spans="1:21" x14ac:dyDescent="0.3">
      <c r="A490" s="2">
        <v>40883</v>
      </c>
      <c r="B490" s="1">
        <v>2157.1</v>
      </c>
      <c r="C490" s="2">
        <f t="shared" si="54"/>
        <v>40883</v>
      </c>
      <c r="D490" s="1">
        <f t="shared" si="55"/>
        <v>2157.1</v>
      </c>
      <c r="E490" s="4">
        <f t="shared" si="56"/>
        <v>2076.8337999999999</v>
      </c>
      <c r="F490" s="3">
        <f t="shared" si="57"/>
        <v>1.0386483501953792</v>
      </c>
      <c r="G490" s="18">
        <f t="shared" si="58"/>
        <v>1</v>
      </c>
      <c r="H490" s="3">
        <f t="shared" si="59"/>
        <v>1.1231366142536725E-3</v>
      </c>
      <c r="I490" s="3">
        <f t="shared" si="60"/>
        <v>1.1231366142536725E-3</v>
      </c>
      <c r="K490" s="12" t="str">
        <f>IF(AND(G490=1,G489&lt;&gt;1),MAX($K$50:K489)+1,"")</f>
        <v/>
      </c>
      <c r="L490" s="13" t="str">
        <f>IF(AND(G490&lt;&gt;1,G489=1),MAX($L$50:L489)+1,"")</f>
        <v/>
      </c>
      <c r="M490" s="13" t="str">
        <f>IF(AND(G490=-1,G489&lt;&gt;-1),MAX($M$50:M489)+1,"")</f>
        <v/>
      </c>
      <c r="N490" s="13" t="str">
        <f>IF(AND(G490&lt;&gt;-1,G489=-1),MAX($N$50:N489)+1,"")</f>
        <v/>
      </c>
      <c r="T490" s="7">
        <f t="shared" si="61"/>
        <v>79.9058456851523</v>
      </c>
      <c r="U490" s="1">
        <f t="shared" si="62"/>
        <v>113.33532987616165</v>
      </c>
    </row>
    <row r="491" spans="1:21" x14ac:dyDescent="0.3">
      <c r="A491" s="2">
        <v>40884</v>
      </c>
      <c r="B491" s="1">
        <v>2162.0700000000002</v>
      </c>
      <c r="C491" s="2">
        <f t="shared" si="54"/>
        <v>40884</v>
      </c>
      <c r="D491" s="1">
        <f t="shared" si="55"/>
        <v>2162.0700000000002</v>
      </c>
      <c r="E491" s="4">
        <f t="shared" si="56"/>
        <v>2079.9714000000004</v>
      </c>
      <c r="F491" s="3">
        <f t="shared" si="57"/>
        <v>1.0394710234958038</v>
      </c>
      <c r="G491" s="18">
        <f t="shared" si="58"/>
        <v>1</v>
      </c>
      <c r="H491" s="3">
        <f t="shared" si="59"/>
        <v>2.3040192851515595E-3</v>
      </c>
      <c r="I491" s="3">
        <f t="shared" si="60"/>
        <v>2.3040192851515595E-3</v>
      </c>
      <c r="K491" s="12" t="str">
        <f>IF(AND(G491=1,G490&lt;&gt;1),MAX($K$50:K490)+1,"")</f>
        <v/>
      </c>
      <c r="L491" s="13" t="str">
        <f>IF(AND(G491&lt;&gt;1,G490=1),MAX($L$50:L490)+1,"")</f>
        <v/>
      </c>
      <c r="M491" s="13" t="str">
        <f>IF(AND(G491=-1,G490&lt;&gt;-1),MAX($M$50:M490)+1,"")</f>
        <v/>
      </c>
      <c r="N491" s="13" t="str">
        <f>IF(AND(G491&lt;&gt;-1,G490=-1),MAX($N$50:N490)+1,"")</f>
        <v/>
      </c>
      <c r="T491" s="7">
        <f t="shared" si="61"/>
        <v>80.089950294607235</v>
      </c>
      <c r="U491" s="1">
        <f t="shared" si="62"/>
        <v>113.59645666188534</v>
      </c>
    </row>
    <row r="492" spans="1:21" x14ac:dyDescent="0.3">
      <c r="A492" s="2">
        <v>40885</v>
      </c>
      <c r="B492" s="1">
        <v>2116.41</v>
      </c>
      <c r="C492" s="2">
        <f t="shared" si="54"/>
        <v>40885</v>
      </c>
      <c r="D492" s="1">
        <f t="shared" si="55"/>
        <v>2116.41</v>
      </c>
      <c r="E492" s="4">
        <f t="shared" si="56"/>
        <v>2083.0156000000002</v>
      </c>
      <c r="F492" s="3">
        <f t="shared" si="57"/>
        <v>1.0160317570353288</v>
      </c>
      <c r="G492" s="18">
        <f t="shared" si="58"/>
        <v>1</v>
      </c>
      <c r="H492" s="3">
        <f t="shared" si="59"/>
        <v>-2.1118650182464171E-2</v>
      </c>
      <c r="I492" s="3">
        <f t="shared" si="60"/>
        <v>-2.1118650182464171E-2</v>
      </c>
      <c r="K492" s="12" t="str">
        <f>IF(AND(G492=1,G491&lt;&gt;1),MAX($K$50:K491)+1,"")</f>
        <v/>
      </c>
      <c r="L492" s="13" t="str">
        <f>IF(AND(G492&lt;&gt;1,G491=1),MAX($L$50:L491)+1,"")</f>
        <v/>
      </c>
      <c r="M492" s="13" t="str">
        <f>IF(AND(G492=-1,G491&lt;&gt;-1),MAX($M$50:M491)+1,"")</f>
        <v/>
      </c>
      <c r="N492" s="13" t="str">
        <f>IF(AND(G492&lt;&gt;-1,G491=-1),MAX($N$50:N491)+1,"")</f>
        <v/>
      </c>
      <c r="T492" s="7">
        <f t="shared" si="61"/>
        <v>78.398558651204482</v>
      </c>
      <c r="U492" s="1">
        <f t="shared" si="62"/>
        <v>111.19745283167553</v>
      </c>
    </row>
    <row r="493" spans="1:21" x14ac:dyDescent="0.3">
      <c r="A493" s="2">
        <v>40886</v>
      </c>
      <c r="B493" s="1">
        <v>2152.15</v>
      </c>
      <c r="C493" s="2">
        <f t="shared" si="54"/>
        <v>40886</v>
      </c>
      <c r="D493" s="1">
        <f t="shared" si="55"/>
        <v>2152.15</v>
      </c>
      <c r="E493" s="4">
        <f t="shared" si="56"/>
        <v>2086.4540000000006</v>
      </c>
      <c r="F493" s="3">
        <f t="shared" si="57"/>
        <v>1.0314869151201029</v>
      </c>
      <c r="G493" s="18">
        <f t="shared" si="58"/>
        <v>1</v>
      </c>
      <c r="H493" s="3">
        <f t="shared" si="59"/>
        <v>1.6887087095600606E-2</v>
      </c>
      <c r="I493" s="3">
        <f t="shared" si="60"/>
        <v>1.6887087095600606E-2</v>
      </c>
      <c r="K493" s="12" t="str">
        <f>IF(AND(G493=1,G492&lt;&gt;1),MAX($K$50:K492)+1,"")</f>
        <v/>
      </c>
      <c r="L493" s="13" t="str">
        <f>IF(AND(G493&lt;&gt;1,G492=1),MAX($L$50:L492)+1,"")</f>
        <v/>
      </c>
      <c r="M493" s="13" t="str">
        <f>IF(AND(G493=-1,G492&lt;&gt;-1),MAX($M$50:M492)+1,"")</f>
        <v/>
      </c>
      <c r="N493" s="13" t="str">
        <f>IF(AND(G493&lt;&gt;-1,G492=-1),MAX($N$50:N492)+1,"")</f>
        <v/>
      </c>
      <c r="T493" s="7">
        <f t="shared" si="61"/>
        <v>79.722481939316921</v>
      </c>
      <c r="U493" s="1">
        <f t="shared" si="62"/>
        <v>113.07525390245299</v>
      </c>
    </row>
    <row r="494" spans="1:21" x14ac:dyDescent="0.3">
      <c r="A494" s="2">
        <v>40889</v>
      </c>
      <c r="B494" s="1">
        <v>2120.15</v>
      </c>
      <c r="C494" s="2">
        <f t="shared" si="54"/>
        <v>40889</v>
      </c>
      <c r="D494" s="1">
        <f t="shared" si="55"/>
        <v>2120.15</v>
      </c>
      <c r="E494" s="4">
        <f t="shared" si="56"/>
        <v>2090.2412000000004</v>
      </c>
      <c r="F494" s="3">
        <f t="shared" si="57"/>
        <v>1.0143087792930308</v>
      </c>
      <c r="G494" s="18">
        <f t="shared" si="58"/>
        <v>1</v>
      </c>
      <c r="H494" s="3">
        <f t="shared" si="59"/>
        <v>-1.486885207815436E-2</v>
      </c>
      <c r="I494" s="3">
        <f t="shared" si="60"/>
        <v>-1.486885207815436E-2</v>
      </c>
      <c r="K494" s="12" t="str">
        <f>IF(AND(G494=1,G493&lt;&gt;1),MAX($K$50:K493)+1,"")</f>
        <v/>
      </c>
      <c r="L494" s="13" t="str">
        <f>IF(AND(G494&lt;&gt;1,G493=1),MAX($L$50:L493)+1,"")</f>
        <v/>
      </c>
      <c r="M494" s="13" t="str">
        <f>IF(AND(G494=-1,G493&lt;&gt;-1),MAX($M$50:M493)+1,"")</f>
        <v/>
      </c>
      <c r="N494" s="13" t="str">
        <f>IF(AND(G494&lt;&gt;-1,G493=-1),MAX($N$50:N493)+1,"")</f>
        <v/>
      </c>
      <c r="T494" s="7">
        <f t="shared" si="61"/>
        <v>78.537100148057888</v>
      </c>
      <c r="U494" s="1">
        <f t="shared" si="62"/>
        <v>111.39395467847767</v>
      </c>
    </row>
    <row r="495" spans="1:21" x14ac:dyDescent="0.3">
      <c r="A495" s="2">
        <v>40890</v>
      </c>
      <c r="B495" s="1">
        <v>2102.15</v>
      </c>
      <c r="C495" s="2">
        <f t="shared" si="54"/>
        <v>40890</v>
      </c>
      <c r="D495" s="1">
        <f t="shared" si="55"/>
        <v>2102.15</v>
      </c>
      <c r="E495" s="4">
        <f t="shared" si="56"/>
        <v>2094.7652000000003</v>
      </c>
      <c r="F495" s="3">
        <f t="shared" si="57"/>
        <v>1.0035253593099598</v>
      </c>
      <c r="G495" s="18">
        <f t="shared" si="58"/>
        <v>1</v>
      </c>
      <c r="H495" s="3">
        <f t="shared" si="59"/>
        <v>-8.4899653326415692E-3</v>
      </c>
      <c r="I495" s="3">
        <f t="shared" si="60"/>
        <v>-8.4899653326415692E-3</v>
      </c>
      <c r="K495" s="12" t="str">
        <f>IF(AND(G495=1,G494&lt;&gt;1),MAX($K$50:K494)+1,"")</f>
        <v/>
      </c>
      <c r="L495" s="13" t="str">
        <f>IF(AND(G495&lt;&gt;1,G494=1),MAX($L$50:L494)+1,"")</f>
        <v/>
      </c>
      <c r="M495" s="13" t="str">
        <f>IF(AND(G495=-1,G494&lt;&gt;-1),MAX($M$50:M494)+1,"")</f>
        <v/>
      </c>
      <c r="N495" s="13" t="str">
        <f>IF(AND(G495&lt;&gt;-1,G494=-1),MAX($N$50:N494)+1,"")</f>
        <v/>
      </c>
      <c r="T495" s="7">
        <f t="shared" si="61"/>
        <v>77.870322890474682</v>
      </c>
      <c r="U495" s="1">
        <f t="shared" si="62"/>
        <v>110.44822386499155</v>
      </c>
    </row>
    <row r="496" spans="1:21" x14ac:dyDescent="0.3">
      <c r="A496" s="2">
        <v>40891</v>
      </c>
      <c r="B496" s="1">
        <v>2078.5100000000002</v>
      </c>
      <c r="C496" s="2">
        <f t="shared" si="54"/>
        <v>40891</v>
      </c>
      <c r="D496" s="1">
        <f t="shared" si="55"/>
        <v>2078.5100000000002</v>
      </c>
      <c r="E496" s="4">
        <f t="shared" si="56"/>
        <v>2097.9675999999999</v>
      </c>
      <c r="F496" s="3">
        <f t="shared" si="57"/>
        <v>0.99072550024128125</v>
      </c>
      <c r="G496" s="18">
        <f t="shared" si="58"/>
        <v>1</v>
      </c>
      <c r="H496" s="3">
        <f t="shared" si="59"/>
        <v>-1.1245629474585517E-2</v>
      </c>
      <c r="I496" s="3">
        <f t="shared" si="60"/>
        <v>-1.1245629474585517E-2</v>
      </c>
      <c r="K496" s="12" t="str">
        <f>IF(AND(G496=1,G495&lt;&gt;1),MAX($K$50:K495)+1,"")</f>
        <v/>
      </c>
      <c r="L496" s="13" t="str">
        <f>IF(AND(G496&lt;&gt;1,G495=1),MAX($L$50:L495)+1,"")</f>
        <v/>
      </c>
      <c r="M496" s="13" t="str">
        <f>IF(AND(G496=-1,G495&lt;&gt;-1),MAX($M$50:M495)+1,"")</f>
        <v/>
      </c>
      <c r="N496" s="13" t="str">
        <f>IF(AND(G496&lt;&gt;-1,G495=-1),MAX($N$50:N495)+1,"")</f>
        <v/>
      </c>
      <c r="T496" s="7">
        <f t="shared" si="61"/>
        <v>76.99462209218207</v>
      </c>
      <c r="U496" s="1">
        <f t="shared" si="62"/>
        <v>109.20616406327979</v>
      </c>
    </row>
    <row r="497" spans="1:21" x14ac:dyDescent="0.3">
      <c r="A497" s="2">
        <v>40892</v>
      </c>
      <c r="B497" s="1">
        <v>2085.44</v>
      </c>
      <c r="C497" s="2">
        <f t="shared" si="54"/>
        <v>40892</v>
      </c>
      <c r="D497" s="1">
        <f t="shared" si="55"/>
        <v>2085.44</v>
      </c>
      <c r="E497" s="4">
        <f t="shared" si="56"/>
        <v>2100.6030000000001</v>
      </c>
      <c r="F497" s="3">
        <f t="shared" si="57"/>
        <v>0.99278159652252229</v>
      </c>
      <c r="G497" s="18">
        <f t="shared" si="58"/>
        <v>1</v>
      </c>
      <c r="H497" s="3">
        <f t="shared" si="59"/>
        <v>3.3341191526621294E-3</v>
      </c>
      <c r="I497" s="3">
        <f t="shared" si="60"/>
        <v>3.3341191526621294E-3</v>
      </c>
      <c r="K497" s="12" t="str">
        <f>IF(AND(G497=1,G496&lt;&gt;1),MAX($K$50:K496)+1,"")</f>
        <v/>
      </c>
      <c r="L497" s="13" t="str">
        <f>IF(AND(G497&lt;&gt;1,G496=1),MAX($L$50:L496)+1,"")</f>
        <v/>
      </c>
      <c r="M497" s="13" t="str">
        <f>IF(AND(G497=-1,G496&lt;&gt;-1),MAX($M$50:M496)+1,"")</f>
        <v/>
      </c>
      <c r="N497" s="13" t="str">
        <f>IF(AND(G497&lt;&gt;-1,G496=-1),MAX($N$50:N496)+1,"")</f>
        <v/>
      </c>
      <c r="T497" s="7">
        <f t="shared" si="61"/>
        <v>77.251331336351598</v>
      </c>
      <c r="U497" s="1">
        <f t="shared" si="62"/>
        <v>109.57027042647194</v>
      </c>
    </row>
    <row r="498" spans="1:21" x14ac:dyDescent="0.3">
      <c r="A498" s="2">
        <v>40893</v>
      </c>
      <c r="B498" s="1">
        <v>2092.1799999999998</v>
      </c>
      <c r="C498" s="2">
        <f t="shared" si="54"/>
        <v>40893</v>
      </c>
      <c r="D498" s="1">
        <f t="shared" si="55"/>
        <v>2092.1799999999998</v>
      </c>
      <c r="E498" s="4">
        <f t="shared" si="56"/>
        <v>2102.6543999999999</v>
      </c>
      <c r="F498" s="3">
        <f t="shared" si="57"/>
        <v>0.99501848710848528</v>
      </c>
      <c r="G498" s="18">
        <f t="shared" si="58"/>
        <v>1</v>
      </c>
      <c r="H498" s="3">
        <f t="shared" si="59"/>
        <v>3.2319318704925326E-3</v>
      </c>
      <c r="I498" s="3">
        <f t="shared" si="60"/>
        <v>3.2319318704925326E-3</v>
      </c>
      <c r="K498" s="12" t="str">
        <f>IF(AND(G498=1,G497&lt;&gt;1),MAX($K$50:K497)+1,"")</f>
        <v/>
      </c>
      <c r="L498" s="13" t="str">
        <f>IF(AND(G498&lt;&gt;1,G497=1),MAX($L$50:L497)+1,"")</f>
        <v/>
      </c>
      <c r="M498" s="13" t="str">
        <f>IF(AND(G498=-1,G497&lt;&gt;-1),MAX($M$50:M497)+1,"")</f>
        <v/>
      </c>
      <c r="N498" s="13" t="str">
        <f>IF(AND(G498&lt;&gt;-1,G497=-1),MAX($N$50:N497)+1,"")</f>
        <v/>
      </c>
      <c r="T498" s="7">
        <f t="shared" si="61"/>
        <v>77.501002376135531</v>
      </c>
      <c r="U498" s="1">
        <f t="shared" si="62"/>
        <v>109.92439407552173</v>
      </c>
    </row>
    <row r="499" spans="1:21" x14ac:dyDescent="0.3">
      <c r="A499" s="2">
        <v>40896</v>
      </c>
      <c r="B499" s="1">
        <v>2067.67</v>
      </c>
      <c r="C499" s="2">
        <f t="shared" si="54"/>
        <v>40896</v>
      </c>
      <c r="D499" s="1">
        <f t="shared" si="55"/>
        <v>2067.67</v>
      </c>
      <c r="E499" s="4">
        <f t="shared" si="56"/>
        <v>2104.5394000000001</v>
      </c>
      <c r="F499" s="3">
        <f t="shared" si="57"/>
        <v>0.98248101223479112</v>
      </c>
      <c r="G499" s="18">
        <f t="shared" si="58"/>
        <v>1</v>
      </c>
      <c r="H499" s="3">
        <f t="shared" si="59"/>
        <v>-1.1715053198099512E-2</v>
      </c>
      <c r="I499" s="3">
        <f t="shared" si="60"/>
        <v>-1.1715053198099512E-2</v>
      </c>
      <c r="K499" s="12" t="str">
        <f>IF(AND(G499=1,G498&lt;&gt;1),MAX($K$50:K498)+1,"")</f>
        <v/>
      </c>
      <c r="L499" s="13" t="str">
        <f>IF(AND(G499&lt;&gt;1,G498=1),MAX($L$50:L498)+1,"")</f>
        <v/>
      </c>
      <c r="M499" s="13" t="str">
        <f>IF(AND(G499=-1,G498&lt;&gt;-1),MAX($M$50:M498)+1,"")</f>
        <v/>
      </c>
      <c r="N499" s="13" t="str">
        <f>IF(AND(G499&lt;&gt;-1,G498=-1),MAX($N$50:N498)+1,"")</f>
        <v/>
      </c>
      <c r="T499" s="7">
        <f t="shared" si="61"/>
        <v>76.593074010393067</v>
      </c>
      <c r="U499" s="1">
        <f t="shared" si="62"/>
        <v>108.63662395115814</v>
      </c>
    </row>
    <row r="500" spans="1:21" x14ac:dyDescent="0.3">
      <c r="A500" s="2">
        <v>40897</v>
      </c>
      <c r="B500" s="1">
        <v>2129.67</v>
      </c>
      <c r="C500" s="2">
        <f t="shared" ref="C500:C563" si="63">A500</f>
        <v>40897</v>
      </c>
      <c r="D500" s="1">
        <f t="shared" ref="D500:D563" si="64">B500</f>
        <v>2129.67</v>
      </c>
      <c r="E500" s="4">
        <f t="shared" ref="E500:E563" si="65">AVERAGE(B451:B500)</f>
        <v>2106.3176000000003</v>
      </c>
      <c r="F500" s="3">
        <f t="shared" ref="F500:F563" si="66">D500/E500</f>
        <v>1.0110868370467967</v>
      </c>
      <c r="G500" s="18">
        <f t="shared" ref="G500:G563" si="67">IF(F500&gt;=$Q$51,1,IF(F500&lt;=$Q$52,-1,0))</f>
        <v>1</v>
      </c>
      <c r="H500" s="3">
        <f t="shared" si="59"/>
        <v>2.9985442551277552E-2</v>
      </c>
      <c r="I500" s="3">
        <f t="shared" si="60"/>
        <v>2.9985442551277552E-2</v>
      </c>
      <c r="K500" s="12" t="str">
        <f>IF(AND(G500=1,G499&lt;&gt;1),MAX($K$50:K499)+1,"")</f>
        <v/>
      </c>
      <c r="L500" s="13" t="str">
        <f>IF(AND(G500&lt;&gt;1,G499=1),MAX($L$50:L499)+1,"")</f>
        <v/>
      </c>
      <c r="M500" s="13" t="str">
        <f>IF(AND(G500=-1,G499&lt;&gt;-1),MAX($M$50:M499)+1,"")</f>
        <v/>
      </c>
      <c r="N500" s="13" t="str">
        <f>IF(AND(G500&lt;&gt;-1,G499=-1),MAX($N$50:N499)+1,"")</f>
        <v/>
      </c>
      <c r="T500" s="7">
        <f t="shared" si="61"/>
        <v>78.889751230957458</v>
      </c>
      <c r="U500" s="1">
        <f t="shared" si="62"/>
        <v>111.89414119761032</v>
      </c>
    </row>
    <row r="501" spans="1:21" x14ac:dyDescent="0.3">
      <c r="A501" s="2">
        <v>40898</v>
      </c>
      <c r="B501" s="1">
        <v>2133.86</v>
      </c>
      <c r="C501" s="2">
        <f t="shared" si="63"/>
        <v>40898</v>
      </c>
      <c r="D501" s="1">
        <f t="shared" si="64"/>
        <v>2133.86</v>
      </c>
      <c r="E501" s="4">
        <f t="shared" si="65"/>
        <v>2108.1568000000002</v>
      </c>
      <c r="F501" s="3">
        <f t="shared" si="66"/>
        <v>1.0121922619797541</v>
      </c>
      <c r="G501" s="18">
        <f t="shared" si="67"/>
        <v>1</v>
      </c>
      <c r="H501" s="3">
        <f t="shared" ref="H501:H564" si="68">D501/D500-1</f>
        <v>1.9674409650320968E-3</v>
      </c>
      <c r="I501" s="3">
        <f t="shared" ref="I501:I564" si="69">G500*H501</f>
        <v>1.9674409650320968E-3</v>
      </c>
      <c r="K501" s="12" t="str">
        <f>IF(AND(G501=1,G500&lt;&gt;1),MAX($K$50:K500)+1,"")</f>
        <v/>
      </c>
      <c r="L501" s="13" t="str">
        <f>IF(AND(G501&lt;&gt;1,G500=1),MAX($L$50:L500)+1,"")</f>
        <v/>
      </c>
      <c r="M501" s="13" t="str">
        <f>IF(AND(G501=-1,G500&lt;&gt;-1),MAX($M$50:M500)+1,"")</f>
        <v/>
      </c>
      <c r="N501" s="13" t="str">
        <f>IF(AND(G501&lt;&gt;-1,G500=-1),MAX($N$50:N500)+1,"")</f>
        <v/>
      </c>
      <c r="T501" s="7">
        <f t="shared" ref="T501:T564" si="70">T500*(1+I501)</f>
        <v>79.044962159250431</v>
      </c>
      <c r="U501" s="1">
        <f t="shared" ref="U501:U564" si="71">U500*D501/D500</f>
        <v>112.11428631474961</v>
      </c>
    </row>
    <row r="502" spans="1:21" x14ac:dyDescent="0.3">
      <c r="A502" s="2">
        <v>40899</v>
      </c>
      <c r="B502" s="1">
        <v>2152.04</v>
      </c>
      <c r="C502" s="2">
        <f t="shared" si="63"/>
        <v>40899</v>
      </c>
      <c r="D502" s="1">
        <f t="shared" si="64"/>
        <v>2152.04</v>
      </c>
      <c r="E502" s="4">
        <f t="shared" si="65"/>
        <v>2109.9531999999999</v>
      </c>
      <c r="F502" s="3">
        <f t="shared" si="66"/>
        <v>1.0199467931326629</v>
      </c>
      <c r="G502" s="18">
        <f t="shared" si="67"/>
        <v>1</v>
      </c>
      <c r="H502" s="3">
        <f t="shared" si="68"/>
        <v>8.519771681366084E-3</v>
      </c>
      <c r="I502" s="3">
        <f t="shared" si="69"/>
        <v>8.519771681366084E-3</v>
      </c>
      <c r="K502" s="12" t="str">
        <f>IF(AND(G502=1,G501&lt;&gt;1),MAX($K$50:K501)+1,"")</f>
        <v/>
      </c>
      <c r="L502" s="13" t="str">
        <f>IF(AND(G502&lt;&gt;1,G501=1),MAX($L$50:L501)+1,"")</f>
        <v/>
      </c>
      <c r="M502" s="13" t="str">
        <f>IF(AND(G502=-1,G501&lt;&gt;-1),MAX($M$50:M501)+1,"")</f>
        <v/>
      </c>
      <c r="N502" s="13" t="str">
        <f>IF(AND(G502&lt;&gt;-1,G501=-1),MAX($N$50:N501)+1,"")</f>
        <v/>
      </c>
      <c r="T502" s="7">
        <f t="shared" si="70"/>
        <v>79.718407189409461</v>
      </c>
      <c r="U502" s="1">
        <f t="shared" si="71"/>
        <v>113.06947443637058</v>
      </c>
    </row>
    <row r="503" spans="1:21" x14ac:dyDescent="0.3">
      <c r="A503" s="2">
        <v>40900</v>
      </c>
      <c r="B503" s="1">
        <v>2171.5</v>
      </c>
      <c r="C503" s="2">
        <f t="shared" si="63"/>
        <v>40900</v>
      </c>
      <c r="D503" s="1">
        <f t="shared" si="64"/>
        <v>2171.5</v>
      </c>
      <c r="E503" s="4">
        <f t="shared" si="65"/>
        <v>2112.2580000000003</v>
      </c>
      <c r="F503" s="3">
        <f t="shared" si="66"/>
        <v>1.0280467632268406</v>
      </c>
      <c r="G503" s="18">
        <f t="shared" si="67"/>
        <v>1</v>
      </c>
      <c r="H503" s="3">
        <f t="shared" si="68"/>
        <v>9.0425828516198514E-3</v>
      </c>
      <c r="I503" s="3">
        <f t="shared" si="69"/>
        <v>9.0425828516198514E-3</v>
      </c>
      <c r="K503" s="12" t="str">
        <f>IF(AND(G503=1,G502&lt;&gt;1),MAX($K$50:K502)+1,"")</f>
        <v/>
      </c>
      <c r="L503" s="13" t="str">
        <f>IF(AND(G503&lt;&gt;1,G502=1),MAX($L$50:L502)+1,"")</f>
        <v/>
      </c>
      <c r="M503" s="13" t="str">
        <f>IF(AND(G503=-1,G502&lt;&gt;-1),MAX($M$50:M502)+1,"")</f>
        <v/>
      </c>
      <c r="N503" s="13" t="str">
        <f>IF(AND(G503&lt;&gt;-1,G502=-1),MAX($N$50:N502)+1,"")</f>
        <v/>
      </c>
      <c r="T503" s="7">
        <f t="shared" si="70"/>
        <v>80.439267491218871</v>
      </c>
      <c r="U503" s="1">
        <f t="shared" si="71"/>
        <v>114.09191452695057</v>
      </c>
    </row>
    <row r="504" spans="1:21" x14ac:dyDescent="0.3">
      <c r="A504" s="2">
        <v>40904</v>
      </c>
      <c r="B504" s="1">
        <v>2171.71</v>
      </c>
      <c r="C504" s="2">
        <f t="shared" si="63"/>
        <v>40904</v>
      </c>
      <c r="D504" s="1">
        <f t="shared" si="64"/>
        <v>2171.71</v>
      </c>
      <c r="E504" s="4">
        <f t="shared" si="65"/>
        <v>2113.8523999999998</v>
      </c>
      <c r="F504" s="3">
        <f t="shared" si="66"/>
        <v>1.0273706905931561</v>
      </c>
      <c r="G504" s="18">
        <f t="shared" si="67"/>
        <v>1</v>
      </c>
      <c r="H504" s="3">
        <f t="shared" si="68"/>
        <v>9.6707345153212998E-5</v>
      </c>
      <c r="I504" s="3">
        <f t="shared" si="69"/>
        <v>9.6707345153212998E-5</v>
      </c>
      <c r="K504" s="12" t="str">
        <f>IF(AND(G504=1,G503&lt;&gt;1),MAX($K$50:K503)+1,"")</f>
        <v/>
      </c>
      <c r="L504" s="13" t="str">
        <f>IF(AND(G504&lt;&gt;1,G503=1),MAX($L$50:L503)+1,"")</f>
        <v/>
      </c>
      <c r="M504" s="13" t="str">
        <f>IF(AND(G504=-1,G503&lt;&gt;-1),MAX($M$50:M503)+1,"")</f>
        <v/>
      </c>
      <c r="N504" s="13" t="str">
        <f>IF(AND(G504&lt;&gt;-1,G503=-1),MAX($N$50:N503)+1,"")</f>
        <v/>
      </c>
      <c r="T504" s="7">
        <f t="shared" si="70"/>
        <v>80.44704655922402</v>
      </c>
      <c r="U504" s="1">
        <f t="shared" si="71"/>
        <v>114.10294805310791</v>
      </c>
    </row>
    <row r="505" spans="1:21" x14ac:dyDescent="0.3">
      <c r="A505" s="2">
        <v>40905</v>
      </c>
      <c r="B505" s="1">
        <v>2145.09</v>
      </c>
      <c r="C505" s="2">
        <f t="shared" si="63"/>
        <v>40905</v>
      </c>
      <c r="D505" s="1">
        <f t="shared" si="64"/>
        <v>2145.09</v>
      </c>
      <c r="E505" s="4">
        <f t="shared" si="65"/>
        <v>2115.7233999999999</v>
      </c>
      <c r="F505" s="3">
        <f t="shared" si="66"/>
        <v>1.0138801697802275</v>
      </c>
      <c r="G505" s="18">
        <f t="shared" si="67"/>
        <v>1</v>
      </c>
      <c r="H505" s="3">
        <f t="shared" si="68"/>
        <v>-1.225762187400703E-2</v>
      </c>
      <c r="I505" s="3">
        <f t="shared" si="69"/>
        <v>-1.225762187400703E-2</v>
      </c>
      <c r="K505" s="12" t="str">
        <f>IF(AND(G505=1,G504&lt;&gt;1),MAX($K$50:K504)+1,"")</f>
        <v/>
      </c>
      <c r="L505" s="13" t="str">
        <f>IF(AND(G505&lt;&gt;1,G504=1),MAX($L$50:L504)+1,"")</f>
        <v/>
      </c>
      <c r="M505" s="13" t="str">
        <f>IF(AND(G505=-1,G504&lt;&gt;-1),MAX($M$50:M504)+1,"")</f>
        <v/>
      </c>
      <c r="N505" s="13" t="str">
        <f>IF(AND(G505&lt;&gt;-1,G504=-1),MAX($N$50:N504)+1,"")</f>
        <v/>
      </c>
      <c r="T505" s="7">
        <f t="shared" si="70"/>
        <v>79.460957081620407</v>
      </c>
      <c r="U505" s="1">
        <f t="shared" si="71"/>
        <v>112.70431726116344</v>
      </c>
    </row>
    <row r="506" spans="1:21" x14ac:dyDescent="0.3">
      <c r="A506" s="2">
        <v>40906</v>
      </c>
      <c r="B506" s="1">
        <v>2168.12</v>
      </c>
      <c r="C506" s="2">
        <f t="shared" si="63"/>
        <v>40906</v>
      </c>
      <c r="D506" s="1">
        <f t="shared" si="64"/>
        <v>2168.12</v>
      </c>
      <c r="E506" s="4">
        <f t="shared" si="65"/>
        <v>2117.2171999999996</v>
      </c>
      <c r="F506" s="3">
        <f t="shared" si="66"/>
        <v>1.0240423136558687</v>
      </c>
      <c r="G506" s="18">
        <f t="shared" si="67"/>
        <v>1</v>
      </c>
      <c r="H506" s="3">
        <f t="shared" si="68"/>
        <v>1.0736146268921054E-2</v>
      </c>
      <c r="I506" s="3">
        <f t="shared" si="69"/>
        <v>1.0736146268921054E-2</v>
      </c>
      <c r="K506" s="12" t="str">
        <f>IF(AND(G506=1,G505&lt;&gt;1),MAX($K$50:K505)+1,"")</f>
        <v/>
      </c>
      <c r="L506" s="13" t="str">
        <f>IF(AND(G506&lt;&gt;1,G505=1),MAX($L$50:L505)+1,"")</f>
        <v/>
      </c>
      <c r="M506" s="13" t="str">
        <f>IF(AND(G506=-1,G505&lt;&gt;-1),MAX($M$50:M505)+1,"")</f>
        <v/>
      </c>
      <c r="N506" s="13" t="str">
        <f>IF(AND(G506&lt;&gt;-1,G505=-1),MAX($N$50:N505)+1,"")</f>
        <v/>
      </c>
      <c r="T506" s="7">
        <f t="shared" si="70"/>
        <v>80.314061539517141</v>
      </c>
      <c r="U506" s="1">
        <f t="shared" si="71"/>
        <v>113.91432729641816</v>
      </c>
    </row>
    <row r="507" spans="1:21" x14ac:dyDescent="0.3">
      <c r="A507" s="2">
        <v>40907</v>
      </c>
      <c r="B507" s="1">
        <v>2158.94</v>
      </c>
      <c r="C507" s="2">
        <f t="shared" si="63"/>
        <v>40907</v>
      </c>
      <c r="D507" s="1">
        <f t="shared" si="64"/>
        <v>2158.94</v>
      </c>
      <c r="E507" s="4">
        <f t="shared" si="65"/>
        <v>2119.0503999999996</v>
      </c>
      <c r="F507" s="3">
        <f t="shared" si="66"/>
        <v>1.0188242809137529</v>
      </c>
      <c r="G507" s="18">
        <f t="shared" si="67"/>
        <v>1</v>
      </c>
      <c r="H507" s="3">
        <f t="shared" si="68"/>
        <v>-4.2340829843365846E-3</v>
      </c>
      <c r="I507" s="3">
        <f t="shared" si="69"/>
        <v>-4.2340829843365846E-3</v>
      </c>
      <c r="K507" s="12" t="str">
        <f>IF(AND(G507=1,G506&lt;&gt;1),MAX($K$50:K506)+1,"")</f>
        <v/>
      </c>
      <c r="L507" s="13" t="str">
        <f>IF(AND(G507&lt;&gt;1,G506=1),MAX($L$50:L506)+1,"")</f>
        <v/>
      </c>
      <c r="M507" s="13" t="str">
        <f>IF(AND(G507=-1,G506&lt;&gt;-1),MAX($M$50:M506)+1,"")</f>
        <v/>
      </c>
      <c r="N507" s="13" t="str">
        <f>IF(AND(G507&lt;&gt;-1,G506=-1),MAX($N$50:N506)+1,"")</f>
        <v/>
      </c>
      <c r="T507" s="7">
        <f t="shared" si="70"/>
        <v>79.974005138149707</v>
      </c>
      <c r="U507" s="1">
        <f t="shared" si="71"/>
        <v>113.43200458154026</v>
      </c>
    </row>
    <row r="508" spans="1:21" x14ac:dyDescent="0.3">
      <c r="A508" s="2">
        <v>40911</v>
      </c>
      <c r="B508" s="1">
        <v>2192.4</v>
      </c>
      <c r="C508" s="2">
        <f t="shared" si="63"/>
        <v>40911</v>
      </c>
      <c r="D508" s="1">
        <f t="shared" si="64"/>
        <v>2192.4</v>
      </c>
      <c r="E508" s="4">
        <f t="shared" si="65"/>
        <v>2121.3633999999993</v>
      </c>
      <c r="F508" s="3">
        <f t="shared" si="66"/>
        <v>1.0334862947102796</v>
      </c>
      <c r="G508" s="18">
        <f t="shared" si="67"/>
        <v>1</v>
      </c>
      <c r="H508" s="3">
        <f t="shared" si="68"/>
        <v>1.549834641073855E-2</v>
      </c>
      <c r="I508" s="3">
        <f t="shared" si="69"/>
        <v>1.549834641073855E-2</v>
      </c>
      <c r="K508" s="12" t="str">
        <f>IF(AND(G508=1,G507&lt;&gt;1),MAX($K$50:K507)+1,"")</f>
        <v/>
      </c>
      <c r="L508" s="13" t="str">
        <f>IF(AND(G508&lt;&gt;1,G507=1),MAX($L$50:L507)+1,"")</f>
        <v/>
      </c>
      <c r="M508" s="13" t="str">
        <f>IF(AND(G508=-1,G507&lt;&gt;-1),MAX($M$50:M507)+1,"")</f>
        <v/>
      </c>
      <c r="N508" s="13" t="str">
        <f>IF(AND(G508&lt;&gt;-1,G507=-1),MAX($N$50:N507)+1,"")</f>
        <v/>
      </c>
      <c r="T508" s="7">
        <f t="shared" si="70"/>
        <v>81.213469973634929</v>
      </c>
      <c r="U508" s="1">
        <f t="shared" si="71"/>
        <v>115.19001308260945</v>
      </c>
    </row>
    <row r="509" spans="1:21" x14ac:dyDescent="0.3">
      <c r="A509" s="2">
        <v>40912</v>
      </c>
      <c r="B509" s="1">
        <v>2193.2800000000002</v>
      </c>
      <c r="C509" s="2">
        <f t="shared" si="63"/>
        <v>40912</v>
      </c>
      <c r="D509" s="1">
        <f t="shared" si="64"/>
        <v>2193.2800000000002</v>
      </c>
      <c r="E509" s="4">
        <f t="shared" si="65"/>
        <v>2122.9117999999994</v>
      </c>
      <c r="F509" s="3">
        <f t="shared" si="66"/>
        <v>1.0331470200504802</v>
      </c>
      <c r="G509" s="18">
        <f t="shared" si="67"/>
        <v>1</v>
      </c>
      <c r="H509" s="3">
        <f t="shared" si="68"/>
        <v>4.0138660828326067E-4</v>
      </c>
      <c r="I509" s="3">
        <f t="shared" si="69"/>
        <v>4.0138660828326067E-4</v>
      </c>
      <c r="K509" s="12" t="str">
        <f>IF(AND(G509=1,G508&lt;&gt;1),MAX($K$50:K508)+1,"")</f>
        <v/>
      </c>
      <c r="L509" s="13" t="str">
        <f>IF(AND(G509&lt;&gt;1,G508=1),MAX($L$50:L508)+1,"")</f>
        <v/>
      </c>
      <c r="M509" s="13" t="str">
        <f>IF(AND(G509=-1,G508&lt;&gt;-1),MAX($M$50:M508)+1,"")</f>
        <v/>
      </c>
      <c r="N509" s="13" t="str">
        <f>IF(AND(G509&lt;&gt;-1,G508=-1),MAX($N$50:N508)+1,"")</f>
        <v/>
      </c>
      <c r="T509" s="7">
        <f t="shared" si="70"/>
        <v>81.246067972894565</v>
      </c>
      <c r="U509" s="1">
        <f t="shared" si="71"/>
        <v>115.23624881126878</v>
      </c>
    </row>
    <row r="510" spans="1:21" x14ac:dyDescent="0.3">
      <c r="A510" s="2">
        <v>40913</v>
      </c>
      <c r="B510" s="1">
        <v>2199.73</v>
      </c>
      <c r="C510" s="2">
        <f t="shared" si="63"/>
        <v>40913</v>
      </c>
      <c r="D510" s="1">
        <f t="shared" si="64"/>
        <v>2199.73</v>
      </c>
      <c r="E510" s="4">
        <f t="shared" si="65"/>
        <v>2124.043799999999</v>
      </c>
      <c r="F510" s="3">
        <f t="shared" si="66"/>
        <v>1.0356330693368945</v>
      </c>
      <c r="G510" s="18">
        <f t="shared" si="67"/>
        <v>1</v>
      </c>
      <c r="H510" s="3">
        <f t="shared" si="68"/>
        <v>2.9408009921212397E-3</v>
      </c>
      <c r="I510" s="3">
        <f t="shared" si="69"/>
        <v>2.9408009921212397E-3</v>
      </c>
      <c r="K510" s="12" t="str">
        <f>IF(AND(G510=1,G509&lt;&gt;1),MAX($K$50:K509)+1,"")</f>
        <v/>
      </c>
      <c r="L510" s="13" t="str">
        <f>IF(AND(G510&lt;&gt;1,G509=1),MAX($L$50:L509)+1,"")</f>
        <v/>
      </c>
      <c r="M510" s="13" t="str">
        <f>IF(AND(G510=-1,G509&lt;&gt;-1),MAX($M$50:M509)+1,"")</f>
        <v/>
      </c>
      <c r="N510" s="13" t="str">
        <f>IF(AND(G510&lt;&gt;-1,G509=-1),MAX($N$50:N509)+1,"")</f>
        <v/>
      </c>
      <c r="T510" s="7">
        <f t="shared" si="70"/>
        <v>81.484996490195201</v>
      </c>
      <c r="U510" s="1">
        <f t="shared" si="71"/>
        <v>115.57513568610129</v>
      </c>
    </row>
    <row r="511" spans="1:21" x14ac:dyDescent="0.3">
      <c r="A511" s="2">
        <v>40914</v>
      </c>
      <c r="B511" s="1">
        <v>2194.98</v>
      </c>
      <c r="C511" s="2">
        <f t="shared" si="63"/>
        <v>40914</v>
      </c>
      <c r="D511" s="1">
        <f t="shared" si="64"/>
        <v>2194.98</v>
      </c>
      <c r="E511" s="4">
        <f t="shared" si="65"/>
        <v>2125.9399999999987</v>
      </c>
      <c r="F511" s="3">
        <f t="shared" si="66"/>
        <v>1.0324750463324466</v>
      </c>
      <c r="G511" s="18">
        <f t="shared" si="67"/>
        <v>1</v>
      </c>
      <c r="H511" s="3">
        <f t="shared" si="68"/>
        <v>-2.1593559209539537E-3</v>
      </c>
      <c r="I511" s="3">
        <f t="shared" si="69"/>
        <v>-2.1593559209539537E-3</v>
      </c>
      <c r="K511" s="12" t="str">
        <f>IF(AND(G511=1,G510&lt;&gt;1),MAX($K$50:K510)+1,"")</f>
        <v/>
      </c>
      <c r="L511" s="13" t="str">
        <f>IF(AND(G511&lt;&gt;1,G510=1),MAX($L$50:L510)+1,"")</f>
        <v/>
      </c>
      <c r="M511" s="13" t="str">
        <f>IF(AND(G511=-1,G510&lt;&gt;-1),MAX($M$50:M510)+1,"")</f>
        <v/>
      </c>
      <c r="N511" s="13" t="str">
        <f>IF(AND(G511&lt;&gt;-1,G510=-1),MAX($N$50:N510)+1,"")</f>
        <v/>
      </c>
      <c r="T511" s="7">
        <f t="shared" si="70"/>
        <v>81.309041380555186</v>
      </c>
      <c r="U511" s="1">
        <f t="shared" si="71"/>
        <v>115.32556783254245</v>
      </c>
    </row>
    <row r="512" spans="1:21" x14ac:dyDescent="0.3">
      <c r="A512" s="2">
        <v>40917</v>
      </c>
      <c r="B512" s="1">
        <v>2200</v>
      </c>
      <c r="C512" s="2">
        <f t="shared" si="63"/>
        <v>40917</v>
      </c>
      <c r="D512" s="1">
        <f t="shared" si="64"/>
        <v>2200</v>
      </c>
      <c r="E512" s="4">
        <f t="shared" si="65"/>
        <v>2127.4935999999989</v>
      </c>
      <c r="F512" s="3">
        <f t="shared" si="66"/>
        <v>1.0340806665646378</v>
      </c>
      <c r="G512" s="18">
        <f t="shared" si="67"/>
        <v>1</v>
      </c>
      <c r="H512" s="3">
        <f t="shared" si="68"/>
        <v>2.2870367839342709E-3</v>
      </c>
      <c r="I512" s="3">
        <f t="shared" si="69"/>
        <v>2.2870367839342709E-3</v>
      </c>
      <c r="K512" s="12" t="str">
        <f>IF(AND(G512=1,G511&lt;&gt;1),MAX($K$50:K511)+1,"")</f>
        <v/>
      </c>
      <c r="L512" s="13" t="str">
        <f>IF(AND(G512&lt;&gt;1,G511=1),MAX($L$50:L511)+1,"")</f>
        <v/>
      </c>
      <c r="M512" s="13" t="str">
        <f>IF(AND(G512=-1,G511&lt;&gt;-1),MAX($M$50:M511)+1,"")</f>
        <v/>
      </c>
      <c r="N512" s="13" t="str">
        <f>IF(AND(G512&lt;&gt;-1,G511=-1),MAX($N$50:N511)+1,"")</f>
        <v/>
      </c>
      <c r="T512" s="7">
        <f t="shared" si="70"/>
        <v>81.494998149058944</v>
      </c>
      <c r="U512" s="1">
        <f t="shared" si="71"/>
        <v>115.58932164830358</v>
      </c>
    </row>
    <row r="513" spans="1:21" x14ac:dyDescent="0.3">
      <c r="A513" s="2">
        <v>40918</v>
      </c>
      <c r="B513" s="1">
        <v>2219.58</v>
      </c>
      <c r="C513" s="2">
        <f t="shared" si="63"/>
        <v>40918</v>
      </c>
      <c r="D513" s="1">
        <f t="shared" si="64"/>
        <v>2219.58</v>
      </c>
      <c r="E513" s="4">
        <f t="shared" si="65"/>
        <v>2127.9807999999994</v>
      </c>
      <c r="F513" s="3">
        <f t="shared" si="66"/>
        <v>1.0430451252191753</v>
      </c>
      <c r="G513" s="18">
        <f t="shared" si="67"/>
        <v>1</v>
      </c>
      <c r="H513" s="3">
        <f t="shared" si="68"/>
        <v>8.899999999999908E-3</v>
      </c>
      <c r="I513" s="3">
        <f t="shared" si="69"/>
        <v>8.899999999999908E-3</v>
      </c>
      <c r="K513" s="12" t="str">
        <f>IF(AND(G513=1,G512&lt;&gt;1),MAX($K$50:K512)+1,"")</f>
        <v/>
      </c>
      <c r="L513" s="13" t="str">
        <f>IF(AND(G513&lt;&gt;1,G512=1),MAX($L$50:L512)+1,"")</f>
        <v/>
      </c>
      <c r="M513" s="13" t="str">
        <f>IF(AND(G513=-1,G512&lt;&gt;-1),MAX($M$50:M512)+1,"")</f>
        <v/>
      </c>
      <c r="N513" s="13" t="str">
        <f>IF(AND(G513&lt;&gt;-1,G512=-1),MAX($N$50:N512)+1,"")</f>
        <v/>
      </c>
      <c r="T513" s="7">
        <f t="shared" si="70"/>
        <v>82.220303632585555</v>
      </c>
      <c r="U513" s="1">
        <f t="shared" si="71"/>
        <v>116.61806661097347</v>
      </c>
    </row>
    <row r="514" spans="1:21" x14ac:dyDescent="0.3">
      <c r="A514" s="2">
        <v>40919</v>
      </c>
      <c r="B514" s="1">
        <v>2220.48</v>
      </c>
      <c r="C514" s="2">
        <f t="shared" si="63"/>
        <v>40919</v>
      </c>
      <c r="D514" s="1">
        <f t="shared" si="64"/>
        <v>2220.48</v>
      </c>
      <c r="E514" s="4">
        <f t="shared" si="65"/>
        <v>2128.4677999999994</v>
      </c>
      <c r="F514" s="3">
        <f t="shared" si="66"/>
        <v>1.0432293126539196</v>
      </c>
      <c r="G514" s="18">
        <f t="shared" si="67"/>
        <v>1</v>
      </c>
      <c r="H514" s="3">
        <f t="shared" si="68"/>
        <v>4.0548211823865365E-4</v>
      </c>
      <c r="I514" s="3">
        <f t="shared" si="69"/>
        <v>4.0548211823865365E-4</v>
      </c>
      <c r="K514" s="12" t="str">
        <f>IF(AND(G514=1,G513&lt;&gt;1),MAX($K$50:K513)+1,"")</f>
        <v/>
      </c>
      <c r="L514" s="13" t="str">
        <f>IF(AND(G514&lt;&gt;1,G513=1),MAX($L$50:L513)+1,"")</f>
        <v/>
      </c>
      <c r="M514" s="13" t="str">
        <f>IF(AND(G514=-1,G513&lt;&gt;-1),MAX($M$50:M513)+1,"")</f>
        <v/>
      </c>
      <c r="N514" s="13" t="str">
        <f>IF(AND(G514&lt;&gt;-1,G513=-1),MAX($N$50:N513)+1,"")</f>
        <v/>
      </c>
      <c r="T514" s="7">
        <f t="shared" si="70"/>
        <v>82.253642495464717</v>
      </c>
      <c r="U514" s="1">
        <f t="shared" si="71"/>
        <v>116.66535315164779</v>
      </c>
    </row>
    <row r="515" spans="1:21" x14ac:dyDescent="0.3">
      <c r="A515" s="2">
        <v>40920</v>
      </c>
      <c r="B515" s="1">
        <v>2225.7399999999998</v>
      </c>
      <c r="C515" s="2">
        <f t="shared" si="63"/>
        <v>40920</v>
      </c>
      <c r="D515" s="1">
        <f t="shared" si="64"/>
        <v>2225.7399999999998</v>
      </c>
      <c r="E515" s="4">
        <f t="shared" si="65"/>
        <v>2130.1463999999996</v>
      </c>
      <c r="F515" s="3">
        <f t="shared" si="66"/>
        <v>1.0448765399411046</v>
      </c>
      <c r="G515" s="18">
        <f t="shared" si="67"/>
        <v>1</v>
      </c>
      <c r="H515" s="3">
        <f t="shared" si="68"/>
        <v>2.3688571840321249E-3</v>
      </c>
      <c r="I515" s="3">
        <f t="shared" si="69"/>
        <v>2.3688571840321249E-3</v>
      </c>
      <c r="K515" s="12" t="str">
        <f>IF(AND(G515=1,G514&lt;&gt;1),MAX($K$50:K514)+1,"")</f>
        <v/>
      </c>
      <c r="L515" s="13" t="str">
        <f>IF(AND(G515&lt;&gt;1,G514=1),MAX($L$50:L514)+1,"")</f>
        <v/>
      </c>
      <c r="M515" s="13" t="str">
        <f>IF(AND(G515=-1,G514&lt;&gt;-1),MAX($M$50:M514)+1,"")</f>
        <v/>
      </c>
      <c r="N515" s="13" t="str">
        <f>IF(AND(G515&lt;&gt;-1,G514=-1),MAX($N$50:N514)+1,"")</f>
        <v/>
      </c>
      <c r="T515" s="7">
        <f t="shared" si="70"/>
        <v>82.448489627402907</v>
      </c>
      <c r="U515" s="1">
        <f t="shared" si="71"/>
        <v>116.94171671158873</v>
      </c>
    </row>
    <row r="516" spans="1:21" x14ac:dyDescent="0.3">
      <c r="A516" s="2">
        <v>40921</v>
      </c>
      <c r="B516" s="1">
        <v>2214.73</v>
      </c>
      <c r="C516" s="2">
        <f t="shared" si="63"/>
        <v>40921</v>
      </c>
      <c r="D516" s="1">
        <f t="shared" si="64"/>
        <v>2214.73</v>
      </c>
      <c r="E516" s="4">
        <f t="shared" si="65"/>
        <v>2132.8015999999993</v>
      </c>
      <c r="F516" s="3">
        <f t="shared" si="66"/>
        <v>1.0384135120678832</v>
      </c>
      <c r="G516" s="18">
        <f t="shared" si="67"/>
        <v>1</v>
      </c>
      <c r="H516" s="3">
        <f t="shared" si="68"/>
        <v>-4.9466694223043728E-3</v>
      </c>
      <c r="I516" s="3">
        <f t="shared" si="69"/>
        <v>-4.9466694223043728E-3</v>
      </c>
      <c r="K516" s="12" t="str">
        <f>IF(AND(G516=1,G515&lt;&gt;1),MAX($K$50:K515)+1,"")</f>
        <v/>
      </c>
      <c r="L516" s="13" t="str">
        <f>IF(AND(G516&lt;&gt;1,G515=1),MAX($L$50:L515)+1,"")</f>
        <v/>
      </c>
      <c r="M516" s="13" t="str">
        <f>IF(AND(G516=-1,G515&lt;&gt;-1),MAX($M$50:M515)+1,"")</f>
        <v/>
      </c>
      <c r="N516" s="13" t="str">
        <f>IF(AND(G516&lt;&gt;-1,G515=-1),MAX($N$50:N515)+1,"")</f>
        <v/>
      </c>
      <c r="T516" s="7">
        <f t="shared" si="70"/>
        <v>82.040644204847851</v>
      </c>
      <c r="U516" s="1">
        <f t="shared" si="71"/>
        <v>116.36324469733974</v>
      </c>
    </row>
    <row r="517" spans="1:21" x14ac:dyDescent="0.3">
      <c r="A517" s="2">
        <v>40925</v>
      </c>
      <c r="B517" s="1">
        <v>2222.59</v>
      </c>
      <c r="C517" s="2">
        <f t="shared" si="63"/>
        <v>40925</v>
      </c>
      <c r="D517" s="1">
        <f t="shared" si="64"/>
        <v>2222.59</v>
      </c>
      <c r="E517" s="4">
        <f t="shared" si="65"/>
        <v>2134.9393999999998</v>
      </c>
      <c r="F517" s="3">
        <f t="shared" si="66"/>
        <v>1.0410553105160738</v>
      </c>
      <c r="G517" s="18">
        <f t="shared" si="67"/>
        <v>1</v>
      </c>
      <c r="H517" s="3">
        <f t="shared" si="68"/>
        <v>3.5489653366325147E-3</v>
      </c>
      <c r="I517" s="3">
        <f t="shared" si="69"/>
        <v>3.5489653366325147E-3</v>
      </c>
      <c r="K517" s="12" t="str">
        <f>IF(AND(G517=1,G516&lt;&gt;1),MAX($K$50:K516)+1,"")</f>
        <v/>
      </c>
      <c r="L517" s="13" t="str">
        <f>IF(AND(G517&lt;&gt;1,G516=1),MAX($L$50:L516)+1,"")</f>
        <v/>
      </c>
      <c r="M517" s="13" t="str">
        <f>IF(AND(G517=-1,G516&lt;&gt;-1),MAX($M$50:M516)+1,"")</f>
        <v/>
      </c>
      <c r="N517" s="13" t="str">
        <f>IF(AND(G517&lt;&gt;-1,G516=-1),MAX($N$50:N516)+1,"")</f>
        <v/>
      </c>
      <c r="T517" s="7">
        <f t="shared" si="70"/>
        <v>82.331803607325853</v>
      </c>
      <c r="U517" s="1">
        <f t="shared" si="71"/>
        <v>116.77621381922869</v>
      </c>
    </row>
    <row r="518" spans="1:21" x14ac:dyDescent="0.3">
      <c r="A518" s="2">
        <v>40926</v>
      </c>
      <c r="B518" s="1">
        <v>2247.64</v>
      </c>
      <c r="C518" s="2">
        <f t="shared" si="63"/>
        <v>40926</v>
      </c>
      <c r="D518" s="1">
        <f t="shared" si="64"/>
        <v>2247.64</v>
      </c>
      <c r="E518" s="4">
        <f t="shared" si="65"/>
        <v>2136.7747999999997</v>
      </c>
      <c r="F518" s="3">
        <f t="shared" si="66"/>
        <v>1.0518843632936892</v>
      </c>
      <c r="G518" s="18">
        <f t="shared" si="67"/>
        <v>1</v>
      </c>
      <c r="H518" s="3">
        <f t="shared" si="68"/>
        <v>1.1270634709955374E-2</v>
      </c>
      <c r="I518" s="3">
        <f t="shared" si="69"/>
        <v>1.1270634709955374E-2</v>
      </c>
      <c r="K518" s="12" t="str">
        <f>IF(AND(G518=1,G517&lt;&gt;1),MAX($K$50:K517)+1,"")</f>
        <v/>
      </c>
      <c r="L518" s="13" t="str">
        <f>IF(AND(G518&lt;&gt;1,G517=1),MAX($L$50:L517)+1,"")</f>
        <v/>
      </c>
      <c r="M518" s="13" t="str">
        <f>IF(AND(G518=-1,G517&lt;&gt;-1),MAX($M$50:M517)+1,"")</f>
        <v/>
      </c>
      <c r="N518" s="13" t="str">
        <f>IF(AND(G518&lt;&gt;-1,G517=-1),MAX($N$50:N517)+1,"")</f>
        <v/>
      </c>
      <c r="T518" s="7">
        <f t="shared" si="70"/>
        <v>83.259735290795803</v>
      </c>
      <c r="U518" s="1">
        <f t="shared" si="71"/>
        <v>118.09235586799684</v>
      </c>
    </row>
    <row r="519" spans="1:21" x14ac:dyDescent="0.3">
      <c r="A519" s="2">
        <v>40927</v>
      </c>
      <c r="B519" s="1">
        <v>2258.8000000000002</v>
      </c>
      <c r="C519" s="2">
        <f t="shared" si="63"/>
        <v>40927</v>
      </c>
      <c r="D519" s="1">
        <f t="shared" si="64"/>
        <v>2258.8000000000002</v>
      </c>
      <c r="E519" s="4">
        <f t="shared" si="65"/>
        <v>2139.1039999999994</v>
      </c>
      <c r="F519" s="3">
        <f t="shared" si="66"/>
        <v>1.0559561386449658</v>
      </c>
      <c r="G519" s="18">
        <f t="shared" si="67"/>
        <v>1</v>
      </c>
      <c r="H519" s="3">
        <f t="shared" si="68"/>
        <v>4.9652079514515002E-3</v>
      </c>
      <c r="I519" s="3">
        <f t="shared" si="69"/>
        <v>4.9652079514515002E-3</v>
      </c>
      <c r="K519" s="12" t="str">
        <f>IF(AND(G519=1,G518&lt;&gt;1),MAX($K$50:K518)+1,"")</f>
        <v/>
      </c>
      <c r="L519" s="13" t="str">
        <f>IF(AND(G519&lt;&gt;1,G518=1),MAX($L$50:L518)+1,"")</f>
        <v/>
      </c>
      <c r="M519" s="13" t="str">
        <f>IF(AND(G519=-1,G518&lt;&gt;-1),MAX($M$50:M518)+1,"")</f>
        <v/>
      </c>
      <c r="N519" s="13" t="str">
        <f>IF(AND(G519&lt;&gt;-1,G518=-1),MAX($N$50:N518)+1,"")</f>
        <v/>
      </c>
      <c r="T519" s="7">
        <f t="shared" si="70"/>
        <v>83.673137190497414</v>
      </c>
      <c r="U519" s="1">
        <f t="shared" si="71"/>
        <v>118.67870897235825</v>
      </c>
    </row>
    <row r="520" spans="1:21" x14ac:dyDescent="0.3">
      <c r="A520" s="2">
        <v>40928</v>
      </c>
      <c r="B520" s="1">
        <v>2260.37</v>
      </c>
      <c r="C520" s="2">
        <f t="shared" si="63"/>
        <v>40928</v>
      </c>
      <c r="D520" s="1">
        <f t="shared" si="64"/>
        <v>2260.37</v>
      </c>
      <c r="E520" s="4">
        <f t="shared" si="65"/>
        <v>2141.1913999999997</v>
      </c>
      <c r="F520" s="3">
        <f t="shared" si="66"/>
        <v>1.0556599470743251</v>
      </c>
      <c r="G520" s="18">
        <f t="shared" si="67"/>
        <v>1</v>
      </c>
      <c r="H520" s="3">
        <f t="shared" si="68"/>
        <v>6.9505932353441935E-4</v>
      </c>
      <c r="I520" s="3">
        <f t="shared" si="69"/>
        <v>6.9505932353441935E-4</v>
      </c>
      <c r="K520" s="12" t="str">
        <f>IF(AND(G520=1,G519&lt;&gt;1),MAX($K$50:K519)+1,"")</f>
        <v/>
      </c>
      <c r="L520" s="13" t="str">
        <f>IF(AND(G520&lt;&gt;1,G519=1),MAX($L$50:L519)+1,"")</f>
        <v/>
      </c>
      <c r="M520" s="13" t="str">
        <f>IF(AND(G520=-1,G519&lt;&gt;-1),MAX($M$50:M519)+1,"")</f>
        <v/>
      </c>
      <c r="N520" s="13" t="str">
        <f>IF(AND(G520&lt;&gt;-1,G519=-1),MAX($N$50:N519)+1,"")</f>
        <v/>
      </c>
      <c r="T520" s="7">
        <f t="shared" si="70"/>
        <v>83.731294984631049</v>
      </c>
      <c r="U520" s="1">
        <f t="shared" si="71"/>
        <v>118.76119771553451</v>
      </c>
    </row>
    <row r="521" spans="1:21" x14ac:dyDescent="0.3">
      <c r="A521" s="2">
        <v>40931</v>
      </c>
      <c r="B521" s="1">
        <v>2261.4699999999998</v>
      </c>
      <c r="C521" s="2">
        <f t="shared" si="63"/>
        <v>40931</v>
      </c>
      <c r="D521" s="1">
        <f t="shared" si="64"/>
        <v>2261.4699999999998</v>
      </c>
      <c r="E521" s="4">
        <f t="shared" si="65"/>
        <v>2142.7685999999994</v>
      </c>
      <c r="F521" s="3">
        <f t="shared" si="66"/>
        <v>1.0553962756407764</v>
      </c>
      <c r="G521" s="18">
        <f t="shared" si="67"/>
        <v>1</v>
      </c>
      <c r="H521" s="3">
        <f t="shared" si="68"/>
        <v>4.8664599158532162E-4</v>
      </c>
      <c r="I521" s="3">
        <f t="shared" si="69"/>
        <v>4.8664599158532162E-4</v>
      </c>
      <c r="K521" s="12" t="str">
        <f>IF(AND(G521=1,G520&lt;&gt;1),MAX($K$50:K520)+1,"")</f>
        <v/>
      </c>
      <c r="L521" s="13" t="str">
        <f>IF(AND(G521&lt;&gt;1,G520=1),MAX($L$50:L520)+1,"")</f>
        <v/>
      </c>
      <c r="M521" s="13" t="str">
        <f>IF(AND(G521=-1,G520&lt;&gt;-1),MAX($M$50:M520)+1,"")</f>
        <v/>
      </c>
      <c r="N521" s="13" t="str">
        <f>IF(AND(G521&lt;&gt;-1,G520=-1),MAX($N$50:N520)+1,"")</f>
        <v/>
      </c>
      <c r="T521" s="7">
        <f t="shared" si="70"/>
        <v>83.772042483705562</v>
      </c>
      <c r="U521" s="1">
        <f t="shared" si="71"/>
        <v>118.81899237635865</v>
      </c>
    </row>
    <row r="522" spans="1:21" x14ac:dyDescent="0.3">
      <c r="A522" s="2">
        <v>40932</v>
      </c>
      <c r="B522" s="1">
        <v>2259.2199999999998</v>
      </c>
      <c r="C522" s="2">
        <f t="shared" si="63"/>
        <v>40932</v>
      </c>
      <c r="D522" s="1">
        <f t="shared" si="64"/>
        <v>2259.2199999999998</v>
      </c>
      <c r="E522" s="4">
        <f t="shared" si="65"/>
        <v>2145.8986</v>
      </c>
      <c r="F522" s="3">
        <f t="shared" si="66"/>
        <v>1.0528083666208645</v>
      </c>
      <c r="G522" s="18">
        <f t="shared" si="67"/>
        <v>1</v>
      </c>
      <c r="H522" s="3">
        <f t="shared" si="68"/>
        <v>-9.949280777546976E-4</v>
      </c>
      <c r="I522" s="3">
        <f t="shared" si="69"/>
        <v>-9.949280777546976E-4</v>
      </c>
      <c r="K522" s="12" t="str">
        <f>IF(AND(G522=1,G521&lt;&gt;1),MAX($K$50:K521)+1,"")</f>
        <v/>
      </c>
      <c r="L522" s="13" t="str">
        <f>IF(AND(G522&lt;&gt;1,G521=1),MAX($L$50:L521)+1,"")</f>
        <v/>
      </c>
      <c r="M522" s="13" t="str">
        <f>IF(AND(G522=-1,G521&lt;&gt;-1),MAX($M$50:M521)+1,"")</f>
        <v/>
      </c>
      <c r="N522" s="13" t="str">
        <f>IF(AND(G522&lt;&gt;-1,G521=-1),MAX($N$50:N521)+1,"")</f>
        <v/>
      </c>
      <c r="T522" s="7">
        <f t="shared" si="70"/>
        <v>83.68869532650767</v>
      </c>
      <c r="U522" s="1">
        <f t="shared" si="71"/>
        <v>118.70077602467289</v>
      </c>
    </row>
    <row r="523" spans="1:21" x14ac:dyDescent="0.3">
      <c r="A523" s="2">
        <v>40933</v>
      </c>
      <c r="B523" s="1">
        <v>2278.83</v>
      </c>
      <c r="C523" s="2">
        <f t="shared" si="63"/>
        <v>40933</v>
      </c>
      <c r="D523" s="1">
        <f t="shared" si="64"/>
        <v>2278.83</v>
      </c>
      <c r="E523" s="4">
        <f t="shared" si="65"/>
        <v>2149.0524</v>
      </c>
      <c r="F523" s="3">
        <f t="shared" si="66"/>
        <v>1.0603882902064183</v>
      </c>
      <c r="G523" s="18">
        <f t="shared" si="67"/>
        <v>1</v>
      </c>
      <c r="H523" s="3">
        <f t="shared" si="68"/>
        <v>8.6799868981330963E-3</v>
      </c>
      <c r="I523" s="3">
        <f t="shared" si="69"/>
        <v>8.6799868981330963E-3</v>
      </c>
      <c r="K523" s="12" t="str">
        <f>IF(AND(G523=1,G522&lt;&gt;1),MAX($K$50:K522)+1,"")</f>
        <v/>
      </c>
      <c r="L523" s="13" t="str">
        <f>IF(AND(G523&lt;&gt;1,G522=1),MAX($L$50:L522)+1,"")</f>
        <v/>
      </c>
      <c r="M523" s="13" t="str">
        <f>IF(AND(G523=-1,G522&lt;&gt;-1),MAX($M$50:M522)+1,"")</f>
        <v/>
      </c>
      <c r="N523" s="13" t="str">
        <f>IF(AND(G523&lt;&gt;-1,G522=-1),MAX($N$50:N522)+1,"")</f>
        <v/>
      </c>
      <c r="T523" s="7">
        <f t="shared" si="70"/>
        <v>84.415112105463606</v>
      </c>
      <c r="U523" s="1">
        <f t="shared" si="71"/>
        <v>119.73109720536527</v>
      </c>
    </row>
    <row r="524" spans="1:21" x14ac:dyDescent="0.3">
      <c r="A524" s="2">
        <v>40934</v>
      </c>
      <c r="B524" s="1">
        <v>2265.84</v>
      </c>
      <c r="C524" s="2">
        <f t="shared" si="63"/>
        <v>40934</v>
      </c>
      <c r="D524" s="1">
        <f t="shared" si="64"/>
        <v>2265.84</v>
      </c>
      <c r="E524" s="4">
        <f t="shared" si="65"/>
        <v>2151.1195999999995</v>
      </c>
      <c r="F524" s="3">
        <f t="shared" si="66"/>
        <v>1.0533305540054587</v>
      </c>
      <c r="G524" s="18">
        <f t="shared" si="67"/>
        <v>1</v>
      </c>
      <c r="H524" s="3">
        <f t="shared" si="68"/>
        <v>-5.7002935717012093E-3</v>
      </c>
      <c r="I524" s="3">
        <f t="shared" si="69"/>
        <v>-5.7002935717012093E-3</v>
      </c>
      <c r="K524" s="12" t="str">
        <f>IF(AND(G524=1,G523&lt;&gt;1),MAX($K$50:K523)+1,"")</f>
        <v/>
      </c>
      <c r="L524" s="13" t="str">
        <f>IF(AND(G524&lt;&gt;1,G523=1),MAX($L$50:L523)+1,"")</f>
        <v/>
      </c>
      <c r="M524" s="13" t="str">
        <f>IF(AND(G524=-1,G523&lt;&gt;-1),MAX($M$50:M523)+1,"")</f>
        <v/>
      </c>
      <c r="N524" s="13" t="str">
        <f>IF(AND(G524&lt;&gt;-1,G523=-1),MAX($N$50:N523)+1,"")</f>
        <v/>
      </c>
      <c r="T524" s="7">
        <f t="shared" si="70"/>
        <v>83.933921184574402</v>
      </c>
      <c r="U524" s="1">
        <f t="shared" si="71"/>
        <v>119.0485948016328</v>
      </c>
    </row>
    <row r="525" spans="1:21" x14ac:dyDescent="0.3">
      <c r="A525" s="2">
        <v>40935</v>
      </c>
      <c r="B525" s="1">
        <v>2262.35</v>
      </c>
      <c r="C525" s="2">
        <f t="shared" si="63"/>
        <v>40935</v>
      </c>
      <c r="D525" s="1">
        <f t="shared" si="64"/>
        <v>2262.35</v>
      </c>
      <c r="E525" s="4">
        <f t="shared" si="65"/>
        <v>2153.5247999999997</v>
      </c>
      <c r="F525" s="3">
        <f t="shared" si="66"/>
        <v>1.0505335253162631</v>
      </c>
      <c r="G525" s="18">
        <f t="shared" si="67"/>
        <v>1</v>
      </c>
      <c r="H525" s="3">
        <f t="shared" si="68"/>
        <v>-1.5402676270169779E-3</v>
      </c>
      <c r="I525" s="3">
        <f t="shared" si="69"/>
        <v>-1.5402676270169779E-3</v>
      </c>
      <c r="K525" s="12" t="str">
        <f>IF(AND(G525=1,G524&lt;&gt;1),MAX($K$50:K524)+1,"")</f>
        <v/>
      </c>
      <c r="L525" s="13" t="str">
        <f>IF(AND(G525&lt;&gt;1,G524=1),MAX($L$50:L524)+1,"")</f>
        <v/>
      </c>
      <c r="M525" s="13" t="str">
        <f>IF(AND(G525=-1,G524&lt;&gt;-1),MAX($M$50:M524)+1,"")</f>
        <v/>
      </c>
      <c r="N525" s="13" t="str">
        <f>IF(AND(G525&lt;&gt;-1,G524=-1),MAX($N$50:N524)+1,"")</f>
        <v/>
      </c>
      <c r="T525" s="7">
        <f t="shared" si="70"/>
        <v>83.804640482965212</v>
      </c>
      <c r="U525" s="1">
        <f t="shared" si="71"/>
        <v>118.86522810501798</v>
      </c>
    </row>
    <row r="526" spans="1:21" x14ac:dyDescent="0.3">
      <c r="A526" s="2">
        <v>40938</v>
      </c>
      <c r="B526" s="1">
        <v>2256.7199999999998</v>
      </c>
      <c r="C526" s="2">
        <f t="shared" si="63"/>
        <v>40938</v>
      </c>
      <c r="D526" s="1">
        <f t="shared" si="64"/>
        <v>2256.7199999999998</v>
      </c>
      <c r="E526" s="4">
        <f t="shared" si="65"/>
        <v>2155.6032</v>
      </c>
      <c r="F526" s="3">
        <f t="shared" si="66"/>
        <v>1.0469088188401279</v>
      </c>
      <c r="G526" s="18">
        <f t="shared" si="67"/>
        <v>1</v>
      </c>
      <c r="H526" s="3">
        <f t="shared" si="68"/>
        <v>-2.4885627776427555E-3</v>
      </c>
      <c r="I526" s="3">
        <f t="shared" si="69"/>
        <v>-2.4885627776427555E-3</v>
      </c>
      <c r="K526" s="12" t="str">
        <f>IF(AND(G526=1,G525&lt;&gt;1),MAX($K$50:K525)+1,"")</f>
        <v/>
      </c>
      <c r="L526" s="13" t="str">
        <f>IF(AND(G526&lt;&gt;1,G525=1),MAX($L$50:L525)+1,"")</f>
        <v/>
      </c>
      <c r="M526" s="13" t="str">
        <f>IF(AND(G526=-1,G525&lt;&gt;-1),MAX($M$50:M525)+1,"")</f>
        <v/>
      </c>
      <c r="N526" s="13" t="str">
        <f>IF(AND(G526&lt;&gt;-1,G525=-1),MAX($N$50:N525)+1,"")</f>
        <v/>
      </c>
      <c r="T526" s="7">
        <f t="shared" si="70"/>
        <v>83.596087374065576</v>
      </c>
      <c r="U526" s="1">
        <f t="shared" si="71"/>
        <v>118.56942452279982</v>
      </c>
    </row>
    <row r="527" spans="1:21" x14ac:dyDescent="0.3">
      <c r="A527" s="2">
        <v>40939</v>
      </c>
      <c r="B527" s="1">
        <v>2255.69</v>
      </c>
      <c r="C527" s="2">
        <f t="shared" si="63"/>
        <v>40939</v>
      </c>
      <c r="D527" s="1">
        <f t="shared" si="64"/>
        <v>2255.69</v>
      </c>
      <c r="E527" s="4">
        <f t="shared" si="65"/>
        <v>2158.3642</v>
      </c>
      <c r="F527" s="3">
        <f t="shared" si="66"/>
        <v>1.045092389875629</v>
      </c>
      <c r="G527" s="18">
        <f t="shared" si="67"/>
        <v>1</v>
      </c>
      <c r="H527" s="3">
        <f t="shared" si="68"/>
        <v>-4.564146194475649E-4</v>
      </c>
      <c r="I527" s="3">
        <f t="shared" si="69"/>
        <v>-4.564146194475649E-4</v>
      </c>
      <c r="K527" s="12" t="str">
        <f>IF(AND(G527=1,G526&lt;&gt;1),MAX($K$50:K526)+1,"")</f>
        <v/>
      </c>
      <c r="L527" s="13" t="str">
        <f>IF(AND(G527&lt;&gt;1,G526=1),MAX($L$50:L526)+1,"")</f>
        <v/>
      </c>
      <c r="M527" s="13" t="str">
        <f>IF(AND(G527=-1,G526&lt;&gt;-1),MAX($M$50:M526)+1,"")</f>
        <v/>
      </c>
      <c r="N527" s="13" t="str">
        <f>IF(AND(G527&lt;&gt;-1,G526=-1),MAX($N$50:N526)+1,"")</f>
        <v/>
      </c>
      <c r="T527" s="7">
        <f t="shared" si="70"/>
        <v>83.557932897659441</v>
      </c>
      <c r="U527" s="1">
        <f t="shared" si="71"/>
        <v>118.51530770402813</v>
      </c>
    </row>
    <row r="528" spans="1:21" x14ac:dyDescent="0.3">
      <c r="A528" s="2">
        <v>40940</v>
      </c>
      <c r="B528" s="1">
        <v>2276.2399999999998</v>
      </c>
      <c r="C528" s="2">
        <f t="shared" si="63"/>
        <v>40940</v>
      </c>
      <c r="D528" s="1">
        <f t="shared" si="64"/>
        <v>2276.2399999999998</v>
      </c>
      <c r="E528" s="4">
        <f t="shared" si="65"/>
        <v>2162.2470000000003</v>
      </c>
      <c r="F528" s="3">
        <f t="shared" si="66"/>
        <v>1.0527196939110099</v>
      </c>
      <c r="G528" s="18">
        <f t="shared" si="67"/>
        <v>1</v>
      </c>
      <c r="H528" s="3">
        <f t="shared" si="68"/>
        <v>9.1102944110226236E-3</v>
      </c>
      <c r="I528" s="3">
        <f t="shared" si="69"/>
        <v>9.1102944110226236E-3</v>
      </c>
      <c r="K528" s="12" t="str">
        <f>IF(AND(G528=1,G527&lt;&gt;1),MAX($K$50:K527)+1,"")</f>
        <v/>
      </c>
      <c r="L528" s="13" t="str">
        <f>IF(AND(G528&lt;&gt;1,G527=1),MAX($L$50:L527)+1,"")</f>
        <v/>
      </c>
      <c r="M528" s="13" t="str">
        <f>IF(AND(G528=-1,G527&lt;&gt;-1),MAX($M$50:M527)+1,"")</f>
        <v/>
      </c>
      <c r="N528" s="13" t="str">
        <f>IF(AND(G528&lt;&gt;-1,G527=-1),MAX($N$50:N527)+1,"")</f>
        <v/>
      </c>
      <c r="T528" s="7">
        <f t="shared" si="70"/>
        <v>84.319170266733593</v>
      </c>
      <c r="U528" s="1">
        <f t="shared" si="71"/>
        <v>119.59501704942478</v>
      </c>
    </row>
    <row r="529" spans="1:21" x14ac:dyDescent="0.3">
      <c r="A529" s="2">
        <v>40941</v>
      </c>
      <c r="B529" s="1">
        <v>2278.92</v>
      </c>
      <c r="C529" s="2">
        <f t="shared" si="63"/>
        <v>40941</v>
      </c>
      <c r="D529" s="1">
        <f t="shared" si="64"/>
        <v>2278.92</v>
      </c>
      <c r="E529" s="4">
        <f t="shared" si="65"/>
        <v>2166.1970000000001</v>
      </c>
      <c r="F529" s="3">
        <f t="shared" si="66"/>
        <v>1.0520372800811746</v>
      </c>
      <c r="G529" s="18">
        <f t="shared" si="67"/>
        <v>1</v>
      </c>
      <c r="H529" s="3">
        <f t="shared" si="68"/>
        <v>1.1773802410994794E-3</v>
      </c>
      <c r="I529" s="3">
        <f t="shared" si="69"/>
        <v>1.1773802410994794E-3</v>
      </c>
      <c r="K529" s="12" t="str">
        <f>IF(AND(G529=1,G528&lt;&gt;1),MAX($K$50:K528)+1,"")</f>
        <v/>
      </c>
      <c r="L529" s="13" t="str">
        <f>IF(AND(G529&lt;&gt;1,G528=1),MAX($L$50:L528)+1,"")</f>
        <v/>
      </c>
      <c r="M529" s="13" t="str">
        <f>IF(AND(G529=-1,G528&lt;&gt;-1),MAX($M$50:M528)+1,"")</f>
        <v/>
      </c>
      <c r="N529" s="13" t="str">
        <f>IF(AND(G529&lt;&gt;-1,G528=-1),MAX($N$50:N528)+1,"")</f>
        <v/>
      </c>
      <c r="T529" s="7">
        <f t="shared" si="70"/>
        <v>84.418445991751554</v>
      </c>
      <c r="U529" s="1">
        <f t="shared" si="71"/>
        <v>119.73582585943272</v>
      </c>
    </row>
    <row r="530" spans="1:21" x14ac:dyDescent="0.3">
      <c r="A530" s="2">
        <v>40942</v>
      </c>
      <c r="B530" s="1">
        <v>2312.4899999999998</v>
      </c>
      <c r="C530" s="2">
        <f t="shared" si="63"/>
        <v>40942</v>
      </c>
      <c r="D530" s="1">
        <f t="shared" si="64"/>
        <v>2312.4899999999998</v>
      </c>
      <c r="E530" s="4">
        <f t="shared" si="65"/>
        <v>2171.5926000000004</v>
      </c>
      <c r="F530" s="3">
        <f t="shared" si="66"/>
        <v>1.0648820593696993</v>
      </c>
      <c r="G530" s="18">
        <f t="shared" si="67"/>
        <v>1</v>
      </c>
      <c r="H530" s="3">
        <f t="shared" si="68"/>
        <v>1.4730661892475183E-2</v>
      </c>
      <c r="I530" s="3">
        <f t="shared" si="69"/>
        <v>1.4730661892475183E-2</v>
      </c>
      <c r="K530" s="12" t="str">
        <f>IF(AND(G530=1,G529&lt;&gt;1),MAX($K$50:K529)+1,"")</f>
        <v/>
      </c>
      <c r="L530" s="13" t="str">
        <f>IF(AND(G530&lt;&gt;1,G529=1),MAX($L$50:L529)+1,"")</f>
        <v/>
      </c>
      <c r="M530" s="13" t="str">
        <f>IF(AND(G530=-1,G529&lt;&gt;-1),MAX($M$50:M529)+1,"")</f>
        <v/>
      </c>
      <c r="N530" s="13" t="str">
        <f>IF(AND(G530&lt;&gt;-1,G529=-1),MAX($N$50:N529)+1,"")</f>
        <v/>
      </c>
      <c r="T530" s="7">
        <f t="shared" si="70"/>
        <v>85.661985577144222</v>
      </c>
      <c r="U530" s="1">
        <f t="shared" si="71"/>
        <v>121.49961382658432</v>
      </c>
    </row>
    <row r="531" spans="1:21" x14ac:dyDescent="0.3">
      <c r="A531" s="2">
        <v>40945</v>
      </c>
      <c r="B531" s="1">
        <v>2311.5500000000002</v>
      </c>
      <c r="C531" s="2">
        <f t="shared" si="63"/>
        <v>40945</v>
      </c>
      <c r="D531" s="1">
        <f t="shared" si="64"/>
        <v>2311.5500000000002</v>
      </c>
      <c r="E531" s="4">
        <f t="shared" si="65"/>
        <v>2177.1354000000006</v>
      </c>
      <c r="F531" s="3">
        <f t="shared" si="66"/>
        <v>1.0617392009702289</v>
      </c>
      <c r="G531" s="18">
        <f t="shared" si="67"/>
        <v>1</v>
      </c>
      <c r="H531" s="3">
        <f t="shared" si="68"/>
        <v>-4.0648824427336194E-4</v>
      </c>
      <c r="I531" s="3">
        <f t="shared" si="69"/>
        <v>-4.0648824427336194E-4</v>
      </c>
      <c r="K531" s="12" t="str">
        <f>IF(AND(G531=1,G530&lt;&gt;1),MAX($K$50:K530)+1,"")</f>
        <v/>
      </c>
      <c r="L531" s="13" t="str">
        <f>IF(AND(G531&lt;&gt;1,G530=1),MAX($L$50:L530)+1,"")</f>
        <v/>
      </c>
      <c r="M531" s="13" t="str">
        <f>IF(AND(G531=-1,G530&lt;&gt;-1),MAX($M$50:M530)+1,"")</f>
        <v/>
      </c>
      <c r="N531" s="13" t="str">
        <f>IF(AND(G531&lt;&gt;-1,G530=-1),MAX($N$50:N530)+1,"")</f>
        <v/>
      </c>
      <c r="T531" s="7">
        <f t="shared" si="70"/>
        <v>85.627164987025992</v>
      </c>
      <c r="U531" s="1">
        <f t="shared" si="71"/>
        <v>121.45022566188008</v>
      </c>
    </row>
    <row r="532" spans="1:21" x14ac:dyDescent="0.3">
      <c r="A532" s="2">
        <v>40946</v>
      </c>
      <c r="B532" s="1">
        <v>2316.27</v>
      </c>
      <c r="C532" s="2">
        <f t="shared" si="63"/>
        <v>40946</v>
      </c>
      <c r="D532" s="1">
        <f t="shared" si="64"/>
        <v>2316.27</v>
      </c>
      <c r="E532" s="4">
        <f t="shared" si="65"/>
        <v>2183.6700000000005</v>
      </c>
      <c r="F532" s="3">
        <f t="shared" si="66"/>
        <v>1.0607234609625078</v>
      </c>
      <c r="G532" s="18">
        <f t="shared" si="67"/>
        <v>1</v>
      </c>
      <c r="H532" s="3">
        <f t="shared" si="68"/>
        <v>2.0419199238606023E-3</v>
      </c>
      <c r="I532" s="3">
        <f t="shared" si="69"/>
        <v>2.0419199238606023E-3</v>
      </c>
      <c r="K532" s="12" t="str">
        <f>IF(AND(G532=1,G531&lt;&gt;1),MAX($K$50:K531)+1,"")</f>
        <v/>
      </c>
      <c r="L532" s="13" t="str">
        <f>IF(AND(G532&lt;&gt;1,G531=1),MAX($L$50:L531)+1,"")</f>
        <v/>
      </c>
      <c r="M532" s="13" t="str">
        <f>IF(AND(G532=-1,G531&lt;&gt;-1),MAX($M$50:M531)+1,"")</f>
        <v/>
      </c>
      <c r="N532" s="13" t="str">
        <f>IF(AND(G532&lt;&gt;-1,G531=-1),MAX($N$50:N531)+1,"")</f>
        <v/>
      </c>
      <c r="T532" s="7">
        <f t="shared" si="70"/>
        <v>85.802008801236695</v>
      </c>
      <c r="U532" s="1">
        <f t="shared" si="71"/>
        <v>121.69821729741645</v>
      </c>
    </row>
    <row r="533" spans="1:21" x14ac:dyDescent="0.3">
      <c r="A533" s="2">
        <v>40947</v>
      </c>
      <c r="B533" s="1">
        <v>2322.11</v>
      </c>
      <c r="C533" s="2">
        <f t="shared" si="63"/>
        <v>40947</v>
      </c>
      <c r="D533" s="1">
        <f t="shared" si="64"/>
        <v>2322.11</v>
      </c>
      <c r="E533" s="4">
        <f t="shared" si="65"/>
        <v>2190.4222000000004</v>
      </c>
      <c r="F533" s="3">
        <f t="shared" si="66"/>
        <v>1.0601198253012591</v>
      </c>
      <c r="G533" s="18">
        <f t="shared" si="67"/>
        <v>1</v>
      </c>
      <c r="H533" s="3">
        <f t="shared" si="68"/>
        <v>2.5212950131030532E-3</v>
      </c>
      <c r="I533" s="3">
        <f t="shared" si="69"/>
        <v>2.5212950131030532E-3</v>
      </c>
      <c r="K533" s="12" t="str">
        <f>IF(AND(G533=1,G532&lt;&gt;1),MAX($K$50:K532)+1,"")</f>
        <v/>
      </c>
      <c r="L533" s="13" t="str">
        <f>IF(AND(G533&lt;&gt;1,G532=1),MAX($L$50:L532)+1,"")</f>
        <v/>
      </c>
      <c r="M533" s="13" t="str">
        <f>IF(AND(G533=-1,G532&lt;&gt;-1),MAX($M$50:M532)+1,"")</f>
        <v/>
      </c>
      <c r="N533" s="13" t="str">
        <f>IF(AND(G533&lt;&gt;-1,G532=-1),MAX($N$50:N532)+1,"")</f>
        <v/>
      </c>
      <c r="T533" s="7">
        <f t="shared" si="70"/>
        <v>86.018340978141481</v>
      </c>
      <c r="U533" s="1">
        <f t="shared" si="71"/>
        <v>122.00505440579195</v>
      </c>
    </row>
    <row r="534" spans="1:21" x14ac:dyDescent="0.3">
      <c r="A534" s="2">
        <v>40948</v>
      </c>
      <c r="B534" s="1">
        <v>2325.56</v>
      </c>
      <c r="C534" s="2">
        <f t="shared" si="63"/>
        <v>40948</v>
      </c>
      <c r="D534" s="1">
        <f t="shared" si="64"/>
        <v>2325.56</v>
      </c>
      <c r="E534" s="4">
        <f t="shared" si="65"/>
        <v>2196.0774000000006</v>
      </c>
      <c r="F534" s="3">
        <f t="shared" si="66"/>
        <v>1.0589608544762581</v>
      </c>
      <c r="G534" s="18">
        <f t="shared" si="67"/>
        <v>1</v>
      </c>
      <c r="H534" s="3">
        <f t="shared" si="68"/>
        <v>1.485717730856706E-3</v>
      </c>
      <c r="I534" s="3">
        <f t="shared" si="69"/>
        <v>1.485717730856706E-3</v>
      </c>
      <c r="K534" s="12" t="str">
        <f>IF(AND(G534=1,G533&lt;&gt;1),MAX($K$50:K533)+1,"")</f>
        <v/>
      </c>
      <c r="L534" s="13" t="str">
        <f>IF(AND(G534&lt;&gt;1,G533=1),MAX($L$50:L533)+1,"")</f>
        <v/>
      </c>
      <c r="M534" s="13" t="str">
        <f>IF(AND(G534=-1,G533&lt;&gt;-1),MAX($M$50:M533)+1,"")</f>
        <v/>
      </c>
      <c r="N534" s="13" t="str">
        <f>IF(AND(G534&lt;&gt;-1,G533=-1),MAX($N$50:N533)+1,"")</f>
        <v/>
      </c>
      <c r="T534" s="7">
        <f t="shared" si="70"/>
        <v>86.146139952511589</v>
      </c>
      <c r="U534" s="1">
        <f t="shared" si="71"/>
        <v>122.18631947837677</v>
      </c>
    </row>
    <row r="535" spans="1:21" x14ac:dyDescent="0.3">
      <c r="A535" s="2">
        <v>40949</v>
      </c>
      <c r="B535" s="1">
        <v>2309.6</v>
      </c>
      <c r="C535" s="2">
        <f t="shared" si="63"/>
        <v>40949</v>
      </c>
      <c r="D535" s="1">
        <f t="shared" si="64"/>
        <v>2309.6</v>
      </c>
      <c r="E535" s="4">
        <f t="shared" si="65"/>
        <v>2201.3082000000009</v>
      </c>
      <c r="F535" s="3">
        <f t="shared" si="66"/>
        <v>1.0491942927391988</v>
      </c>
      <c r="G535" s="18">
        <f t="shared" si="67"/>
        <v>1</v>
      </c>
      <c r="H535" s="3">
        <f t="shared" si="68"/>
        <v>-6.8628631383408356E-3</v>
      </c>
      <c r="I535" s="3">
        <f t="shared" si="69"/>
        <v>-6.8628631383408356E-3</v>
      </c>
      <c r="K535" s="12" t="str">
        <f>IF(AND(G535=1,G534&lt;&gt;1),MAX($K$50:K534)+1,"")</f>
        <v/>
      </c>
      <c r="L535" s="13" t="str">
        <f>IF(AND(G535&lt;&gt;1,G534=1),MAX($L$50:L534)+1,"")</f>
        <v/>
      </c>
      <c r="M535" s="13" t="str">
        <f>IF(AND(G535=-1,G534&lt;&gt;-1),MAX($M$50:M534)+1,"")</f>
        <v/>
      </c>
      <c r="N535" s="13" t="str">
        <f>IF(AND(G535&lt;&gt;-1,G534=-1),MAX($N$50:N534)+1,"")</f>
        <v/>
      </c>
      <c r="T535" s="7">
        <f t="shared" si="70"/>
        <v>85.55493078412114</v>
      </c>
      <c r="U535" s="1">
        <f t="shared" si="71"/>
        <v>121.34777149041906</v>
      </c>
    </row>
    <row r="536" spans="1:21" x14ac:dyDescent="0.3">
      <c r="A536" s="2">
        <v>40952</v>
      </c>
      <c r="B536" s="1">
        <v>2325.81</v>
      </c>
      <c r="C536" s="2">
        <f t="shared" si="63"/>
        <v>40952</v>
      </c>
      <c r="D536" s="1">
        <f t="shared" si="64"/>
        <v>2325.81</v>
      </c>
      <c r="E536" s="4">
        <f t="shared" si="65"/>
        <v>2205.082800000001</v>
      </c>
      <c r="F536" s="3">
        <f t="shared" si="66"/>
        <v>1.0547495087259302</v>
      </c>
      <c r="G536" s="18">
        <f t="shared" si="67"/>
        <v>1</v>
      </c>
      <c r="H536" s="3">
        <f t="shared" si="68"/>
        <v>7.0185313474195876E-3</v>
      </c>
      <c r="I536" s="3">
        <f t="shared" si="69"/>
        <v>7.0185313474195876E-3</v>
      </c>
      <c r="K536" s="12" t="str">
        <f>IF(AND(G536=1,G535&lt;&gt;1),MAX($K$50:K535)+1,"")</f>
        <v/>
      </c>
      <c r="L536" s="13" t="str">
        <f>IF(AND(G536&lt;&gt;1,G535=1),MAX($L$50:L535)+1,"")</f>
        <v/>
      </c>
      <c r="M536" s="13" t="str">
        <f>IF(AND(G536=-1,G535&lt;&gt;-1),MAX($M$50:M535)+1,"")</f>
        <v/>
      </c>
      <c r="N536" s="13" t="str">
        <f>IF(AND(G536&lt;&gt;-1,G535=-1),MAX($N$50:N535)+1,"")</f>
        <v/>
      </c>
      <c r="T536" s="7">
        <f t="shared" si="70"/>
        <v>86.155400747755806</v>
      </c>
      <c r="U536" s="1">
        <f t="shared" si="71"/>
        <v>122.19945462856407</v>
      </c>
    </row>
    <row r="537" spans="1:21" x14ac:dyDescent="0.3">
      <c r="A537" s="2">
        <v>40953</v>
      </c>
      <c r="B537" s="1">
        <v>2324</v>
      </c>
      <c r="C537" s="2">
        <f t="shared" si="63"/>
        <v>40953</v>
      </c>
      <c r="D537" s="1">
        <f t="shared" si="64"/>
        <v>2324</v>
      </c>
      <c r="E537" s="4">
        <f t="shared" si="65"/>
        <v>2208.9014000000011</v>
      </c>
      <c r="F537" s="3">
        <f t="shared" si="66"/>
        <v>1.052106716940828</v>
      </c>
      <c r="G537" s="18">
        <f t="shared" si="67"/>
        <v>1</v>
      </c>
      <c r="H537" s="3">
        <f t="shared" si="68"/>
        <v>-7.7822350062983769E-4</v>
      </c>
      <c r="I537" s="3">
        <f t="shared" si="69"/>
        <v>-7.7822350062983769E-4</v>
      </c>
      <c r="K537" s="12" t="str">
        <f>IF(AND(G537=1,G536&lt;&gt;1),MAX($K$50:K536)+1,"")</f>
        <v/>
      </c>
      <c r="L537" s="13" t="str">
        <f>IF(AND(G537&lt;&gt;1,G536=1),MAX($L$50:L536)+1,"")</f>
        <v/>
      </c>
      <c r="M537" s="13" t="str">
        <f>IF(AND(G537=-1,G536&lt;&gt;-1),MAX($M$50:M536)+1,"")</f>
        <v/>
      </c>
      <c r="N537" s="13" t="str">
        <f>IF(AND(G537&lt;&gt;-1,G536=-1),MAX($N$50:N536)+1,"")</f>
        <v/>
      </c>
      <c r="T537" s="7">
        <f t="shared" si="70"/>
        <v>86.088352590187725</v>
      </c>
      <c r="U537" s="1">
        <f t="shared" si="71"/>
        <v>122.10435614120796</v>
      </c>
    </row>
    <row r="538" spans="1:21" x14ac:dyDescent="0.3">
      <c r="A538" s="2">
        <v>40954</v>
      </c>
      <c r="B538" s="1">
        <v>2312.2800000000002</v>
      </c>
      <c r="C538" s="2">
        <f t="shared" si="63"/>
        <v>40954</v>
      </c>
      <c r="D538" s="1">
        <f t="shared" si="64"/>
        <v>2312.2800000000002</v>
      </c>
      <c r="E538" s="4">
        <f t="shared" si="65"/>
        <v>2212.494200000001</v>
      </c>
      <c r="F538" s="3">
        <f t="shared" si="66"/>
        <v>1.0451010447846594</v>
      </c>
      <c r="G538" s="18">
        <f t="shared" si="67"/>
        <v>1</v>
      </c>
      <c r="H538" s="3">
        <f t="shared" si="68"/>
        <v>-5.0430292598966364E-3</v>
      </c>
      <c r="I538" s="3">
        <f t="shared" si="69"/>
        <v>-5.0430292598966364E-3</v>
      </c>
      <c r="K538" s="12" t="str">
        <f>IF(AND(G538=1,G537&lt;&gt;1),MAX($K$50:K537)+1,"")</f>
        <v/>
      </c>
      <c r="L538" s="13" t="str">
        <f>IF(AND(G538&lt;&gt;1,G537=1),MAX($L$50:L537)+1,"")</f>
        <v/>
      </c>
      <c r="M538" s="13" t="str">
        <f>IF(AND(G538=-1,G537&lt;&gt;-1),MAX($M$50:M537)+1,"")</f>
        <v/>
      </c>
      <c r="N538" s="13" t="str">
        <f>IF(AND(G538&lt;&gt;-1,G537=-1),MAX($N$50:N537)+1,"")</f>
        <v/>
      </c>
      <c r="T538" s="7">
        <f t="shared" si="70"/>
        <v>85.654206509139115</v>
      </c>
      <c r="U538" s="1">
        <f t="shared" si="71"/>
        <v>121.48858030042702</v>
      </c>
    </row>
    <row r="539" spans="1:21" x14ac:dyDescent="0.3">
      <c r="A539" s="2">
        <v>40955</v>
      </c>
      <c r="B539" s="1">
        <v>2338.12</v>
      </c>
      <c r="C539" s="2">
        <f t="shared" si="63"/>
        <v>40955</v>
      </c>
      <c r="D539" s="1">
        <f t="shared" si="64"/>
        <v>2338.12</v>
      </c>
      <c r="E539" s="4">
        <f t="shared" si="65"/>
        <v>2216.1630000000009</v>
      </c>
      <c r="F539" s="3">
        <f t="shared" si="66"/>
        <v>1.0550306994566732</v>
      </c>
      <c r="G539" s="18">
        <f t="shared" si="67"/>
        <v>1</v>
      </c>
      <c r="H539" s="3">
        <f t="shared" si="68"/>
        <v>1.1175117200338924E-2</v>
      </c>
      <c r="I539" s="3">
        <f t="shared" si="69"/>
        <v>1.1175117200338924E-2</v>
      </c>
      <c r="K539" s="12" t="str">
        <f>IF(AND(G539=1,G538&lt;&gt;1),MAX($K$50:K538)+1,"")</f>
        <v/>
      </c>
      <c r="L539" s="13" t="str">
        <f>IF(AND(G539&lt;&gt;1,G538=1),MAX($L$50:L538)+1,"")</f>
        <v/>
      </c>
      <c r="M539" s="13" t="str">
        <f>IF(AND(G539=-1,G538&lt;&gt;-1),MAX($M$50:M538)+1,"")</f>
        <v/>
      </c>
      <c r="N539" s="13" t="str">
        <f>IF(AND(G539&lt;&gt;-1,G538=-1),MAX($N$50:N538)+1,"")</f>
        <v/>
      </c>
      <c r="T539" s="7">
        <f t="shared" si="70"/>
        <v>86.611402305580782</v>
      </c>
      <c r="U539" s="1">
        <f t="shared" si="71"/>
        <v>122.84622942378708</v>
      </c>
    </row>
    <row r="540" spans="1:21" x14ac:dyDescent="0.3">
      <c r="A540" s="2">
        <v>40956</v>
      </c>
      <c r="B540" s="1">
        <v>2343.67</v>
      </c>
      <c r="C540" s="2">
        <f t="shared" si="63"/>
        <v>40956</v>
      </c>
      <c r="D540" s="1">
        <f t="shared" si="64"/>
        <v>2343.67</v>
      </c>
      <c r="E540" s="4">
        <f t="shared" si="65"/>
        <v>2219.8944000000006</v>
      </c>
      <c r="F540" s="3">
        <f t="shared" si="66"/>
        <v>1.0557574270199517</v>
      </c>
      <c r="G540" s="18">
        <f t="shared" si="67"/>
        <v>1</v>
      </c>
      <c r="H540" s="3">
        <f t="shared" si="68"/>
        <v>2.373701948574114E-3</v>
      </c>
      <c r="I540" s="3">
        <f t="shared" si="69"/>
        <v>2.373701948574114E-3</v>
      </c>
      <c r="K540" s="12" t="str">
        <f>IF(AND(G540=1,G539&lt;&gt;1),MAX($K$50:K539)+1,"")</f>
        <v/>
      </c>
      <c r="L540" s="13" t="str">
        <f>IF(AND(G540&lt;&gt;1,G539=1),MAX($L$50:L539)+1,"")</f>
        <v/>
      </c>
      <c r="M540" s="13" t="str">
        <f>IF(AND(G540=-1,G539&lt;&gt;-1),MAX($M$50:M539)+1,"")</f>
        <v/>
      </c>
      <c r="N540" s="13" t="str">
        <f>IF(AND(G540&lt;&gt;-1,G539=-1),MAX($N$50:N539)+1,"")</f>
        <v/>
      </c>
      <c r="T540" s="7">
        <f t="shared" si="70"/>
        <v>86.816991960002269</v>
      </c>
      <c r="U540" s="1">
        <f t="shared" si="71"/>
        <v>123.13782975794533</v>
      </c>
    </row>
    <row r="541" spans="1:21" x14ac:dyDescent="0.3">
      <c r="A541" s="2">
        <v>40960</v>
      </c>
      <c r="B541" s="1">
        <v>2345.41</v>
      </c>
      <c r="C541" s="2">
        <f t="shared" si="63"/>
        <v>40960</v>
      </c>
      <c r="D541" s="1">
        <f t="shared" si="64"/>
        <v>2345.41</v>
      </c>
      <c r="E541" s="4">
        <f t="shared" si="65"/>
        <v>2223.561200000001</v>
      </c>
      <c r="F541" s="3">
        <f t="shared" si="66"/>
        <v>1.0547989414458208</v>
      </c>
      <c r="G541" s="18">
        <f t="shared" si="67"/>
        <v>1</v>
      </c>
      <c r="H541" s="3">
        <f t="shared" si="68"/>
        <v>7.4242534145163575E-4</v>
      </c>
      <c r="I541" s="3">
        <f t="shared" si="69"/>
        <v>7.4242534145163575E-4</v>
      </c>
      <c r="K541" s="12" t="str">
        <f>IF(AND(G541=1,G540&lt;&gt;1),MAX($K$50:K540)+1,"")</f>
        <v/>
      </c>
      <c r="L541" s="13" t="str">
        <f>IF(AND(G541&lt;&gt;1,G540=1),MAX($L$50:L540)+1,"")</f>
        <v/>
      </c>
      <c r="M541" s="13" t="str">
        <f>IF(AND(G541=-1,G540&lt;&gt;-1),MAX($M$50:M540)+1,"")</f>
        <v/>
      </c>
      <c r="N541" s="13" t="str">
        <f>IF(AND(G541&lt;&gt;-1,G540=-1),MAX($N$50:N540)+1,"")</f>
        <v/>
      </c>
      <c r="T541" s="7">
        <f t="shared" si="70"/>
        <v>86.881447094901972</v>
      </c>
      <c r="U541" s="1">
        <f t="shared" si="71"/>
        <v>123.22925040324898</v>
      </c>
    </row>
    <row r="542" spans="1:21" x14ac:dyDescent="0.3">
      <c r="A542" s="2">
        <v>40961</v>
      </c>
      <c r="B542" s="1">
        <v>2337.67</v>
      </c>
      <c r="C542" s="2">
        <f t="shared" si="63"/>
        <v>40961</v>
      </c>
      <c r="D542" s="1">
        <f t="shared" si="64"/>
        <v>2337.67</v>
      </c>
      <c r="E542" s="4">
        <f t="shared" si="65"/>
        <v>2227.9864000000007</v>
      </c>
      <c r="F542" s="3">
        <f t="shared" si="66"/>
        <v>1.0492299234860676</v>
      </c>
      <c r="G542" s="18">
        <f t="shared" si="67"/>
        <v>1</v>
      </c>
      <c r="H542" s="3">
        <f t="shared" si="68"/>
        <v>-3.3000626756088947E-3</v>
      </c>
      <c r="I542" s="3">
        <f t="shared" si="69"/>
        <v>-3.3000626756088947E-3</v>
      </c>
      <c r="K542" s="12" t="str">
        <f>IF(AND(G542=1,G541&lt;&gt;1),MAX($K$50:K541)+1,"")</f>
        <v/>
      </c>
      <c r="L542" s="13" t="str">
        <f>IF(AND(G542&lt;&gt;1,G541=1),MAX($L$50:L541)+1,"")</f>
        <v/>
      </c>
      <c r="M542" s="13" t="str">
        <f>IF(AND(G542=-1,G541&lt;&gt;-1),MAX($M$50:M541)+1,"")</f>
        <v/>
      </c>
      <c r="N542" s="13" t="str">
        <f>IF(AND(G542&lt;&gt;-1,G541=-1),MAX($N$50:N541)+1,"")</f>
        <v/>
      </c>
      <c r="T542" s="7">
        <f t="shared" si="70"/>
        <v>86.594732874141201</v>
      </c>
      <c r="U542" s="1">
        <f t="shared" si="71"/>
        <v>122.82258615344996</v>
      </c>
    </row>
    <row r="543" spans="1:21" x14ac:dyDescent="0.3">
      <c r="A543" s="2">
        <v>40962</v>
      </c>
      <c r="B543" s="1">
        <v>2348.11</v>
      </c>
      <c r="C543" s="2">
        <f t="shared" si="63"/>
        <v>40962</v>
      </c>
      <c r="D543" s="1">
        <f t="shared" si="64"/>
        <v>2348.11</v>
      </c>
      <c r="E543" s="4">
        <f t="shared" si="65"/>
        <v>2231.905600000001</v>
      </c>
      <c r="F543" s="3">
        <f t="shared" si="66"/>
        <v>1.0520651052625161</v>
      </c>
      <c r="G543" s="18">
        <f t="shared" si="67"/>
        <v>1</v>
      </c>
      <c r="H543" s="3">
        <f t="shared" si="68"/>
        <v>4.4659853614923417E-3</v>
      </c>
      <c r="I543" s="3">
        <f t="shared" si="69"/>
        <v>4.4659853614923417E-3</v>
      </c>
      <c r="K543" s="12" t="str">
        <f>IF(AND(G543=1,G542&lt;&gt;1),MAX($K$50:K542)+1,"")</f>
        <v/>
      </c>
      <c r="L543" s="13" t="str">
        <f>IF(AND(G543&lt;&gt;1,G542=1),MAX($L$50:L542)+1,"")</f>
        <v/>
      </c>
      <c r="M543" s="13" t="str">
        <f>IF(AND(G543=-1,G542&lt;&gt;-1),MAX($M$50:M542)+1,"")</f>
        <v/>
      </c>
      <c r="N543" s="13" t="str">
        <f>IF(AND(G543&lt;&gt;-1,G542=-1),MAX($N$50:N542)+1,"")</f>
        <v/>
      </c>
      <c r="T543" s="7">
        <f t="shared" si="70"/>
        <v>86.981463683539459</v>
      </c>
      <c r="U543" s="1">
        <f t="shared" si="71"/>
        <v>123.37111002527192</v>
      </c>
    </row>
    <row r="544" spans="1:21" x14ac:dyDescent="0.3">
      <c r="A544" s="2">
        <v>40963</v>
      </c>
      <c r="B544" s="1">
        <v>2352.34</v>
      </c>
      <c r="C544" s="2">
        <f t="shared" si="63"/>
        <v>40963</v>
      </c>
      <c r="D544" s="1">
        <f t="shared" si="64"/>
        <v>2352.34</v>
      </c>
      <c r="E544" s="4">
        <f t="shared" si="65"/>
        <v>2236.5494000000008</v>
      </c>
      <c r="F544" s="3">
        <f t="shared" si="66"/>
        <v>1.0517719841108806</v>
      </c>
      <c r="G544" s="18">
        <f t="shared" si="67"/>
        <v>1</v>
      </c>
      <c r="H544" s="3">
        <f t="shared" si="68"/>
        <v>1.8014488247994898E-3</v>
      </c>
      <c r="I544" s="3">
        <f t="shared" si="69"/>
        <v>1.8014488247994898E-3</v>
      </c>
      <c r="K544" s="12" t="str">
        <f>IF(AND(G544=1,G543&lt;&gt;1),MAX($K$50:K543)+1,"")</f>
        <v/>
      </c>
      <c r="L544" s="13" t="str">
        <f>IF(AND(G544&lt;&gt;1,G543=1),MAX($L$50:L543)+1,"")</f>
        <v/>
      </c>
      <c r="M544" s="13" t="str">
        <f>IF(AND(G544=-1,G543&lt;&gt;-1),MAX($M$50:M543)+1,"")</f>
        <v/>
      </c>
      <c r="N544" s="13" t="str">
        <f>IF(AND(G544&lt;&gt;-1,G543=-1),MAX($N$50:N543)+1,"")</f>
        <v/>
      </c>
      <c r="T544" s="7">
        <f t="shared" si="70"/>
        <v>87.138156339071514</v>
      </c>
      <c r="U544" s="1">
        <f t="shared" si="71"/>
        <v>123.59335676644116</v>
      </c>
    </row>
    <row r="545" spans="1:21" x14ac:dyDescent="0.3">
      <c r="A545" s="2">
        <v>40966</v>
      </c>
      <c r="B545" s="1">
        <v>2355.7399999999998</v>
      </c>
      <c r="C545" s="2">
        <f t="shared" si="63"/>
        <v>40966</v>
      </c>
      <c r="D545" s="1">
        <f t="shared" si="64"/>
        <v>2355.7399999999998</v>
      </c>
      <c r="E545" s="4">
        <f t="shared" si="65"/>
        <v>2241.621200000001</v>
      </c>
      <c r="F545" s="3">
        <f t="shared" si="66"/>
        <v>1.0509090474340619</v>
      </c>
      <c r="G545" s="18">
        <f t="shared" si="67"/>
        <v>1</v>
      </c>
      <c r="H545" s="3">
        <f t="shared" si="68"/>
        <v>1.4453692918539041E-3</v>
      </c>
      <c r="I545" s="3">
        <f t="shared" si="69"/>
        <v>1.4453692918539041E-3</v>
      </c>
      <c r="K545" s="12" t="str">
        <f>IF(AND(G545=1,G544&lt;&gt;1),MAX($K$50:K544)+1,"")</f>
        <v/>
      </c>
      <c r="L545" s="13" t="str">
        <f>IF(AND(G545&lt;&gt;1,G544=1),MAX($L$50:L544)+1,"")</f>
        <v/>
      </c>
      <c r="M545" s="13" t="str">
        <f>IF(AND(G545=-1,G544&lt;&gt;-1),MAX($M$50:M544)+1,"")</f>
        <v/>
      </c>
      <c r="N545" s="13" t="str">
        <f>IF(AND(G545&lt;&gt;-1,G544=-1),MAX($N$50:N544)+1,"")</f>
        <v/>
      </c>
      <c r="T545" s="7">
        <f t="shared" si="70"/>
        <v>87.264103154392771</v>
      </c>
      <c r="U545" s="1">
        <f t="shared" si="71"/>
        <v>123.77199480898854</v>
      </c>
    </row>
    <row r="546" spans="1:21" x14ac:dyDescent="0.3">
      <c r="A546" s="2">
        <v>40967</v>
      </c>
      <c r="B546" s="1">
        <v>2364.0300000000002</v>
      </c>
      <c r="C546" s="2">
        <f t="shared" si="63"/>
        <v>40967</v>
      </c>
      <c r="D546" s="1">
        <f t="shared" si="64"/>
        <v>2364.0300000000002</v>
      </c>
      <c r="E546" s="4">
        <f t="shared" si="65"/>
        <v>2247.3316000000004</v>
      </c>
      <c r="F546" s="3">
        <f t="shared" si="66"/>
        <v>1.0519275393092855</v>
      </c>
      <c r="G546" s="18">
        <f t="shared" si="67"/>
        <v>1</v>
      </c>
      <c r="H546" s="3">
        <f t="shared" si="68"/>
        <v>3.5190640732849499E-3</v>
      </c>
      <c r="I546" s="3">
        <f t="shared" si="69"/>
        <v>3.5190640732849499E-3</v>
      </c>
      <c r="K546" s="12" t="str">
        <f>IF(AND(G546=1,G545&lt;&gt;1),MAX($K$50:K545)+1,"")</f>
        <v/>
      </c>
      <c r="L546" s="13" t="str">
        <f>IF(AND(G546&lt;&gt;1,G545=1),MAX($L$50:L545)+1,"")</f>
        <v/>
      </c>
      <c r="M546" s="13" t="str">
        <f>IF(AND(G546=-1,G545&lt;&gt;-1),MAX($M$50:M545)+1,"")</f>
        <v/>
      </c>
      <c r="N546" s="13" t="str">
        <f>IF(AND(G546&lt;&gt;-1,G545=-1),MAX($N$50:N545)+1,"")</f>
        <v/>
      </c>
      <c r="T546" s="7">
        <f t="shared" si="70"/>
        <v>87.571191124690827</v>
      </c>
      <c r="U546" s="1">
        <f t="shared" si="71"/>
        <v>124.20755638919967</v>
      </c>
    </row>
    <row r="547" spans="1:21" x14ac:dyDescent="0.3">
      <c r="A547" s="2">
        <v>40968</v>
      </c>
      <c r="B547" s="1">
        <v>2353.23</v>
      </c>
      <c r="C547" s="2">
        <f t="shared" si="63"/>
        <v>40968</v>
      </c>
      <c r="D547" s="1">
        <f t="shared" si="64"/>
        <v>2353.23</v>
      </c>
      <c r="E547" s="4">
        <f t="shared" si="65"/>
        <v>2252.6874000000007</v>
      </c>
      <c r="F547" s="3">
        <f t="shared" si="66"/>
        <v>1.0446322911914008</v>
      </c>
      <c r="G547" s="18">
        <f t="shared" si="67"/>
        <v>1</v>
      </c>
      <c r="H547" s="3">
        <f t="shared" si="68"/>
        <v>-4.5684699432748666E-3</v>
      </c>
      <c r="I547" s="3">
        <f t="shared" si="69"/>
        <v>-4.5684699432748666E-3</v>
      </c>
      <c r="K547" s="12" t="str">
        <f>IF(AND(G547=1,G546&lt;&gt;1),MAX($K$50:K546)+1,"")</f>
        <v/>
      </c>
      <c r="L547" s="13" t="str">
        <f>IF(AND(G547&lt;&gt;1,G546=1),MAX($L$50:L546)+1,"")</f>
        <v/>
      </c>
      <c r="M547" s="13" t="str">
        <f>IF(AND(G547=-1,G546&lt;&gt;-1),MAX($M$50:M546)+1,"")</f>
        <v/>
      </c>
      <c r="N547" s="13" t="str">
        <f>IF(AND(G547&lt;&gt;-1,G546=-1),MAX($N$50:N546)+1,"")</f>
        <v/>
      </c>
      <c r="T547" s="7">
        <f t="shared" si="70"/>
        <v>87.171124770140892</v>
      </c>
      <c r="U547" s="1">
        <f t="shared" si="71"/>
        <v>123.64011790110797</v>
      </c>
    </row>
    <row r="548" spans="1:21" x14ac:dyDescent="0.3">
      <c r="A548" s="2">
        <v>40969</v>
      </c>
      <c r="B548" s="1">
        <v>2367.87</v>
      </c>
      <c r="C548" s="2">
        <f t="shared" si="63"/>
        <v>40969</v>
      </c>
      <c r="D548" s="1">
        <f t="shared" si="64"/>
        <v>2367.87</v>
      </c>
      <c r="E548" s="4">
        <f t="shared" si="65"/>
        <v>2258.2012000000004</v>
      </c>
      <c r="F548" s="3">
        <f t="shared" si="66"/>
        <v>1.0485646717396127</v>
      </c>
      <c r="G548" s="18">
        <f t="shared" si="67"/>
        <v>1</v>
      </c>
      <c r="H548" s="3">
        <f t="shared" si="68"/>
        <v>6.2212363432387896E-3</v>
      </c>
      <c r="I548" s="3">
        <f t="shared" si="69"/>
        <v>6.2212363432387896E-3</v>
      </c>
      <c r="K548" s="12" t="str">
        <f>IF(AND(G548=1,G547&lt;&gt;1),MAX($K$50:K547)+1,"")</f>
        <v/>
      </c>
      <c r="L548" s="13" t="str">
        <f>IF(AND(G548&lt;&gt;1,G547=1),MAX($L$50:L547)+1,"")</f>
        <v/>
      </c>
      <c r="M548" s="13" t="str">
        <f>IF(AND(G548=-1,G547&lt;&gt;-1),MAX($M$50:M547)+1,"")</f>
        <v/>
      </c>
      <c r="N548" s="13" t="str">
        <f>IF(AND(G548&lt;&gt;-1,G547=-1),MAX($N$50:N547)+1,"")</f>
        <v/>
      </c>
      <c r="T548" s="7">
        <f t="shared" si="70"/>
        <v>87.713436939641895</v>
      </c>
      <c r="U548" s="1">
        <f t="shared" si="71"/>
        <v>124.40931229607668</v>
      </c>
    </row>
    <row r="549" spans="1:21" x14ac:dyDescent="0.3">
      <c r="A549" s="2">
        <v>40970</v>
      </c>
      <c r="B549" s="1">
        <v>2360.2800000000002</v>
      </c>
      <c r="C549" s="2">
        <f t="shared" si="63"/>
        <v>40970</v>
      </c>
      <c r="D549" s="1">
        <f t="shared" si="64"/>
        <v>2360.2800000000002</v>
      </c>
      <c r="E549" s="4">
        <f t="shared" si="65"/>
        <v>2264.0534000000002</v>
      </c>
      <c r="F549" s="3">
        <f t="shared" si="66"/>
        <v>1.0425019127199031</v>
      </c>
      <c r="G549" s="18">
        <f t="shared" si="67"/>
        <v>1</v>
      </c>
      <c r="H549" s="3">
        <f t="shared" si="68"/>
        <v>-3.2054124592987288E-3</v>
      </c>
      <c r="I549" s="3">
        <f t="shared" si="69"/>
        <v>-3.2054124592987288E-3</v>
      </c>
      <c r="K549" s="12" t="str">
        <f>IF(AND(G549=1,G548&lt;&gt;1),MAX($K$50:K548)+1,"")</f>
        <v/>
      </c>
      <c r="L549" s="13" t="str">
        <f>IF(AND(G549&lt;&gt;1,G548=1),MAX($L$50:L548)+1,"")</f>
        <v/>
      </c>
      <c r="M549" s="13" t="str">
        <f>IF(AND(G549=-1,G548&lt;&gt;-1),MAX($M$50:M548)+1,"")</f>
        <v/>
      </c>
      <c r="N549" s="13" t="str">
        <f>IF(AND(G549&lt;&gt;-1,G548=-1),MAX($N$50:N548)+1,"")</f>
        <v/>
      </c>
      <c r="T549" s="7">
        <f t="shared" si="70"/>
        <v>87.43227919602765</v>
      </c>
      <c r="U549" s="1">
        <f t="shared" si="71"/>
        <v>124.01052913639003</v>
      </c>
    </row>
    <row r="550" spans="1:21" x14ac:dyDescent="0.3">
      <c r="A550" s="2">
        <v>40973</v>
      </c>
      <c r="B550" s="1">
        <v>2351.2800000000002</v>
      </c>
      <c r="C550" s="2">
        <f t="shared" si="63"/>
        <v>40973</v>
      </c>
      <c r="D550" s="1">
        <f t="shared" si="64"/>
        <v>2351.2800000000002</v>
      </c>
      <c r="E550" s="4">
        <f t="shared" si="65"/>
        <v>2268.4856000000004</v>
      </c>
      <c r="F550" s="3">
        <f t="shared" si="66"/>
        <v>1.0364976528834919</v>
      </c>
      <c r="G550" s="18">
        <f t="shared" si="67"/>
        <v>1</v>
      </c>
      <c r="H550" s="3">
        <f t="shared" si="68"/>
        <v>-3.8131069195179723E-3</v>
      </c>
      <c r="I550" s="3">
        <f t="shared" si="69"/>
        <v>-3.8131069195179723E-3</v>
      </c>
      <c r="K550" s="12" t="str">
        <f>IF(AND(G550=1,G549&lt;&gt;1),MAX($K$50:K549)+1,"")</f>
        <v/>
      </c>
      <c r="L550" s="13" t="str">
        <f>IF(AND(G550&lt;&gt;1,G549=1),MAX($L$50:L549)+1,"")</f>
        <v/>
      </c>
      <c r="M550" s="13" t="str">
        <f>IF(AND(G550=-1,G549&lt;&gt;-1),MAX($M$50:M549)+1,"")</f>
        <v/>
      </c>
      <c r="N550" s="13" t="str">
        <f>IF(AND(G550&lt;&gt;-1,G549=-1),MAX($N$50:N549)+1,"")</f>
        <v/>
      </c>
      <c r="T550" s="7">
        <f t="shared" si="70"/>
        <v>87.098890567236054</v>
      </c>
      <c r="U550" s="1">
        <f t="shared" si="71"/>
        <v>123.53766372964698</v>
      </c>
    </row>
    <row r="551" spans="1:21" x14ac:dyDescent="0.3">
      <c r="A551" s="2">
        <v>40974</v>
      </c>
      <c r="B551" s="1">
        <v>2315.21</v>
      </c>
      <c r="C551" s="2">
        <f t="shared" si="63"/>
        <v>40974</v>
      </c>
      <c r="D551" s="1">
        <f t="shared" si="64"/>
        <v>2315.21</v>
      </c>
      <c r="E551" s="4">
        <f t="shared" si="65"/>
        <v>2272.1125999999999</v>
      </c>
      <c r="F551" s="3">
        <f t="shared" si="66"/>
        <v>1.0189679860056231</v>
      </c>
      <c r="G551" s="18">
        <f t="shared" si="67"/>
        <v>1</v>
      </c>
      <c r="H551" s="3">
        <f t="shared" si="68"/>
        <v>-1.5340580449797581E-2</v>
      </c>
      <c r="I551" s="3">
        <f t="shared" si="69"/>
        <v>-1.5340580449797581E-2</v>
      </c>
      <c r="K551" s="12" t="str">
        <f>IF(AND(G551=1,G550&lt;&gt;1),MAX($K$50:K550)+1,"")</f>
        <v/>
      </c>
      <c r="L551" s="13" t="str">
        <f>IF(AND(G551&lt;&gt;1,G550=1),MAX($L$50:L550)+1,"")</f>
        <v/>
      </c>
      <c r="M551" s="13" t="str">
        <f>IF(AND(G551=-1,G550&lt;&gt;-1),MAX($M$50:M550)+1,"")</f>
        <v/>
      </c>
      <c r="N551" s="13" t="str">
        <f>IF(AND(G551&lt;&gt;-1,G550=-1),MAX($N$50:N550)+1,"")</f>
        <v/>
      </c>
      <c r="T551" s="7">
        <f t="shared" si="70"/>
        <v>85.76274302940125</v>
      </c>
      <c r="U551" s="1">
        <f t="shared" si="71"/>
        <v>121.64252426062228</v>
      </c>
    </row>
    <row r="552" spans="1:21" x14ac:dyDescent="0.3">
      <c r="A552" s="2">
        <v>40975</v>
      </c>
      <c r="B552" s="1">
        <v>2331.89</v>
      </c>
      <c r="C552" s="2">
        <f t="shared" si="63"/>
        <v>40975</v>
      </c>
      <c r="D552" s="1">
        <f t="shared" si="64"/>
        <v>2331.89</v>
      </c>
      <c r="E552" s="4">
        <f t="shared" si="65"/>
        <v>2275.7096000000001</v>
      </c>
      <c r="F552" s="3">
        <f t="shared" si="66"/>
        <v>1.0246869811508461</v>
      </c>
      <c r="G552" s="18">
        <f t="shared" si="67"/>
        <v>1</v>
      </c>
      <c r="H552" s="3">
        <f t="shared" si="68"/>
        <v>7.2045300426311076E-3</v>
      </c>
      <c r="I552" s="3">
        <f t="shared" si="69"/>
        <v>7.2045300426311076E-3</v>
      </c>
      <c r="K552" s="12" t="str">
        <f>IF(AND(G552=1,G551&lt;&gt;1),MAX($K$50:K551)+1,"")</f>
        <v/>
      </c>
      <c r="L552" s="13" t="str">
        <f>IF(AND(G552&lt;&gt;1,G551=1),MAX($L$50:L551)+1,"")</f>
        <v/>
      </c>
      <c r="M552" s="13" t="str">
        <f>IF(AND(G552=-1,G551&lt;&gt;-1),MAX($M$50:M551)+1,"")</f>
        <v/>
      </c>
      <c r="N552" s="13" t="str">
        <f>IF(AND(G552&lt;&gt;-1,G551=-1),MAX($N$50:N551)+1,"")</f>
        <v/>
      </c>
      <c r="T552" s="7">
        <f t="shared" si="70"/>
        <v>86.380623288095023</v>
      </c>
      <c r="U552" s="1">
        <f t="shared" si="71"/>
        <v>122.5189014811194</v>
      </c>
    </row>
    <row r="553" spans="1:21" x14ac:dyDescent="0.3">
      <c r="A553" s="2">
        <v>40976</v>
      </c>
      <c r="B553" s="1">
        <v>2355.0100000000002</v>
      </c>
      <c r="C553" s="2">
        <f t="shared" si="63"/>
        <v>40976</v>
      </c>
      <c r="D553" s="1">
        <f t="shared" si="64"/>
        <v>2355.0100000000002</v>
      </c>
      <c r="E553" s="4">
        <f t="shared" si="65"/>
        <v>2279.3797999999997</v>
      </c>
      <c r="F553" s="3">
        <f t="shared" si="66"/>
        <v>1.0331801659381208</v>
      </c>
      <c r="G553" s="18">
        <f t="shared" si="67"/>
        <v>1</v>
      </c>
      <c r="H553" s="3">
        <f t="shared" si="68"/>
        <v>9.9147043814247215E-3</v>
      </c>
      <c r="I553" s="3">
        <f t="shared" si="69"/>
        <v>9.9147043814247215E-3</v>
      </c>
      <c r="K553" s="12" t="str">
        <f>IF(AND(G553=1,G552&lt;&gt;1),MAX($K$50:K552)+1,"")</f>
        <v/>
      </c>
      <c r="L553" s="13" t="str">
        <f>IF(AND(G553&lt;&gt;1,G552=1),MAX($L$50:L552)+1,"")</f>
        <v/>
      </c>
      <c r="M553" s="13" t="str">
        <f>IF(AND(G553=-1,G552&lt;&gt;-1),MAX($M$50:M552)+1,"")</f>
        <v/>
      </c>
      <c r="N553" s="13" t="str">
        <f>IF(AND(G553&lt;&gt;-1,G552=-1),MAX($N$50:N552)+1,"")</f>
        <v/>
      </c>
      <c r="T553" s="7">
        <f t="shared" si="70"/>
        <v>87.237061632279691</v>
      </c>
      <c r="U553" s="1">
        <f t="shared" si="71"/>
        <v>123.73364017044159</v>
      </c>
    </row>
    <row r="554" spans="1:21" x14ac:dyDescent="0.3">
      <c r="A554" s="2">
        <v>40977</v>
      </c>
      <c r="B554" s="1">
        <v>2363.56</v>
      </c>
      <c r="C554" s="2">
        <f t="shared" si="63"/>
        <v>40977</v>
      </c>
      <c r="D554" s="1">
        <f t="shared" si="64"/>
        <v>2363.56</v>
      </c>
      <c r="E554" s="4">
        <f t="shared" si="65"/>
        <v>2283.2168000000001</v>
      </c>
      <c r="F554" s="3">
        <f t="shared" si="66"/>
        <v>1.0351885988225034</v>
      </c>
      <c r="G554" s="18">
        <f t="shared" si="67"/>
        <v>1</v>
      </c>
      <c r="H554" s="3">
        <f t="shared" si="68"/>
        <v>3.6305578320261489E-3</v>
      </c>
      <c r="I554" s="3">
        <f t="shared" si="69"/>
        <v>3.6305578320261489E-3</v>
      </c>
      <c r="K554" s="12" t="str">
        <f>IF(AND(G554=1,G553&lt;&gt;1),MAX($K$50:K553)+1,"")</f>
        <v/>
      </c>
      <c r="L554" s="13" t="str">
        <f>IF(AND(G554&lt;&gt;1,G553=1),MAX($L$50:L553)+1,"")</f>
        <v/>
      </c>
      <c r="M554" s="13" t="str">
        <f>IF(AND(G554=-1,G553&lt;&gt;-1),MAX($M$50:M553)+1,"")</f>
        <v/>
      </c>
      <c r="N554" s="13" t="str">
        <f>IF(AND(G554&lt;&gt;-1,G553=-1),MAX($N$50:N553)+1,"")</f>
        <v/>
      </c>
      <c r="T554" s="7">
        <f t="shared" si="70"/>
        <v>87.553780829631705</v>
      </c>
      <c r="U554" s="1">
        <f t="shared" si="71"/>
        <v>124.18286230684748</v>
      </c>
    </row>
    <row r="555" spans="1:21" x14ac:dyDescent="0.3">
      <c r="A555" s="2">
        <v>40980</v>
      </c>
      <c r="B555" s="1">
        <v>2364.1</v>
      </c>
      <c r="C555" s="2">
        <f t="shared" si="63"/>
        <v>40980</v>
      </c>
      <c r="D555" s="1">
        <f t="shared" si="64"/>
        <v>2364.1</v>
      </c>
      <c r="E555" s="4">
        <f t="shared" si="65"/>
        <v>2287.5969999999998</v>
      </c>
      <c r="F555" s="3">
        <f t="shared" si="66"/>
        <v>1.0334425163173409</v>
      </c>
      <c r="G555" s="18">
        <f t="shared" si="67"/>
        <v>1</v>
      </c>
      <c r="H555" s="3">
        <f t="shared" si="68"/>
        <v>2.2846891976513461E-4</v>
      </c>
      <c r="I555" s="3">
        <f t="shared" si="69"/>
        <v>2.2846891976513461E-4</v>
      </c>
      <c r="K555" s="12" t="str">
        <f>IF(AND(G555=1,G554&lt;&gt;1),MAX($K$50:K554)+1,"")</f>
        <v/>
      </c>
      <c r="L555" s="13" t="str">
        <f>IF(AND(G555&lt;&gt;1,G554=1),MAX($L$50:L554)+1,"")</f>
        <v/>
      </c>
      <c r="M555" s="13" t="str">
        <f>IF(AND(G555=-1,G554&lt;&gt;-1),MAX($M$50:M554)+1,"")</f>
        <v/>
      </c>
      <c r="N555" s="13" t="str">
        <f>IF(AND(G555&lt;&gt;-1,G554=-1),MAX($N$50:N554)+1,"")</f>
        <v/>
      </c>
      <c r="T555" s="7">
        <f t="shared" si="70"/>
        <v>87.573784147359206</v>
      </c>
      <c r="U555" s="1">
        <f t="shared" si="71"/>
        <v>124.21123423125206</v>
      </c>
    </row>
    <row r="556" spans="1:21" x14ac:dyDescent="0.3">
      <c r="A556" s="2">
        <v>40981</v>
      </c>
      <c r="B556" s="1">
        <v>2407.79</v>
      </c>
      <c r="C556" s="2">
        <f t="shared" si="63"/>
        <v>40981</v>
      </c>
      <c r="D556" s="1">
        <f t="shared" si="64"/>
        <v>2407.79</v>
      </c>
      <c r="E556" s="4">
        <f t="shared" si="65"/>
        <v>2292.3903999999993</v>
      </c>
      <c r="F556" s="3">
        <f t="shared" si="66"/>
        <v>1.0503402910778201</v>
      </c>
      <c r="G556" s="18">
        <f t="shared" si="67"/>
        <v>1</v>
      </c>
      <c r="H556" s="3">
        <f t="shared" si="68"/>
        <v>1.8480605727338117E-2</v>
      </c>
      <c r="I556" s="3">
        <f t="shared" si="69"/>
        <v>1.8480605727338117E-2</v>
      </c>
      <c r="K556" s="12" t="str">
        <f>IF(AND(G556=1,G555&lt;&gt;1),MAX($K$50:K555)+1,"")</f>
        <v/>
      </c>
      <c r="L556" s="13" t="str">
        <f>IF(AND(G556&lt;&gt;1,G555=1),MAX($L$50:L555)+1,"")</f>
        <v/>
      </c>
      <c r="M556" s="13" t="str">
        <f>IF(AND(G556=-1,G555&lt;&gt;-1),MAX($M$50:M555)+1,"")</f>
        <v/>
      </c>
      <c r="N556" s="13" t="str">
        <f>IF(AND(G556&lt;&gt;-1,G555=-1),MAX($N$50:N555)+1,"")</f>
        <v/>
      </c>
      <c r="T556" s="7">
        <f t="shared" si="70"/>
        <v>89.192200724237566</v>
      </c>
      <c r="U556" s="1">
        <f t="shared" si="71"/>
        <v>126.50673307798588</v>
      </c>
    </row>
    <row r="557" spans="1:21" x14ac:dyDescent="0.3">
      <c r="A557" s="2">
        <v>40982</v>
      </c>
      <c r="B557" s="1">
        <v>2404.98</v>
      </c>
      <c r="C557" s="2">
        <f t="shared" si="63"/>
        <v>40982</v>
      </c>
      <c r="D557" s="1">
        <f t="shared" si="64"/>
        <v>2404.98</v>
      </c>
      <c r="E557" s="4">
        <f t="shared" si="65"/>
        <v>2297.3111999999992</v>
      </c>
      <c r="F557" s="3">
        <f t="shared" si="66"/>
        <v>1.0468673116641753</v>
      </c>
      <c r="G557" s="18">
        <f t="shared" si="67"/>
        <v>1</v>
      </c>
      <c r="H557" s="3">
        <f t="shared" si="68"/>
        <v>-1.1670452988009616E-3</v>
      </c>
      <c r="I557" s="3">
        <f t="shared" si="69"/>
        <v>-1.1670452988009616E-3</v>
      </c>
      <c r="K557" s="12" t="str">
        <f>IF(AND(G557=1,G556&lt;&gt;1),MAX($K$50:K556)+1,"")</f>
        <v/>
      </c>
      <c r="L557" s="13" t="str">
        <f>IF(AND(G557&lt;&gt;1,G556=1),MAX($L$50:L556)+1,"")</f>
        <v/>
      </c>
      <c r="M557" s="13" t="str">
        <f>IF(AND(G557=-1,G556&lt;&gt;-1),MAX($M$50:M556)+1,"")</f>
        <v/>
      </c>
      <c r="N557" s="13" t="str">
        <f>IF(AND(G557&lt;&gt;-1,G556=-1),MAX($N$50:N556)+1,"")</f>
        <v/>
      </c>
      <c r="T557" s="7">
        <f t="shared" si="70"/>
        <v>89.088109385692633</v>
      </c>
      <c r="U557" s="1">
        <f t="shared" si="71"/>
        <v>126.35909398988055</v>
      </c>
    </row>
    <row r="558" spans="1:21" x14ac:dyDescent="0.3">
      <c r="A558" s="2">
        <v>40983</v>
      </c>
      <c r="B558" s="1">
        <v>2419.37</v>
      </c>
      <c r="C558" s="2">
        <f t="shared" si="63"/>
        <v>40983</v>
      </c>
      <c r="D558" s="1">
        <f t="shared" si="64"/>
        <v>2419.37</v>
      </c>
      <c r="E558" s="4">
        <f t="shared" si="65"/>
        <v>2301.8505999999993</v>
      </c>
      <c r="F558" s="3">
        <f t="shared" si="66"/>
        <v>1.0510543125605114</v>
      </c>
      <c r="G558" s="18">
        <f t="shared" si="67"/>
        <v>1</v>
      </c>
      <c r="H558" s="3">
        <f t="shared" si="68"/>
        <v>5.9834177415196699E-3</v>
      </c>
      <c r="I558" s="3">
        <f t="shared" si="69"/>
        <v>5.9834177415196699E-3</v>
      </c>
      <c r="K558" s="12" t="str">
        <f>IF(AND(G558=1,G557&lt;&gt;1),MAX($K$50:K557)+1,"")</f>
        <v/>
      </c>
      <c r="L558" s="13" t="str">
        <f>IF(AND(G558&lt;&gt;1,G557=1),MAX($L$50:L557)+1,"")</f>
        <v/>
      </c>
      <c r="M558" s="13" t="str">
        <f>IF(AND(G558=-1,G557&lt;&gt;-1),MAX($M$50:M557)+1,"")</f>
        <v/>
      </c>
      <c r="N558" s="13" t="str">
        <f>IF(AND(G558&lt;&gt;-1,G557=-1),MAX($N$50:N557)+1,"")</f>
        <v/>
      </c>
      <c r="T558" s="7">
        <f t="shared" si="70"/>
        <v>89.621160759949433</v>
      </c>
      <c r="U558" s="1">
        <f t="shared" si="71"/>
        <v>127.11515323466196</v>
      </c>
    </row>
    <row r="559" spans="1:21" x14ac:dyDescent="0.3">
      <c r="A559" s="2">
        <v>40984</v>
      </c>
      <c r="B559" s="1">
        <v>2422.09</v>
      </c>
      <c r="C559" s="2">
        <f t="shared" si="63"/>
        <v>40984</v>
      </c>
      <c r="D559" s="1">
        <f t="shared" si="64"/>
        <v>2422.09</v>
      </c>
      <c r="E559" s="4">
        <f t="shared" si="65"/>
        <v>2306.4267999999993</v>
      </c>
      <c r="F559" s="3">
        <f t="shared" si="66"/>
        <v>1.050148220615543</v>
      </c>
      <c r="G559" s="18">
        <f t="shared" si="67"/>
        <v>1</v>
      </c>
      <c r="H559" s="3">
        <f t="shared" si="68"/>
        <v>1.1242596213065781E-3</v>
      </c>
      <c r="I559" s="3">
        <f t="shared" si="69"/>
        <v>1.1242596213065781E-3</v>
      </c>
      <c r="K559" s="12" t="str">
        <f>IF(AND(G559=1,G558&lt;&gt;1),MAX($K$50:K558)+1,"")</f>
        <v/>
      </c>
      <c r="L559" s="13" t="str">
        <f>IF(AND(G559&lt;&gt;1,G558=1),MAX($L$50:L558)+1,"")</f>
        <v/>
      </c>
      <c r="M559" s="13" t="str">
        <f>IF(AND(G559=-1,G558&lt;&gt;-1),MAX($M$50:M558)+1,"")</f>
        <v/>
      </c>
      <c r="N559" s="13" t="str">
        <f>IF(AND(G559&lt;&gt;-1,G558=-1),MAX($N$50:N558)+1,"")</f>
        <v/>
      </c>
      <c r="T559" s="7">
        <f t="shared" si="70"/>
        <v>89.721918212206475</v>
      </c>
      <c r="U559" s="1">
        <f t="shared" si="71"/>
        <v>127.25806366869988</v>
      </c>
    </row>
    <row r="560" spans="1:21" x14ac:dyDescent="0.3">
      <c r="A560" s="2">
        <v>40987</v>
      </c>
      <c r="B560" s="1">
        <v>2431.73</v>
      </c>
      <c r="C560" s="2">
        <f t="shared" si="63"/>
        <v>40987</v>
      </c>
      <c r="D560" s="1">
        <f t="shared" si="64"/>
        <v>2431.73</v>
      </c>
      <c r="E560" s="4">
        <f t="shared" si="65"/>
        <v>2311.0667999999991</v>
      </c>
      <c r="F560" s="3">
        <f t="shared" si="66"/>
        <v>1.0522110395078155</v>
      </c>
      <c r="G560" s="18">
        <f t="shared" si="67"/>
        <v>1</v>
      </c>
      <c r="H560" s="3">
        <f t="shared" si="68"/>
        <v>3.9800337724857915E-3</v>
      </c>
      <c r="I560" s="3">
        <f t="shared" si="69"/>
        <v>3.9800337724857915E-3</v>
      </c>
      <c r="K560" s="12" t="str">
        <f>IF(AND(G560=1,G559&lt;&gt;1),MAX($K$50:K559)+1,"")</f>
        <v/>
      </c>
      <c r="L560" s="13" t="str">
        <f>IF(AND(G560&lt;&gt;1,G559=1),MAX($L$50:L559)+1,"")</f>
        <v/>
      </c>
      <c r="M560" s="13" t="str">
        <f>IF(AND(G560=-1,G559&lt;&gt;-1),MAX($M$50:M559)+1,"")</f>
        <v/>
      </c>
      <c r="N560" s="13" t="str">
        <f>IF(AND(G560&lt;&gt;-1,G559=-1),MAX($N$50:N559)+1,"")</f>
        <v/>
      </c>
      <c r="T560" s="7">
        <f t="shared" si="70"/>
        <v>90.079014476823261</v>
      </c>
      <c r="U560" s="1">
        <f t="shared" si="71"/>
        <v>127.76455505992244</v>
      </c>
    </row>
    <row r="561" spans="1:21" x14ac:dyDescent="0.3">
      <c r="A561" s="2">
        <v>40988</v>
      </c>
      <c r="B561" s="1">
        <v>2424.46</v>
      </c>
      <c r="C561" s="2">
        <f t="shared" si="63"/>
        <v>40988</v>
      </c>
      <c r="D561" s="1">
        <f t="shared" si="64"/>
        <v>2424.46</v>
      </c>
      <c r="E561" s="4">
        <f t="shared" si="65"/>
        <v>2315.6563999999994</v>
      </c>
      <c r="F561" s="3">
        <f t="shared" si="66"/>
        <v>1.0469860727178699</v>
      </c>
      <c r="G561" s="18">
        <f t="shared" si="67"/>
        <v>1</v>
      </c>
      <c r="H561" s="3">
        <f t="shared" si="68"/>
        <v>-2.9896411196966843E-3</v>
      </c>
      <c r="I561" s="3">
        <f t="shared" si="69"/>
        <v>-2.9896411196966843E-3</v>
      </c>
      <c r="K561" s="12" t="str">
        <f>IF(AND(G561=1,G560&lt;&gt;1),MAX($K$50:K560)+1,"")</f>
        <v/>
      </c>
      <c r="L561" s="13" t="str">
        <f>IF(AND(G561&lt;&gt;1,G560=1),MAX($L$50:L560)+1,"")</f>
        <v/>
      </c>
      <c r="M561" s="13" t="str">
        <f>IF(AND(G561=-1,G560&lt;&gt;-1),MAX($M$50:M560)+1,"")</f>
        <v/>
      </c>
      <c r="N561" s="13" t="str">
        <f>IF(AND(G561&lt;&gt;-1,G560=-1),MAX($N$50:N560)+1,"")</f>
        <v/>
      </c>
      <c r="T561" s="7">
        <f t="shared" si="70"/>
        <v>89.809710551121597</v>
      </c>
      <c r="U561" s="1">
        <f t="shared" si="71"/>
        <v>127.38258489247555</v>
      </c>
    </row>
    <row r="562" spans="1:21" x14ac:dyDescent="0.3">
      <c r="A562" s="2">
        <v>40989</v>
      </c>
      <c r="B562" s="1">
        <v>2420.02</v>
      </c>
      <c r="C562" s="2">
        <f t="shared" si="63"/>
        <v>40989</v>
      </c>
      <c r="D562" s="1">
        <f t="shared" si="64"/>
        <v>2420.02</v>
      </c>
      <c r="E562" s="4">
        <f t="shared" si="65"/>
        <v>2320.0567999999994</v>
      </c>
      <c r="F562" s="3">
        <f t="shared" si="66"/>
        <v>1.0430865313297504</v>
      </c>
      <c r="G562" s="18">
        <f t="shared" si="67"/>
        <v>1</v>
      </c>
      <c r="H562" s="3">
        <f t="shared" si="68"/>
        <v>-1.8313356376264966E-3</v>
      </c>
      <c r="I562" s="3">
        <f t="shared" si="69"/>
        <v>-1.8313356376264966E-3</v>
      </c>
      <c r="K562" s="12" t="str">
        <f>IF(AND(G562=1,G561&lt;&gt;1),MAX($K$50:K561)+1,"")</f>
        <v/>
      </c>
      <c r="L562" s="13" t="str">
        <f>IF(AND(G562&lt;&gt;1,G561=1),MAX($L$50:L561)+1,"")</f>
        <v/>
      </c>
      <c r="M562" s="13" t="str">
        <f>IF(AND(G562=-1,G561&lt;&gt;-1),MAX($M$50:M561)+1,"")</f>
        <v/>
      </c>
      <c r="N562" s="13" t="str">
        <f>IF(AND(G562&lt;&gt;-1,G561=-1),MAX($N$50:N561)+1,"")</f>
        <v/>
      </c>
      <c r="T562" s="7">
        <f t="shared" si="70"/>
        <v>89.645238827584407</v>
      </c>
      <c r="U562" s="1">
        <f t="shared" si="71"/>
        <v>127.14930462514897</v>
      </c>
    </row>
    <row r="563" spans="1:21" x14ac:dyDescent="0.3">
      <c r="A563" s="2">
        <v>40990</v>
      </c>
      <c r="B563" s="1">
        <v>2402.71</v>
      </c>
      <c r="C563" s="2">
        <f t="shared" si="63"/>
        <v>40990</v>
      </c>
      <c r="D563" s="1">
        <f t="shared" si="64"/>
        <v>2402.71</v>
      </c>
      <c r="E563" s="4">
        <f t="shared" si="65"/>
        <v>2323.7193999999995</v>
      </c>
      <c r="F563" s="3">
        <f t="shared" si="66"/>
        <v>1.0339931749074354</v>
      </c>
      <c r="G563" s="18">
        <f t="shared" si="67"/>
        <v>1</v>
      </c>
      <c r="H563" s="3">
        <f t="shared" si="68"/>
        <v>-7.1528334476573807E-3</v>
      </c>
      <c r="I563" s="3">
        <f t="shared" si="69"/>
        <v>-7.1528334476573807E-3</v>
      </c>
      <c r="K563" s="12" t="str">
        <f>IF(AND(G563=1,G562&lt;&gt;1),MAX($K$50:K562)+1,"")</f>
        <v/>
      </c>
      <c r="L563" s="13" t="str">
        <f>IF(AND(G563&lt;&gt;1,G562=1),MAX($L$50:L562)+1,"")</f>
        <v/>
      </c>
      <c r="M563" s="13" t="str">
        <f>IF(AND(G563=-1,G562&lt;&gt;-1),MAX($M$50:M562)+1,"")</f>
        <v/>
      </c>
      <c r="N563" s="13" t="str">
        <f>IF(AND(G563&lt;&gt;-1,G562=-1),MAX($N$50:N562)+1,"")</f>
        <v/>
      </c>
      <c r="T563" s="7">
        <f t="shared" si="70"/>
        <v>89.004021364875229</v>
      </c>
      <c r="U563" s="1">
        <f t="shared" si="71"/>
        <v>126.23982682617982</v>
      </c>
    </row>
    <row r="564" spans="1:21" x14ac:dyDescent="0.3">
      <c r="A564" s="2">
        <v>40991</v>
      </c>
      <c r="B564" s="1">
        <v>2410.16</v>
      </c>
      <c r="C564" s="2">
        <f t="shared" ref="C564:C627" si="72">A564</f>
        <v>40991</v>
      </c>
      <c r="D564" s="1">
        <f t="shared" ref="D564:D627" si="73">B564</f>
        <v>2410.16</v>
      </c>
      <c r="E564" s="4">
        <f t="shared" ref="E564:E627" si="74">AVERAGE(B515:B564)</f>
        <v>2327.5129999999995</v>
      </c>
      <c r="F564" s="3">
        <f t="shared" ref="F564:F627" si="75">D564/E564</f>
        <v>1.0355087168149009</v>
      </c>
      <c r="G564" s="18">
        <f t="shared" ref="G564:G627" si="76">IF(F564&gt;=$Q$51,1,IF(F564&lt;=$Q$52,-1,0))</f>
        <v>1</v>
      </c>
      <c r="H564" s="3">
        <f t="shared" si="68"/>
        <v>3.1006654985410442E-3</v>
      </c>
      <c r="I564" s="3">
        <f t="shared" si="69"/>
        <v>3.1006654985410442E-3</v>
      </c>
      <c r="K564" s="12" t="str">
        <f>IF(AND(G564=1,G563&lt;&gt;1),MAX($K$50:K563)+1,"")</f>
        <v/>
      </c>
      <c r="L564" s="13" t="str">
        <f>IF(AND(G564&lt;&gt;1,G563=1),MAX($L$50:L563)+1,"")</f>
        <v/>
      </c>
      <c r="M564" s="13" t="str">
        <f>IF(AND(G564=-1,G563&lt;&gt;-1),MAX($M$50:M563)+1,"")</f>
        <v/>
      </c>
      <c r="N564" s="13" t="str">
        <f>IF(AND(G564&lt;&gt;-1,G563=-1),MAX($N$50:N563)+1,"")</f>
        <v/>
      </c>
      <c r="T564" s="7">
        <f t="shared" si="70"/>
        <v>89.279993063152702</v>
      </c>
      <c r="U564" s="1">
        <f t="shared" si="71"/>
        <v>126.63125430176157</v>
      </c>
    </row>
    <row r="565" spans="1:21" x14ac:dyDescent="0.3">
      <c r="A565" s="2">
        <v>40994</v>
      </c>
      <c r="B565" s="1">
        <v>2443.64</v>
      </c>
      <c r="C565" s="2">
        <f t="shared" si="72"/>
        <v>40994</v>
      </c>
      <c r="D565" s="1">
        <f t="shared" si="73"/>
        <v>2443.64</v>
      </c>
      <c r="E565" s="4">
        <f t="shared" si="74"/>
        <v>2331.8709999999996</v>
      </c>
      <c r="F565" s="3">
        <f t="shared" si="75"/>
        <v>1.0479310390669125</v>
      </c>
      <c r="G565" s="18">
        <f t="shared" si="76"/>
        <v>1</v>
      </c>
      <c r="H565" s="3">
        <f t="shared" ref="H565:H628" si="77">D565/D564-1</f>
        <v>1.3891193945630098E-2</v>
      </c>
      <c r="I565" s="3">
        <f t="shared" ref="I565:I628" si="78">G564*H565</f>
        <v>1.3891193945630098E-2</v>
      </c>
      <c r="K565" s="12" t="str">
        <f>IF(AND(G565=1,G564&lt;&gt;1),MAX($K$50:K564)+1,"")</f>
        <v/>
      </c>
      <c r="L565" s="13" t="str">
        <f>IF(AND(G565&lt;&gt;1,G564=1),MAX($L$50:L564)+1,"")</f>
        <v/>
      </c>
      <c r="M565" s="13" t="str">
        <f>IF(AND(G565=-1,G564&lt;&gt;-1),MAX($M$50:M564)+1,"")</f>
        <v/>
      </c>
      <c r="N565" s="13" t="str">
        <f>IF(AND(G565&lt;&gt;-1,G564=-1),MAX($N$50:N564)+1,"")</f>
        <v/>
      </c>
      <c r="T565" s="7">
        <f t="shared" ref="T565:T628" si="79">T564*(1+I565)</f>
        <v>90.520198762257465</v>
      </c>
      <c r="U565" s="1">
        <f t="shared" ref="U565:U628" si="80">U564*D565/D564</f>
        <v>128.39031361484575</v>
      </c>
    </row>
    <row r="566" spans="1:21" x14ac:dyDescent="0.3">
      <c r="A566" s="2">
        <v>40995</v>
      </c>
      <c r="B566" s="1">
        <v>2437.0100000000002</v>
      </c>
      <c r="C566" s="2">
        <f t="shared" si="72"/>
        <v>40995</v>
      </c>
      <c r="D566" s="1">
        <f t="shared" si="73"/>
        <v>2437.0100000000002</v>
      </c>
      <c r="E566" s="4">
        <f t="shared" si="74"/>
        <v>2336.3165999999997</v>
      </c>
      <c r="F566" s="3">
        <f t="shared" si="75"/>
        <v>1.0430992100984946</v>
      </c>
      <c r="G566" s="18">
        <f t="shared" si="76"/>
        <v>1</v>
      </c>
      <c r="H566" s="3">
        <f t="shared" si="77"/>
        <v>-2.7131656054081299E-3</v>
      </c>
      <c r="I566" s="3">
        <f t="shared" si="78"/>
        <v>-2.7131656054081299E-3</v>
      </c>
      <c r="K566" s="12" t="str">
        <f>IF(AND(G566=1,G565&lt;&gt;1),MAX($K$50:K565)+1,"")</f>
        <v/>
      </c>
      <c r="L566" s="13" t="str">
        <f>IF(AND(G566&lt;&gt;1,G565=1),MAX($L$50:L565)+1,"")</f>
        <v/>
      </c>
      <c r="M566" s="13" t="str">
        <f>IF(AND(G566=-1,G565&lt;&gt;-1),MAX($M$50:M565)+1,"")</f>
        <v/>
      </c>
      <c r="N566" s="13" t="str">
        <f>IF(AND(G566&lt;&gt;-1,G565=-1),MAX($N$50:N565)+1,"")</f>
        <v/>
      </c>
      <c r="T566" s="7">
        <f t="shared" si="79"/>
        <v>90.274602472381005</v>
      </c>
      <c r="U566" s="1">
        <f t="shared" si="80"/>
        <v>128.04196943187836</v>
      </c>
    </row>
    <row r="567" spans="1:21" x14ac:dyDescent="0.3">
      <c r="A567" s="2">
        <v>40996</v>
      </c>
      <c r="B567" s="1">
        <v>2425.5500000000002</v>
      </c>
      <c r="C567" s="2">
        <f t="shared" si="72"/>
        <v>40996</v>
      </c>
      <c r="D567" s="1">
        <f t="shared" si="73"/>
        <v>2425.5500000000002</v>
      </c>
      <c r="E567" s="4">
        <f t="shared" si="74"/>
        <v>2340.3757999999998</v>
      </c>
      <c r="F567" s="3">
        <f t="shared" si="75"/>
        <v>1.0363933860536416</v>
      </c>
      <c r="G567" s="18">
        <f t="shared" si="76"/>
        <v>1</v>
      </c>
      <c r="H567" s="3">
        <f t="shared" si="77"/>
        <v>-4.7024837813550713E-3</v>
      </c>
      <c r="I567" s="3">
        <f t="shared" si="78"/>
        <v>-4.7024837813550713E-3</v>
      </c>
      <c r="K567" s="12" t="str">
        <f>IF(AND(G567=1,G566&lt;&gt;1),MAX($K$50:K566)+1,"")</f>
        <v/>
      </c>
      <c r="L567" s="13" t="str">
        <f>IF(AND(G567&lt;&gt;1,G566=1),MAX($L$50:L566)+1,"")</f>
        <v/>
      </c>
      <c r="M567" s="13" t="str">
        <f>IF(AND(G567=-1,G566&lt;&gt;-1),MAX($M$50:M566)+1,"")</f>
        <v/>
      </c>
      <c r="N567" s="13" t="str">
        <f>IF(AND(G567&lt;&gt;-1,G566=-1),MAX($N$50:N566)+1,"")</f>
        <v/>
      </c>
      <c r="T567" s="7">
        <f t="shared" si="79"/>
        <v>89.850087618386354</v>
      </c>
      <c r="U567" s="1">
        <f t="shared" si="80"/>
        <v>127.43985414729219</v>
      </c>
    </row>
    <row r="568" spans="1:21" x14ac:dyDescent="0.3">
      <c r="A568" s="2">
        <v>40997</v>
      </c>
      <c r="B568" s="1">
        <v>2421.6999999999998</v>
      </c>
      <c r="C568" s="2">
        <f t="shared" si="72"/>
        <v>40997</v>
      </c>
      <c r="D568" s="1">
        <f t="shared" si="73"/>
        <v>2421.6999999999998</v>
      </c>
      <c r="E568" s="4">
        <f t="shared" si="74"/>
        <v>2343.8569999999995</v>
      </c>
      <c r="F568" s="3">
        <f t="shared" si="75"/>
        <v>1.033211497117785</v>
      </c>
      <c r="G568" s="18">
        <f t="shared" si="76"/>
        <v>1</v>
      </c>
      <c r="H568" s="3">
        <f t="shared" si="77"/>
        <v>-1.5872688668551183E-3</v>
      </c>
      <c r="I568" s="3">
        <f t="shared" si="78"/>
        <v>-1.5872688668551183E-3</v>
      </c>
      <c r="K568" s="12" t="str">
        <f>IF(AND(G568=1,G567&lt;&gt;1),MAX($K$50:K567)+1,"")</f>
        <v/>
      </c>
      <c r="L568" s="13" t="str">
        <f>IF(AND(G568&lt;&gt;1,G567=1),MAX($L$50:L567)+1,"")</f>
        <v/>
      </c>
      <c r="M568" s="13" t="str">
        <f>IF(AND(G568=-1,G567&lt;&gt;-1),MAX($M$50:M567)+1,"")</f>
        <v/>
      </c>
      <c r="N568" s="13" t="str">
        <f>IF(AND(G568&lt;&gt;-1,G567=-1),MAX($N$50:N567)+1,"")</f>
        <v/>
      </c>
      <c r="T568" s="7">
        <f t="shared" si="79"/>
        <v>89.707471371625488</v>
      </c>
      <c r="U568" s="1">
        <f t="shared" si="80"/>
        <v>127.23757283440764</v>
      </c>
    </row>
    <row r="569" spans="1:21" x14ac:dyDescent="0.3">
      <c r="A569" s="2">
        <v>40998</v>
      </c>
      <c r="B569" s="1">
        <v>2430.67</v>
      </c>
      <c r="C569" s="2">
        <f t="shared" si="72"/>
        <v>40998</v>
      </c>
      <c r="D569" s="1">
        <f t="shared" si="73"/>
        <v>2430.67</v>
      </c>
      <c r="E569" s="4">
        <f t="shared" si="74"/>
        <v>2347.2943999999993</v>
      </c>
      <c r="F569" s="3">
        <f t="shared" si="75"/>
        <v>1.0355198734338569</v>
      </c>
      <c r="G569" s="18">
        <f t="shared" si="76"/>
        <v>1</v>
      </c>
      <c r="H569" s="3">
        <f t="shared" si="77"/>
        <v>3.7040095800471295E-3</v>
      </c>
      <c r="I569" s="3">
        <f t="shared" si="78"/>
        <v>3.7040095800471295E-3</v>
      </c>
      <c r="K569" s="12" t="str">
        <f>IF(AND(G569=1,G568&lt;&gt;1),MAX($K$50:K568)+1,"")</f>
        <v/>
      </c>
      <c r="L569" s="13" t="str">
        <f>IF(AND(G569&lt;&gt;1,G568=1),MAX($L$50:L568)+1,"")</f>
        <v/>
      </c>
      <c r="M569" s="13" t="str">
        <f>IF(AND(G569=-1,G568&lt;&gt;-1),MAX($M$50:M568)+1,"")</f>
        <v/>
      </c>
      <c r="N569" s="13" t="str">
        <f>IF(AND(G569&lt;&gt;-1,G568=-1),MAX($N$50:N568)+1,"")</f>
        <v/>
      </c>
      <c r="T569" s="7">
        <f t="shared" si="79"/>
        <v>90.039748704987787</v>
      </c>
      <c r="U569" s="1">
        <f t="shared" si="80"/>
        <v>127.70886202312825</v>
      </c>
    </row>
    <row r="570" spans="1:21" x14ac:dyDescent="0.3">
      <c r="A570" s="2">
        <v>41001</v>
      </c>
      <c r="B570" s="1">
        <v>2449.08</v>
      </c>
      <c r="C570" s="2">
        <f t="shared" si="72"/>
        <v>41001</v>
      </c>
      <c r="D570" s="1">
        <f t="shared" si="73"/>
        <v>2449.08</v>
      </c>
      <c r="E570" s="4">
        <f t="shared" si="74"/>
        <v>2351.0686000000001</v>
      </c>
      <c r="F570" s="3">
        <f t="shared" si="75"/>
        <v>1.041688022204031</v>
      </c>
      <c r="G570" s="18">
        <f t="shared" si="76"/>
        <v>1</v>
      </c>
      <c r="H570" s="3">
        <f t="shared" si="77"/>
        <v>7.5740433707578436E-3</v>
      </c>
      <c r="I570" s="3">
        <f t="shared" si="78"/>
        <v>7.5740433707578436E-3</v>
      </c>
      <c r="K570" s="12" t="str">
        <f>IF(AND(G570=1,G569&lt;&gt;1),MAX($K$50:K569)+1,"")</f>
        <v/>
      </c>
      <c r="L570" s="13" t="str">
        <f>IF(AND(G570&lt;&gt;1,G569=1),MAX($L$50:L569)+1,"")</f>
        <v/>
      </c>
      <c r="M570" s="13" t="str">
        <f>IF(AND(G570=-1,G569&lt;&gt;-1),MAX($M$50:M569)+1,"")</f>
        <v/>
      </c>
      <c r="N570" s="13" t="str">
        <f>IF(AND(G570&lt;&gt;-1,G569=-1),MAX($N$50:N569)+1,"")</f>
        <v/>
      </c>
      <c r="T570" s="7">
        <f t="shared" si="79"/>
        <v>90.721713666771507</v>
      </c>
      <c r="U570" s="1">
        <f t="shared" si="80"/>
        <v>128.67613448292153</v>
      </c>
    </row>
    <row r="571" spans="1:21" x14ac:dyDescent="0.3">
      <c r="A571" s="2">
        <v>41002</v>
      </c>
      <c r="B571" s="1">
        <v>2439.89</v>
      </c>
      <c r="C571" s="2">
        <f t="shared" si="72"/>
        <v>41002</v>
      </c>
      <c r="D571" s="1">
        <f t="shared" si="73"/>
        <v>2439.89</v>
      </c>
      <c r="E571" s="4">
        <f t="shared" si="74"/>
        <v>2354.6369999999997</v>
      </c>
      <c r="F571" s="3">
        <f t="shared" si="75"/>
        <v>1.0362064301206513</v>
      </c>
      <c r="G571" s="18">
        <f t="shared" si="76"/>
        <v>1</v>
      </c>
      <c r="H571" s="3">
        <f t="shared" si="77"/>
        <v>-3.752429483724562E-3</v>
      </c>
      <c r="I571" s="3">
        <f t="shared" si="78"/>
        <v>-3.752429483724562E-3</v>
      </c>
      <c r="K571" s="12" t="str">
        <f>IF(AND(G571=1,G570&lt;&gt;1),MAX($K$50:K570)+1,"")</f>
        <v/>
      </c>
      <c r="L571" s="13" t="str">
        <f>IF(AND(G571&lt;&gt;1,G570=1),MAX($L$50:L570)+1,"")</f>
        <v/>
      </c>
      <c r="M571" s="13" t="str">
        <f>IF(AND(G571=-1,G570&lt;&gt;-1),MAX($M$50:M570)+1,"")</f>
        <v/>
      </c>
      <c r="N571" s="13" t="str">
        <f>IF(AND(G571&lt;&gt;-1,G570=-1),MAX($N$50:N570)+1,"")</f>
        <v/>
      </c>
      <c r="T571" s="7">
        <f t="shared" si="79"/>
        <v>90.381286833594302</v>
      </c>
      <c r="U571" s="1">
        <f t="shared" si="80"/>
        <v>128.1932863620361</v>
      </c>
    </row>
    <row r="572" spans="1:21" x14ac:dyDescent="0.3">
      <c r="A572" s="2">
        <v>41003</v>
      </c>
      <c r="B572" s="1">
        <v>2415.0500000000002</v>
      </c>
      <c r="C572" s="2">
        <f t="shared" si="72"/>
        <v>41003</v>
      </c>
      <c r="D572" s="1">
        <f t="shared" si="73"/>
        <v>2415.0500000000002</v>
      </c>
      <c r="E572" s="4">
        <f t="shared" si="74"/>
        <v>2357.7536</v>
      </c>
      <c r="F572" s="3">
        <f t="shared" si="75"/>
        <v>1.0243012671044167</v>
      </c>
      <c r="G572" s="18">
        <f t="shared" si="76"/>
        <v>1</v>
      </c>
      <c r="H572" s="3">
        <f t="shared" si="77"/>
        <v>-1.0180786838750788E-2</v>
      </c>
      <c r="I572" s="3">
        <f t="shared" si="78"/>
        <v>-1.0180786838750788E-2</v>
      </c>
      <c r="K572" s="12" t="str">
        <f>IF(AND(G572=1,G571&lt;&gt;1),MAX($K$50:K571)+1,"")</f>
        <v/>
      </c>
      <c r="L572" s="13" t="str">
        <f>IF(AND(G572&lt;&gt;1,G571=1),MAX($L$50:L571)+1,"")</f>
        <v/>
      </c>
      <c r="M572" s="13" t="str">
        <f>IF(AND(G572=-1,G571&lt;&gt;-1),MAX($M$50:M571)+1,"")</f>
        <v/>
      </c>
      <c r="N572" s="13" t="str">
        <f>IF(AND(G572&lt;&gt;-1,G571=-1),MAX($N$50:N571)+1,"")</f>
        <v/>
      </c>
      <c r="T572" s="7">
        <f t="shared" si="79"/>
        <v>89.461134218129487</v>
      </c>
      <c r="U572" s="1">
        <f t="shared" si="80"/>
        <v>126.88817783942528</v>
      </c>
    </row>
    <row r="573" spans="1:21" x14ac:dyDescent="0.3">
      <c r="A573" s="2">
        <v>41004</v>
      </c>
      <c r="B573" s="1">
        <v>2414.4</v>
      </c>
      <c r="C573" s="2">
        <f t="shared" si="72"/>
        <v>41004</v>
      </c>
      <c r="D573" s="1">
        <f t="shared" si="73"/>
        <v>2414.4</v>
      </c>
      <c r="E573" s="4">
        <f t="shared" si="74"/>
        <v>2360.4649999999997</v>
      </c>
      <c r="F573" s="3">
        <f t="shared" si="75"/>
        <v>1.0228493114704096</v>
      </c>
      <c r="G573" s="18">
        <f t="shared" si="76"/>
        <v>1</v>
      </c>
      <c r="H573" s="3">
        <f t="shared" si="77"/>
        <v>-2.6914556634438647E-4</v>
      </c>
      <c r="I573" s="3">
        <f t="shared" si="78"/>
        <v>-2.6914556634438647E-4</v>
      </c>
      <c r="K573" s="12" t="str">
        <f>IF(AND(G573=1,G572&lt;&gt;1),MAX($K$50:K572)+1,"")</f>
        <v/>
      </c>
      <c r="L573" s="13" t="str">
        <f>IF(AND(G573&lt;&gt;1,G572=1),MAX($L$50:L572)+1,"")</f>
        <v/>
      </c>
      <c r="M573" s="13" t="str">
        <f>IF(AND(G573=-1,G572&lt;&gt;-1),MAX($M$50:M572)+1,"")</f>
        <v/>
      </c>
      <c r="N573" s="13" t="str">
        <f>IF(AND(G573&lt;&gt;-1,G572=-1),MAX($N$50:N572)+1,"")</f>
        <v/>
      </c>
      <c r="T573" s="7">
        <f t="shared" si="79"/>
        <v>89.437056150494541</v>
      </c>
      <c r="U573" s="1">
        <f t="shared" si="80"/>
        <v>126.85402644893827</v>
      </c>
    </row>
    <row r="574" spans="1:21" x14ac:dyDescent="0.3">
      <c r="A574" s="2">
        <v>41008</v>
      </c>
      <c r="B574" s="1">
        <v>2387.0300000000002</v>
      </c>
      <c r="C574" s="2">
        <f t="shared" si="72"/>
        <v>41008</v>
      </c>
      <c r="D574" s="1">
        <f t="shared" si="73"/>
        <v>2387.0300000000002</v>
      </c>
      <c r="E574" s="4">
        <f t="shared" si="74"/>
        <v>2362.8887999999993</v>
      </c>
      <c r="F574" s="3">
        <f t="shared" si="75"/>
        <v>1.0102168159585001</v>
      </c>
      <c r="G574" s="18">
        <f t="shared" si="76"/>
        <v>1</v>
      </c>
      <c r="H574" s="3">
        <f t="shared" si="77"/>
        <v>-1.1336149768058301E-2</v>
      </c>
      <c r="I574" s="3">
        <f t="shared" si="78"/>
        <v>-1.1336149768058301E-2</v>
      </c>
      <c r="K574" s="12" t="str">
        <f>IF(AND(G574=1,G573&lt;&gt;1),MAX($K$50:K573)+1,"")</f>
        <v/>
      </c>
      <c r="L574" s="13" t="str">
        <f>IF(AND(G574&lt;&gt;1,G573=1),MAX($L$50:L573)+1,"")</f>
        <v/>
      </c>
      <c r="M574" s="13" t="str">
        <f>IF(AND(G574=-1,G573&lt;&gt;-1),MAX($M$50:M573)+1,"")</f>
        <v/>
      </c>
      <c r="N574" s="13" t="str">
        <f>IF(AND(G574&lt;&gt;-1,G573=-1),MAX($N$50:N573)+1,"")</f>
        <v/>
      </c>
      <c r="T574" s="7">
        <f t="shared" si="79"/>
        <v>88.423184287158293</v>
      </c>
      <c r="U574" s="1">
        <f t="shared" si="80"/>
        <v>125.41599020643189</v>
      </c>
    </row>
    <row r="575" spans="1:21" x14ac:dyDescent="0.3">
      <c r="A575" s="2">
        <v>41009</v>
      </c>
      <c r="B575" s="1">
        <v>2346.27</v>
      </c>
      <c r="C575" s="2">
        <f t="shared" si="72"/>
        <v>41009</v>
      </c>
      <c r="D575" s="1">
        <f t="shared" si="73"/>
        <v>2346.27</v>
      </c>
      <c r="E575" s="4">
        <f t="shared" si="74"/>
        <v>2364.5672</v>
      </c>
      <c r="F575" s="3">
        <f t="shared" si="75"/>
        <v>0.99226192429633631</v>
      </c>
      <c r="G575" s="18">
        <f t="shared" si="76"/>
        <v>1</v>
      </c>
      <c r="H575" s="3">
        <f t="shared" si="77"/>
        <v>-1.7075612790790284E-2</v>
      </c>
      <c r="I575" s="3">
        <f t="shared" si="78"/>
        <v>-1.7075612790790284E-2</v>
      </c>
      <c r="K575" s="12" t="str">
        <f>IF(AND(G575=1,G574&lt;&gt;1),MAX($K$50:K574)+1,"")</f>
        <v/>
      </c>
      <c r="L575" s="13" t="str">
        <f>IF(AND(G575&lt;&gt;1,G574=1),MAX($L$50:L574)+1,"")</f>
        <v/>
      </c>
      <c r="M575" s="13" t="str">
        <f>IF(AND(G575=-1,G574&lt;&gt;-1),MAX($M$50:M574)+1,"")</f>
        <v/>
      </c>
      <c r="N575" s="13" t="str">
        <f>IF(AND(G575&lt;&gt;-1,G574=-1),MAX($N$50:N574)+1,"")</f>
        <v/>
      </c>
      <c r="T575" s="7">
        <f t="shared" si="79"/>
        <v>86.913304230542082</v>
      </c>
      <c r="U575" s="1">
        <f t="shared" si="80"/>
        <v>123.2744353198933</v>
      </c>
    </row>
    <row r="576" spans="1:21" x14ac:dyDescent="0.3">
      <c r="A576" s="2">
        <v>41010</v>
      </c>
      <c r="B576" s="1">
        <v>2364.09</v>
      </c>
      <c r="C576" s="2">
        <f t="shared" si="72"/>
        <v>41010</v>
      </c>
      <c r="D576" s="1">
        <f t="shared" si="73"/>
        <v>2364.09</v>
      </c>
      <c r="E576" s="4">
        <f t="shared" si="74"/>
        <v>2366.7145999999998</v>
      </c>
      <c r="F576" s="3">
        <f t="shared" si="75"/>
        <v>0.99889103654492195</v>
      </c>
      <c r="G576" s="18">
        <f t="shared" si="76"/>
        <v>1</v>
      </c>
      <c r="H576" s="3">
        <f t="shared" si="77"/>
        <v>7.5950338196371092E-3</v>
      </c>
      <c r="I576" s="3">
        <f t="shared" si="78"/>
        <v>7.5950338196371092E-3</v>
      </c>
      <c r="K576" s="12" t="str">
        <f>IF(AND(G576=1,G575&lt;&gt;1),MAX($K$50:K575)+1,"")</f>
        <v/>
      </c>
      <c r="L576" s="13" t="str">
        <f>IF(AND(G576&lt;&gt;1,G575=1),MAX($L$50:L575)+1,"")</f>
        <v/>
      </c>
      <c r="M576" s="13" t="str">
        <f>IF(AND(G576=-1,G575&lt;&gt;-1),MAX($M$50:M575)+1,"")</f>
        <v/>
      </c>
      <c r="N576" s="13" t="str">
        <f>IF(AND(G576&lt;&gt;-1,G575=-1),MAX($N$50:N575)+1,"")</f>
        <v/>
      </c>
      <c r="T576" s="7">
        <f t="shared" si="79"/>
        <v>87.573413715549464</v>
      </c>
      <c r="U576" s="1">
        <f t="shared" si="80"/>
        <v>124.21070882524457</v>
      </c>
    </row>
    <row r="577" spans="1:21" x14ac:dyDescent="0.3">
      <c r="A577" s="2">
        <v>41011</v>
      </c>
      <c r="B577" s="1">
        <v>2396.69</v>
      </c>
      <c r="C577" s="2">
        <f t="shared" si="72"/>
        <v>41011</v>
      </c>
      <c r="D577" s="1">
        <f t="shared" si="73"/>
        <v>2396.69</v>
      </c>
      <c r="E577" s="4">
        <f t="shared" si="74"/>
        <v>2369.5346</v>
      </c>
      <c r="F577" s="3">
        <f t="shared" si="75"/>
        <v>1.0114602251429459</v>
      </c>
      <c r="G577" s="18">
        <f t="shared" si="76"/>
        <v>1</v>
      </c>
      <c r="H577" s="3">
        <f t="shared" si="77"/>
        <v>1.3789661138112308E-2</v>
      </c>
      <c r="I577" s="3">
        <f t="shared" si="78"/>
        <v>1.3789661138112308E-2</v>
      </c>
      <c r="K577" s="12" t="str">
        <f>IF(AND(G577=1,G576&lt;&gt;1),MAX($K$50:K576)+1,"")</f>
        <v/>
      </c>
      <c r="L577" s="13" t="str">
        <f>IF(AND(G577&lt;&gt;1,G576=1),MAX($L$50:L576)+1,"")</f>
        <v/>
      </c>
      <c r="M577" s="13" t="str">
        <f>IF(AND(G577=-1,G576&lt;&gt;-1),MAX($M$50:M576)+1,"")</f>
        <v/>
      </c>
      <c r="N577" s="13" t="str">
        <f>IF(AND(G577&lt;&gt;-1,G576=-1),MAX($N$50:N576)+1,"")</f>
        <v/>
      </c>
      <c r="T577" s="7">
        <f t="shared" si="79"/>
        <v>88.781021415394605</v>
      </c>
      <c r="U577" s="1">
        <f t="shared" si="80"/>
        <v>125.92353240966942</v>
      </c>
    </row>
    <row r="578" spans="1:21" x14ac:dyDescent="0.3">
      <c r="A578" s="2">
        <v>41012</v>
      </c>
      <c r="B578" s="1">
        <v>2366.84</v>
      </c>
      <c r="C578" s="2">
        <f t="shared" si="72"/>
        <v>41012</v>
      </c>
      <c r="D578" s="1">
        <f t="shared" si="73"/>
        <v>2366.84</v>
      </c>
      <c r="E578" s="4">
        <f t="shared" si="74"/>
        <v>2371.3465999999999</v>
      </c>
      <c r="F578" s="3">
        <f t="shared" si="75"/>
        <v>0.99809956081493967</v>
      </c>
      <c r="G578" s="18">
        <f t="shared" si="76"/>
        <v>1</v>
      </c>
      <c r="H578" s="3">
        <f t="shared" si="77"/>
        <v>-1.2454677075466547E-2</v>
      </c>
      <c r="I578" s="3">
        <f t="shared" si="78"/>
        <v>-1.2454677075466547E-2</v>
      </c>
      <c r="K578" s="12" t="str">
        <f>IF(AND(G578=1,G577&lt;&gt;1),MAX($K$50:K577)+1,"")</f>
        <v/>
      </c>
      <c r="L578" s="13" t="str">
        <f>IF(AND(G578&lt;&gt;1,G577=1),MAX($L$50:L577)+1,"")</f>
        <v/>
      </c>
      <c r="M578" s="13" t="str">
        <f>IF(AND(G578=-1,G577&lt;&gt;-1),MAX($M$50:M577)+1,"")</f>
        <v/>
      </c>
      <c r="N578" s="13" t="str">
        <f>IF(AND(G578&lt;&gt;-1,G577=-1),MAX($N$50:N577)+1,"")</f>
        <v/>
      </c>
      <c r="T578" s="7">
        <f t="shared" si="79"/>
        <v>87.675282463235789</v>
      </c>
      <c r="U578" s="1">
        <f t="shared" si="80"/>
        <v>124.35519547730493</v>
      </c>
    </row>
    <row r="579" spans="1:21" x14ac:dyDescent="0.3">
      <c r="A579" s="2">
        <v>41015</v>
      </c>
      <c r="B579" s="1">
        <v>2365.65</v>
      </c>
      <c r="C579" s="2">
        <f t="shared" si="72"/>
        <v>41015</v>
      </c>
      <c r="D579" s="1">
        <f t="shared" si="73"/>
        <v>2365.65</v>
      </c>
      <c r="E579" s="4">
        <f t="shared" si="74"/>
        <v>2373.0812000000001</v>
      </c>
      <c r="F579" s="3">
        <f t="shared" si="75"/>
        <v>0.996868543731247</v>
      </c>
      <c r="G579" s="18">
        <f t="shared" si="76"/>
        <v>1</v>
      </c>
      <c r="H579" s="3">
        <f t="shared" si="77"/>
        <v>-5.0278007807880165E-4</v>
      </c>
      <c r="I579" s="3">
        <f t="shared" si="78"/>
        <v>-5.0278007807880165E-4</v>
      </c>
      <c r="K579" s="12" t="str">
        <f>IF(AND(G579=1,G578&lt;&gt;1),MAX($K$50:K578)+1,"")</f>
        <v/>
      </c>
      <c r="L579" s="13" t="str">
        <f>IF(AND(G579&lt;&gt;1,G578=1),MAX($L$50:L578)+1,"")</f>
        <v/>
      </c>
      <c r="M579" s="13" t="str">
        <f>IF(AND(G579=-1,G578&lt;&gt;-1),MAX($M$50:M578)+1,"")</f>
        <v/>
      </c>
      <c r="N579" s="13" t="str">
        <f>IF(AND(G579&lt;&gt;-1,G578=-1),MAX($N$50:N578)+1,"")</f>
        <v/>
      </c>
      <c r="T579" s="7">
        <f t="shared" si="79"/>
        <v>87.631201077873342</v>
      </c>
      <c r="U579" s="1">
        <f t="shared" si="80"/>
        <v>124.29267216241335</v>
      </c>
    </row>
    <row r="580" spans="1:21" x14ac:dyDescent="0.3">
      <c r="A580" s="2">
        <v>41016</v>
      </c>
      <c r="B580" s="1">
        <v>2402.29</v>
      </c>
      <c r="C580" s="2">
        <f t="shared" si="72"/>
        <v>41016</v>
      </c>
      <c r="D580" s="1">
        <f t="shared" si="73"/>
        <v>2402.29</v>
      </c>
      <c r="E580" s="4">
        <f t="shared" si="74"/>
        <v>2374.8771999999999</v>
      </c>
      <c r="F580" s="3">
        <f t="shared" si="75"/>
        <v>1.0115428284039276</v>
      </c>
      <c r="G580" s="18">
        <f t="shared" si="76"/>
        <v>1</v>
      </c>
      <c r="H580" s="3">
        <f t="shared" si="77"/>
        <v>1.5488343584215691E-2</v>
      </c>
      <c r="I580" s="3">
        <f t="shared" si="78"/>
        <v>1.5488343584215691E-2</v>
      </c>
      <c r="K580" s="12" t="str">
        <f>IF(AND(G580=1,G579&lt;&gt;1),MAX($K$50:K579)+1,"")</f>
        <v/>
      </c>
      <c r="L580" s="13" t="str">
        <f>IF(AND(G580&lt;&gt;1,G579=1),MAX($L$50:L579)+1,"")</f>
        <v/>
      </c>
      <c r="M580" s="13" t="str">
        <f>IF(AND(G580=-1,G579&lt;&gt;-1),MAX($M$50:M579)+1,"")</f>
        <v/>
      </c>
      <c r="N580" s="13" t="str">
        <f>IF(AND(G580&lt;&gt;-1,G579=-1),MAX($N$50:N579)+1,"")</f>
        <v/>
      </c>
      <c r="T580" s="7">
        <f t="shared" si="79"/>
        <v>88.988463228864944</v>
      </c>
      <c r="U580" s="1">
        <f t="shared" si="80"/>
        <v>126.2177597738651</v>
      </c>
    </row>
    <row r="581" spans="1:21" x14ac:dyDescent="0.3">
      <c r="A581" s="2">
        <v>41017</v>
      </c>
      <c r="B581" s="1">
        <v>2392.5700000000002</v>
      </c>
      <c r="C581" s="2">
        <f t="shared" si="72"/>
        <v>41017</v>
      </c>
      <c r="D581" s="1">
        <f t="shared" si="73"/>
        <v>2392.5700000000002</v>
      </c>
      <c r="E581" s="4">
        <f t="shared" si="74"/>
        <v>2376.4976000000001</v>
      </c>
      <c r="F581" s="3">
        <f t="shared" si="75"/>
        <v>1.0067630617426249</v>
      </c>
      <c r="G581" s="18">
        <f t="shared" si="76"/>
        <v>1</v>
      </c>
      <c r="H581" s="3">
        <f t="shared" si="77"/>
        <v>-4.0461393087428688E-3</v>
      </c>
      <c r="I581" s="3">
        <f t="shared" si="78"/>
        <v>-4.0461393087428688E-3</v>
      </c>
      <c r="K581" s="12" t="str">
        <f>IF(AND(G581=1,G580&lt;&gt;1),MAX($K$50:K580)+1,"")</f>
        <v/>
      </c>
      <c r="L581" s="13" t="str">
        <f>IF(AND(G581&lt;&gt;1,G580=1),MAX($L$50:L580)+1,"")</f>
        <v/>
      </c>
      <c r="M581" s="13" t="str">
        <f>IF(AND(G581=-1,G580&lt;&gt;-1),MAX($M$50:M580)+1,"")</f>
        <v/>
      </c>
      <c r="N581" s="13" t="str">
        <f>IF(AND(G581&lt;&gt;-1,G580=-1),MAX($N$50:N580)+1,"")</f>
        <v/>
      </c>
      <c r="T581" s="7">
        <f t="shared" si="79"/>
        <v>88.62840350977001</v>
      </c>
      <c r="U581" s="1">
        <f t="shared" si="80"/>
        <v>125.70706513458261</v>
      </c>
    </row>
    <row r="582" spans="1:21" x14ac:dyDescent="0.3">
      <c r="A582" s="2">
        <v>41018</v>
      </c>
      <c r="B582" s="1">
        <v>2378.48</v>
      </c>
      <c r="C582" s="2">
        <f t="shared" si="72"/>
        <v>41018</v>
      </c>
      <c r="D582" s="1">
        <f t="shared" si="73"/>
        <v>2378.48</v>
      </c>
      <c r="E582" s="4">
        <f t="shared" si="74"/>
        <v>2377.7418000000002</v>
      </c>
      <c r="F582" s="3">
        <f t="shared" si="75"/>
        <v>1.000310462641486</v>
      </c>
      <c r="G582" s="18">
        <f t="shared" si="76"/>
        <v>1</v>
      </c>
      <c r="H582" s="3">
        <f t="shared" si="77"/>
        <v>-5.8890648967429016E-3</v>
      </c>
      <c r="I582" s="3">
        <f t="shared" si="78"/>
        <v>-5.8890648967429016E-3</v>
      </c>
      <c r="K582" s="12" t="str">
        <f>IF(AND(G582=1,G581&lt;&gt;1),MAX($K$50:K581)+1,"")</f>
        <v/>
      </c>
      <c r="L582" s="13" t="str">
        <f>IF(AND(G582&lt;&gt;1,G581=1),MAX($L$50:L581)+1,"")</f>
        <v/>
      </c>
      <c r="M582" s="13" t="str">
        <f>IF(AND(G582=-1,G581&lt;&gt;-1),MAX($M$50:M581)+1,"")</f>
        <v/>
      </c>
      <c r="N582" s="13" t="str">
        <f>IF(AND(G582&lt;&gt;-1,G581=-1),MAX($N$50:N581)+1,"")</f>
        <v/>
      </c>
      <c r="T582" s="7">
        <f t="shared" si="79"/>
        <v>88.106465089806264</v>
      </c>
      <c r="U582" s="1">
        <f t="shared" si="80"/>
        <v>124.96676807002595</v>
      </c>
    </row>
    <row r="583" spans="1:21" x14ac:dyDescent="0.3">
      <c r="A583" s="2">
        <v>41019</v>
      </c>
      <c r="B583" s="1">
        <v>2381.3200000000002</v>
      </c>
      <c r="C583" s="2">
        <f t="shared" si="72"/>
        <v>41019</v>
      </c>
      <c r="D583" s="1">
        <f t="shared" si="73"/>
        <v>2381.3200000000002</v>
      </c>
      <c r="E583" s="4">
        <f t="shared" si="74"/>
        <v>2378.9259999999999</v>
      </c>
      <c r="F583" s="3">
        <f t="shared" si="75"/>
        <v>1.0010063364728454</v>
      </c>
      <c r="G583" s="18">
        <f t="shared" si="76"/>
        <v>1</v>
      </c>
      <c r="H583" s="3">
        <f t="shared" si="77"/>
        <v>1.1940398910228467E-3</v>
      </c>
      <c r="I583" s="3">
        <f t="shared" si="78"/>
        <v>1.1940398910228467E-3</v>
      </c>
      <c r="K583" s="12" t="str">
        <f>IF(AND(G583=1,G582&lt;&gt;1),MAX($K$50:K582)+1,"")</f>
        <v/>
      </c>
      <c r="L583" s="13" t="str">
        <f>IF(AND(G583&lt;&gt;1,G582=1),MAX($L$50:L582)+1,"")</f>
        <v/>
      </c>
      <c r="M583" s="13" t="str">
        <f>IF(AND(G583=-1,G582&lt;&gt;-1),MAX($M$50:M582)+1,"")</f>
        <v/>
      </c>
      <c r="N583" s="13" t="str">
        <f>IF(AND(G583&lt;&gt;-1,G582=-1),MAX($N$50:N582)+1,"")</f>
        <v/>
      </c>
      <c r="T583" s="7">
        <f t="shared" si="79"/>
        <v>88.211667723780508</v>
      </c>
      <c r="U583" s="1">
        <f t="shared" si="80"/>
        <v>125.11598337615378</v>
      </c>
    </row>
    <row r="584" spans="1:21" x14ac:dyDescent="0.3">
      <c r="A584" s="2">
        <v>41022</v>
      </c>
      <c r="B584" s="1">
        <v>2361.35</v>
      </c>
      <c r="C584" s="2">
        <f t="shared" si="72"/>
        <v>41022</v>
      </c>
      <c r="D584" s="1">
        <f t="shared" si="73"/>
        <v>2361.35</v>
      </c>
      <c r="E584" s="4">
        <f t="shared" si="74"/>
        <v>2379.6418000000003</v>
      </c>
      <c r="F584" s="3">
        <f t="shared" si="75"/>
        <v>0.9923132128541361</v>
      </c>
      <c r="G584" s="18">
        <f t="shared" si="76"/>
        <v>1</v>
      </c>
      <c r="H584" s="3">
        <f t="shared" si="77"/>
        <v>-8.3861051853595381E-3</v>
      </c>
      <c r="I584" s="3">
        <f t="shared" si="78"/>
        <v>-8.3861051853595381E-3</v>
      </c>
      <c r="K584" s="12" t="str">
        <f>IF(AND(G584=1,G583&lt;&gt;1),MAX($K$50:K583)+1,"")</f>
        <v/>
      </c>
      <c r="L584" s="13" t="str">
        <f>IF(AND(G584&lt;&gt;1,G583=1),MAX($L$50:L583)+1,"")</f>
        <v/>
      </c>
      <c r="M584" s="13" t="str">
        <f>IF(AND(G584=-1,G583&lt;&gt;-1),MAX($M$50:M583)+1,"")</f>
        <v/>
      </c>
      <c r="N584" s="13" t="str">
        <f>IF(AND(G584&lt;&gt;-1,G583=-1),MAX($N$50:N583)+1,"")</f>
        <v/>
      </c>
      <c r="T584" s="7">
        <f t="shared" si="79"/>
        <v>87.471915399672895</v>
      </c>
      <c r="U584" s="1">
        <f t="shared" si="80"/>
        <v>124.06674757919167</v>
      </c>
    </row>
    <row r="585" spans="1:21" x14ac:dyDescent="0.3">
      <c r="A585" s="2">
        <v>41023</v>
      </c>
      <c r="B585" s="1">
        <v>2370.04</v>
      </c>
      <c r="C585" s="2">
        <f t="shared" si="72"/>
        <v>41023</v>
      </c>
      <c r="D585" s="1">
        <f t="shared" si="73"/>
        <v>2370.04</v>
      </c>
      <c r="E585" s="4">
        <f t="shared" si="74"/>
        <v>2380.8505999999998</v>
      </c>
      <c r="F585" s="3">
        <f t="shared" si="75"/>
        <v>0.99545935389646045</v>
      </c>
      <c r="G585" s="18">
        <f t="shared" si="76"/>
        <v>1</v>
      </c>
      <c r="H585" s="3">
        <f t="shared" si="77"/>
        <v>3.6800982488831568E-3</v>
      </c>
      <c r="I585" s="3">
        <f t="shared" si="78"/>
        <v>3.6800982488831568E-3</v>
      </c>
      <c r="K585" s="12" t="str">
        <f>IF(AND(G585=1,G584&lt;&gt;1),MAX($K$50:K584)+1,"")</f>
        <v/>
      </c>
      <c r="L585" s="13" t="str">
        <f>IF(AND(G585&lt;&gt;1,G584=1),MAX($L$50:L584)+1,"")</f>
        <v/>
      </c>
      <c r="M585" s="13" t="str">
        <f>IF(AND(G585=-1,G584&lt;&gt;-1),MAX($M$50:M584)+1,"")</f>
        <v/>
      </c>
      <c r="N585" s="13" t="str">
        <f>IF(AND(G585&lt;&gt;-1,G584=-1),MAX($N$50:N584)+1,"")</f>
        <v/>
      </c>
      <c r="T585" s="7">
        <f t="shared" si="79"/>
        <v>87.79382064236168</v>
      </c>
      <c r="U585" s="1">
        <f t="shared" si="80"/>
        <v>124.52332539970249</v>
      </c>
    </row>
    <row r="586" spans="1:21" x14ac:dyDescent="0.3">
      <c r="A586" s="2">
        <v>41024</v>
      </c>
      <c r="B586" s="1">
        <v>2402.71</v>
      </c>
      <c r="C586" s="2">
        <f t="shared" si="72"/>
        <v>41024</v>
      </c>
      <c r="D586" s="1">
        <f t="shared" si="73"/>
        <v>2402.71</v>
      </c>
      <c r="E586" s="4">
        <f t="shared" si="74"/>
        <v>2382.3885999999998</v>
      </c>
      <c r="F586" s="3">
        <f t="shared" si="75"/>
        <v>1.0085298426965275</v>
      </c>
      <c r="G586" s="18">
        <f t="shared" si="76"/>
        <v>1</v>
      </c>
      <c r="H586" s="3">
        <f t="shared" si="77"/>
        <v>1.3784577475485671E-2</v>
      </c>
      <c r="I586" s="3">
        <f t="shared" si="78"/>
        <v>1.3784577475485671E-2</v>
      </c>
      <c r="K586" s="12" t="str">
        <f>IF(AND(G586=1,G585&lt;&gt;1),MAX($K$50:K585)+1,"")</f>
        <v/>
      </c>
      <c r="L586" s="13" t="str">
        <f>IF(AND(G586&lt;&gt;1,G585=1),MAX($L$50:L585)+1,"")</f>
        <v/>
      </c>
      <c r="M586" s="13" t="str">
        <f>IF(AND(G586=-1,G585&lt;&gt;-1),MAX($M$50:M585)+1,"")</f>
        <v/>
      </c>
      <c r="N586" s="13" t="str">
        <f>IF(AND(G586&lt;&gt;-1,G585=-1),MAX($N$50:N585)+1,"")</f>
        <v/>
      </c>
      <c r="T586" s="7">
        <f t="shared" si="79"/>
        <v>89.004021364875214</v>
      </c>
      <c r="U586" s="1">
        <f t="shared" si="80"/>
        <v>126.23982682617981</v>
      </c>
    </row>
    <row r="587" spans="1:21" x14ac:dyDescent="0.3">
      <c r="A587" s="2">
        <v>41025</v>
      </c>
      <c r="B587" s="1">
        <v>2418.89</v>
      </c>
      <c r="C587" s="2">
        <f t="shared" si="72"/>
        <v>41025</v>
      </c>
      <c r="D587" s="1">
        <f t="shared" si="73"/>
        <v>2418.89</v>
      </c>
      <c r="E587" s="4">
        <f t="shared" si="74"/>
        <v>2384.2864</v>
      </c>
      <c r="F587" s="3">
        <f t="shared" si="75"/>
        <v>1.0145131893551043</v>
      </c>
      <c r="G587" s="18">
        <f t="shared" si="76"/>
        <v>1</v>
      </c>
      <c r="H587" s="3">
        <f t="shared" si="77"/>
        <v>6.7340627874357128E-3</v>
      </c>
      <c r="I587" s="3">
        <f t="shared" si="78"/>
        <v>6.7340627874357128E-3</v>
      </c>
      <c r="K587" s="12" t="str">
        <f>IF(AND(G587=1,G586&lt;&gt;1),MAX($K$50:K586)+1,"")</f>
        <v/>
      </c>
      <c r="L587" s="13" t="str">
        <f>IF(AND(G587&lt;&gt;1,G586=1),MAX($L$50:L586)+1,"")</f>
        <v/>
      </c>
      <c r="M587" s="13" t="str">
        <f>IF(AND(G587=-1,G586&lt;&gt;-1),MAX($M$50:M586)+1,"")</f>
        <v/>
      </c>
      <c r="N587" s="13" t="str">
        <f>IF(AND(G587&lt;&gt;-1,G586=-1),MAX($N$50:N586)+1,"")</f>
        <v/>
      </c>
      <c r="T587" s="7">
        <f t="shared" si="79"/>
        <v>89.603380033080555</v>
      </c>
      <c r="U587" s="1">
        <f t="shared" si="80"/>
        <v>127.08993374630234</v>
      </c>
    </row>
    <row r="588" spans="1:21" x14ac:dyDescent="0.3">
      <c r="A588" s="2">
        <v>41026</v>
      </c>
      <c r="B588" s="1">
        <v>2424.7800000000002</v>
      </c>
      <c r="C588" s="2">
        <f t="shared" si="72"/>
        <v>41026</v>
      </c>
      <c r="D588" s="1">
        <f t="shared" si="73"/>
        <v>2424.7800000000002</v>
      </c>
      <c r="E588" s="4">
        <f t="shared" si="74"/>
        <v>2386.5364</v>
      </c>
      <c r="F588" s="3">
        <f t="shared" si="75"/>
        <v>1.016024729394448</v>
      </c>
      <c r="G588" s="18">
        <f t="shared" si="76"/>
        <v>1</v>
      </c>
      <c r="H588" s="3">
        <f t="shared" si="77"/>
        <v>2.4350011782265923E-3</v>
      </c>
      <c r="I588" s="3">
        <f t="shared" si="78"/>
        <v>2.4350011782265923E-3</v>
      </c>
      <c r="K588" s="12" t="str">
        <f>IF(AND(G588=1,G587&lt;&gt;1),MAX($K$50:K587)+1,"")</f>
        <v/>
      </c>
      <c r="L588" s="13" t="str">
        <f>IF(AND(G588&lt;&gt;1,G587=1),MAX($L$50:L587)+1,"")</f>
        <v/>
      </c>
      <c r="M588" s="13" t="str">
        <f>IF(AND(G588=-1,G587&lt;&gt;-1),MAX($M$50:M587)+1,"")</f>
        <v/>
      </c>
      <c r="N588" s="13" t="str">
        <f>IF(AND(G588&lt;&gt;-1,G587=-1),MAX($N$50:N587)+1,"")</f>
        <v/>
      </c>
      <c r="T588" s="7">
        <f t="shared" si="79"/>
        <v>89.821564369034192</v>
      </c>
      <c r="U588" s="1">
        <f t="shared" si="80"/>
        <v>127.39939788471533</v>
      </c>
    </row>
    <row r="589" spans="1:21" x14ac:dyDescent="0.3">
      <c r="A589" s="2">
        <v>41029</v>
      </c>
      <c r="B589" s="1">
        <v>2415.42</v>
      </c>
      <c r="C589" s="2">
        <f t="shared" si="72"/>
        <v>41029</v>
      </c>
      <c r="D589" s="1">
        <f t="shared" si="73"/>
        <v>2415.42</v>
      </c>
      <c r="E589" s="4">
        <f t="shared" si="74"/>
        <v>2388.0823999999998</v>
      </c>
      <c r="F589" s="3">
        <f t="shared" si="75"/>
        <v>1.0114475111914063</v>
      </c>
      <c r="G589" s="18">
        <f t="shared" si="76"/>
        <v>1</v>
      </c>
      <c r="H589" s="3">
        <f t="shared" si="77"/>
        <v>-3.8601440130651143E-3</v>
      </c>
      <c r="I589" s="3">
        <f t="shared" si="78"/>
        <v>-3.8601440130651143E-3</v>
      </c>
      <c r="K589" s="12" t="str">
        <f>IF(AND(G589=1,G588&lt;&gt;1),MAX($K$50:K588)+1,"")</f>
        <v/>
      </c>
      <c r="L589" s="13" t="str">
        <f>IF(AND(G589&lt;&gt;1,G588=1),MAX($L$50:L588)+1,"")</f>
        <v/>
      </c>
      <c r="M589" s="13" t="str">
        <f>IF(AND(G589=-1,G588&lt;&gt;-1),MAX($M$50:M588)+1,"")</f>
        <v/>
      </c>
      <c r="N589" s="13" t="str">
        <f>IF(AND(G589&lt;&gt;-1,G588=-1),MAX($N$50:N588)+1,"")</f>
        <v/>
      </c>
      <c r="T589" s="7">
        <f t="shared" si="79"/>
        <v>89.47484019509092</v>
      </c>
      <c r="U589" s="1">
        <f t="shared" si="80"/>
        <v>126.90761786170255</v>
      </c>
    </row>
    <row r="590" spans="1:21" x14ac:dyDescent="0.3">
      <c r="A590" s="2">
        <v>41030</v>
      </c>
      <c r="B590" s="1">
        <v>2429.1</v>
      </c>
      <c r="C590" s="2">
        <f t="shared" si="72"/>
        <v>41030</v>
      </c>
      <c r="D590" s="1">
        <f t="shared" si="73"/>
        <v>2429.1</v>
      </c>
      <c r="E590" s="4">
        <f t="shared" si="74"/>
        <v>2389.7910000000002</v>
      </c>
      <c r="F590" s="3">
        <f t="shared" si="75"/>
        <v>1.0164487187373288</v>
      </c>
      <c r="G590" s="18">
        <f t="shared" si="76"/>
        <v>1</v>
      </c>
      <c r="H590" s="3">
        <f t="shared" si="77"/>
        <v>5.6636112974139952E-3</v>
      </c>
      <c r="I590" s="3">
        <f t="shared" si="78"/>
        <v>5.6636112974139952E-3</v>
      </c>
      <c r="K590" s="12" t="str">
        <f>IF(AND(G590=1,G589&lt;&gt;1),MAX($K$50:K589)+1,"")</f>
        <v/>
      </c>
      <c r="L590" s="13" t="str">
        <f>IF(AND(G590&lt;&gt;1,G589=1),MAX($L$50:L589)+1,"")</f>
        <v/>
      </c>
      <c r="M590" s="13" t="str">
        <f>IF(AND(G590=-1,G589&lt;&gt;-1),MAX($M$50:M589)+1,"")</f>
        <v/>
      </c>
      <c r="N590" s="13" t="str">
        <f>IF(AND(G590&lt;&gt;-1,G589=-1),MAX($N$50:N589)+1,"")</f>
        <v/>
      </c>
      <c r="T590" s="7">
        <f t="shared" si="79"/>
        <v>89.981590910854152</v>
      </c>
      <c r="U590" s="1">
        <f t="shared" si="80"/>
        <v>127.62637327995201</v>
      </c>
    </row>
    <row r="591" spans="1:21" x14ac:dyDescent="0.3">
      <c r="A591" s="2">
        <v>41031</v>
      </c>
      <c r="B591" s="1">
        <v>2423.29</v>
      </c>
      <c r="C591" s="2">
        <f t="shared" si="72"/>
        <v>41031</v>
      </c>
      <c r="D591" s="1">
        <f t="shared" si="73"/>
        <v>2423.29</v>
      </c>
      <c r="E591" s="4">
        <f t="shared" si="74"/>
        <v>2391.3486000000003</v>
      </c>
      <c r="F591" s="3">
        <f t="shared" si="75"/>
        <v>1.0133570655487032</v>
      </c>
      <c r="G591" s="18">
        <f t="shared" si="76"/>
        <v>1</v>
      </c>
      <c r="H591" s="3">
        <f t="shared" si="77"/>
        <v>-2.3918323658967955E-3</v>
      </c>
      <c r="I591" s="3">
        <f t="shared" si="78"/>
        <v>-2.3918323658967955E-3</v>
      </c>
      <c r="K591" s="12" t="str">
        <f>IF(AND(G591=1,G590&lt;&gt;1),MAX($K$50:K590)+1,"")</f>
        <v/>
      </c>
      <c r="L591" s="13" t="str">
        <f>IF(AND(G591&lt;&gt;1,G590=1),MAX($L$50:L590)+1,"")</f>
        <v/>
      </c>
      <c r="M591" s="13" t="str">
        <f>IF(AND(G591=-1,G590&lt;&gt;-1),MAX($M$50:M590)+1,"")</f>
        <v/>
      </c>
      <c r="N591" s="13" t="str">
        <f>IF(AND(G591&lt;&gt;-1,G590=-1),MAX($N$50:N590)+1,"")</f>
        <v/>
      </c>
      <c r="T591" s="7">
        <f t="shared" si="79"/>
        <v>89.766370029378692</v>
      </c>
      <c r="U591" s="1">
        <f t="shared" si="80"/>
        <v>127.32111238959898</v>
      </c>
    </row>
    <row r="592" spans="1:21" x14ac:dyDescent="0.3">
      <c r="A592" s="2">
        <v>41032</v>
      </c>
      <c r="B592" s="1">
        <v>2405.17</v>
      </c>
      <c r="C592" s="2">
        <f t="shared" si="72"/>
        <v>41032</v>
      </c>
      <c r="D592" s="1">
        <f t="shared" si="73"/>
        <v>2405.17</v>
      </c>
      <c r="E592" s="4">
        <f t="shared" si="74"/>
        <v>2392.6985999999997</v>
      </c>
      <c r="F592" s="3">
        <f t="shared" si="75"/>
        <v>1.00521227370635</v>
      </c>
      <c r="G592" s="18">
        <f t="shared" si="76"/>
        <v>1</v>
      </c>
      <c r="H592" s="3">
        <f t="shared" si="77"/>
        <v>-7.4774376983356428E-3</v>
      </c>
      <c r="I592" s="3">
        <f t="shared" si="78"/>
        <v>-7.4774376983356428E-3</v>
      </c>
      <c r="K592" s="12" t="str">
        <f>IF(AND(G592=1,G591&lt;&gt;1),MAX($K$50:K591)+1,"")</f>
        <v/>
      </c>
      <c r="L592" s="13" t="str">
        <f>IF(AND(G592&lt;&gt;1,G591=1),MAX($L$50:L591)+1,"")</f>
        <v/>
      </c>
      <c r="M592" s="13" t="str">
        <f>IF(AND(G592=-1,G591&lt;&gt;-1),MAX($M$50:M591)+1,"")</f>
        <v/>
      </c>
      <c r="N592" s="13" t="str">
        <f>IF(AND(G592&lt;&gt;-1,G591=-1),MAX($N$50:N591)+1,"")</f>
        <v/>
      </c>
      <c r="T592" s="7">
        <f t="shared" si="79"/>
        <v>89.09514759007827</v>
      </c>
      <c r="U592" s="1">
        <f t="shared" si="80"/>
        <v>126.36907670402296</v>
      </c>
    </row>
    <row r="593" spans="1:21" x14ac:dyDescent="0.3">
      <c r="A593" s="2">
        <v>41033</v>
      </c>
      <c r="B593" s="1">
        <v>2366.39</v>
      </c>
      <c r="C593" s="2">
        <f t="shared" si="72"/>
        <v>41033</v>
      </c>
      <c r="D593" s="1">
        <f t="shared" si="73"/>
        <v>2366.39</v>
      </c>
      <c r="E593" s="4">
        <f t="shared" si="74"/>
        <v>2393.0642000000003</v>
      </c>
      <c r="F593" s="3">
        <f t="shared" si="75"/>
        <v>0.98885353765268802</v>
      </c>
      <c r="G593" s="18">
        <f t="shared" si="76"/>
        <v>1</v>
      </c>
      <c r="H593" s="3">
        <f t="shared" si="77"/>
        <v>-1.6123600410781869E-2</v>
      </c>
      <c r="I593" s="3">
        <f t="shared" si="78"/>
        <v>-1.6123600410781869E-2</v>
      </c>
      <c r="K593" s="12" t="str">
        <f>IF(AND(G593=1,G592&lt;&gt;1),MAX($K$50:K592)+1,"")</f>
        <v/>
      </c>
      <c r="L593" s="13" t="str">
        <f>IF(AND(G593&lt;&gt;1,G592=1),MAX($L$50:L592)+1,"")</f>
        <v/>
      </c>
      <c r="M593" s="13" t="str">
        <f>IF(AND(G593=-1,G592&lt;&gt;-1),MAX($M$50:M592)+1,"")</f>
        <v/>
      </c>
      <c r="N593" s="13" t="str">
        <f>IF(AND(G593&lt;&gt;-1,G592=-1),MAX($N$50:N592)+1,"")</f>
        <v/>
      </c>
      <c r="T593" s="7">
        <f t="shared" si="79"/>
        <v>87.658613031796207</v>
      </c>
      <c r="U593" s="1">
        <f t="shared" si="80"/>
        <v>124.33155220696784</v>
      </c>
    </row>
    <row r="594" spans="1:21" x14ac:dyDescent="0.3">
      <c r="A594" s="2">
        <v>41036</v>
      </c>
      <c r="B594" s="1">
        <v>2367.2600000000002</v>
      </c>
      <c r="C594" s="2">
        <f t="shared" si="72"/>
        <v>41036</v>
      </c>
      <c r="D594" s="1">
        <f t="shared" si="73"/>
        <v>2367.2600000000002</v>
      </c>
      <c r="E594" s="4">
        <f t="shared" si="74"/>
        <v>2393.3625999999999</v>
      </c>
      <c r="F594" s="3">
        <f t="shared" si="75"/>
        <v>0.98909375453598225</v>
      </c>
      <c r="G594" s="18">
        <f t="shared" si="76"/>
        <v>1</v>
      </c>
      <c r="H594" s="3">
        <f t="shared" si="77"/>
        <v>3.6764861244353852E-4</v>
      </c>
      <c r="I594" s="3">
        <f t="shared" si="78"/>
        <v>3.6764861244353852E-4</v>
      </c>
      <c r="K594" s="12" t="str">
        <f>IF(AND(G594=1,G593&lt;&gt;1),MAX($K$50:K593)+1,"")</f>
        <v/>
      </c>
      <c r="L594" s="13" t="str">
        <f>IF(AND(G594&lt;&gt;1,G593=1),MAX($L$50:L593)+1,"")</f>
        <v/>
      </c>
      <c r="M594" s="13" t="str">
        <f>IF(AND(G594=-1,G593&lt;&gt;-1),MAX($M$50:M593)+1,"")</f>
        <v/>
      </c>
      <c r="N594" s="13" t="str">
        <f>IF(AND(G594&lt;&gt;-1,G593=-1),MAX($N$50:N593)+1,"")</f>
        <v/>
      </c>
      <c r="T594" s="7">
        <f t="shared" si="79"/>
        <v>87.690840599246073</v>
      </c>
      <c r="U594" s="1">
        <f t="shared" si="80"/>
        <v>124.37726252961968</v>
      </c>
    </row>
    <row r="595" spans="1:21" x14ac:dyDescent="0.3">
      <c r="A595" s="2">
        <v>41037</v>
      </c>
      <c r="B595" s="1">
        <v>2357.4499999999998</v>
      </c>
      <c r="C595" s="2">
        <f t="shared" si="72"/>
        <v>41037</v>
      </c>
      <c r="D595" s="1">
        <f t="shared" si="73"/>
        <v>2357.4499999999998</v>
      </c>
      <c r="E595" s="4">
        <f t="shared" si="74"/>
        <v>2393.3968</v>
      </c>
      <c r="F595" s="3">
        <f t="shared" si="75"/>
        <v>0.98498084396202079</v>
      </c>
      <c r="G595" s="18">
        <f t="shared" si="76"/>
        <v>1</v>
      </c>
      <c r="H595" s="3">
        <f t="shared" si="77"/>
        <v>-4.1440314963292479E-3</v>
      </c>
      <c r="I595" s="3">
        <f t="shared" si="78"/>
        <v>-4.1440314963292479E-3</v>
      </c>
      <c r="K595" s="12" t="str">
        <f>IF(AND(G595=1,G594&lt;&gt;1),MAX($K$50:K594)+1,"")</f>
        <v/>
      </c>
      <c r="L595" s="13" t="str">
        <f>IF(AND(G595&lt;&gt;1,G594=1),MAX($L$50:L594)+1,"")</f>
        <v/>
      </c>
      <c r="M595" s="13" t="str">
        <f>IF(AND(G595=-1,G594&lt;&gt;-1),MAX($M$50:M594)+1,"")</f>
        <v/>
      </c>
      <c r="N595" s="13" t="str">
        <f>IF(AND(G595&lt;&gt;-1,G594=-1),MAX($N$50:N594)+1,"")</f>
        <v/>
      </c>
      <c r="T595" s="7">
        <f t="shared" si="79"/>
        <v>87.327446993863205</v>
      </c>
      <c r="U595" s="1">
        <f t="shared" si="80"/>
        <v>123.86183923626972</v>
      </c>
    </row>
    <row r="596" spans="1:21" x14ac:dyDescent="0.3">
      <c r="A596" s="2">
        <v>41038</v>
      </c>
      <c r="B596" s="1">
        <v>2342.31</v>
      </c>
      <c r="C596" s="2">
        <f t="shared" si="72"/>
        <v>41038</v>
      </c>
      <c r="D596" s="1">
        <f t="shared" si="73"/>
        <v>2342.31</v>
      </c>
      <c r="E596" s="4">
        <f t="shared" si="74"/>
        <v>2392.9623999999999</v>
      </c>
      <c r="F596" s="3">
        <f t="shared" si="75"/>
        <v>0.97883276394146435</v>
      </c>
      <c r="G596" s="18">
        <f t="shared" si="76"/>
        <v>1</v>
      </c>
      <c r="H596" s="3">
        <f t="shared" si="77"/>
        <v>-6.4221934717596518E-3</v>
      </c>
      <c r="I596" s="3">
        <f t="shared" si="78"/>
        <v>-6.4221934717596518E-3</v>
      </c>
      <c r="K596" s="12" t="str">
        <f>IF(AND(G596=1,G595&lt;&gt;1),MAX($K$50:K595)+1,"")</f>
        <v/>
      </c>
      <c r="L596" s="13" t="str">
        <f>IF(AND(G596&lt;&gt;1,G595=1),MAX($L$50:L595)+1,"")</f>
        <v/>
      </c>
      <c r="M596" s="13" t="str">
        <f>IF(AND(G596=-1,G595&lt;&gt;-1),MAX($M$50:M595)+1,"")</f>
        <v/>
      </c>
      <c r="N596" s="13" t="str">
        <f>IF(AND(G596&lt;&gt;-1,G595=-1),MAX($N$50:N595)+1,"")</f>
        <v/>
      </c>
      <c r="T596" s="7">
        <f t="shared" si="79"/>
        <v>86.766613233873784</v>
      </c>
      <c r="U596" s="1">
        <f t="shared" si="80"/>
        <v>123.0663745409264</v>
      </c>
    </row>
    <row r="597" spans="1:21" x14ac:dyDescent="0.3">
      <c r="A597" s="2">
        <v>41039</v>
      </c>
      <c r="B597" s="1">
        <v>2348.9299999999998</v>
      </c>
      <c r="C597" s="2">
        <f t="shared" si="72"/>
        <v>41039</v>
      </c>
      <c r="D597" s="1">
        <f t="shared" si="73"/>
        <v>2348.9299999999998</v>
      </c>
      <c r="E597" s="4">
        <f t="shared" si="74"/>
        <v>2392.8763999999996</v>
      </c>
      <c r="F597" s="3">
        <f t="shared" si="75"/>
        <v>0.9816344880997615</v>
      </c>
      <c r="G597" s="18">
        <f t="shared" si="76"/>
        <v>1</v>
      </c>
      <c r="H597" s="3">
        <f t="shared" si="77"/>
        <v>2.8262697934944292E-3</v>
      </c>
      <c r="I597" s="3">
        <f t="shared" si="78"/>
        <v>2.8262697934944292E-3</v>
      </c>
      <c r="K597" s="12" t="str">
        <f>IF(AND(G597=1,G596&lt;&gt;1),MAX($K$50:K596)+1,"")</f>
        <v/>
      </c>
      <c r="L597" s="13" t="str">
        <f>IF(AND(G597&lt;&gt;1,G596=1),MAX($L$50:L596)+1,"")</f>
        <v/>
      </c>
      <c r="M597" s="13" t="str">
        <f>IF(AND(G597=-1,G596&lt;&gt;-1),MAX($M$50:M596)+1,"")</f>
        <v/>
      </c>
      <c r="N597" s="13" t="str">
        <f>IF(AND(G597&lt;&gt;-1,G596=-1),MAX($N$50:N596)+1,"")</f>
        <v/>
      </c>
      <c r="T597" s="7">
        <f t="shared" si="79"/>
        <v>87.011839091940502</v>
      </c>
      <c r="U597" s="1">
        <f t="shared" si="80"/>
        <v>123.4141933178863</v>
      </c>
    </row>
    <row r="598" spans="1:21" x14ac:dyDescent="0.3">
      <c r="A598" s="2">
        <v>41040</v>
      </c>
      <c r="B598" s="1">
        <v>2341.23</v>
      </c>
      <c r="C598" s="2">
        <f t="shared" si="72"/>
        <v>41040</v>
      </c>
      <c r="D598" s="1">
        <f t="shared" si="73"/>
        <v>2341.23</v>
      </c>
      <c r="E598" s="4">
        <f t="shared" si="74"/>
        <v>2392.3435999999997</v>
      </c>
      <c r="F598" s="3">
        <f t="shared" si="75"/>
        <v>0.97863450718366718</v>
      </c>
      <c r="G598" s="18">
        <f t="shared" si="76"/>
        <v>1</v>
      </c>
      <c r="H598" s="3">
        <f t="shared" si="77"/>
        <v>-3.2780883210652423E-3</v>
      </c>
      <c r="I598" s="3">
        <f t="shared" si="78"/>
        <v>-3.2780883210652423E-3</v>
      </c>
      <c r="K598" s="12" t="str">
        <f>IF(AND(G598=1,G597&lt;&gt;1),MAX($K$50:K597)+1,"")</f>
        <v/>
      </c>
      <c r="L598" s="13" t="str">
        <f>IF(AND(G598&lt;&gt;1,G597=1),MAX($L$50:L597)+1,"")</f>
        <v/>
      </c>
      <c r="M598" s="13" t="str">
        <f>IF(AND(G598=-1,G597&lt;&gt;-1),MAX($M$50:M597)+1,"")</f>
        <v/>
      </c>
      <c r="N598" s="13" t="str">
        <f>IF(AND(G598&lt;&gt;-1,G597=-1),MAX($N$50:N597)+1,"")</f>
        <v/>
      </c>
      <c r="T598" s="7">
        <f t="shared" si="79"/>
        <v>86.726606598418797</v>
      </c>
      <c r="U598" s="1">
        <f t="shared" si="80"/>
        <v>123.00963069211726</v>
      </c>
    </row>
    <row r="599" spans="1:21" x14ac:dyDescent="0.3">
      <c r="A599" s="2">
        <v>41043</v>
      </c>
      <c r="B599" s="1">
        <v>2315.4499999999998</v>
      </c>
      <c r="C599" s="2">
        <f t="shared" si="72"/>
        <v>41043</v>
      </c>
      <c r="D599" s="1">
        <f t="shared" si="73"/>
        <v>2315.4499999999998</v>
      </c>
      <c r="E599" s="4">
        <f t="shared" si="74"/>
        <v>2391.4469999999997</v>
      </c>
      <c r="F599" s="3">
        <f t="shared" si="75"/>
        <v>0.96822133210562478</v>
      </c>
      <c r="G599" s="18">
        <f t="shared" si="76"/>
        <v>1</v>
      </c>
      <c r="H599" s="3">
        <f t="shared" si="77"/>
        <v>-1.1011306022902567E-2</v>
      </c>
      <c r="I599" s="3">
        <f t="shared" si="78"/>
        <v>-1.1011306022902567E-2</v>
      </c>
      <c r="K599" s="12" t="str">
        <f>IF(AND(G599=1,G598&lt;&gt;1),MAX($K$50:K598)+1,"")</f>
        <v/>
      </c>
      <c r="L599" s="13" t="str">
        <f>IF(AND(G599&lt;&gt;1,G598=1),MAX($L$50:L598)+1,"")</f>
        <v/>
      </c>
      <c r="M599" s="13" t="str">
        <f>IF(AND(G599=-1,G598&lt;&gt;-1),MAX($M$50:M598)+1,"")</f>
        <v/>
      </c>
      <c r="N599" s="13" t="str">
        <f>IF(AND(G599&lt;&gt;-1,G598=-1),MAX($N$50:N598)+1,"")</f>
        <v/>
      </c>
      <c r="T599" s="7">
        <f t="shared" si="79"/>
        <v>85.771633392835724</v>
      </c>
      <c r="U599" s="1">
        <f t="shared" si="80"/>
        <v>121.65513400480212</v>
      </c>
    </row>
    <row r="600" spans="1:21" x14ac:dyDescent="0.3">
      <c r="A600" s="2">
        <v>41044</v>
      </c>
      <c r="B600" s="1">
        <v>2302.56</v>
      </c>
      <c r="C600" s="2">
        <f t="shared" si="72"/>
        <v>41044</v>
      </c>
      <c r="D600" s="1">
        <f t="shared" si="73"/>
        <v>2302.56</v>
      </c>
      <c r="E600" s="4">
        <f t="shared" si="74"/>
        <v>2390.4725999999996</v>
      </c>
      <c r="F600" s="3">
        <f t="shared" si="75"/>
        <v>0.9632237575113809</v>
      </c>
      <c r="G600" s="18">
        <f t="shared" si="76"/>
        <v>1</v>
      </c>
      <c r="H600" s="3">
        <f t="shared" si="77"/>
        <v>-5.5669524282536686E-3</v>
      </c>
      <c r="I600" s="3">
        <f t="shared" si="78"/>
        <v>-5.5669524282536686E-3</v>
      </c>
      <c r="K600" s="12" t="str">
        <f>IF(AND(G600=1,G599&lt;&gt;1),MAX($K$50:K599)+1,"")</f>
        <v/>
      </c>
      <c r="L600" s="13" t="str">
        <f>IF(AND(G600&lt;&gt;1,G599=1),MAX($L$50:L599)+1,"")</f>
        <v/>
      </c>
      <c r="M600" s="13" t="str">
        <f>IF(AND(G600=-1,G599&lt;&gt;-1),MAX($M$50:M599)+1,"")</f>
        <v/>
      </c>
      <c r="N600" s="13" t="str">
        <f>IF(AND(G600&lt;&gt;-1,G599=-1),MAX($N$50:N599)+1,"")</f>
        <v/>
      </c>
      <c r="T600" s="7">
        <f t="shared" si="79"/>
        <v>85.294146790044195</v>
      </c>
      <c r="U600" s="1">
        <f t="shared" si="80"/>
        <v>120.97788566114457</v>
      </c>
    </row>
    <row r="601" spans="1:21" x14ac:dyDescent="0.3">
      <c r="A601" s="2">
        <v>41045</v>
      </c>
      <c r="B601" s="1">
        <v>2293.21</v>
      </c>
      <c r="C601" s="2">
        <f t="shared" si="72"/>
        <v>41045</v>
      </c>
      <c r="D601" s="1">
        <f t="shared" si="73"/>
        <v>2293.21</v>
      </c>
      <c r="E601" s="4">
        <f t="shared" si="74"/>
        <v>2390.0325999999995</v>
      </c>
      <c r="F601" s="3">
        <f t="shared" si="75"/>
        <v>0.95948900445960461</v>
      </c>
      <c r="G601" s="18">
        <f t="shared" si="76"/>
        <v>1</v>
      </c>
      <c r="H601" s="3">
        <f t="shared" si="77"/>
        <v>-4.0606976582585608E-3</v>
      </c>
      <c r="I601" s="3">
        <f t="shared" si="78"/>
        <v>-4.0606976582585608E-3</v>
      </c>
      <c r="K601" s="12" t="str">
        <f>IF(AND(G601=1,G600&lt;&gt;1),MAX($K$50:K600)+1,"")</f>
        <v/>
      </c>
      <c r="L601" s="13" t="str">
        <f>IF(AND(G601&lt;&gt;1,G600=1),MAX($L$50:L600)+1,"")</f>
        <v/>
      </c>
      <c r="M601" s="13" t="str">
        <f>IF(AND(G601=-1,G600&lt;&gt;-1),MAX($M$50:M600)+1,"")</f>
        <v/>
      </c>
      <c r="N601" s="13" t="str">
        <f>IF(AND(G601&lt;&gt;-1,G600=-1),MAX($N$50:N600)+1,"")</f>
        <v/>
      </c>
      <c r="T601" s="7">
        <f t="shared" si="79"/>
        <v>84.947793047910707</v>
      </c>
      <c r="U601" s="1">
        <f t="shared" si="80"/>
        <v>120.48663104413929</v>
      </c>
    </row>
    <row r="602" spans="1:21" x14ac:dyDescent="0.3">
      <c r="A602" s="2">
        <v>41046</v>
      </c>
      <c r="B602" s="1">
        <v>2258.9299999999998</v>
      </c>
      <c r="C602" s="2">
        <f t="shared" si="72"/>
        <v>41046</v>
      </c>
      <c r="D602" s="1">
        <f t="shared" si="73"/>
        <v>2258.9299999999998</v>
      </c>
      <c r="E602" s="4">
        <f t="shared" si="74"/>
        <v>2388.5733999999998</v>
      </c>
      <c r="F602" s="3">
        <f t="shared" si="75"/>
        <v>0.94572350173538733</v>
      </c>
      <c r="G602" s="18">
        <f t="shared" si="76"/>
        <v>-1</v>
      </c>
      <c r="H602" s="3">
        <f t="shared" si="77"/>
        <v>-1.4948478333863924E-2</v>
      </c>
      <c r="I602" s="3">
        <f t="shared" si="78"/>
        <v>-1.4948478333863924E-2</v>
      </c>
      <c r="K602" s="12" t="str">
        <f>IF(AND(G602=1,G601&lt;&gt;1),MAX($K$50:K601)+1,"")</f>
        <v/>
      </c>
      <c r="L602" s="13">
        <f>IF(AND(G602&lt;&gt;1,G601=1),MAX($L$50:L601)+1,"")</f>
        <v>9</v>
      </c>
      <c r="M602" s="13">
        <f>IF(AND(G602=-1,G601&lt;&gt;-1),MAX($M$50:M601)+1,"")</f>
        <v>9</v>
      </c>
      <c r="N602" s="13" t="str">
        <f>IF(AND(G602&lt;&gt;-1,G601=-1),MAX($N$50:N601)+1,"")</f>
        <v/>
      </c>
      <c r="T602" s="7">
        <f t="shared" si="79"/>
        <v>83.677952804024457</v>
      </c>
      <c r="U602" s="1">
        <f t="shared" si="80"/>
        <v>118.6855392504557</v>
      </c>
    </row>
    <row r="603" spans="1:21" x14ac:dyDescent="0.3">
      <c r="A603" s="2">
        <v>41047</v>
      </c>
      <c r="B603" s="1">
        <v>2242.25</v>
      </c>
      <c r="C603" s="2">
        <f t="shared" si="72"/>
        <v>41047</v>
      </c>
      <c r="D603" s="1">
        <f t="shared" si="73"/>
        <v>2242.25</v>
      </c>
      <c r="E603" s="4">
        <f t="shared" si="74"/>
        <v>2386.3181999999997</v>
      </c>
      <c r="F603" s="3">
        <f t="shared" si="75"/>
        <v>0.93962741431549246</v>
      </c>
      <c r="G603" s="18">
        <f t="shared" si="76"/>
        <v>-1</v>
      </c>
      <c r="H603" s="3">
        <f t="shared" si="77"/>
        <v>-7.3840269508129719E-3</v>
      </c>
      <c r="I603" s="3">
        <f t="shared" si="78"/>
        <v>7.3840269508129719E-3</v>
      </c>
      <c r="K603" s="12" t="str">
        <f>IF(AND(G603=1,G602&lt;&gt;1),MAX($K$50:K602)+1,"")</f>
        <v/>
      </c>
      <c r="L603" s="13" t="str">
        <f>IF(AND(G603&lt;&gt;1,G602=1),MAX($L$50:L602)+1,"")</f>
        <v/>
      </c>
      <c r="M603" s="13" t="str">
        <f>IF(AND(G603=-1,G602&lt;&gt;-1),MAX($M$50:M602)+1,"")</f>
        <v/>
      </c>
      <c r="N603" s="13" t="str">
        <f>IF(AND(G603&lt;&gt;-1,G602=-1),MAX($N$50:N602)+1,"")</f>
        <v/>
      </c>
      <c r="T603" s="7">
        <f t="shared" si="79"/>
        <v>84.295833062718231</v>
      </c>
      <c r="U603" s="1">
        <f t="shared" si="80"/>
        <v>117.80916202995859</v>
      </c>
    </row>
    <row r="604" spans="1:21" x14ac:dyDescent="0.3">
      <c r="A604" s="2">
        <v>41050</v>
      </c>
      <c r="B604" s="1">
        <v>2278.2399999999998</v>
      </c>
      <c r="C604" s="2">
        <f t="shared" si="72"/>
        <v>41050</v>
      </c>
      <c r="D604" s="1">
        <f t="shared" si="73"/>
        <v>2278.2399999999998</v>
      </c>
      <c r="E604" s="4">
        <f t="shared" si="74"/>
        <v>2384.6117999999997</v>
      </c>
      <c r="F604" s="3">
        <f t="shared" si="75"/>
        <v>0.95539240391245239</v>
      </c>
      <c r="G604" s="18">
        <f t="shared" si="76"/>
        <v>1</v>
      </c>
      <c r="H604" s="3">
        <f t="shared" si="77"/>
        <v>1.6050841788382009E-2</v>
      </c>
      <c r="I604" s="3">
        <f t="shared" si="78"/>
        <v>-1.6050841788382009E-2</v>
      </c>
      <c r="K604" s="12">
        <f>IF(AND(G604=1,G603&lt;&gt;1),MAX($K$50:K603)+1,"")</f>
        <v>10</v>
      </c>
      <c r="L604" s="13" t="str">
        <f>IF(AND(G604&lt;&gt;1,G603=1),MAX($L$50:L603)+1,"")</f>
        <v/>
      </c>
      <c r="M604" s="13" t="str">
        <f>IF(AND(G604=-1,G603&lt;&gt;-1),MAX($M$50:M603)+1,"")</f>
        <v/>
      </c>
      <c r="N604" s="13">
        <f>IF(AND(G604&lt;&gt;-1,G603=-1),MAX($N$50:N603)+1,"")</f>
        <v>9</v>
      </c>
      <c r="T604" s="7">
        <f t="shared" si="79"/>
        <v>82.942813982808673</v>
      </c>
      <c r="U604" s="1">
        <f t="shared" si="80"/>
        <v>119.70009825092333</v>
      </c>
    </row>
    <row r="605" spans="1:21" x14ac:dyDescent="0.3">
      <c r="A605" s="2">
        <v>41051</v>
      </c>
      <c r="B605" s="1">
        <v>2279.4</v>
      </c>
      <c r="C605" s="2">
        <f t="shared" si="72"/>
        <v>41051</v>
      </c>
      <c r="D605" s="1">
        <f t="shared" si="73"/>
        <v>2279.4</v>
      </c>
      <c r="E605" s="4">
        <f t="shared" si="74"/>
        <v>2382.9177999999997</v>
      </c>
      <c r="F605" s="3">
        <f t="shared" si="75"/>
        <v>0.95655838401139992</v>
      </c>
      <c r="G605" s="18">
        <f t="shared" si="76"/>
        <v>1</v>
      </c>
      <c r="H605" s="3">
        <f t="shared" si="77"/>
        <v>5.0916496945019318E-4</v>
      </c>
      <c r="I605" s="3">
        <f t="shared" si="78"/>
        <v>5.0916496945019318E-4</v>
      </c>
      <c r="K605" s="12" t="str">
        <f>IF(AND(G605=1,G604&lt;&gt;1),MAX($K$50:K604)+1,"")</f>
        <v/>
      </c>
      <c r="L605" s="13" t="str">
        <f>IF(AND(G605&lt;&gt;1,G604=1),MAX($L$50:L604)+1,"")</f>
        <v/>
      </c>
      <c r="M605" s="13" t="str">
        <f>IF(AND(G605=-1,G604&lt;&gt;-1),MAX($M$50:M604)+1,"")</f>
        <v/>
      </c>
      <c r="N605" s="13" t="str">
        <f>IF(AND(G605&lt;&gt;-1,G604=-1),MAX($N$50:N604)+1,"")</f>
        <v/>
      </c>
      <c r="T605" s="7">
        <f t="shared" si="79"/>
        <v>82.985045558156344</v>
      </c>
      <c r="U605" s="1">
        <f t="shared" si="80"/>
        <v>119.76104534779245</v>
      </c>
    </row>
    <row r="606" spans="1:21" x14ac:dyDescent="0.3">
      <c r="A606" s="2">
        <v>41052</v>
      </c>
      <c r="B606" s="1">
        <v>2283.36</v>
      </c>
      <c r="C606" s="2">
        <f t="shared" si="72"/>
        <v>41052</v>
      </c>
      <c r="D606" s="1">
        <f t="shared" si="73"/>
        <v>2283.36</v>
      </c>
      <c r="E606" s="4">
        <f t="shared" si="74"/>
        <v>2380.4291999999991</v>
      </c>
      <c r="F606" s="3">
        <f t="shared" si="75"/>
        <v>0.95922197560003086</v>
      </c>
      <c r="G606" s="18">
        <f t="shared" si="76"/>
        <v>1</v>
      </c>
      <c r="H606" s="3">
        <f t="shared" si="77"/>
        <v>1.7372992892865646E-3</v>
      </c>
      <c r="I606" s="3">
        <f t="shared" si="78"/>
        <v>1.7372992892865646E-3</v>
      </c>
      <c r="K606" s="12" t="str">
        <f>IF(AND(G606=1,G605&lt;&gt;1),MAX($K$50:K605)+1,"")</f>
        <v/>
      </c>
      <c r="L606" s="13" t="str">
        <f>IF(AND(G606&lt;&gt;1,G605=1),MAX($L$50:L605)+1,"")</f>
        <v/>
      </c>
      <c r="M606" s="13" t="str">
        <f>IF(AND(G606=-1,G605&lt;&gt;-1),MAX($M$50:M605)+1,"")</f>
        <v/>
      </c>
      <c r="N606" s="13" t="str">
        <f>IF(AND(G606&lt;&gt;-1,G605=-1),MAX($N$50:N605)+1,"")</f>
        <v/>
      </c>
      <c r="T606" s="7">
        <f t="shared" si="79"/>
        <v>83.129215418825936</v>
      </c>
      <c r="U606" s="1">
        <f t="shared" si="80"/>
        <v>119.96910612675939</v>
      </c>
    </row>
    <row r="607" spans="1:21" x14ac:dyDescent="0.3">
      <c r="A607" s="2">
        <v>41053</v>
      </c>
      <c r="B607" s="1">
        <v>2286.87</v>
      </c>
      <c r="C607" s="2">
        <f t="shared" si="72"/>
        <v>41053</v>
      </c>
      <c r="D607" s="1">
        <f t="shared" si="73"/>
        <v>2286.87</v>
      </c>
      <c r="E607" s="4">
        <f t="shared" si="74"/>
        <v>2378.0669999999991</v>
      </c>
      <c r="F607" s="3">
        <f t="shared" si="75"/>
        <v>0.96165078612166977</v>
      </c>
      <c r="G607" s="18">
        <f t="shared" si="76"/>
        <v>1</v>
      </c>
      <c r="H607" s="3">
        <f t="shared" si="77"/>
        <v>1.5372083245741575E-3</v>
      </c>
      <c r="I607" s="3">
        <f t="shared" si="78"/>
        <v>1.5372083245741575E-3</v>
      </c>
      <c r="K607" s="12" t="str">
        <f>IF(AND(G607=1,G606&lt;&gt;1),MAX($K$50:K606)+1,"")</f>
        <v/>
      </c>
      <c r="L607" s="13" t="str">
        <f>IF(AND(G607&lt;&gt;1,G606=1),MAX($L$50:L606)+1,"")</f>
        <v/>
      </c>
      <c r="M607" s="13" t="str">
        <f>IF(AND(G607=-1,G606&lt;&gt;-1),MAX($M$50:M606)+1,"")</f>
        <v/>
      </c>
      <c r="N607" s="13" t="str">
        <f>IF(AND(G607&lt;&gt;-1,G606=-1),MAX($N$50:N606)+1,"")</f>
        <v/>
      </c>
      <c r="T607" s="7">
        <f t="shared" si="79"/>
        <v>83.257002340783075</v>
      </c>
      <c r="U607" s="1">
        <f t="shared" si="80"/>
        <v>120.15352363538918</v>
      </c>
    </row>
    <row r="608" spans="1:21" x14ac:dyDescent="0.3">
      <c r="A608" s="2">
        <v>41054</v>
      </c>
      <c r="B608" s="1">
        <v>2281.92</v>
      </c>
      <c r="C608" s="2">
        <f t="shared" si="72"/>
        <v>41054</v>
      </c>
      <c r="D608" s="1">
        <f t="shared" si="73"/>
        <v>2281.92</v>
      </c>
      <c r="E608" s="4">
        <f t="shared" si="74"/>
        <v>2375.3179999999993</v>
      </c>
      <c r="F608" s="3">
        <f t="shared" si="75"/>
        <v>0.96067979108481505</v>
      </c>
      <c r="G608" s="18">
        <f t="shared" si="76"/>
        <v>1</v>
      </c>
      <c r="H608" s="3">
        <f t="shared" si="77"/>
        <v>-2.1645305592359332E-3</v>
      </c>
      <c r="I608" s="3">
        <f t="shared" si="78"/>
        <v>-2.1645305592359332E-3</v>
      </c>
      <c r="K608" s="12" t="str">
        <f>IF(AND(G608=1,G607&lt;&gt;1),MAX($K$50:K607)+1,"")</f>
        <v/>
      </c>
      <c r="L608" s="13" t="str">
        <f>IF(AND(G608&lt;&gt;1,G607=1),MAX($L$50:L607)+1,"")</f>
        <v/>
      </c>
      <c r="M608" s="13" t="str">
        <f>IF(AND(G608=-1,G607&lt;&gt;-1),MAX($M$50:M607)+1,"")</f>
        <v/>
      </c>
      <c r="N608" s="13" t="str">
        <f>IF(AND(G608&lt;&gt;-1,G607=-1),MAX($N$50:N607)+1,"")</f>
        <v/>
      </c>
      <c r="T608" s="7">
        <f t="shared" si="79"/>
        <v>83.07679001494607</v>
      </c>
      <c r="U608" s="1">
        <f t="shared" si="80"/>
        <v>119.8934476616805</v>
      </c>
    </row>
    <row r="609" spans="1:21" x14ac:dyDescent="0.3">
      <c r="A609" s="2">
        <v>41058</v>
      </c>
      <c r="B609" s="1">
        <v>2307.5700000000002</v>
      </c>
      <c r="C609" s="2">
        <f t="shared" si="72"/>
        <v>41058</v>
      </c>
      <c r="D609" s="1">
        <f t="shared" si="73"/>
        <v>2307.5700000000002</v>
      </c>
      <c r="E609" s="4">
        <f t="shared" si="74"/>
        <v>2373.0275999999994</v>
      </c>
      <c r="F609" s="3">
        <f t="shared" si="75"/>
        <v>0.97241599718435667</v>
      </c>
      <c r="G609" s="18">
        <f t="shared" si="76"/>
        <v>1</v>
      </c>
      <c r="H609" s="3">
        <f t="shared" si="77"/>
        <v>1.1240534286916404E-2</v>
      </c>
      <c r="I609" s="3">
        <f t="shared" si="78"/>
        <v>1.1240534286916404E-2</v>
      </c>
      <c r="K609" s="12" t="str">
        <f>IF(AND(G609=1,G608&lt;&gt;1),MAX($K$50:K608)+1,"")</f>
        <v/>
      </c>
      <c r="L609" s="13" t="str">
        <f>IF(AND(G609&lt;&gt;1,G608=1),MAX($L$50:L608)+1,"")</f>
        <v/>
      </c>
      <c r="M609" s="13" t="str">
        <f>IF(AND(G609=-1,G608&lt;&gt;-1),MAX($M$50:M608)+1,"")</f>
        <v/>
      </c>
      <c r="N609" s="13" t="str">
        <f>IF(AND(G609&lt;&gt;-1,G608=-1),MAX($N$50:N608)+1,"")</f>
        <v/>
      </c>
      <c r="T609" s="7">
        <f t="shared" si="79"/>
        <v>84.010617521556028</v>
      </c>
      <c r="U609" s="1">
        <f t="shared" si="80"/>
        <v>121.24111407089823</v>
      </c>
    </row>
    <row r="610" spans="1:21" x14ac:dyDescent="0.3">
      <c r="A610" s="2">
        <v>41059</v>
      </c>
      <c r="B610" s="1">
        <v>2275.19</v>
      </c>
      <c r="C610" s="2">
        <f t="shared" si="72"/>
        <v>41059</v>
      </c>
      <c r="D610" s="1">
        <f t="shared" si="73"/>
        <v>2275.19</v>
      </c>
      <c r="E610" s="4">
        <f t="shared" si="74"/>
        <v>2369.8967999999995</v>
      </c>
      <c r="F610" s="3">
        <f t="shared" si="75"/>
        <v>0.96003758475896528</v>
      </c>
      <c r="G610" s="18">
        <f t="shared" si="76"/>
        <v>1</v>
      </c>
      <c r="H610" s="3">
        <f t="shared" si="77"/>
        <v>-1.4032077033416135E-2</v>
      </c>
      <c r="I610" s="3">
        <f t="shared" si="78"/>
        <v>-1.4032077033416135E-2</v>
      </c>
      <c r="K610" s="12" t="str">
        <f>IF(AND(G610=1,G609&lt;&gt;1),MAX($K$50:K609)+1,"")</f>
        <v/>
      </c>
      <c r="L610" s="13" t="str">
        <f>IF(AND(G610&lt;&gt;1,G609=1),MAX($L$50:L609)+1,"")</f>
        <v/>
      </c>
      <c r="M610" s="13" t="str">
        <f>IF(AND(G610=-1,G609&lt;&gt;-1),MAX($M$50:M609)+1,"")</f>
        <v/>
      </c>
      <c r="N610" s="13" t="str">
        <f>IF(AND(G610&lt;&gt;-1,G609=-1),MAX($N$50:N609)+1,"")</f>
        <v/>
      </c>
      <c r="T610" s="7">
        <f t="shared" si="79"/>
        <v>82.831774064868696</v>
      </c>
      <c r="U610" s="1">
        <f t="shared" si="80"/>
        <v>119.5398494186382</v>
      </c>
    </row>
    <row r="611" spans="1:21" x14ac:dyDescent="0.3">
      <c r="A611" s="2">
        <v>41060</v>
      </c>
      <c r="B611" s="1">
        <v>2270.25</v>
      </c>
      <c r="C611" s="2">
        <f t="shared" si="72"/>
        <v>41060</v>
      </c>
      <c r="D611" s="1">
        <f t="shared" si="73"/>
        <v>2270.25</v>
      </c>
      <c r="E611" s="4">
        <f t="shared" si="74"/>
        <v>2366.8125999999993</v>
      </c>
      <c r="F611" s="3">
        <f t="shared" si="75"/>
        <v>0.95920141712951867</v>
      </c>
      <c r="G611" s="18">
        <f t="shared" si="76"/>
        <v>1</v>
      </c>
      <c r="H611" s="3">
        <f t="shared" si="77"/>
        <v>-2.1712472364945334E-3</v>
      </c>
      <c r="I611" s="3">
        <f t="shared" si="78"/>
        <v>-2.1712472364945334E-3</v>
      </c>
      <c r="K611" s="12" t="str">
        <f>IF(AND(G611=1,G610&lt;&gt;1),MAX($K$50:K610)+1,"")</f>
        <v/>
      </c>
      <c r="L611" s="13" t="str">
        <f>IF(AND(G611&lt;&gt;1,G610=1),MAX($L$50:L610)+1,"")</f>
        <v/>
      </c>
      <c r="M611" s="13" t="str">
        <f>IF(AND(G611=-1,G610&lt;&gt;-1),MAX($M$50:M610)+1,"")</f>
        <v/>
      </c>
      <c r="N611" s="13" t="str">
        <f>IF(AND(G611&lt;&gt;-1,G610=-1),MAX($N$50:N610)+1,"")</f>
        <v/>
      </c>
      <c r="T611" s="7">
        <f t="shared" si="79"/>
        <v>82.651925804336415</v>
      </c>
      <c r="U611" s="1">
        <f t="shared" si="80"/>
        <v>119.280298850937</v>
      </c>
    </row>
    <row r="612" spans="1:21" x14ac:dyDescent="0.3">
      <c r="A612" s="2">
        <v>41061</v>
      </c>
      <c r="B612" s="1">
        <v>2214.41</v>
      </c>
      <c r="C612" s="2">
        <f t="shared" si="72"/>
        <v>41061</v>
      </c>
      <c r="D612" s="1">
        <f t="shared" si="73"/>
        <v>2214.41</v>
      </c>
      <c r="E612" s="4">
        <f t="shared" si="74"/>
        <v>2362.7003999999997</v>
      </c>
      <c r="F612" s="3">
        <f t="shared" si="75"/>
        <v>0.93723690062438725</v>
      </c>
      <c r="G612" s="18">
        <f t="shared" si="76"/>
        <v>-1</v>
      </c>
      <c r="H612" s="3">
        <f t="shared" si="77"/>
        <v>-2.4596410086994869E-2</v>
      </c>
      <c r="I612" s="3">
        <f t="shared" si="78"/>
        <v>-2.4596410086994869E-2</v>
      </c>
      <c r="K612" s="12" t="str">
        <f>IF(AND(G612=1,G611&lt;&gt;1),MAX($K$50:K611)+1,"")</f>
        <v/>
      </c>
      <c r="L612" s="13">
        <f>IF(AND(G612&lt;&gt;1,G611=1),MAX($L$50:L611)+1,"")</f>
        <v>10</v>
      </c>
      <c r="M612" s="13">
        <f>IF(AND(G612=-1,G611&lt;&gt;-1),MAX($M$50:M611)+1,"")</f>
        <v>10</v>
      </c>
      <c r="N612" s="13" t="str">
        <f>IF(AND(G612&lt;&gt;-1,G611=-1),MAX($N$50:N611)+1,"")</f>
        <v/>
      </c>
      <c r="T612" s="7">
        <f t="shared" si="79"/>
        <v>80.618985142773084</v>
      </c>
      <c r="U612" s="1">
        <f t="shared" si="80"/>
        <v>116.34643170510004</v>
      </c>
    </row>
    <row r="613" spans="1:21" x14ac:dyDescent="0.3">
      <c r="A613" s="2">
        <v>41064</v>
      </c>
      <c r="B613" s="1">
        <v>2214.6999999999998</v>
      </c>
      <c r="C613" s="2">
        <f t="shared" si="72"/>
        <v>41064</v>
      </c>
      <c r="D613" s="1">
        <f t="shared" si="73"/>
        <v>2214.6999999999998</v>
      </c>
      <c r="E613" s="4">
        <f t="shared" si="74"/>
        <v>2358.9401999999995</v>
      </c>
      <c r="F613" s="3">
        <f t="shared" si="75"/>
        <v>0.93885381240270538</v>
      </c>
      <c r="G613" s="18">
        <f t="shared" si="76"/>
        <v>-1</v>
      </c>
      <c r="H613" s="3">
        <f t="shared" si="77"/>
        <v>1.3096039125537473E-4</v>
      </c>
      <c r="I613" s="3">
        <f t="shared" si="78"/>
        <v>-1.3096039125537473E-4</v>
      </c>
      <c r="K613" s="12" t="str">
        <f>IF(AND(G613=1,G612&lt;&gt;1),MAX($K$50:K612)+1,"")</f>
        <v/>
      </c>
      <c r="L613" s="13" t="str">
        <f>IF(AND(G613&lt;&gt;1,G612=1),MAX($L$50:L612)+1,"")</f>
        <v/>
      </c>
      <c r="M613" s="13" t="str">
        <f>IF(AND(G613=-1,G612&lt;&gt;-1),MAX($M$50:M612)+1,"")</f>
        <v/>
      </c>
      <c r="N613" s="13" t="str">
        <f>IF(AND(G613&lt;&gt;-1,G612=-1),MAX($N$50:N612)+1,"")</f>
        <v/>
      </c>
      <c r="T613" s="7">
        <f t="shared" si="79"/>
        <v>80.608427248936181</v>
      </c>
      <c r="U613" s="1">
        <f t="shared" si="80"/>
        <v>116.36166847931732</v>
      </c>
    </row>
    <row r="614" spans="1:21" x14ac:dyDescent="0.3">
      <c r="A614" s="2">
        <v>41065</v>
      </c>
      <c r="B614" s="1">
        <v>2227.4499999999998</v>
      </c>
      <c r="C614" s="2">
        <f t="shared" si="72"/>
        <v>41065</v>
      </c>
      <c r="D614" s="1">
        <f t="shared" si="73"/>
        <v>2227.4499999999998</v>
      </c>
      <c r="E614" s="4">
        <f t="shared" si="74"/>
        <v>2355.2859999999996</v>
      </c>
      <c r="F614" s="3">
        <f t="shared" si="75"/>
        <v>0.94572378895811382</v>
      </c>
      <c r="G614" s="18">
        <f t="shared" si="76"/>
        <v>-1</v>
      </c>
      <c r="H614" s="3">
        <f t="shared" si="77"/>
        <v>5.7569874023570833E-3</v>
      </c>
      <c r="I614" s="3">
        <f t="shared" si="78"/>
        <v>-5.7569874023570833E-3</v>
      </c>
      <c r="K614" s="12" t="str">
        <f>IF(AND(G614=1,G613&lt;&gt;1),MAX($K$50:K613)+1,"")</f>
        <v/>
      </c>
      <c r="L614" s="13" t="str">
        <f>IF(AND(G614&lt;&gt;1,G613=1),MAX($L$50:L613)+1,"")</f>
        <v/>
      </c>
      <c r="M614" s="13" t="str">
        <f>IF(AND(G614=-1,G613&lt;&gt;-1),MAX($M$50:M613)+1,"")</f>
        <v/>
      </c>
      <c r="N614" s="13" t="str">
        <f>IF(AND(G614&lt;&gt;-1,G613=-1),MAX($N$50:N613)+1,"")</f>
        <v/>
      </c>
      <c r="T614" s="7">
        <f t="shared" si="79"/>
        <v>80.14436554874024</v>
      </c>
      <c r="U614" s="1">
        <f t="shared" si="80"/>
        <v>117.03156113886999</v>
      </c>
    </row>
    <row r="615" spans="1:21" x14ac:dyDescent="0.3">
      <c r="A615" s="2">
        <v>41066</v>
      </c>
      <c r="B615" s="1">
        <v>2279.42</v>
      </c>
      <c r="C615" s="2">
        <f t="shared" si="72"/>
        <v>41066</v>
      </c>
      <c r="D615" s="1">
        <f t="shared" si="73"/>
        <v>2279.42</v>
      </c>
      <c r="E615" s="4">
        <f t="shared" si="74"/>
        <v>2352.0015999999996</v>
      </c>
      <c r="F615" s="3">
        <f t="shared" si="75"/>
        <v>0.96914049718333539</v>
      </c>
      <c r="G615" s="18">
        <f t="shared" si="76"/>
        <v>1</v>
      </c>
      <c r="H615" s="3">
        <f t="shared" si="77"/>
        <v>2.3331612381871869E-2</v>
      </c>
      <c r="I615" s="3">
        <f t="shared" si="78"/>
        <v>-2.3331612381871869E-2</v>
      </c>
      <c r="K615" s="12">
        <f>IF(AND(G615=1,G614&lt;&gt;1),MAX($K$50:K614)+1,"")</f>
        <v>11</v>
      </c>
      <c r="L615" s="13" t="str">
        <f>IF(AND(G615&lt;&gt;1,G614=1),MAX($L$50:L614)+1,"")</f>
        <v/>
      </c>
      <c r="M615" s="13" t="str">
        <f>IF(AND(G615=-1,G614&lt;&gt;-1),MAX($M$50:M614)+1,"")</f>
        <v/>
      </c>
      <c r="N615" s="13">
        <f>IF(AND(G615&lt;&gt;-1,G614=-1),MAX($N$50:N614)+1,"")</f>
        <v>10</v>
      </c>
      <c r="T615" s="7">
        <f t="shared" si="79"/>
        <v>78.27446827716598</v>
      </c>
      <c r="U615" s="1">
        <f t="shared" si="80"/>
        <v>119.76209615980743</v>
      </c>
    </row>
    <row r="616" spans="1:21" x14ac:dyDescent="0.3">
      <c r="A616" s="2">
        <v>41067</v>
      </c>
      <c r="B616" s="1">
        <v>2279.2800000000002</v>
      </c>
      <c r="C616" s="2">
        <f t="shared" si="72"/>
        <v>41067</v>
      </c>
      <c r="D616" s="1">
        <f t="shared" si="73"/>
        <v>2279.2800000000002</v>
      </c>
      <c r="E616" s="4">
        <f t="shared" si="74"/>
        <v>2348.8469999999993</v>
      </c>
      <c r="F616" s="3">
        <f t="shared" si="75"/>
        <v>0.97038248979180031</v>
      </c>
      <c r="G616" s="18">
        <f t="shared" si="76"/>
        <v>1</v>
      </c>
      <c r="H616" s="3">
        <f t="shared" si="77"/>
        <v>-6.1419132937223786E-5</v>
      </c>
      <c r="I616" s="3">
        <f t="shared" si="78"/>
        <v>-6.1419132937223786E-5</v>
      </c>
      <c r="K616" s="12" t="str">
        <f>IF(AND(G616=1,G615&lt;&gt;1),MAX($K$50:K615)+1,"")</f>
        <v/>
      </c>
      <c r="L616" s="13" t="str">
        <f>IF(AND(G616&lt;&gt;1,G615=1),MAX($L$50:L615)+1,"")</f>
        <v/>
      </c>
      <c r="M616" s="13" t="str">
        <f>IF(AND(G616=-1,G615&lt;&gt;-1),MAX($M$50:M615)+1,"")</f>
        <v/>
      </c>
      <c r="N616" s="13" t="str">
        <f>IF(AND(G616&lt;&gt;-1,G615=-1),MAX($N$50:N615)+1,"")</f>
        <v/>
      </c>
      <c r="T616" s="7">
        <f t="shared" si="79"/>
        <v>78.269660727193269</v>
      </c>
      <c r="U616" s="1">
        <f t="shared" si="80"/>
        <v>119.75474047570253</v>
      </c>
    </row>
    <row r="617" spans="1:21" x14ac:dyDescent="0.3">
      <c r="A617" s="2">
        <v>41068</v>
      </c>
      <c r="B617" s="1">
        <v>2297.8200000000002</v>
      </c>
      <c r="C617" s="2">
        <f t="shared" si="72"/>
        <v>41068</v>
      </c>
      <c r="D617" s="1">
        <f t="shared" si="73"/>
        <v>2297.8200000000002</v>
      </c>
      <c r="E617" s="4">
        <f t="shared" si="74"/>
        <v>2346.2923999999998</v>
      </c>
      <c r="F617" s="3">
        <f t="shared" si="75"/>
        <v>0.97934085282806194</v>
      </c>
      <c r="G617" s="18">
        <f t="shared" si="76"/>
        <v>1</v>
      </c>
      <c r="H617" s="3">
        <f t="shared" si="77"/>
        <v>8.1341476255658574E-3</v>
      </c>
      <c r="I617" s="3">
        <f t="shared" si="78"/>
        <v>8.1341476255658574E-3</v>
      </c>
      <c r="K617" s="12" t="str">
        <f>IF(AND(G617=1,G616&lt;&gt;1),MAX($K$50:K616)+1,"")</f>
        <v/>
      </c>
      <c r="L617" s="13" t="str">
        <f>IF(AND(G617&lt;&gt;1,G616=1),MAX($L$50:L616)+1,"")</f>
        <v/>
      </c>
      <c r="M617" s="13" t="str">
        <f>IF(AND(G617=-1,G616&lt;&gt;-1),MAX($M$50:M616)+1,"")</f>
        <v/>
      </c>
      <c r="N617" s="13" t="str">
        <f>IF(AND(G617&lt;&gt;-1,G616=-1),MAX($N$50:N616)+1,"")</f>
        <v/>
      </c>
      <c r="T617" s="7">
        <f t="shared" si="79"/>
        <v>78.906317702151213</v>
      </c>
      <c r="U617" s="1">
        <f t="shared" si="80"/>
        <v>120.72884321359325</v>
      </c>
    </row>
    <row r="618" spans="1:21" x14ac:dyDescent="0.3">
      <c r="A618" s="2">
        <v>41071</v>
      </c>
      <c r="B618" s="1">
        <v>2268.94</v>
      </c>
      <c r="C618" s="2">
        <f t="shared" si="72"/>
        <v>41071</v>
      </c>
      <c r="D618" s="1">
        <f t="shared" si="73"/>
        <v>2268.94</v>
      </c>
      <c r="E618" s="4">
        <f t="shared" si="74"/>
        <v>2343.2371999999996</v>
      </c>
      <c r="F618" s="3">
        <f t="shared" si="75"/>
        <v>0.96829292399420785</v>
      </c>
      <c r="G618" s="18">
        <f t="shared" si="76"/>
        <v>1</v>
      </c>
      <c r="H618" s="3">
        <f t="shared" si="77"/>
        <v>-1.2568434429154673E-2</v>
      </c>
      <c r="I618" s="3">
        <f t="shared" si="78"/>
        <v>-1.2568434429154673E-2</v>
      </c>
      <c r="K618" s="12" t="str">
        <f>IF(AND(G618=1,G617&lt;&gt;1),MAX($K$50:K617)+1,"")</f>
        <v/>
      </c>
      <c r="L618" s="13" t="str">
        <f>IF(AND(G618&lt;&gt;1,G617=1),MAX($L$50:L617)+1,"")</f>
        <v/>
      </c>
      <c r="M618" s="13" t="str">
        <f>IF(AND(G618=-1,G617&lt;&gt;-1),MAX($M$50:M617)+1,"")</f>
        <v/>
      </c>
      <c r="N618" s="13" t="str">
        <f>IF(AND(G618&lt;&gt;-1,G617=-1),MAX($N$50:N617)+1,"")</f>
        <v/>
      </c>
      <c r="T618" s="7">
        <f t="shared" si="79"/>
        <v>77.914588822065681</v>
      </c>
      <c r="U618" s="1">
        <f t="shared" si="80"/>
        <v>119.21147066395552</v>
      </c>
    </row>
    <row r="619" spans="1:21" x14ac:dyDescent="0.3">
      <c r="A619" s="2">
        <v>41072</v>
      </c>
      <c r="B619" s="1">
        <v>2295.4</v>
      </c>
      <c r="C619" s="2">
        <f t="shared" si="72"/>
        <v>41072</v>
      </c>
      <c r="D619" s="1">
        <f t="shared" si="73"/>
        <v>2295.4</v>
      </c>
      <c r="E619" s="4">
        <f t="shared" si="74"/>
        <v>2340.5317999999997</v>
      </c>
      <c r="F619" s="3">
        <f t="shared" si="75"/>
        <v>0.98071728826756399</v>
      </c>
      <c r="G619" s="18">
        <f t="shared" si="76"/>
        <v>1</v>
      </c>
      <c r="H619" s="3">
        <f t="shared" si="77"/>
        <v>1.1661833278976186E-2</v>
      </c>
      <c r="I619" s="3">
        <f t="shared" si="78"/>
        <v>1.1661833278976186E-2</v>
      </c>
      <c r="K619" s="12" t="str">
        <f>IF(AND(G619=1,G618&lt;&gt;1),MAX($K$50:K618)+1,"")</f>
        <v/>
      </c>
      <c r="L619" s="13" t="str">
        <f>IF(AND(G619&lt;&gt;1,G618=1),MAX($L$50:L618)+1,"")</f>
        <v/>
      </c>
      <c r="M619" s="13" t="str">
        <f>IF(AND(G619=-1,G618&lt;&gt;-1),MAX($M$50:M618)+1,"")</f>
        <v/>
      </c>
      <c r="N619" s="13" t="str">
        <f>IF(AND(G619&lt;&gt;-1,G618=-1),MAX($N$50:N618)+1,"")</f>
        <v/>
      </c>
      <c r="T619" s="7">
        <f t="shared" si="79"/>
        <v>78.823215766908589</v>
      </c>
      <c r="U619" s="1">
        <f t="shared" si="80"/>
        <v>120.60169495978013</v>
      </c>
    </row>
    <row r="620" spans="1:21" x14ac:dyDescent="0.3">
      <c r="A620" s="2">
        <v>41073</v>
      </c>
      <c r="B620" s="1">
        <v>2280.13</v>
      </c>
      <c r="C620" s="2">
        <f t="shared" si="72"/>
        <v>41073</v>
      </c>
      <c r="D620" s="1">
        <f t="shared" si="73"/>
        <v>2280.13</v>
      </c>
      <c r="E620" s="4">
        <f t="shared" si="74"/>
        <v>2337.1527999999998</v>
      </c>
      <c r="F620" s="3">
        <f t="shared" si="75"/>
        <v>0.97560159524015733</v>
      </c>
      <c r="G620" s="18">
        <f t="shared" si="76"/>
        <v>1</v>
      </c>
      <c r="H620" s="3">
        <f t="shared" si="77"/>
        <v>-6.6524353053933893E-3</v>
      </c>
      <c r="I620" s="3">
        <f t="shared" si="78"/>
        <v>-6.6524353053933893E-3</v>
      </c>
      <c r="K620" s="12" t="str">
        <f>IF(AND(G620=1,G619&lt;&gt;1),MAX($K$50:K619)+1,"")</f>
        <v/>
      </c>
      <c r="L620" s="13" t="str">
        <f>IF(AND(G620&lt;&gt;1,G619=1),MAX($L$50:L619)+1,"")</f>
        <v/>
      </c>
      <c r="M620" s="13" t="str">
        <f>IF(AND(G620=-1,G619&lt;&gt;-1),MAX($M$50:M619)+1,"")</f>
        <v/>
      </c>
      <c r="N620" s="13" t="str">
        <f>IF(AND(G620&lt;&gt;-1,G619=-1),MAX($N$50:N619)+1,"")</f>
        <v/>
      </c>
      <c r="T620" s="7">
        <f t="shared" si="79"/>
        <v>78.298849423456161</v>
      </c>
      <c r="U620" s="1">
        <f t="shared" si="80"/>
        <v>119.79939998633942</v>
      </c>
    </row>
    <row r="621" spans="1:21" x14ac:dyDescent="0.3">
      <c r="A621" s="2">
        <v>41074</v>
      </c>
      <c r="B621" s="1">
        <v>2304.83</v>
      </c>
      <c r="C621" s="2">
        <f t="shared" si="72"/>
        <v>41074</v>
      </c>
      <c r="D621" s="1">
        <f t="shared" si="73"/>
        <v>2304.83</v>
      </c>
      <c r="E621" s="4">
        <f t="shared" si="74"/>
        <v>2334.4515999999999</v>
      </c>
      <c r="F621" s="3">
        <f t="shared" si="75"/>
        <v>0.98731110981268577</v>
      </c>
      <c r="G621" s="18">
        <f t="shared" si="76"/>
        <v>1</v>
      </c>
      <c r="H621" s="3">
        <f t="shared" si="77"/>
        <v>1.0832715678491978E-2</v>
      </c>
      <c r="I621" s="3">
        <f t="shared" si="78"/>
        <v>1.0832715678491978E-2</v>
      </c>
      <c r="K621" s="12" t="str">
        <f>IF(AND(G621=1,G620&lt;&gt;1),MAX($K$50:K620)+1,"")</f>
        <v/>
      </c>
      <c r="L621" s="13" t="str">
        <f>IF(AND(G621&lt;&gt;1,G620=1),MAX($L$50:L620)+1,"")</f>
        <v/>
      </c>
      <c r="M621" s="13" t="str">
        <f>IF(AND(G621=-1,G620&lt;&gt;-1),MAX($M$50:M620)+1,"")</f>
        <v/>
      </c>
      <c r="N621" s="13" t="str">
        <f>IF(AND(G621&lt;&gt;-1,G620=-1),MAX($N$50:N620)+1,"")</f>
        <v/>
      </c>
      <c r="T621" s="7">
        <f t="shared" si="79"/>
        <v>79.147038597213523</v>
      </c>
      <c r="U621" s="1">
        <f t="shared" si="80"/>
        <v>121.09715282484537</v>
      </c>
    </row>
    <row r="622" spans="1:21" x14ac:dyDescent="0.3">
      <c r="A622" s="2">
        <v>41075</v>
      </c>
      <c r="B622" s="1">
        <v>2328.66</v>
      </c>
      <c r="C622" s="2">
        <f t="shared" si="72"/>
        <v>41075</v>
      </c>
      <c r="D622" s="1">
        <f t="shared" si="73"/>
        <v>2328.66</v>
      </c>
      <c r="E622" s="4">
        <f t="shared" si="74"/>
        <v>2332.7238000000002</v>
      </c>
      <c r="F622" s="3">
        <f t="shared" si="75"/>
        <v>0.99825791634654715</v>
      </c>
      <c r="G622" s="18">
        <f t="shared" si="76"/>
        <v>1</v>
      </c>
      <c r="H622" s="3">
        <f t="shared" si="77"/>
        <v>1.0339157334814164E-2</v>
      </c>
      <c r="I622" s="3">
        <f t="shared" si="78"/>
        <v>1.0339157334814164E-2</v>
      </c>
      <c r="K622" s="12" t="str">
        <f>IF(AND(G622=1,G621&lt;&gt;1),MAX($K$50:K621)+1,"")</f>
        <v/>
      </c>
      <c r="L622" s="13" t="str">
        <f>IF(AND(G622&lt;&gt;1,G621=1),MAX($L$50:L621)+1,"")</f>
        <v/>
      </c>
      <c r="M622" s="13" t="str">
        <f>IF(AND(G622=-1,G621&lt;&gt;-1),MAX($M$50:M621)+1,"")</f>
        <v/>
      </c>
      <c r="N622" s="13" t="str">
        <f>IF(AND(G622&lt;&gt;-1,G621=-1),MAX($N$50:N621)+1,"")</f>
        <v/>
      </c>
      <c r="T622" s="7">
        <f t="shared" si="79"/>
        <v>79.96535228185472</v>
      </c>
      <c r="U622" s="1">
        <f t="shared" si="80"/>
        <v>122.3491953406995</v>
      </c>
    </row>
    <row r="623" spans="1:21" x14ac:dyDescent="0.3">
      <c r="A623" s="2">
        <v>41078</v>
      </c>
      <c r="B623" s="1">
        <v>2332.0700000000002</v>
      </c>
      <c r="C623" s="2">
        <f t="shared" si="72"/>
        <v>41078</v>
      </c>
      <c r="D623" s="1">
        <f t="shared" si="73"/>
        <v>2332.0700000000002</v>
      </c>
      <c r="E623" s="4">
        <f t="shared" si="74"/>
        <v>2331.0772000000002</v>
      </c>
      <c r="F623" s="3">
        <f t="shared" si="75"/>
        <v>1.0004258975206828</v>
      </c>
      <c r="G623" s="18">
        <f t="shared" si="76"/>
        <v>1</v>
      </c>
      <c r="H623" s="3">
        <f t="shared" si="77"/>
        <v>1.4643614782752223E-3</v>
      </c>
      <c r="I623" s="3">
        <f t="shared" si="78"/>
        <v>1.4643614782752223E-3</v>
      </c>
      <c r="K623" s="12" t="str">
        <f>IF(AND(G623=1,G622&lt;&gt;1),MAX($K$50:K622)+1,"")</f>
        <v/>
      </c>
      <c r="L623" s="13" t="str">
        <f>IF(AND(G623&lt;&gt;1,G622=1),MAX($L$50:L622)+1,"")</f>
        <v/>
      </c>
      <c r="M623" s="13" t="str">
        <f>IF(AND(G623=-1,G622&lt;&gt;-1),MAX($M$50:M622)+1,"")</f>
        <v/>
      </c>
      <c r="N623" s="13" t="str">
        <f>IF(AND(G623&lt;&gt;-1,G622=-1),MAX($N$50:N622)+1,"")</f>
        <v/>
      </c>
      <c r="T623" s="7">
        <f t="shared" si="79"/>
        <v>80.082450463332975</v>
      </c>
      <c r="U623" s="1">
        <f t="shared" si="80"/>
        <v>122.52835878925438</v>
      </c>
    </row>
    <row r="624" spans="1:21" x14ac:dyDescent="0.3">
      <c r="A624" s="2">
        <v>41079</v>
      </c>
      <c r="B624" s="1">
        <v>2355.0100000000002</v>
      </c>
      <c r="C624" s="2">
        <f t="shared" si="72"/>
        <v>41079</v>
      </c>
      <c r="D624" s="1">
        <f t="shared" si="73"/>
        <v>2355.0100000000002</v>
      </c>
      <c r="E624" s="4">
        <f t="shared" si="74"/>
        <v>2330.4367999999999</v>
      </c>
      <c r="F624" s="3">
        <f t="shared" si="75"/>
        <v>1.0105444610212129</v>
      </c>
      <c r="G624" s="18">
        <f t="shared" si="76"/>
        <v>1</v>
      </c>
      <c r="H624" s="3">
        <f t="shared" si="77"/>
        <v>9.8367544713495736E-3</v>
      </c>
      <c r="I624" s="3">
        <f t="shared" si="78"/>
        <v>9.8367544713495736E-3</v>
      </c>
      <c r="K624" s="12" t="str">
        <f>IF(AND(G624=1,G623&lt;&gt;1),MAX($K$50:K623)+1,"")</f>
        <v/>
      </c>
      <c r="L624" s="13" t="str">
        <f>IF(AND(G624&lt;&gt;1,G623=1),MAX($L$50:L623)+1,"")</f>
        <v/>
      </c>
      <c r="M624" s="13" t="str">
        <f>IF(AND(G624=-1,G623&lt;&gt;-1),MAX($M$50:M623)+1,"")</f>
        <v/>
      </c>
      <c r="N624" s="13" t="str">
        <f>IF(AND(G624&lt;&gt;-1,G623=-1),MAX($N$50:N623)+1,"")</f>
        <v/>
      </c>
      <c r="T624" s="7">
        <f t="shared" si="79"/>
        <v>80.870201866004791</v>
      </c>
      <c r="U624" s="1">
        <f t="shared" si="80"/>
        <v>123.7336401704417</v>
      </c>
    </row>
    <row r="625" spans="1:21" x14ac:dyDescent="0.3">
      <c r="A625" s="2">
        <v>41080</v>
      </c>
      <c r="B625" s="1">
        <v>2351.14</v>
      </c>
      <c r="C625" s="2">
        <f t="shared" si="72"/>
        <v>41080</v>
      </c>
      <c r="D625" s="1">
        <f t="shared" si="73"/>
        <v>2351.14</v>
      </c>
      <c r="E625" s="4">
        <f t="shared" si="74"/>
        <v>2330.5342000000001</v>
      </c>
      <c r="F625" s="3">
        <f t="shared" si="75"/>
        <v>1.0088416638554369</v>
      </c>
      <c r="G625" s="18">
        <f t="shared" si="76"/>
        <v>1</v>
      </c>
      <c r="H625" s="3">
        <f t="shared" si="77"/>
        <v>-1.6433051239699292E-3</v>
      </c>
      <c r="I625" s="3">
        <f t="shared" si="78"/>
        <v>-1.6433051239699292E-3</v>
      </c>
      <c r="K625" s="12" t="str">
        <f>IF(AND(G625=1,G624&lt;&gt;1),MAX($K$50:K624)+1,"")</f>
        <v/>
      </c>
      <c r="L625" s="13" t="str">
        <f>IF(AND(G625&lt;&gt;1,G624=1),MAX($L$50:L624)+1,"")</f>
        <v/>
      </c>
      <c r="M625" s="13" t="str">
        <f>IF(AND(G625=-1,G624&lt;&gt;-1),MAX($M$50:M624)+1,"")</f>
        <v/>
      </c>
      <c r="N625" s="13" t="str">
        <f>IF(AND(G625&lt;&gt;-1,G624=-1),MAX($N$50:N624)+1,"")</f>
        <v/>
      </c>
      <c r="T625" s="7">
        <f t="shared" si="79"/>
        <v>80.737307448901902</v>
      </c>
      <c r="U625" s="1">
        <f t="shared" si="80"/>
        <v>123.53030804554217</v>
      </c>
    </row>
    <row r="626" spans="1:21" x14ac:dyDescent="0.3">
      <c r="A626" s="2">
        <v>41081</v>
      </c>
      <c r="B626" s="1">
        <v>2299.16</v>
      </c>
      <c r="C626" s="2">
        <f t="shared" si="72"/>
        <v>41081</v>
      </c>
      <c r="D626" s="1">
        <f t="shared" si="73"/>
        <v>2299.16</v>
      </c>
      <c r="E626" s="4">
        <f t="shared" si="74"/>
        <v>2329.2356</v>
      </c>
      <c r="F626" s="3">
        <f t="shared" si="75"/>
        <v>0.98708778107289785</v>
      </c>
      <c r="G626" s="18">
        <f t="shared" si="76"/>
        <v>1</v>
      </c>
      <c r="H626" s="3">
        <f t="shared" si="77"/>
        <v>-2.2108423998570936E-2</v>
      </c>
      <c r="I626" s="3">
        <f t="shared" si="78"/>
        <v>-2.2108423998570936E-2</v>
      </c>
      <c r="K626" s="12" t="str">
        <f>IF(AND(G626=1,G625&lt;&gt;1),MAX($K$50:K625)+1,"")</f>
        <v/>
      </c>
      <c r="L626" s="13" t="str">
        <f>IF(AND(G626&lt;&gt;1,G625=1),MAX($L$50:L625)+1,"")</f>
        <v/>
      </c>
      <c r="M626" s="13" t="str">
        <f>IF(AND(G626=-1,G625&lt;&gt;-1),MAX($M$50:M625)+1,"")</f>
        <v/>
      </c>
      <c r="N626" s="13" t="str">
        <f>IF(AND(G626&lt;&gt;-1,G625=-1),MAX($N$50:N625)+1,"")</f>
        <v/>
      </c>
      <c r="T626" s="7">
        <f t="shared" si="79"/>
        <v>78.952332823318599</v>
      </c>
      <c r="U626" s="1">
        <f t="shared" si="80"/>
        <v>120.79924761859725</v>
      </c>
    </row>
    <row r="627" spans="1:21" x14ac:dyDescent="0.3">
      <c r="A627" s="2">
        <v>41082</v>
      </c>
      <c r="B627" s="1">
        <v>2315.65</v>
      </c>
      <c r="C627" s="2">
        <f t="shared" si="72"/>
        <v>41082</v>
      </c>
      <c r="D627" s="1">
        <f t="shared" si="73"/>
        <v>2315.65</v>
      </c>
      <c r="E627" s="4">
        <f t="shared" si="74"/>
        <v>2327.6147999999998</v>
      </c>
      <c r="F627" s="3">
        <f t="shared" si="75"/>
        <v>0.9948596305539904</v>
      </c>
      <c r="G627" s="18">
        <f t="shared" si="76"/>
        <v>1</v>
      </c>
      <c r="H627" s="3">
        <f t="shared" si="77"/>
        <v>7.1721846239496401E-3</v>
      </c>
      <c r="I627" s="3">
        <f t="shared" si="78"/>
        <v>7.1721846239496401E-3</v>
      </c>
      <c r="K627" s="12" t="str">
        <f>IF(AND(G627=1,G626&lt;&gt;1),MAX($K$50:K626)+1,"")</f>
        <v/>
      </c>
      <c r="L627" s="13" t="str">
        <f>IF(AND(G627&lt;&gt;1,G626=1),MAX($L$50:L626)+1,"")</f>
        <v/>
      </c>
      <c r="M627" s="13" t="str">
        <f>IF(AND(G627=-1,G626&lt;&gt;-1),MAX($M$50:M626)+1,"")</f>
        <v/>
      </c>
      <c r="N627" s="13" t="str">
        <f>IF(AND(G627&lt;&gt;-1,G626=-1),MAX($N$50:N626)+1,"")</f>
        <v/>
      </c>
      <c r="T627" s="7">
        <f t="shared" si="79"/>
        <v>79.518593530818961</v>
      </c>
      <c r="U627" s="1">
        <f t="shared" si="80"/>
        <v>121.66564212495204</v>
      </c>
    </row>
    <row r="628" spans="1:21" x14ac:dyDescent="0.3">
      <c r="A628" s="2">
        <v>41085</v>
      </c>
      <c r="B628" s="1">
        <v>2278.98</v>
      </c>
      <c r="C628" s="2">
        <f t="shared" ref="C628:C691" si="81">A628</f>
        <v>41085</v>
      </c>
      <c r="D628" s="1">
        <f t="shared" ref="D628:D691" si="82">B628</f>
        <v>2278.98</v>
      </c>
      <c r="E628" s="4">
        <f t="shared" ref="E628:E691" si="83">AVERAGE(B579:B628)</f>
        <v>2325.8575999999998</v>
      </c>
      <c r="F628" s="3">
        <f t="shared" ref="F628:F691" si="84">D628/E628</f>
        <v>0.97984502576597987</v>
      </c>
      <c r="G628" s="18">
        <f t="shared" ref="G628:G691" si="85">IF(F628&gt;=$Q$51,1,IF(F628&lt;=$Q$52,-1,0))</f>
        <v>1</v>
      </c>
      <c r="H628" s="3">
        <f t="shared" si="77"/>
        <v>-1.5835726469889733E-2</v>
      </c>
      <c r="I628" s="3">
        <f t="shared" si="78"/>
        <v>-1.5835726469889733E-2</v>
      </c>
      <c r="K628" s="12" t="str">
        <f>IF(AND(G628=1,G627&lt;&gt;1),MAX($K$50:K627)+1,"")</f>
        <v/>
      </c>
      <c r="L628" s="13" t="str">
        <f>IF(AND(G628&lt;&gt;1,G627=1),MAX($L$50:L627)+1,"")</f>
        <v/>
      </c>
      <c r="M628" s="13" t="str">
        <f>IF(AND(G628=-1,G627&lt;&gt;-1),MAX($M$50:M627)+1,"")</f>
        <v/>
      </c>
      <c r="N628" s="13" t="str">
        <f>IF(AND(G628&lt;&gt;-1,G627=-1),MAX($N$50:N627)+1,"")</f>
        <v/>
      </c>
      <c r="T628" s="7">
        <f t="shared" si="79"/>
        <v>78.259358834394575</v>
      </c>
      <c r="U628" s="1">
        <f t="shared" si="80"/>
        <v>119.73897829547782</v>
      </c>
    </row>
    <row r="629" spans="1:21" x14ac:dyDescent="0.3">
      <c r="A629" s="2">
        <v>41086</v>
      </c>
      <c r="B629" s="1">
        <v>2289.86</v>
      </c>
      <c r="C629" s="2">
        <f t="shared" si="81"/>
        <v>41086</v>
      </c>
      <c r="D629" s="1">
        <f t="shared" si="82"/>
        <v>2289.86</v>
      </c>
      <c r="E629" s="4">
        <f t="shared" si="83"/>
        <v>2324.3418000000001</v>
      </c>
      <c r="F629" s="3">
        <f t="shared" si="84"/>
        <v>0.98516491851585686</v>
      </c>
      <c r="G629" s="18">
        <f t="shared" si="85"/>
        <v>1</v>
      </c>
      <c r="H629" s="3">
        <f t="shared" ref="H629:H692" si="86">D629/D628-1</f>
        <v>4.7740655907468899E-3</v>
      </c>
      <c r="I629" s="3">
        <f t="shared" ref="I629:I692" si="87">G628*H629</f>
        <v>4.7740655907468899E-3</v>
      </c>
      <c r="K629" s="12" t="str">
        <f>IF(AND(G629=1,G628&lt;&gt;1),MAX($K$50:K628)+1,"")</f>
        <v/>
      </c>
      <c r="L629" s="13" t="str">
        <f>IF(AND(G629&lt;&gt;1,G628=1),MAX($L$50:L628)+1,"")</f>
        <v/>
      </c>
      <c r="M629" s="13" t="str">
        <f>IF(AND(G629=-1,G628&lt;&gt;-1),MAX($M$50:M628)+1,"")</f>
        <v/>
      </c>
      <c r="N629" s="13" t="str">
        <f>IF(AND(G629&lt;&gt;-1,G628=-1),MAX($N$50:N628)+1,"")</f>
        <v/>
      </c>
      <c r="T629" s="7">
        <f t="shared" ref="T629:T692" si="88">T628*(1+I629)</f>
        <v>78.632974146559775</v>
      </c>
      <c r="U629" s="1">
        <f t="shared" ref="U629:U692" si="89">U628*D629/D628</f>
        <v>120.31062003162944</v>
      </c>
    </row>
    <row r="630" spans="1:21" x14ac:dyDescent="0.3">
      <c r="A630" s="2">
        <v>41087</v>
      </c>
      <c r="B630" s="1">
        <v>2310.98</v>
      </c>
      <c r="C630" s="2">
        <f t="shared" si="81"/>
        <v>41087</v>
      </c>
      <c r="D630" s="1">
        <f t="shared" si="82"/>
        <v>2310.98</v>
      </c>
      <c r="E630" s="4">
        <f t="shared" si="83"/>
        <v>2322.5156000000002</v>
      </c>
      <c r="F630" s="3">
        <f t="shared" si="84"/>
        <v>0.9950331442337782</v>
      </c>
      <c r="G630" s="18">
        <f t="shared" si="85"/>
        <v>1</v>
      </c>
      <c r="H630" s="3">
        <f t="shared" si="86"/>
        <v>9.2232712916946458E-3</v>
      </c>
      <c r="I630" s="3">
        <f t="shared" si="87"/>
        <v>9.2232712916946458E-3</v>
      </c>
      <c r="K630" s="12" t="str">
        <f>IF(AND(G630=1,G629&lt;&gt;1),MAX($K$50:K629)+1,"")</f>
        <v/>
      </c>
      <c r="L630" s="13" t="str">
        <f>IF(AND(G630&lt;&gt;1,G629=1),MAX($L$50:L629)+1,"")</f>
        <v/>
      </c>
      <c r="M630" s="13" t="str">
        <f>IF(AND(G630=-1,G629&lt;&gt;-1),MAX($M$50:M629)+1,"")</f>
        <v/>
      </c>
      <c r="N630" s="13" t="str">
        <f>IF(AND(G630&lt;&gt;-1,G629=-1),MAX($N$50:N629)+1,"")</f>
        <v/>
      </c>
      <c r="T630" s="7">
        <f t="shared" si="88"/>
        <v>79.358227399586312</v>
      </c>
      <c r="U630" s="1">
        <f t="shared" si="89"/>
        <v>121.42027751945314</v>
      </c>
    </row>
    <row r="631" spans="1:21" x14ac:dyDescent="0.3">
      <c r="A631" s="2">
        <v>41088</v>
      </c>
      <c r="B631" s="1">
        <v>2306.2199999999998</v>
      </c>
      <c r="C631" s="2">
        <f t="shared" si="81"/>
        <v>41088</v>
      </c>
      <c r="D631" s="1">
        <f t="shared" si="82"/>
        <v>2306.2199999999998</v>
      </c>
      <c r="E631" s="4">
        <f t="shared" si="83"/>
        <v>2320.7885999999999</v>
      </c>
      <c r="F631" s="3">
        <f t="shared" si="84"/>
        <v>0.99372256482128529</v>
      </c>
      <c r="G631" s="18">
        <f t="shared" si="85"/>
        <v>1</v>
      </c>
      <c r="H631" s="3">
        <f t="shared" si="86"/>
        <v>-2.059732234809597E-3</v>
      </c>
      <c r="I631" s="3">
        <f t="shared" si="87"/>
        <v>-2.059732234809597E-3</v>
      </c>
      <c r="K631" s="12" t="str">
        <f>IF(AND(G631=1,G630&lt;&gt;1),MAX($K$50:K630)+1,"")</f>
        <v/>
      </c>
      <c r="L631" s="13" t="str">
        <f>IF(AND(G631&lt;&gt;1,G630=1),MAX($L$50:L630)+1,"")</f>
        <v/>
      </c>
      <c r="M631" s="13" t="str">
        <f>IF(AND(G631=-1,G630&lt;&gt;-1),MAX($M$50:M630)+1,"")</f>
        <v/>
      </c>
      <c r="N631" s="13" t="str">
        <f>IF(AND(G631&lt;&gt;-1,G630=-1),MAX($N$50:N630)+1,"")</f>
        <v/>
      </c>
      <c r="T631" s="7">
        <f t="shared" si="88"/>
        <v>79.194770700514027</v>
      </c>
      <c r="U631" s="1">
        <f t="shared" si="89"/>
        <v>121.1701842598868</v>
      </c>
    </row>
    <row r="632" spans="1:21" x14ac:dyDescent="0.3">
      <c r="A632" s="2">
        <v>41089</v>
      </c>
      <c r="B632" s="1">
        <v>2363.79</v>
      </c>
      <c r="C632" s="2">
        <f t="shared" si="81"/>
        <v>41089</v>
      </c>
      <c r="D632" s="1">
        <f t="shared" si="82"/>
        <v>2363.79</v>
      </c>
      <c r="E632" s="4">
        <f t="shared" si="83"/>
        <v>2320.4947999999999</v>
      </c>
      <c r="F632" s="3">
        <f t="shared" si="84"/>
        <v>1.018657744891305</v>
      </c>
      <c r="G632" s="18">
        <f t="shared" si="85"/>
        <v>1</v>
      </c>
      <c r="H632" s="3">
        <f t="shared" si="86"/>
        <v>2.4962926347009473E-2</v>
      </c>
      <c r="I632" s="3">
        <f t="shared" si="87"/>
        <v>2.4962926347009473E-2</v>
      </c>
      <c r="K632" s="12" t="str">
        <f>IF(AND(G632=1,G631&lt;&gt;1),MAX($K$50:K631)+1,"")</f>
        <v/>
      </c>
      <c r="L632" s="13" t="str">
        <f>IF(AND(G632&lt;&gt;1,G631=1),MAX($L$50:L631)+1,"")</f>
        <v/>
      </c>
      <c r="M632" s="13" t="str">
        <f>IF(AND(G632=-1,G631&lt;&gt;-1),MAX($M$50:M631)+1,"")</f>
        <v/>
      </c>
      <c r="N632" s="13" t="str">
        <f>IF(AND(G632&lt;&gt;-1,G631=-1),MAX($N$50:N631)+1,"")</f>
        <v/>
      </c>
      <c r="T632" s="7">
        <f t="shared" si="88"/>
        <v>81.171703928579262</v>
      </c>
      <c r="U632" s="1">
        <f t="shared" si="89"/>
        <v>124.19494664501991</v>
      </c>
    </row>
    <row r="633" spans="1:21" x14ac:dyDescent="0.3">
      <c r="A633" s="2">
        <v>41092</v>
      </c>
      <c r="B633" s="1">
        <v>2369.75</v>
      </c>
      <c r="C633" s="2">
        <f t="shared" si="81"/>
        <v>41092</v>
      </c>
      <c r="D633" s="1">
        <f t="shared" si="82"/>
        <v>2369.75</v>
      </c>
      <c r="E633" s="4">
        <f t="shared" si="83"/>
        <v>2320.2633999999998</v>
      </c>
      <c r="F633" s="3">
        <f t="shared" si="84"/>
        <v>1.021328009569948</v>
      </c>
      <c r="G633" s="18">
        <f t="shared" si="85"/>
        <v>1</v>
      </c>
      <c r="H633" s="3">
        <f t="shared" si="86"/>
        <v>2.5213745721912595E-3</v>
      </c>
      <c r="I633" s="3">
        <f t="shared" si="87"/>
        <v>2.5213745721912595E-3</v>
      </c>
      <c r="K633" s="12" t="str">
        <f>IF(AND(G633=1,G632&lt;&gt;1),MAX($K$50:K632)+1,"")</f>
        <v/>
      </c>
      <c r="L633" s="13" t="str">
        <f>IF(AND(G633&lt;&gt;1,G632=1),MAX($L$50:L632)+1,"")</f>
        <v/>
      </c>
      <c r="M633" s="13" t="str">
        <f>IF(AND(G633=-1,G632&lt;&gt;-1),MAX($M$50:M632)+1,"")</f>
        <v/>
      </c>
      <c r="N633" s="13" t="str">
        <f>IF(AND(G633&lt;&gt;-1,G632=-1),MAX($N$50:N632)+1,"")</f>
        <v/>
      </c>
      <c r="T633" s="7">
        <f t="shared" si="88"/>
        <v>81.376368198846222</v>
      </c>
      <c r="U633" s="1">
        <f t="shared" si="89"/>
        <v>124.50808862548531</v>
      </c>
    </row>
    <row r="634" spans="1:21" x14ac:dyDescent="0.3">
      <c r="A634" s="2">
        <v>41093</v>
      </c>
      <c r="B634" s="1">
        <v>2385.06</v>
      </c>
      <c r="C634" s="2">
        <f t="shared" si="81"/>
        <v>41093</v>
      </c>
      <c r="D634" s="1">
        <f t="shared" si="82"/>
        <v>2385.06</v>
      </c>
      <c r="E634" s="4">
        <f t="shared" si="83"/>
        <v>2320.7375999999999</v>
      </c>
      <c r="F634" s="3">
        <f t="shared" si="84"/>
        <v>1.0277163605226201</v>
      </c>
      <c r="G634" s="18">
        <f t="shared" si="85"/>
        <v>1</v>
      </c>
      <c r="H634" s="3">
        <f t="shared" si="86"/>
        <v>6.4605971093996128E-3</v>
      </c>
      <c r="I634" s="3">
        <f t="shared" si="87"/>
        <v>6.4605971093996128E-3</v>
      </c>
      <c r="K634" s="12" t="str">
        <f>IF(AND(G634=1,G633&lt;&gt;1),MAX($K$50:K633)+1,"")</f>
        <v/>
      </c>
      <c r="L634" s="13" t="str">
        <f>IF(AND(G634&lt;&gt;1,G633=1),MAX($L$50:L633)+1,"")</f>
        <v/>
      </c>
      <c r="M634" s="13" t="str">
        <f>IF(AND(G634=-1,G633&lt;&gt;-1),MAX($M$50:M633)+1,"")</f>
        <v/>
      </c>
      <c r="N634" s="13" t="str">
        <f>IF(AND(G634&lt;&gt;-1,G633=-1),MAX($N$50:N633)+1,"")</f>
        <v/>
      </c>
      <c r="T634" s="7">
        <f t="shared" si="88"/>
        <v>81.902108128005125</v>
      </c>
      <c r="U634" s="1">
        <f t="shared" si="89"/>
        <v>125.31248522295601</v>
      </c>
    </row>
    <row r="635" spans="1:21" x14ac:dyDescent="0.3">
      <c r="A635" s="2">
        <v>41095</v>
      </c>
      <c r="B635" s="1">
        <v>2373.91</v>
      </c>
      <c r="C635" s="2">
        <f t="shared" si="81"/>
        <v>41095</v>
      </c>
      <c r="D635" s="1">
        <f t="shared" si="82"/>
        <v>2373.91</v>
      </c>
      <c r="E635" s="4">
        <f t="shared" si="83"/>
        <v>2320.8150000000001</v>
      </c>
      <c r="F635" s="3">
        <f t="shared" si="84"/>
        <v>1.0228777390701111</v>
      </c>
      <c r="G635" s="18">
        <f t="shared" si="85"/>
        <v>1</v>
      </c>
      <c r="H635" s="3">
        <f t="shared" si="86"/>
        <v>-4.6749348024788251E-3</v>
      </c>
      <c r="I635" s="3">
        <f t="shared" si="87"/>
        <v>-4.6749348024788251E-3</v>
      </c>
      <c r="K635" s="12" t="str">
        <f>IF(AND(G635=1,G634&lt;&gt;1),MAX($K$50:K634)+1,"")</f>
        <v/>
      </c>
      <c r="L635" s="13" t="str">
        <f>IF(AND(G635&lt;&gt;1,G634=1),MAX($L$50:L634)+1,"")</f>
        <v/>
      </c>
      <c r="M635" s="13" t="str">
        <f>IF(AND(G635=-1,G634&lt;&gt;-1),MAX($M$50:M634)+1,"")</f>
        <v/>
      </c>
      <c r="N635" s="13" t="str">
        <f>IF(AND(G635&lt;&gt;-1,G634=-1),MAX($N$50:N634)+1,"")</f>
        <v/>
      </c>
      <c r="T635" s="7">
        <f t="shared" si="88"/>
        <v>81.519221112321134</v>
      </c>
      <c r="U635" s="1">
        <f t="shared" si="89"/>
        <v>124.72665752460209</v>
      </c>
    </row>
    <row r="636" spans="1:21" x14ac:dyDescent="0.3">
      <c r="A636" s="2">
        <v>41096</v>
      </c>
      <c r="B636" s="1">
        <v>2352.34</v>
      </c>
      <c r="C636" s="2">
        <f t="shared" si="81"/>
        <v>41096</v>
      </c>
      <c r="D636" s="1">
        <f t="shared" si="82"/>
        <v>2352.34</v>
      </c>
      <c r="E636" s="4">
        <f t="shared" si="83"/>
        <v>2319.8075999999996</v>
      </c>
      <c r="F636" s="3">
        <f t="shared" si="84"/>
        <v>1.0140237492109261</v>
      </c>
      <c r="G636" s="18">
        <f t="shared" si="85"/>
        <v>1</v>
      </c>
      <c r="H636" s="3">
        <f t="shared" si="86"/>
        <v>-9.0862753853345746E-3</v>
      </c>
      <c r="I636" s="3">
        <f t="shared" si="87"/>
        <v>-9.0862753853345746E-3</v>
      </c>
      <c r="K636" s="12" t="str">
        <f>IF(AND(G636=1,G635&lt;&gt;1),MAX($K$50:K635)+1,"")</f>
        <v/>
      </c>
      <c r="L636" s="13" t="str">
        <f>IF(AND(G636&lt;&gt;1,G635=1),MAX($L$50:L635)+1,"")</f>
        <v/>
      </c>
      <c r="M636" s="13" t="str">
        <f>IF(AND(G636=-1,G635&lt;&gt;-1),MAX($M$50:M635)+1,"")</f>
        <v/>
      </c>
      <c r="N636" s="13" t="str">
        <f>IF(AND(G636&lt;&gt;-1,G635=-1),MAX($N$50:N635)+1,"")</f>
        <v/>
      </c>
      <c r="T636" s="7">
        <f t="shared" si="88"/>
        <v>80.778515020096606</v>
      </c>
      <c r="U636" s="1">
        <f t="shared" si="89"/>
        <v>123.59335676644123</v>
      </c>
    </row>
    <row r="637" spans="1:21" x14ac:dyDescent="0.3">
      <c r="A637" s="2">
        <v>41099</v>
      </c>
      <c r="B637" s="1">
        <v>2348.52</v>
      </c>
      <c r="C637" s="2">
        <f t="shared" si="81"/>
        <v>41099</v>
      </c>
      <c r="D637" s="1">
        <f t="shared" si="82"/>
        <v>2348.52</v>
      </c>
      <c r="E637" s="4">
        <f t="shared" si="83"/>
        <v>2318.4002</v>
      </c>
      <c r="F637" s="3">
        <f t="shared" si="84"/>
        <v>1.0129916310393692</v>
      </c>
      <c r="G637" s="18">
        <f t="shared" si="85"/>
        <v>1</v>
      </c>
      <c r="H637" s="3">
        <f t="shared" si="86"/>
        <v>-1.623914910259594E-3</v>
      </c>
      <c r="I637" s="3">
        <f t="shared" si="87"/>
        <v>-1.623914910259594E-3</v>
      </c>
      <c r="K637" s="12" t="str">
        <f>IF(AND(G637=1,G636&lt;&gt;1),MAX($K$50:K636)+1,"")</f>
        <v/>
      </c>
      <c r="L637" s="13" t="str">
        <f>IF(AND(G637&lt;&gt;1,G636=1),MAX($L$50:L636)+1,"")</f>
        <v/>
      </c>
      <c r="M637" s="13" t="str">
        <f>IF(AND(G637=-1,G636&lt;&gt;-1),MAX($M$50:M636)+1,"")</f>
        <v/>
      </c>
      <c r="N637" s="13" t="str">
        <f>IF(AND(G637&lt;&gt;-1,G636=-1),MAX($N$50:N636)+1,"")</f>
        <v/>
      </c>
      <c r="T637" s="7">
        <f t="shared" si="88"/>
        <v>80.647337585126849</v>
      </c>
      <c r="U637" s="1">
        <f t="shared" si="89"/>
        <v>123.39265167157917</v>
      </c>
    </row>
    <row r="638" spans="1:21" x14ac:dyDescent="0.3">
      <c r="A638" s="2">
        <v>41100</v>
      </c>
      <c r="B638" s="1">
        <v>2329.46</v>
      </c>
      <c r="C638" s="2">
        <f t="shared" si="81"/>
        <v>41100</v>
      </c>
      <c r="D638" s="1">
        <f t="shared" si="82"/>
        <v>2329.46</v>
      </c>
      <c r="E638" s="4">
        <f t="shared" si="83"/>
        <v>2316.4938000000002</v>
      </c>
      <c r="F638" s="3">
        <f t="shared" si="84"/>
        <v>1.0055973385294621</v>
      </c>
      <c r="G638" s="18">
        <f t="shared" si="85"/>
        <v>1</v>
      </c>
      <c r="H638" s="3">
        <f t="shared" si="86"/>
        <v>-8.1157494932978524E-3</v>
      </c>
      <c r="I638" s="3">
        <f t="shared" si="87"/>
        <v>-8.1157494932978524E-3</v>
      </c>
      <c r="K638" s="12" t="str">
        <f>IF(AND(G638=1,G637&lt;&gt;1),MAX($K$50:K637)+1,"")</f>
        <v/>
      </c>
      <c r="L638" s="13" t="str">
        <f>IF(AND(G638&lt;&gt;1,G637=1),MAX($L$50:L637)+1,"")</f>
        <v/>
      </c>
      <c r="M638" s="13" t="str">
        <f>IF(AND(G638=-1,G637&lt;&gt;-1),MAX($M$50:M637)+1,"")</f>
        <v/>
      </c>
      <c r="N638" s="13" t="str">
        <f>IF(AND(G638&lt;&gt;-1,G637=-1),MAX($N$50:N637)+1,"")</f>
        <v/>
      </c>
      <c r="T638" s="7">
        <f t="shared" si="88"/>
        <v>79.992823995984537</v>
      </c>
      <c r="U638" s="1">
        <f t="shared" si="89"/>
        <v>122.39122782129888</v>
      </c>
    </row>
    <row r="639" spans="1:21" x14ac:dyDescent="0.3">
      <c r="A639" s="2">
        <v>41101</v>
      </c>
      <c r="B639" s="1">
        <v>2329.71</v>
      </c>
      <c r="C639" s="2">
        <f t="shared" si="81"/>
        <v>41101</v>
      </c>
      <c r="D639" s="1">
        <f t="shared" si="82"/>
        <v>2329.71</v>
      </c>
      <c r="E639" s="4">
        <f t="shared" si="83"/>
        <v>2314.7795999999998</v>
      </c>
      <c r="F639" s="3">
        <f t="shared" si="84"/>
        <v>1.0064500309230304</v>
      </c>
      <c r="G639" s="18">
        <f t="shared" si="85"/>
        <v>1</v>
      </c>
      <c r="H639" s="3">
        <f t="shared" si="86"/>
        <v>1.0732101001953431E-4</v>
      </c>
      <c r="I639" s="3">
        <f t="shared" si="87"/>
        <v>1.0732101001953431E-4</v>
      </c>
      <c r="K639" s="12" t="str">
        <f>IF(AND(G639=1,G638&lt;&gt;1),MAX($K$50:K638)+1,"")</f>
        <v/>
      </c>
      <c r="L639" s="13" t="str">
        <f>IF(AND(G639&lt;&gt;1,G638=1),MAX($L$50:L638)+1,"")</f>
        <v/>
      </c>
      <c r="M639" s="13" t="str">
        <f>IF(AND(G639=-1,G638&lt;&gt;-1),MAX($M$50:M638)+1,"")</f>
        <v/>
      </c>
      <c r="N639" s="13" t="str">
        <f>IF(AND(G639&lt;&gt;-1,G638=-1),MAX($N$50:N638)+1,"")</f>
        <v/>
      </c>
      <c r="T639" s="7">
        <f t="shared" si="88"/>
        <v>80.001408906650099</v>
      </c>
      <c r="U639" s="1">
        <f t="shared" si="89"/>
        <v>122.40436297148621</v>
      </c>
    </row>
    <row r="640" spans="1:21" x14ac:dyDescent="0.3">
      <c r="A640" s="2">
        <v>41102</v>
      </c>
      <c r="B640" s="1">
        <v>2318.09</v>
      </c>
      <c r="C640" s="2">
        <f t="shared" si="81"/>
        <v>41102</v>
      </c>
      <c r="D640" s="1">
        <f t="shared" si="82"/>
        <v>2318.09</v>
      </c>
      <c r="E640" s="4">
        <f t="shared" si="83"/>
        <v>2312.5594000000001</v>
      </c>
      <c r="F640" s="3">
        <f t="shared" si="84"/>
        <v>1.0023915493803099</v>
      </c>
      <c r="G640" s="18">
        <f t="shared" si="85"/>
        <v>1</v>
      </c>
      <c r="H640" s="3">
        <f t="shared" si="86"/>
        <v>-4.9877452558472202E-3</v>
      </c>
      <c r="I640" s="3">
        <f t="shared" si="87"/>
        <v>-4.9877452558472202E-3</v>
      </c>
      <c r="K640" s="12" t="str">
        <f>IF(AND(G640=1,G639&lt;&gt;1),MAX($K$50:K639)+1,"")</f>
        <v/>
      </c>
      <c r="L640" s="13" t="str">
        <f>IF(AND(G640&lt;&gt;1,G639=1),MAX($L$50:L639)+1,"")</f>
        <v/>
      </c>
      <c r="M640" s="13" t="str">
        <f>IF(AND(G640=-1,G639&lt;&gt;-1),MAX($M$50:M639)+1,"")</f>
        <v/>
      </c>
      <c r="N640" s="13" t="str">
        <f>IF(AND(G640&lt;&gt;-1,G639=-1),MAX($N$50:N639)+1,"")</f>
        <v/>
      </c>
      <c r="T640" s="7">
        <f t="shared" si="88"/>
        <v>79.602382258914858</v>
      </c>
      <c r="U640" s="1">
        <f t="shared" si="89"/>
        <v>121.79384119078017</v>
      </c>
    </row>
    <row r="641" spans="1:21" x14ac:dyDescent="0.3">
      <c r="A641" s="2">
        <v>41103</v>
      </c>
      <c r="B641" s="1">
        <v>2356.4</v>
      </c>
      <c r="C641" s="2">
        <f t="shared" si="81"/>
        <v>41103</v>
      </c>
      <c r="D641" s="1">
        <f t="shared" si="82"/>
        <v>2356.4</v>
      </c>
      <c r="E641" s="4">
        <f t="shared" si="83"/>
        <v>2311.2215999999999</v>
      </c>
      <c r="F641" s="3">
        <f t="shared" si="84"/>
        <v>1.0195474116372052</v>
      </c>
      <c r="G641" s="18">
        <f t="shared" si="85"/>
        <v>1</v>
      </c>
      <c r="H641" s="3">
        <f t="shared" si="86"/>
        <v>1.6526536933423541E-2</v>
      </c>
      <c r="I641" s="3">
        <f t="shared" si="87"/>
        <v>1.6526536933423541E-2</v>
      </c>
      <c r="K641" s="12" t="str">
        <f>IF(AND(G641=1,G640&lt;&gt;1),MAX($K$50:K640)+1,"")</f>
        <v/>
      </c>
      <c r="L641" s="13" t="str">
        <f>IF(AND(G641&lt;&gt;1,G640=1),MAX($L$50:L640)+1,"")</f>
        <v/>
      </c>
      <c r="M641" s="13" t="str">
        <f>IF(AND(G641=-1,G640&lt;&gt;-1),MAX($M$50:M640)+1,"")</f>
        <v/>
      </c>
      <c r="N641" s="13" t="str">
        <f>IF(AND(G641&lt;&gt;-1,G640=-1),MAX($N$50:N640)+1,"")</f>
        <v/>
      </c>
      <c r="T641" s="7">
        <f t="shared" si="88"/>
        <v>80.917933969305309</v>
      </c>
      <c r="U641" s="1">
        <f t="shared" si="89"/>
        <v>123.80667160548313</v>
      </c>
    </row>
    <row r="642" spans="1:21" x14ac:dyDescent="0.3">
      <c r="A642" s="2">
        <v>41106</v>
      </c>
      <c r="B642" s="1">
        <v>2350.94</v>
      </c>
      <c r="C642" s="2">
        <f t="shared" si="81"/>
        <v>41106</v>
      </c>
      <c r="D642" s="1">
        <f t="shared" si="82"/>
        <v>2350.94</v>
      </c>
      <c r="E642" s="4">
        <f t="shared" si="83"/>
        <v>2310.1369999999997</v>
      </c>
      <c r="F642" s="3">
        <f t="shared" si="84"/>
        <v>1.0176625888421338</v>
      </c>
      <c r="G642" s="18">
        <f t="shared" si="85"/>
        <v>1</v>
      </c>
      <c r="H642" s="3">
        <f t="shared" si="86"/>
        <v>-2.3170938720081802E-3</v>
      </c>
      <c r="I642" s="3">
        <f t="shared" si="87"/>
        <v>-2.3170938720081802E-3</v>
      </c>
      <c r="K642" s="12" t="str">
        <f>IF(AND(G642=1,G641&lt;&gt;1),MAX($K$50:K641)+1,"")</f>
        <v/>
      </c>
      <c r="L642" s="13" t="str">
        <f>IF(AND(G642&lt;&gt;1,G641=1),MAX($L$50:L641)+1,"")</f>
        <v/>
      </c>
      <c r="M642" s="13" t="str">
        <f>IF(AND(G642=-1,G641&lt;&gt;-1),MAX($M$50:M641)+1,"")</f>
        <v/>
      </c>
      <c r="N642" s="13" t="str">
        <f>IF(AND(G642&lt;&gt;-1,G641=-1),MAX($N$50:N641)+1,"")</f>
        <v/>
      </c>
      <c r="T642" s="7">
        <f t="shared" si="88"/>
        <v>80.730439520369472</v>
      </c>
      <c r="U642" s="1">
        <f t="shared" si="89"/>
        <v>123.51979992539233</v>
      </c>
    </row>
    <row r="643" spans="1:21" x14ac:dyDescent="0.3">
      <c r="A643" s="2">
        <v>41107</v>
      </c>
      <c r="B643" s="1">
        <v>2368.36</v>
      </c>
      <c r="C643" s="2">
        <f t="shared" si="81"/>
        <v>41107</v>
      </c>
      <c r="D643" s="1">
        <f t="shared" si="82"/>
        <v>2368.36</v>
      </c>
      <c r="E643" s="4">
        <f t="shared" si="83"/>
        <v>2310.1763999999998</v>
      </c>
      <c r="F643" s="3">
        <f t="shared" si="84"/>
        <v>1.025185782349781</v>
      </c>
      <c r="G643" s="18">
        <f t="shared" si="85"/>
        <v>1</v>
      </c>
      <c r="H643" s="3">
        <f t="shared" si="86"/>
        <v>7.4098020366322181E-3</v>
      </c>
      <c r="I643" s="3">
        <f t="shared" si="87"/>
        <v>7.4098020366322181E-3</v>
      </c>
      <c r="K643" s="12" t="str">
        <f>IF(AND(G643=1,G642&lt;&gt;1),MAX($K$50:K642)+1,"")</f>
        <v/>
      </c>
      <c r="L643" s="13" t="str">
        <f>IF(AND(G643&lt;&gt;1,G642=1),MAX($L$50:L642)+1,"")</f>
        <v/>
      </c>
      <c r="M643" s="13" t="str">
        <f>IF(AND(G643=-1,G642&lt;&gt;-1),MAX($M$50:M642)+1,"")</f>
        <v/>
      </c>
      <c r="N643" s="13" t="str">
        <f>IF(AND(G643&lt;&gt;-1,G642=-1),MAX($N$50:N642)+1,"")</f>
        <v/>
      </c>
      <c r="T643" s="7">
        <f t="shared" si="88"/>
        <v>81.328636095545718</v>
      </c>
      <c r="U643" s="1">
        <f t="shared" si="89"/>
        <v>124.43505719044391</v>
      </c>
    </row>
    <row r="644" spans="1:21" x14ac:dyDescent="0.3">
      <c r="A644" s="2">
        <v>41108</v>
      </c>
      <c r="B644" s="1">
        <v>2384.54</v>
      </c>
      <c r="C644" s="2">
        <f t="shared" si="81"/>
        <v>41108</v>
      </c>
      <c r="D644" s="1">
        <f t="shared" si="82"/>
        <v>2384.54</v>
      </c>
      <c r="E644" s="4">
        <f t="shared" si="83"/>
        <v>2310.5219999999995</v>
      </c>
      <c r="F644" s="3">
        <f t="shared" si="84"/>
        <v>1.0320351851226695</v>
      </c>
      <c r="G644" s="18">
        <f t="shared" si="85"/>
        <v>1</v>
      </c>
      <c r="H644" s="3">
        <f t="shared" si="86"/>
        <v>6.8317316624160185E-3</v>
      </c>
      <c r="I644" s="3">
        <f t="shared" si="87"/>
        <v>6.8317316624160185E-3</v>
      </c>
      <c r="K644" s="12" t="str">
        <f>IF(AND(G644=1,G643&lt;&gt;1),MAX($K$50:K643)+1,"")</f>
        <v/>
      </c>
      <c r="L644" s="13" t="str">
        <f>IF(AND(G644&lt;&gt;1,G643=1),MAX($L$50:L643)+1,"")</f>
        <v/>
      </c>
      <c r="M644" s="13" t="str">
        <f>IF(AND(G644=-1,G643&lt;&gt;-1),MAX($M$50:M643)+1,"")</f>
        <v/>
      </c>
      <c r="N644" s="13" t="str">
        <f>IF(AND(G644&lt;&gt;-1,G643=-1),MAX($N$50:N643)+1,"")</f>
        <v/>
      </c>
      <c r="T644" s="7">
        <f t="shared" si="88"/>
        <v>81.884251513820772</v>
      </c>
      <c r="U644" s="1">
        <f t="shared" si="89"/>
        <v>125.28516411056643</v>
      </c>
    </row>
    <row r="645" spans="1:21" x14ac:dyDescent="0.3">
      <c r="A645" s="2">
        <v>41109</v>
      </c>
      <c r="B645" s="1">
        <v>2391.27</v>
      </c>
      <c r="C645" s="2">
        <f t="shared" si="81"/>
        <v>41109</v>
      </c>
      <c r="D645" s="1">
        <f t="shared" si="82"/>
        <v>2391.27</v>
      </c>
      <c r="E645" s="4">
        <f t="shared" si="83"/>
        <v>2311.1983999999998</v>
      </c>
      <c r="F645" s="3">
        <f t="shared" si="84"/>
        <v>1.0346450568674677</v>
      </c>
      <c r="G645" s="18">
        <f t="shared" si="85"/>
        <v>1</v>
      </c>
      <c r="H645" s="3">
        <f t="shared" si="86"/>
        <v>2.8223472871078403E-3</v>
      </c>
      <c r="I645" s="3">
        <f t="shared" si="87"/>
        <v>2.8223472871078403E-3</v>
      </c>
      <c r="K645" s="12" t="str">
        <f>IF(AND(G645=1,G644&lt;&gt;1),MAX($K$50:K644)+1,"")</f>
        <v/>
      </c>
      <c r="L645" s="13" t="str">
        <f>IF(AND(G645&lt;&gt;1,G644=1),MAX($L$50:L644)+1,"")</f>
        <v/>
      </c>
      <c r="M645" s="13" t="str">
        <f>IF(AND(G645=-1,G644&lt;&gt;-1),MAX($M$50:M644)+1,"")</f>
        <v/>
      </c>
      <c r="N645" s="13" t="str">
        <f>IF(AND(G645&lt;&gt;-1,G644=-1),MAX($N$50:N644)+1,"")</f>
        <v/>
      </c>
      <c r="T645" s="7">
        <f t="shared" si="88"/>
        <v>82.115357308937661</v>
      </c>
      <c r="U645" s="1">
        <f t="shared" si="89"/>
        <v>125.63876235360875</v>
      </c>
    </row>
    <row r="646" spans="1:21" x14ac:dyDescent="0.3">
      <c r="A646" s="2">
        <v>41110</v>
      </c>
      <c r="B646" s="1">
        <v>2367.2600000000002</v>
      </c>
      <c r="C646" s="2">
        <f t="shared" si="81"/>
        <v>41110</v>
      </c>
      <c r="D646" s="1">
        <f t="shared" si="82"/>
        <v>2367.2600000000002</v>
      </c>
      <c r="E646" s="4">
        <f t="shared" si="83"/>
        <v>2311.6973999999996</v>
      </c>
      <c r="F646" s="3">
        <f t="shared" si="84"/>
        <v>1.0240354122472952</v>
      </c>
      <c r="G646" s="18">
        <f t="shared" si="85"/>
        <v>1</v>
      </c>
      <c r="H646" s="3">
        <f t="shared" si="86"/>
        <v>-1.0040689675360648E-2</v>
      </c>
      <c r="I646" s="3">
        <f t="shared" si="87"/>
        <v>-1.0040689675360648E-2</v>
      </c>
      <c r="K646" s="12" t="str">
        <f>IF(AND(G646=1,G645&lt;&gt;1),MAX($K$50:K645)+1,"")</f>
        <v/>
      </c>
      <c r="L646" s="13" t="str">
        <f>IF(AND(G646&lt;&gt;1,G645=1),MAX($L$50:L645)+1,"")</f>
        <v/>
      </c>
      <c r="M646" s="13" t="str">
        <f>IF(AND(G646=-1,G645&lt;&gt;-1),MAX($M$50:M645)+1,"")</f>
        <v/>
      </c>
      <c r="N646" s="13" t="str">
        <f>IF(AND(G646&lt;&gt;-1,G645=-1),MAX($N$50:N645)+1,"")</f>
        <v/>
      </c>
      <c r="T646" s="7">
        <f t="shared" si="88"/>
        <v>81.290862488617265</v>
      </c>
      <c r="U646" s="1">
        <f t="shared" si="89"/>
        <v>124.37726252961978</v>
      </c>
    </row>
    <row r="647" spans="1:21" x14ac:dyDescent="0.3">
      <c r="A647" s="2">
        <v>41113</v>
      </c>
      <c r="B647" s="1">
        <v>2346.2199999999998</v>
      </c>
      <c r="C647" s="2">
        <f t="shared" si="81"/>
        <v>41113</v>
      </c>
      <c r="D647" s="1">
        <f t="shared" si="82"/>
        <v>2346.2199999999998</v>
      </c>
      <c r="E647" s="4">
        <f t="shared" si="83"/>
        <v>2311.6431999999995</v>
      </c>
      <c r="F647" s="3">
        <f t="shared" si="84"/>
        <v>1.0149576716683615</v>
      </c>
      <c r="G647" s="18">
        <f t="shared" si="85"/>
        <v>1</v>
      </c>
      <c r="H647" s="3">
        <f t="shared" si="86"/>
        <v>-8.8879126078252879E-3</v>
      </c>
      <c r="I647" s="3">
        <f t="shared" si="87"/>
        <v>-8.8879126078252879E-3</v>
      </c>
      <c r="K647" s="12" t="str">
        <f>IF(AND(G647=1,G646&lt;&gt;1),MAX($K$50:K646)+1,"")</f>
        <v/>
      </c>
      <c r="L647" s="13" t="str">
        <f>IF(AND(G647&lt;&gt;1,G646=1),MAX($L$50:L646)+1,"")</f>
        <v/>
      </c>
      <c r="M647" s="13" t="str">
        <f>IF(AND(G647=-1,G646&lt;&gt;-1),MAX($M$50:M646)+1,"")</f>
        <v/>
      </c>
      <c r="N647" s="13" t="str">
        <f>IF(AND(G647&lt;&gt;-1,G646=-1),MAX($N$50:N646)+1,"")</f>
        <v/>
      </c>
      <c r="T647" s="7">
        <f t="shared" si="88"/>
        <v>80.568356407003691</v>
      </c>
      <c r="U647" s="1">
        <f t="shared" si="89"/>
        <v>123.27180828985598</v>
      </c>
    </row>
    <row r="648" spans="1:21" x14ac:dyDescent="0.3">
      <c r="A648" s="2">
        <v>41114</v>
      </c>
      <c r="B648" s="1">
        <v>2325.02</v>
      </c>
      <c r="C648" s="2">
        <f t="shared" si="81"/>
        <v>41114</v>
      </c>
      <c r="D648" s="1">
        <f t="shared" si="82"/>
        <v>2325.02</v>
      </c>
      <c r="E648" s="4">
        <f t="shared" si="83"/>
        <v>2311.3189999999995</v>
      </c>
      <c r="F648" s="3">
        <f t="shared" si="84"/>
        <v>1.0059277840921139</v>
      </c>
      <c r="G648" s="18">
        <f t="shared" si="85"/>
        <v>1</v>
      </c>
      <c r="H648" s="3">
        <f t="shared" si="86"/>
        <v>-9.0358107935316623E-3</v>
      </c>
      <c r="I648" s="3">
        <f t="shared" si="87"/>
        <v>-9.0358107935316623E-3</v>
      </c>
      <c r="K648" s="12" t="str">
        <f>IF(AND(G648=1,G647&lt;&gt;1),MAX($K$50:K647)+1,"")</f>
        <v/>
      </c>
      <c r="L648" s="13" t="str">
        <f>IF(AND(G648&lt;&gt;1,G647=1),MAX($L$50:L647)+1,"")</f>
        <v/>
      </c>
      <c r="M648" s="13" t="str">
        <f>IF(AND(G648=-1,G647&lt;&gt;-1),MAX($M$50:M647)+1,"")</f>
        <v/>
      </c>
      <c r="N648" s="13" t="str">
        <f>IF(AND(G648&lt;&gt;-1,G647=-1),MAX($N$50:N647)+1,"")</f>
        <v/>
      </c>
      <c r="T648" s="7">
        <f t="shared" si="88"/>
        <v>79.840355982564176</v>
      </c>
      <c r="U648" s="1">
        <f t="shared" si="89"/>
        <v>122.15794755397233</v>
      </c>
    </row>
    <row r="649" spans="1:21" x14ac:dyDescent="0.3">
      <c r="A649" s="2">
        <v>41115</v>
      </c>
      <c r="B649" s="1">
        <v>2324.33</v>
      </c>
      <c r="C649" s="2">
        <f t="shared" si="81"/>
        <v>41115</v>
      </c>
      <c r="D649" s="1">
        <f t="shared" si="82"/>
        <v>2324.33</v>
      </c>
      <c r="E649" s="4">
        <f t="shared" si="83"/>
        <v>2311.4965999999999</v>
      </c>
      <c r="F649" s="3">
        <f t="shared" si="84"/>
        <v>1.0055519874007168</v>
      </c>
      <c r="G649" s="18">
        <f t="shared" si="85"/>
        <v>1</v>
      </c>
      <c r="H649" s="3">
        <f t="shared" si="86"/>
        <v>-2.9677164067409834E-4</v>
      </c>
      <c r="I649" s="3">
        <f t="shared" si="87"/>
        <v>-2.9677164067409834E-4</v>
      </c>
      <c r="K649" s="12" t="str">
        <f>IF(AND(G649=1,G648&lt;&gt;1),MAX($K$50:K648)+1,"")</f>
        <v/>
      </c>
      <c r="L649" s="13" t="str">
        <f>IF(AND(G649&lt;&gt;1,G648=1),MAX($L$50:L648)+1,"")</f>
        <v/>
      </c>
      <c r="M649" s="13" t="str">
        <f>IF(AND(G649=-1,G648&lt;&gt;-1),MAX($M$50:M648)+1,"")</f>
        <v/>
      </c>
      <c r="N649" s="13" t="str">
        <f>IF(AND(G649&lt;&gt;-1,G648=-1),MAX($N$50:N648)+1,"")</f>
        <v/>
      </c>
      <c r="T649" s="7">
        <f t="shared" si="88"/>
        <v>79.816661629127225</v>
      </c>
      <c r="U649" s="1">
        <f t="shared" si="89"/>
        <v>122.12169453945536</v>
      </c>
    </row>
    <row r="650" spans="1:21" x14ac:dyDescent="0.3">
      <c r="A650" s="2">
        <v>41116</v>
      </c>
      <c r="B650" s="1">
        <v>2362.85</v>
      </c>
      <c r="C650" s="2">
        <f t="shared" si="81"/>
        <v>41116</v>
      </c>
      <c r="D650" s="1">
        <f t="shared" si="82"/>
        <v>2362.85</v>
      </c>
      <c r="E650" s="4">
        <f t="shared" si="83"/>
        <v>2312.7024000000001</v>
      </c>
      <c r="F650" s="3">
        <f t="shared" si="84"/>
        <v>1.0216835508105149</v>
      </c>
      <c r="G650" s="18">
        <f t="shared" si="85"/>
        <v>1</v>
      </c>
      <c r="H650" s="3">
        <f t="shared" si="86"/>
        <v>1.6572517671759268E-2</v>
      </c>
      <c r="I650" s="3">
        <f t="shared" si="87"/>
        <v>1.6572517671759268E-2</v>
      </c>
      <c r="K650" s="12" t="str">
        <f>IF(AND(G650=1,G649&lt;&gt;1),MAX($K$50:K649)+1,"")</f>
        <v/>
      </c>
      <c r="L650" s="13" t="str">
        <f>IF(AND(G650&lt;&gt;1,G649=1),MAX($L$50:L649)+1,"")</f>
        <v/>
      </c>
      <c r="M650" s="13" t="str">
        <f>IF(AND(G650=-1,G649&lt;&gt;-1),MAX($M$50:M649)+1,"")</f>
        <v/>
      </c>
      <c r="N650" s="13" t="str">
        <f>IF(AND(G650&lt;&gt;-1,G649=-1),MAX($N$50:N649)+1,"")</f>
        <v/>
      </c>
      <c r="T650" s="7">
        <f t="shared" si="88"/>
        <v>81.139424664476763</v>
      </c>
      <c r="U650" s="1">
        <f t="shared" si="89"/>
        <v>124.14555848031567</v>
      </c>
    </row>
    <row r="651" spans="1:21" x14ac:dyDescent="0.3">
      <c r="A651" s="2">
        <v>41117</v>
      </c>
      <c r="B651" s="1">
        <v>2408.0700000000002</v>
      </c>
      <c r="C651" s="2">
        <f t="shared" si="81"/>
        <v>41117</v>
      </c>
      <c r="D651" s="1">
        <f t="shared" si="82"/>
        <v>2408.0700000000002</v>
      </c>
      <c r="E651" s="4">
        <f t="shared" si="83"/>
        <v>2314.9996000000006</v>
      </c>
      <c r="F651" s="3">
        <f t="shared" si="84"/>
        <v>1.0402032034908342</v>
      </c>
      <c r="G651" s="18">
        <f t="shared" si="85"/>
        <v>1</v>
      </c>
      <c r="H651" s="3">
        <f t="shared" si="86"/>
        <v>1.9137905495482332E-2</v>
      </c>
      <c r="I651" s="3">
        <f t="shared" si="87"/>
        <v>1.9137905495482332E-2</v>
      </c>
      <c r="K651" s="12" t="str">
        <f>IF(AND(G651=1,G650&lt;&gt;1),MAX($K$50:K650)+1,"")</f>
        <v/>
      </c>
      <c r="L651" s="13" t="str">
        <f>IF(AND(G651&lt;&gt;1,G650=1),MAX($L$50:L650)+1,"")</f>
        <v/>
      </c>
      <c r="M651" s="13" t="str">
        <f>IF(AND(G651=-1,G650&lt;&gt;-1),MAX($M$50:M650)+1,"")</f>
        <v/>
      </c>
      <c r="N651" s="13" t="str">
        <f>IF(AND(G651&lt;&gt;-1,G650=-1),MAX($N$50:N650)+1,"")</f>
        <v/>
      </c>
      <c r="T651" s="7">
        <f t="shared" si="88"/>
        <v>82.692263305663332</v>
      </c>
      <c r="U651" s="1">
        <f t="shared" si="89"/>
        <v>126.52144444619583</v>
      </c>
    </row>
    <row r="652" spans="1:21" x14ac:dyDescent="0.3">
      <c r="A652" s="2">
        <v>41120</v>
      </c>
      <c r="B652" s="1">
        <v>2406.9899999999998</v>
      </c>
      <c r="C652" s="2">
        <f t="shared" si="81"/>
        <v>41120</v>
      </c>
      <c r="D652" s="1">
        <f t="shared" si="82"/>
        <v>2406.9899999999998</v>
      </c>
      <c r="E652" s="4">
        <f t="shared" si="83"/>
        <v>2317.9608000000003</v>
      </c>
      <c r="F652" s="3">
        <f t="shared" si="84"/>
        <v>1.038408414844634</v>
      </c>
      <c r="G652" s="18">
        <f t="shared" si="85"/>
        <v>1</v>
      </c>
      <c r="H652" s="3">
        <f t="shared" si="86"/>
        <v>-4.4849194583229668E-4</v>
      </c>
      <c r="I652" s="3">
        <f t="shared" si="87"/>
        <v>-4.4849194583229668E-4</v>
      </c>
      <c r="K652" s="12" t="str">
        <f>IF(AND(G652=1,G651&lt;&gt;1),MAX($K$50:K651)+1,"")</f>
        <v/>
      </c>
      <c r="L652" s="13" t="str">
        <f>IF(AND(G652&lt;&gt;1,G651=1),MAX($L$50:L651)+1,"")</f>
        <v/>
      </c>
      <c r="M652" s="13" t="str">
        <f>IF(AND(G652=-1,G651&lt;&gt;-1),MAX($M$50:M651)+1,"")</f>
        <v/>
      </c>
      <c r="N652" s="13" t="str">
        <f>IF(AND(G652&lt;&gt;-1,G651=-1),MAX($N$50:N651)+1,"")</f>
        <v/>
      </c>
      <c r="T652" s="7">
        <f t="shared" si="88"/>
        <v>82.655176491588094</v>
      </c>
      <c r="U652" s="1">
        <f t="shared" si="89"/>
        <v>126.46470059738664</v>
      </c>
    </row>
    <row r="653" spans="1:21" x14ac:dyDescent="0.3">
      <c r="A653" s="2">
        <v>41121</v>
      </c>
      <c r="B653" s="1">
        <v>2396.62</v>
      </c>
      <c r="C653" s="2">
        <f t="shared" si="81"/>
        <v>41121</v>
      </c>
      <c r="D653" s="1">
        <f t="shared" si="82"/>
        <v>2396.62</v>
      </c>
      <c r="E653" s="4">
        <f t="shared" si="83"/>
        <v>2321.0482000000006</v>
      </c>
      <c r="F653" s="3">
        <f t="shared" si="84"/>
        <v>1.0325593410770182</v>
      </c>
      <c r="G653" s="18">
        <f t="shared" si="85"/>
        <v>1</v>
      </c>
      <c r="H653" s="3">
        <f t="shared" si="86"/>
        <v>-4.3082854519544966E-3</v>
      </c>
      <c r="I653" s="3">
        <f t="shared" si="87"/>
        <v>-4.3082854519544966E-3</v>
      </c>
      <c r="K653" s="12" t="str">
        <f>IF(AND(G653=1,G652&lt;&gt;1),MAX($K$50:K652)+1,"")</f>
        <v/>
      </c>
      <c r="L653" s="13" t="str">
        <f>IF(AND(G653&lt;&gt;1,G652=1),MAX($L$50:L652)+1,"")</f>
        <v/>
      </c>
      <c r="M653" s="13" t="str">
        <f>IF(AND(G653=-1,G652&lt;&gt;-1),MAX($M$50:M652)+1,"")</f>
        <v/>
      </c>
      <c r="N653" s="13" t="str">
        <f>IF(AND(G653&lt;&gt;-1,G652=-1),MAX($N$50:N652)+1,"")</f>
        <v/>
      </c>
      <c r="T653" s="7">
        <f t="shared" si="88"/>
        <v>82.299074397180647</v>
      </c>
      <c r="U653" s="1">
        <f t="shared" si="89"/>
        <v>125.91985456761715</v>
      </c>
    </row>
    <row r="654" spans="1:21" x14ac:dyDescent="0.3">
      <c r="A654" s="2">
        <v>41122</v>
      </c>
      <c r="B654" s="1">
        <v>2389.73</v>
      </c>
      <c r="C654" s="2">
        <f t="shared" si="81"/>
        <v>41122</v>
      </c>
      <c r="D654" s="1">
        <f t="shared" si="82"/>
        <v>2389.73</v>
      </c>
      <c r="E654" s="4">
        <f t="shared" si="83"/>
        <v>2323.2780000000002</v>
      </c>
      <c r="F654" s="3">
        <f t="shared" si="84"/>
        <v>1.0286026898201592</v>
      </c>
      <c r="G654" s="18">
        <f t="shared" si="85"/>
        <v>1</v>
      </c>
      <c r="H654" s="3">
        <f t="shared" si="86"/>
        <v>-2.8748821256602275E-3</v>
      </c>
      <c r="I654" s="3">
        <f t="shared" si="87"/>
        <v>-2.8748821256602275E-3</v>
      </c>
      <c r="K654" s="12" t="str">
        <f>IF(AND(G654=1,G653&lt;&gt;1),MAX($K$50:K653)+1,"")</f>
        <v/>
      </c>
      <c r="L654" s="13" t="str">
        <f>IF(AND(G654&lt;&gt;1,G653=1),MAX($L$50:L653)+1,"")</f>
        <v/>
      </c>
      <c r="M654" s="13" t="str">
        <f>IF(AND(G654=-1,G653&lt;&gt;-1),MAX($M$50:M653)+1,"")</f>
        <v/>
      </c>
      <c r="N654" s="13" t="str">
        <f>IF(AND(G654&lt;&gt;-1,G653=-1),MAX($N$50:N653)+1,"")</f>
        <v/>
      </c>
      <c r="T654" s="7">
        <f t="shared" si="88"/>
        <v>82.062474259237817</v>
      </c>
      <c r="U654" s="1">
        <f t="shared" si="89"/>
        <v>125.55784982845498</v>
      </c>
    </row>
    <row r="655" spans="1:21" x14ac:dyDescent="0.3">
      <c r="A655" s="2">
        <v>41123</v>
      </c>
      <c r="B655" s="1">
        <v>2372.31</v>
      </c>
      <c r="C655" s="2">
        <f t="shared" si="81"/>
        <v>41123</v>
      </c>
      <c r="D655" s="1">
        <f t="shared" si="82"/>
        <v>2372.31</v>
      </c>
      <c r="E655" s="4">
        <f t="shared" si="83"/>
        <v>2325.1362000000004</v>
      </c>
      <c r="F655" s="3">
        <f t="shared" si="84"/>
        <v>1.0202886179312849</v>
      </c>
      <c r="G655" s="18">
        <f t="shared" si="85"/>
        <v>1</v>
      </c>
      <c r="H655" s="3">
        <f t="shared" si="86"/>
        <v>-7.2895264318563191E-3</v>
      </c>
      <c r="I655" s="3">
        <f t="shared" si="87"/>
        <v>-7.2895264318563191E-3</v>
      </c>
      <c r="K655" s="12" t="str">
        <f>IF(AND(G655=1,G654&lt;&gt;1),MAX($K$50:K654)+1,"")</f>
        <v/>
      </c>
      <c r="L655" s="13" t="str">
        <f>IF(AND(G655&lt;&gt;1,G654=1),MAX($L$50:L654)+1,"")</f>
        <v/>
      </c>
      <c r="M655" s="13" t="str">
        <f>IF(AND(G655=-1,G654&lt;&gt;-1),MAX($M$50:M654)+1,"")</f>
        <v/>
      </c>
      <c r="N655" s="13" t="str">
        <f>IF(AND(G655&lt;&gt;-1,G654=-1),MAX($N$50:N654)+1,"")</f>
        <v/>
      </c>
      <c r="T655" s="7">
        <f t="shared" si="88"/>
        <v>81.464277684061571</v>
      </c>
      <c r="U655" s="1">
        <f t="shared" si="89"/>
        <v>124.64259256340341</v>
      </c>
    </row>
    <row r="656" spans="1:21" x14ac:dyDescent="0.3">
      <c r="A656" s="2">
        <v>41124</v>
      </c>
      <c r="B656" s="1">
        <v>2417.77</v>
      </c>
      <c r="C656" s="2">
        <f t="shared" si="81"/>
        <v>41124</v>
      </c>
      <c r="D656" s="1">
        <f t="shared" si="82"/>
        <v>2417.77</v>
      </c>
      <c r="E656" s="4">
        <f t="shared" si="83"/>
        <v>2327.8244000000004</v>
      </c>
      <c r="F656" s="3">
        <f t="shared" si="84"/>
        <v>1.0386393406650432</v>
      </c>
      <c r="G656" s="18">
        <f t="shared" si="85"/>
        <v>1</v>
      </c>
      <c r="H656" s="3">
        <f t="shared" si="86"/>
        <v>1.9162756975268813E-2</v>
      </c>
      <c r="I656" s="3">
        <f t="shared" si="87"/>
        <v>1.9162756975268813E-2</v>
      </c>
      <c r="K656" s="12" t="str">
        <f>IF(AND(G656=1,G655&lt;&gt;1),MAX($K$50:K655)+1,"")</f>
        <v/>
      </c>
      <c r="L656" s="13" t="str">
        <f>IF(AND(G656&lt;&gt;1,G655=1),MAX($L$50:L655)+1,"")</f>
        <v/>
      </c>
      <c r="M656" s="13" t="str">
        <f>IF(AND(G656=-1,G655&lt;&gt;-1),MAX($M$50:M655)+1,"")</f>
        <v/>
      </c>
      <c r="N656" s="13" t="str">
        <f>IF(AND(G656&lt;&gt;-1,G655=-1),MAX($N$50:N655)+1,"")</f>
        <v/>
      </c>
      <c r="T656" s="7">
        <f t="shared" si="88"/>
        <v>83.025357839487057</v>
      </c>
      <c r="U656" s="1">
        <f t="shared" si="89"/>
        <v>127.03108827346337</v>
      </c>
    </row>
    <row r="657" spans="1:21" x14ac:dyDescent="0.3">
      <c r="A657" s="2">
        <v>41127</v>
      </c>
      <c r="B657" s="1">
        <v>2423.46</v>
      </c>
      <c r="C657" s="2">
        <f t="shared" si="81"/>
        <v>41127</v>
      </c>
      <c r="D657" s="1">
        <f t="shared" si="82"/>
        <v>2423.46</v>
      </c>
      <c r="E657" s="4">
        <f t="shared" si="83"/>
        <v>2330.5562000000009</v>
      </c>
      <c r="F657" s="3">
        <f t="shared" si="84"/>
        <v>1.0398633596563769</v>
      </c>
      <c r="G657" s="18">
        <f t="shared" si="85"/>
        <v>1</v>
      </c>
      <c r="H657" s="3">
        <f t="shared" si="86"/>
        <v>2.3534083060010591E-3</v>
      </c>
      <c r="I657" s="3">
        <f t="shared" si="87"/>
        <v>2.3534083060010591E-3</v>
      </c>
      <c r="K657" s="12" t="str">
        <f>IF(AND(G657=1,G656&lt;&gt;1),MAX($K$50:K656)+1,"")</f>
        <v/>
      </c>
      <c r="L657" s="13" t="str">
        <f>IF(AND(G657&lt;&gt;1,G656=1),MAX($L$50:L656)+1,"")</f>
        <v/>
      </c>
      <c r="M657" s="13" t="str">
        <f>IF(AND(G657=-1,G656&lt;&gt;-1),MAX($M$50:M656)+1,"")</f>
        <v/>
      </c>
      <c r="N657" s="13" t="str">
        <f>IF(AND(G657&lt;&gt;-1,G656=-1),MAX($N$50:N656)+1,"")</f>
        <v/>
      </c>
      <c r="T657" s="7">
        <f t="shared" si="88"/>
        <v>83.220750406235211</v>
      </c>
      <c r="U657" s="1">
        <f t="shared" si="89"/>
        <v>127.33004429172648</v>
      </c>
    </row>
    <row r="658" spans="1:21" x14ac:dyDescent="0.3">
      <c r="A658" s="2">
        <v>41128</v>
      </c>
      <c r="B658" s="1">
        <v>2435.88</v>
      </c>
      <c r="C658" s="2">
        <f t="shared" si="81"/>
        <v>41128</v>
      </c>
      <c r="D658" s="1">
        <f t="shared" si="82"/>
        <v>2435.88</v>
      </c>
      <c r="E658" s="4">
        <f t="shared" si="83"/>
        <v>2333.635400000001</v>
      </c>
      <c r="F658" s="3">
        <f t="shared" si="84"/>
        <v>1.0438134423226519</v>
      </c>
      <c r="G658" s="18">
        <f t="shared" si="85"/>
        <v>1</v>
      </c>
      <c r="H658" s="3">
        <f t="shared" si="86"/>
        <v>5.1249040627863174E-3</v>
      </c>
      <c r="I658" s="3">
        <f t="shared" si="87"/>
        <v>5.1249040627863174E-3</v>
      </c>
      <c r="K658" s="12" t="str">
        <f>IF(AND(G658=1,G657&lt;&gt;1),MAX($K$50:K657)+1,"")</f>
        <v/>
      </c>
      <c r="L658" s="13" t="str">
        <f>IF(AND(G658&lt;&gt;1,G657=1),MAX($L$50:L657)+1,"")</f>
        <v/>
      </c>
      <c r="M658" s="13" t="str">
        <f>IF(AND(G658=-1,G657&lt;&gt;-1),MAX($M$50:M657)+1,"")</f>
        <v/>
      </c>
      <c r="N658" s="13" t="str">
        <f>IF(AND(G658&lt;&gt;-1,G657=-1),MAX($N$50:N657)+1,"")</f>
        <v/>
      </c>
      <c r="T658" s="7">
        <f t="shared" si="88"/>
        <v>83.647248768100255</v>
      </c>
      <c r="U658" s="1">
        <f t="shared" si="89"/>
        <v>127.98259855303191</v>
      </c>
    </row>
    <row r="659" spans="1:21" x14ac:dyDescent="0.3">
      <c r="A659" s="2">
        <v>41129</v>
      </c>
      <c r="B659" s="1">
        <v>2438.16</v>
      </c>
      <c r="C659" s="2">
        <f t="shared" si="81"/>
        <v>41129</v>
      </c>
      <c r="D659" s="1">
        <f t="shared" si="82"/>
        <v>2438.16</v>
      </c>
      <c r="E659" s="4">
        <f t="shared" si="83"/>
        <v>2336.2472000000007</v>
      </c>
      <c r="F659" s="3">
        <f t="shared" si="84"/>
        <v>1.0436224385844097</v>
      </c>
      <c r="G659" s="18">
        <f t="shared" si="85"/>
        <v>1</v>
      </c>
      <c r="H659" s="3">
        <f t="shared" si="86"/>
        <v>9.3600669983739948E-4</v>
      </c>
      <c r="I659" s="3">
        <f t="shared" si="87"/>
        <v>9.3600669983739948E-4</v>
      </c>
      <c r="K659" s="12" t="str">
        <f>IF(AND(G659=1,G658&lt;&gt;1),MAX($K$50:K658)+1,"")</f>
        <v/>
      </c>
      <c r="L659" s="13" t="str">
        <f>IF(AND(G659&lt;&gt;1,G658=1),MAX($L$50:L658)+1,"")</f>
        <v/>
      </c>
      <c r="M659" s="13" t="str">
        <f>IF(AND(G659=-1,G658&lt;&gt;-1),MAX($M$50:M658)+1,"")</f>
        <v/>
      </c>
      <c r="N659" s="13" t="str">
        <f>IF(AND(G659&lt;&gt;-1,G658=-1),MAX($N$50:N658)+1,"")</f>
        <v/>
      </c>
      <c r="T659" s="7">
        <f t="shared" si="88"/>
        <v>83.725543153370168</v>
      </c>
      <c r="U659" s="1">
        <f t="shared" si="89"/>
        <v>128.10239112274013</v>
      </c>
    </row>
    <row r="660" spans="1:21" x14ac:dyDescent="0.3">
      <c r="A660" s="2">
        <v>41130</v>
      </c>
      <c r="B660" s="1">
        <v>2440.23</v>
      </c>
      <c r="C660" s="2">
        <f t="shared" si="81"/>
        <v>41130</v>
      </c>
      <c r="D660" s="1">
        <f t="shared" si="82"/>
        <v>2440.23</v>
      </c>
      <c r="E660" s="4">
        <f t="shared" si="83"/>
        <v>2339.5480000000007</v>
      </c>
      <c r="F660" s="3">
        <f t="shared" si="84"/>
        <v>1.0430348084330816</v>
      </c>
      <c r="G660" s="18">
        <f t="shared" si="85"/>
        <v>1</v>
      </c>
      <c r="H660" s="3">
        <f t="shared" si="86"/>
        <v>8.4900088591410849E-4</v>
      </c>
      <c r="I660" s="3">
        <f t="shared" si="87"/>
        <v>8.4900088591410849E-4</v>
      </c>
      <c r="K660" s="12" t="str">
        <f>IF(AND(G660=1,G659&lt;&gt;1),MAX($K$50:K659)+1,"")</f>
        <v/>
      </c>
      <c r="L660" s="13" t="str">
        <f>IF(AND(G660&lt;&gt;1,G659=1),MAX($L$50:L659)+1,"")</f>
        <v/>
      </c>
      <c r="M660" s="13" t="str">
        <f>IF(AND(G660=-1,G659&lt;&gt;-1),MAX($M$50:M659)+1,"")</f>
        <v/>
      </c>
      <c r="N660" s="13" t="str">
        <f>IF(AND(G660&lt;&gt;-1,G659=-1),MAX($N$50:N659)+1,"")</f>
        <v/>
      </c>
      <c r="T660" s="7">
        <f t="shared" si="88"/>
        <v>83.796626213681023</v>
      </c>
      <c r="U660" s="1">
        <f t="shared" si="89"/>
        <v>128.21115016629105</v>
      </c>
    </row>
    <row r="661" spans="1:21" x14ac:dyDescent="0.3">
      <c r="A661" s="2">
        <v>41131</v>
      </c>
      <c r="B661" s="1">
        <v>2445.64</v>
      </c>
      <c r="C661" s="2">
        <f t="shared" si="81"/>
        <v>41131</v>
      </c>
      <c r="D661" s="1">
        <f t="shared" si="82"/>
        <v>2445.64</v>
      </c>
      <c r="E661" s="4">
        <f t="shared" si="83"/>
        <v>2343.0558000000005</v>
      </c>
      <c r="F661" s="3">
        <f t="shared" si="84"/>
        <v>1.043782226611931</v>
      </c>
      <c r="G661" s="18">
        <f t="shared" si="85"/>
        <v>1</v>
      </c>
      <c r="H661" s="3">
        <f t="shared" si="86"/>
        <v>2.2170041348561487E-3</v>
      </c>
      <c r="I661" s="3">
        <f t="shared" si="87"/>
        <v>2.2170041348561487E-3</v>
      </c>
      <c r="K661" s="12" t="str">
        <f>IF(AND(G661=1,G660&lt;&gt;1),MAX($K$50:K660)+1,"")</f>
        <v/>
      </c>
      <c r="L661" s="13" t="str">
        <f>IF(AND(G661&lt;&gt;1,G660=1),MAX($L$50:L660)+1,"")</f>
        <v/>
      </c>
      <c r="M661" s="13" t="str">
        <f>IF(AND(G661=-1,G660&lt;&gt;-1),MAX($M$50:M660)+1,"")</f>
        <v/>
      </c>
      <c r="N661" s="13" t="str">
        <f>IF(AND(G661&lt;&gt;-1,G660=-1),MAX($N$50:N660)+1,"")</f>
        <v/>
      </c>
      <c r="T661" s="7">
        <f t="shared" si="88"/>
        <v>83.982403680483742</v>
      </c>
      <c r="U661" s="1">
        <f t="shared" si="89"/>
        <v>128.49539481634437</v>
      </c>
    </row>
    <row r="662" spans="1:21" x14ac:dyDescent="0.3">
      <c r="A662" s="2">
        <v>41134</v>
      </c>
      <c r="B662" s="1">
        <v>2443.0500000000002</v>
      </c>
      <c r="C662" s="2">
        <f t="shared" si="81"/>
        <v>41134</v>
      </c>
      <c r="D662" s="1">
        <f t="shared" si="82"/>
        <v>2443.0500000000002</v>
      </c>
      <c r="E662" s="4">
        <f t="shared" si="83"/>
        <v>2347.6286000000005</v>
      </c>
      <c r="F662" s="3">
        <f t="shared" si="84"/>
        <v>1.0406458670677294</v>
      </c>
      <c r="G662" s="18">
        <f t="shared" si="85"/>
        <v>1</v>
      </c>
      <c r="H662" s="3">
        <f t="shared" si="86"/>
        <v>-1.0590274938255817E-3</v>
      </c>
      <c r="I662" s="3">
        <f t="shared" si="87"/>
        <v>-1.0590274938255817E-3</v>
      </c>
      <c r="K662" s="12" t="str">
        <f>IF(AND(G662=1,G661&lt;&gt;1),MAX($K$50:K661)+1,"")</f>
        <v/>
      </c>
      <c r="L662" s="13" t="str">
        <f>IF(AND(G662&lt;&gt;1,G661=1),MAX($L$50:L661)+1,"")</f>
        <v/>
      </c>
      <c r="M662" s="13" t="str">
        <f>IF(AND(G662=-1,G661&lt;&gt;-1),MAX($M$50:M661)+1,"")</f>
        <v/>
      </c>
      <c r="N662" s="13" t="str">
        <f>IF(AND(G662&lt;&gt;-1,G661=-1),MAX($N$50:N661)+1,"")</f>
        <v/>
      </c>
      <c r="T662" s="7">
        <f t="shared" si="88"/>
        <v>83.893464005988548</v>
      </c>
      <c r="U662" s="1">
        <f t="shared" si="89"/>
        <v>128.3593146604039</v>
      </c>
    </row>
    <row r="663" spans="1:21" x14ac:dyDescent="0.3">
      <c r="A663" s="2">
        <v>41135</v>
      </c>
      <c r="B663" s="1">
        <v>2443.16</v>
      </c>
      <c r="C663" s="2">
        <f t="shared" si="81"/>
        <v>41135</v>
      </c>
      <c r="D663" s="1">
        <f t="shared" si="82"/>
        <v>2443.16</v>
      </c>
      <c r="E663" s="4">
        <f t="shared" si="83"/>
        <v>2352.1978000000004</v>
      </c>
      <c r="F663" s="3">
        <f t="shared" si="84"/>
        <v>1.0386711525705872</v>
      </c>
      <c r="G663" s="18">
        <f t="shared" si="85"/>
        <v>1</v>
      </c>
      <c r="H663" s="3">
        <f t="shared" si="86"/>
        <v>4.502568510655891E-5</v>
      </c>
      <c r="I663" s="3">
        <f t="shared" si="87"/>
        <v>4.502568510655891E-5</v>
      </c>
      <c r="K663" s="12" t="str">
        <f>IF(AND(G663=1,G662&lt;&gt;1),MAX($K$50:K662)+1,"")</f>
        <v/>
      </c>
      <c r="L663" s="13" t="str">
        <f>IF(AND(G663&lt;&gt;1,G662=1),MAX($L$50:L662)+1,"")</f>
        <v/>
      </c>
      <c r="M663" s="13" t="str">
        <f>IF(AND(G663=-1,G662&lt;&gt;-1),MAX($M$50:M662)+1,"")</f>
        <v/>
      </c>
      <c r="N663" s="13" t="str">
        <f>IF(AND(G663&lt;&gt;-1,G662=-1),MAX($N$50:N662)+1,"")</f>
        <v/>
      </c>
      <c r="T663" s="7">
        <f t="shared" si="88"/>
        <v>83.897241366681385</v>
      </c>
      <c r="U663" s="1">
        <f t="shared" si="89"/>
        <v>128.3650941264863</v>
      </c>
    </row>
    <row r="664" spans="1:21" x14ac:dyDescent="0.3">
      <c r="A664" s="2">
        <v>41136</v>
      </c>
      <c r="B664" s="1">
        <v>2446.8200000000002</v>
      </c>
      <c r="C664" s="2">
        <f t="shared" si="81"/>
        <v>41136</v>
      </c>
      <c r="D664" s="1">
        <f t="shared" si="82"/>
        <v>2446.8200000000002</v>
      </c>
      <c r="E664" s="4">
        <f t="shared" si="83"/>
        <v>2356.5852000000009</v>
      </c>
      <c r="F664" s="3">
        <f t="shared" si="84"/>
        <v>1.038290489136569</v>
      </c>
      <c r="G664" s="18">
        <f t="shared" si="85"/>
        <v>1</v>
      </c>
      <c r="H664" s="3">
        <f t="shared" si="86"/>
        <v>1.4980598896512376E-3</v>
      </c>
      <c r="I664" s="3">
        <f t="shared" si="87"/>
        <v>1.4980598896512376E-3</v>
      </c>
      <c r="K664" s="12" t="str">
        <f>IF(AND(G664=1,G663&lt;&gt;1),MAX($K$50:K663)+1,"")</f>
        <v/>
      </c>
      <c r="L664" s="13" t="str">
        <f>IF(AND(G664&lt;&gt;1,G663=1),MAX($L$50:L663)+1,"")</f>
        <v/>
      </c>
      <c r="M664" s="13" t="str">
        <f>IF(AND(G664=-1,G663&lt;&gt;-1),MAX($M$50:M663)+1,"")</f>
        <v/>
      </c>
      <c r="N664" s="13" t="str">
        <f>IF(AND(G664&lt;&gt;-1,G663=-1),MAX($N$50:N663)+1,"")</f>
        <v/>
      </c>
      <c r="T664" s="7">
        <f t="shared" si="88"/>
        <v>84.022924458825202</v>
      </c>
      <c r="U664" s="1">
        <f t="shared" si="89"/>
        <v>128.55739272522851</v>
      </c>
    </row>
    <row r="665" spans="1:21" x14ac:dyDescent="0.3">
      <c r="A665" s="2">
        <v>41137</v>
      </c>
      <c r="B665" s="1">
        <v>2464.38</v>
      </c>
      <c r="C665" s="2">
        <f t="shared" si="81"/>
        <v>41137</v>
      </c>
      <c r="D665" s="1">
        <f t="shared" si="82"/>
        <v>2464.38</v>
      </c>
      <c r="E665" s="4">
        <f t="shared" si="83"/>
        <v>2360.2844000000009</v>
      </c>
      <c r="F665" s="3">
        <f t="shared" si="84"/>
        <v>1.04410299030066</v>
      </c>
      <c r="G665" s="18">
        <f t="shared" si="85"/>
        <v>1</v>
      </c>
      <c r="H665" s="3">
        <f t="shared" si="86"/>
        <v>7.176661953065544E-3</v>
      </c>
      <c r="I665" s="3">
        <f t="shared" si="87"/>
        <v>7.176661953065544E-3</v>
      </c>
      <c r="K665" s="12" t="str">
        <f>IF(AND(G665=1,G664&lt;&gt;1),MAX($K$50:K664)+1,"")</f>
        <v/>
      </c>
      <c r="L665" s="13" t="str">
        <f>IF(AND(G665&lt;&gt;1,G664=1),MAX($L$50:L664)+1,"")</f>
        <v/>
      </c>
      <c r="M665" s="13" t="str">
        <f>IF(AND(G665=-1,G664&lt;&gt;-1),MAX($M$50:M664)+1,"")</f>
        <v/>
      </c>
      <c r="N665" s="13" t="str">
        <f>IF(AND(G665&lt;&gt;-1,G664=-1),MAX($N$50:N664)+1,"")</f>
        <v/>
      </c>
      <c r="T665" s="7">
        <f t="shared" si="88"/>
        <v>84.625928583974158</v>
      </c>
      <c r="U665" s="1">
        <f t="shared" si="89"/>
        <v>129.48000567438498</v>
      </c>
    </row>
    <row r="666" spans="1:21" x14ac:dyDescent="0.3">
      <c r="A666" s="2">
        <v>41138</v>
      </c>
      <c r="B666" s="1">
        <v>2469</v>
      </c>
      <c r="C666" s="2">
        <f t="shared" si="81"/>
        <v>41138</v>
      </c>
      <c r="D666" s="1">
        <f t="shared" si="82"/>
        <v>2469</v>
      </c>
      <c r="E666" s="4">
        <f t="shared" si="83"/>
        <v>2364.0788000000011</v>
      </c>
      <c r="F666" s="3">
        <f t="shared" si="84"/>
        <v>1.0443814309404571</v>
      </c>
      <c r="G666" s="18">
        <f t="shared" si="85"/>
        <v>1</v>
      </c>
      <c r="H666" s="3">
        <f t="shared" si="86"/>
        <v>1.8747108806271839E-3</v>
      </c>
      <c r="I666" s="3">
        <f t="shared" si="87"/>
        <v>1.8747108806271839E-3</v>
      </c>
      <c r="K666" s="12" t="str">
        <f>IF(AND(G666=1,G665&lt;&gt;1),MAX($K$50:K665)+1,"")</f>
        <v/>
      </c>
      <c r="L666" s="13" t="str">
        <f>IF(AND(G666&lt;&gt;1,G665=1),MAX($L$50:L665)+1,"")</f>
        <v/>
      </c>
      <c r="M666" s="13" t="str">
        <f>IF(AND(G666=-1,G665&lt;&gt;-1),MAX($M$50:M665)+1,"")</f>
        <v/>
      </c>
      <c r="N666" s="13" t="str">
        <f>IF(AND(G666&lt;&gt;-1,G665=-1),MAX($N$50:N665)+1,"")</f>
        <v/>
      </c>
      <c r="T666" s="7">
        <f t="shared" si="88"/>
        <v>84.784577733073718</v>
      </c>
      <c r="U666" s="1">
        <f t="shared" si="89"/>
        <v>129.72274324984642</v>
      </c>
    </row>
    <row r="667" spans="1:21" x14ac:dyDescent="0.3">
      <c r="A667" s="2">
        <v>41141</v>
      </c>
      <c r="B667" s="1">
        <v>2468.9899999999998</v>
      </c>
      <c r="C667" s="2">
        <f t="shared" si="81"/>
        <v>41141</v>
      </c>
      <c r="D667" s="1">
        <f t="shared" si="82"/>
        <v>2468.9899999999998</v>
      </c>
      <c r="E667" s="4">
        <f t="shared" si="83"/>
        <v>2367.5022000000008</v>
      </c>
      <c r="F667" s="3">
        <f t="shared" si="84"/>
        <v>1.0428670351393967</v>
      </c>
      <c r="G667" s="18">
        <f t="shared" si="85"/>
        <v>1</v>
      </c>
      <c r="H667" s="3">
        <f t="shared" si="86"/>
        <v>-4.0502227622862819E-6</v>
      </c>
      <c r="I667" s="3">
        <f t="shared" si="87"/>
        <v>-4.0502227622862819E-6</v>
      </c>
      <c r="K667" s="12" t="str">
        <f>IF(AND(G667=1,G666&lt;&gt;1),MAX($K$50:K666)+1,"")</f>
        <v/>
      </c>
      <c r="L667" s="13" t="str">
        <f>IF(AND(G667&lt;&gt;1,G666=1),MAX($L$50:L666)+1,"")</f>
        <v/>
      </c>
      <c r="M667" s="13" t="str">
        <f>IF(AND(G667=-1,G666&lt;&gt;-1),MAX($M$50:M666)+1,"")</f>
        <v/>
      </c>
      <c r="N667" s="13" t="str">
        <f>IF(AND(G667&lt;&gt;-1,G666=-1),MAX($N$50:N666)+1,"")</f>
        <v/>
      </c>
      <c r="T667" s="7">
        <f t="shared" si="88"/>
        <v>84.784234336647089</v>
      </c>
      <c r="U667" s="1">
        <f t="shared" si="89"/>
        <v>129.72221784383891</v>
      </c>
    </row>
    <row r="668" spans="1:21" x14ac:dyDescent="0.3">
      <c r="A668" s="2">
        <v>41142</v>
      </c>
      <c r="B668" s="1">
        <v>2460.41</v>
      </c>
      <c r="C668" s="2">
        <f t="shared" si="81"/>
        <v>41142</v>
      </c>
      <c r="D668" s="1">
        <f t="shared" si="82"/>
        <v>2460.41</v>
      </c>
      <c r="E668" s="4">
        <f t="shared" si="83"/>
        <v>2371.3316000000013</v>
      </c>
      <c r="F668" s="3">
        <f t="shared" si="84"/>
        <v>1.0375647168029973</v>
      </c>
      <c r="G668" s="18">
        <f t="shared" si="85"/>
        <v>1</v>
      </c>
      <c r="H668" s="3">
        <f t="shared" si="86"/>
        <v>-3.4751052049623032E-3</v>
      </c>
      <c r="I668" s="3">
        <f t="shared" si="87"/>
        <v>-3.4751052049623032E-3</v>
      </c>
      <c r="K668" s="12" t="str">
        <f>IF(AND(G668=1,G667&lt;&gt;1),MAX($K$50:K667)+1,"")</f>
        <v/>
      </c>
      <c r="L668" s="13" t="str">
        <f>IF(AND(G668&lt;&gt;1,G667=1),MAX($L$50:L667)+1,"")</f>
        <v/>
      </c>
      <c r="M668" s="13" t="str">
        <f>IF(AND(G668=-1,G667&lt;&gt;-1),MAX($M$50:M667)+1,"")</f>
        <v/>
      </c>
      <c r="N668" s="13" t="str">
        <f>IF(AND(G668&lt;&gt;-1,G667=-1),MAX($N$50:N667)+1,"")</f>
        <v/>
      </c>
      <c r="T668" s="7">
        <f t="shared" si="88"/>
        <v>84.489600202605061</v>
      </c>
      <c r="U668" s="1">
        <f t="shared" si="89"/>
        <v>129.2714194894105</v>
      </c>
    </row>
    <row r="669" spans="1:21" x14ac:dyDescent="0.3">
      <c r="A669" s="2">
        <v>41143</v>
      </c>
      <c r="B669" s="1">
        <v>2461.12</v>
      </c>
      <c r="C669" s="2">
        <f t="shared" si="81"/>
        <v>41143</v>
      </c>
      <c r="D669" s="1">
        <f t="shared" si="82"/>
        <v>2461.12</v>
      </c>
      <c r="E669" s="4">
        <f t="shared" si="83"/>
        <v>2374.6460000000011</v>
      </c>
      <c r="F669" s="3">
        <f t="shared" si="84"/>
        <v>1.0364155330941953</v>
      </c>
      <c r="G669" s="18">
        <f t="shared" si="85"/>
        <v>1</v>
      </c>
      <c r="H669" s="3">
        <f t="shared" si="86"/>
        <v>2.8856979121361093E-4</v>
      </c>
      <c r="I669" s="3">
        <f t="shared" si="87"/>
        <v>2.8856979121361093E-4</v>
      </c>
      <c r="K669" s="12" t="str">
        <f>IF(AND(G669=1,G668&lt;&gt;1),MAX($K$50:K668)+1,"")</f>
        <v/>
      </c>
      <c r="L669" s="13" t="str">
        <f>IF(AND(G669&lt;&gt;1,G668=1),MAX($L$50:L668)+1,"")</f>
        <v/>
      </c>
      <c r="M669" s="13" t="str">
        <f>IF(AND(G669=-1,G668&lt;&gt;-1),MAX($M$50:M668)+1,"")</f>
        <v/>
      </c>
      <c r="N669" s="13" t="str">
        <f>IF(AND(G669&lt;&gt;-1,G668=-1),MAX($N$50:N668)+1,"")</f>
        <v/>
      </c>
      <c r="T669" s="7">
        <f t="shared" si="88"/>
        <v>84.513981348895243</v>
      </c>
      <c r="U669" s="1">
        <f t="shared" si="89"/>
        <v>129.30872331594247</v>
      </c>
    </row>
    <row r="670" spans="1:21" x14ac:dyDescent="0.3">
      <c r="A670" s="2">
        <v>41144</v>
      </c>
      <c r="B670" s="1">
        <v>2441.29</v>
      </c>
      <c r="C670" s="2">
        <f t="shared" si="81"/>
        <v>41144</v>
      </c>
      <c r="D670" s="1">
        <f t="shared" si="82"/>
        <v>2441.29</v>
      </c>
      <c r="E670" s="4">
        <f t="shared" si="83"/>
        <v>2377.8692000000005</v>
      </c>
      <c r="F670" s="3">
        <f t="shared" si="84"/>
        <v>1.0266712735923402</v>
      </c>
      <c r="G670" s="18">
        <f t="shared" si="85"/>
        <v>1</v>
      </c>
      <c r="H670" s="3">
        <f t="shared" si="86"/>
        <v>-8.0573072422311931E-3</v>
      </c>
      <c r="I670" s="3">
        <f t="shared" si="87"/>
        <v>-8.0573072422311931E-3</v>
      </c>
      <c r="K670" s="12" t="str">
        <f>IF(AND(G670=1,G669&lt;&gt;1),MAX($K$50:K669)+1,"")</f>
        <v/>
      </c>
      <c r="L670" s="13" t="str">
        <f>IF(AND(G670&lt;&gt;1,G669=1),MAX($L$50:L669)+1,"")</f>
        <v/>
      </c>
      <c r="M670" s="13" t="str">
        <f>IF(AND(G670=-1,G669&lt;&gt;-1),MAX($M$50:M669)+1,"")</f>
        <v/>
      </c>
      <c r="N670" s="13" t="str">
        <f>IF(AND(G670&lt;&gt;-1,G669=-1),MAX($N$50:N669)+1,"")</f>
        <v/>
      </c>
      <c r="T670" s="7">
        <f t="shared" si="88"/>
        <v>83.833026234903002</v>
      </c>
      <c r="U670" s="1">
        <f t="shared" si="89"/>
        <v>128.26684320308524</v>
      </c>
    </row>
    <row r="671" spans="1:21" x14ac:dyDescent="0.3">
      <c r="A671" s="2">
        <v>41145</v>
      </c>
      <c r="B671" s="1">
        <v>2457.4</v>
      </c>
      <c r="C671" s="2">
        <f t="shared" si="81"/>
        <v>41145</v>
      </c>
      <c r="D671" s="1">
        <f t="shared" si="82"/>
        <v>2457.4</v>
      </c>
      <c r="E671" s="4">
        <f t="shared" si="83"/>
        <v>2380.9206000000004</v>
      </c>
      <c r="F671" s="3">
        <f t="shared" si="84"/>
        <v>1.0321217767614761</v>
      </c>
      <c r="G671" s="18">
        <f t="shared" si="85"/>
        <v>1</v>
      </c>
      <c r="H671" s="3">
        <f t="shared" si="86"/>
        <v>6.5989702165658581E-3</v>
      </c>
      <c r="I671" s="3">
        <f t="shared" si="87"/>
        <v>6.5989702165658581E-3</v>
      </c>
      <c r="K671" s="12" t="str">
        <f>IF(AND(G671=1,G670&lt;&gt;1),MAX($K$50:K670)+1,"")</f>
        <v/>
      </c>
      <c r="L671" s="13" t="str">
        <f>IF(AND(G671&lt;&gt;1,G670=1),MAX($L$50:L670)+1,"")</f>
        <v/>
      </c>
      <c r="M671" s="13" t="str">
        <f>IF(AND(G671=-1,G670&lt;&gt;-1),MAX($M$50:M670)+1,"")</f>
        <v/>
      </c>
      <c r="N671" s="13" t="str">
        <f>IF(AND(G671&lt;&gt;-1,G670=-1),MAX($N$50:N670)+1,"")</f>
        <v/>
      </c>
      <c r="T671" s="7">
        <f t="shared" si="88"/>
        <v>84.386237878191707</v>
      </c>
      <c r="U671" s="1">
        <f t="shared" si="89"/>
        <v>129.11327228115533</v>
      </c>
    </row>
    <row r="672" spans="1:21" x14ac:dyDescent="0.3">
      <c r="A672" s="2">
        <v>41148</v>
      </c>
      <c r="B672" s="1">
        <v>2456.2199999999998</v>
      </c>
      <c r="C672" s="2">
        <f t="shared" si="81"/>
        <v>41148</v>
      </c>
      <c r="D672" s="1">
        <f t="shared" si="82"/>
        <v>2456.2199999999998</v>
      </c>
      <c r="E672" s="4">
        <f t="shared" si="83"/>
        <v>2383.4718000000007</v>
      </c>
      <c r="F672" s="3">
        <f t="shared" si="84"/>
        <v>1.0305219470186302</v>
      </c>
      <c r="G672" s="18">
        <f t="shared" si="85"/>
        <v>1</v>
      </c>
      <c r="H672" s="3">
        <f t="shared" si="86"/>
        <v>-4.8018230650292981E-4</v>
      </c>
      <c r="I672" s="3">
        <f t="shared" si="87"/>
        <v>-4.8018230650292981E-4</v>
      </c>
      <c r="K672" s="12" t="str">
        <f>IF(AND(G672=1,G671&lt;&gt;1),MAX($K$50:K671)+1,"")</f>
        <v/>
      </c>
      <c r="L672" s="13" t="str">
        <f>IF(AND(G672&lt;&gt;1,G671=1),MAX($L$50:L671)+1,"")</f>
        <v/>
      </c>
      <c r="M672" s="13" t="str">
        <f>IF(AND(G672=-1,G671&lt;&gt;-1),MAX($M$50:M671)+1,"")</f>
        <v/>
      </c>
      <c r="N672" s="13" t="str">
        <f>IF(AND(G672&lt;&gt;-1,G671=-1),MAX($N$50:N671)+1,"")</f>
        <v/>
      </c>
      <c r="T672" s="7">
        <f t="shared" si="88"/>
        <v>84.345717099850248</v>
      </c>
      <c r="U672" s="1">
        <f t="shared" si="89"/>
        <v>129.05127437227125</v>
      </c>
    </row>
    <row r="673" spans="1:21" x14ac:dyDescent="0.3">
      <c r="A673" s="2">
        <v>41149</v>
      </c>
      <c r="B673" s="1">
        <v>2454.39</v>
      </c>
      <c r="C673" s="2">
        <f t="shared" si="81"/>
        <v>41149</v>
      </c>
      <c r="D673" s="1">
        <f t="shared" si="82"/>
        <v>2454.39</v>
      </c>
      <c r="E673" s="4">
        <f t="shared" si="83"/>
        <v>2385.9182000000005</v>
      </c>
      <c r="F673" s="3">
        <f t="shared" si="84"/>
        <v>1.0286983015595419</v>
      </c>
      <c r="G673" s="18">
        <f t="shared" si="85"/>
        <v>1</v>
      </c>
      <c r="H673" s="3">
        <f t="shared" si="86"/>
        <v>-7.450472677528186E-4</v>
      </c>
      <c r="I673" s="3">
        <f t="shared" si="87"/>
        <v>-7.450472677528186E-4</v>
      </c>
      <c r="K673" s="12" t="str">
        <f>IF(AND(G673=1,G672&lt;&gt;1),MAX($K$50:K672)+1,"")</f>
        <v/>
      </c>
      <c r="L673" s="13" t="str">
        <f>IF(AND(G673&lt;&gt;1,G672=1),MAX($L$50:L672)+1,"")</f>
        <v/>
      </c>
      <c r="M673" s="13" t="str">
        <f>IF(AND(G673=-1,G672&lt;&gt;-1),MAX($M$50:M672)+1,"")</f>
        <v/>
      </c>
      <c r="N673" s="13" t="str">
        <f>IF(AND(G673&lt;&gt;-1,G672=-1),MAX($N$50:N672)+1,"")</f>
        <v/>
      </c>
      <c r="T673" s="7">
        <f t="shared" si="88"/>
        <v>84.282875553778354</v>
      </c>
      <c r="U673" s="1">
        <f t="shared" si="89"/>
        <v>128.95512507290016</v>
      </c>
    </row>
    <row r="674" spans="1:21" x14ac:dyDescent="0.3">
      <c r="A674" s="2">
        <v>41150</v>
      </c>
      <c r="B674" s="1">
        <v>2457.0500000000002</v>
      </c>
      <c r="C674" s="2">
        <f t="shared" si="81"/>
        <v>41150</v>
      </c>
      <c r="D674" s="1">
        <f t="shared" si="82"/>
        <v>2457.0500000000002</v>
      </c>
      <c r="E674" s="4">
        <f t="shared" si="83"/>
        <v>2387.9590000000003</v>
      </c>
      <c r="F674" s="3">
        <f t="shared" si="84"/>
        <v>1.0289330763216622</v>
      </c>
      <c r="G674" s="18">
        <f t="shared" si="85"/>
        <v>1</v>
      </c>
      <c r="H674" s="3">
        <f t="shared" si="86"/>
        <v>1.0837723426189161E-3</v>
      </c>
      <c r="I674" s="3">
        <f t="shared" si="87"/>
        <v>1.0837723426189161E-3</v>
      </c>
      <c r="K674" s="12" t="str">
        <f>IF(AND(G674=1,G673&lt;&gt;1),MAX($K$50:K673)+1,"")</f>
        <v/>
      </c>
      <c r="L674" s="13" t="str">
        <f>IF(AND(G674&lt;&gt;1,G673=1),MAX($L$50:L673)+1,"")</f>
        <v/>
      </c>
      <c r="M674" s="13" t="str">
        <f>IF(AND(G674=-1,G673&lt;&gt;-1),MAX($M$50:M673)+1,"")</f>
        <v/>
      </c>
      <c r="N674" s="13" t="str">
        <f>IF(AND(G674&lt;&gt;-1,G673=-1),MAX($N$50:N673)+1,"")</f>
        <v/>
      </c>
      <c r="T674" s="7">
        <f t="shared" si="88"/>
        <v>84.374219003259924</v>
      </c>
      <c r="U674" s="1">
        <f t="shared" si="89"/>
        <v>129.09488307089313</v>
      </c>
    </row>
    <row r="675" spans="1:21" x14ac:dyDescent="0.3">
      <c r="A675" s="2">
        <v>41151</v>
      </c>
      <c r="B675" s="1">
        <v>2438.1999999999998</v>
      </c>
      <c r="C675" s="2">
        <f t="shared" si="81"/>
        <v>41151</v>
      </c>
      <c r="D675" s="1">
        <f t="shared" si="82"/>
        <v>2438.1999999999998</v>
      </c>
      <c r="E675" s="4">
        <f t="shared" si="83"/>
        <v>2389.7002000000002</v>
      </c>
      <c r="F675" s="3">
        <f t="shared" si="84"/>
        <v>1.0202953491822948</v>
      </c>
      <c r="G675" s="18">
        <f t="shared" si="85"/>
        <v>1</v>
      </c>
      <c r="H675" s="3">
        <f t="shared" si="86"/>
        <v>-7.6718015506401782E-3</v>
      </c>
      <c r="I675" s="3">
        <f t="shared" si="87"/>
        <v>-7.6718015506401782E-3</v>
      </c>
      <c r="K675" s="12" t="str">
        <f>IF(AND(G675=1,G674&lt;&gt;1),MAX($K$50:K674)+1,"")</f>
        <v/>
      </c>
      <c r="L675" s="13" t="str">
        <f>IF(AND(G675&lt;&gt;1,G674=1),MAX($L$50:L674)+1,"")</f>
        <v/>
      </c>
      <c r="M675" s="13" t="str">
        <f>IF(AND(G675=-1,G674&lt;&gt;-1),MAX($M$50:M674)+1,"")</f>
        <v/>
      </c>
      <c r="N675" s="13" t="str">
        <f>IF(AND(G675&lt;&gt;-1,G674=-1),MAX($N$50:N674)+1,"")</f>
        <v/>
      </c>
      <c r="T675" s="7">
        <f t="shared" si="88"/>
        <v>83.726916739076657</v>
      </c>
      <c r="U675" s="1">
        <f t="shared" si="89"/>
        <v>128.10449274677015</v>
      </c>
    </row>
    <row r="676" spans="1:21" x14ac:dyDescent="0.3">
      <c r="A676" s="2">
        <v>41152</v>
      </c>
      <c r="B676" s="1">
        <v>2450.6</v>
      </c>
      <c r="C676" s="2">
        <f t="shared" si="81"/>
        <v>41152</v>
      </c>
      <c r="D676" s="1">
        <f t="shared" si="82"/>
        <v>2450.6</v>
      </c>
      <c r="E676" s="4">
        <f t="shared" si="83"/>
        <v>2392.7290000000007</v>
      </c>
      <c r="F676" s="3">
        <f t="shared" si="84"/>
        <v>1.0241861907470504</v>
      </c>
      <c r="G676" s="18">
        <f t="shared" si="85"/>
        <v>1</v>
      </c>
      <c r="H676" s="3">
        <f t="shared" si="86"/>
        <v>5.0857189730129093E-3</v>
      </c>
      <c r="I676" s="3">
        <f t="shared" si="87"/>
        <v>5.0857189730129093E-3</v>
      </c>
      <c r="K676" s="12" t="str">
        <f>IF(AND(G676=1,G675&lt;&gt;1),MAX($K$50:K675)+1,"")</f>
        <v/>
      </c>
      <c r="L676" s="13" t="str">
        <f>IF(AND(G676&lt;&gt;1,G675=1),MAX($L$50:L675)+1,"")</f>
        <v/>
      </c>
      <c r="M676" s="13" t="str">
        <f>IF(AND(G676=-1,G675&lt;&gt;-1),MAX($M$50:M675)+1,"")</f>
        <v/>
      </c>
      <c r="N676" s="13" t="str">
        <f>IF(AND(G676&lt;&gt;-1,G675=-1),MAX($N$50:N675)+1,"")</f>
        <v/>
      </c>
      <c r="T676" s="7">
        <f t="shared" si="88"/>
        <v>84.152728308088456</v>
      </c>
      <c r="U676" s="1">
        <f t="shared" si="89"/>
        <v>128.75599619606061</v>
      </c>
    </row>
    <row r="677" spans="1:21" x14ac:dyDescent="0.3">
      <c r="A677" s="2">
        <v>41156</v>
      </c>
      <c r="B677" s="1">
        <v>2447.8000000000002</v>
      </c>
      <c r="C677" s="2">
        <f t="shared" si="81"/>
        <v>41156</v>
      </c>
      <c r="D677" s="1">
        <f t="shared" si="82"/>
        <v>2447.8000000000002</v>
      </c>
      <c r="E677" s="4">
        <f t="shared" si="83"/>
        <v>2395.3720000000008</v>
      </c>
      <c r="F677" s="3">
        <f t="shared" si="84"/>
        <v>1.0218872058285726</v>
      </c>
      <c r="G677" s="18">
        <f t="shared" si="85"/>
        <v>1</v>
      </c>
      <c r="H677" s="3">
        <f t="shared" si="86"/>
        <v>-1.1425773280011597E-3</v>
      </c>
      <c r="I677" s="3">
        <f t="shared" si="87"/>
        <v>-1.1425773280011597E-3</v>
      </c>
      <c r="K677" s="12" t="str">
        <f>IF(AND(G677=1,G676&lt;&gt;1),MAX($K$50:K676)+1,"")</f>
        <v/>
      </c>
      <c r="L677" s="13" t="str">
        <f>IF(AND(G677&lt;&gt;1,G676=1),MAX($L$50:L676)+1,"")</f>
        <v/>
      </c>
      <c r="M677" s="13" t="str">
        <f>IF(AND(G677=-1,G676&lt;&gt;-1),MAX($M$50:M676)+1,"")</f>
        <v/>
      </c>
      <c r="N677" s="13" t="str">
        <f>IF(AND(G677&lt;&gt;-1,G676=-1),MAX($N$50:N676)+1,"")</f>
        <v/>
      </c>
      <c r="T677" s="7">
        <f t="shared" si="88"/>
        <v>84.056577308634189</v>
      </c>
      <c r="U677" s="1">
        <f t="shared" si="89"/>
        <v>128.60888251396278</v>
      </c>
    </row>
    <row r="678" spans="1:21" x14ac:dyDescent="0.3">
      <c r="A678" s="2">
        <v>41157</v>
      </c>
      <c r="B678" s="1">
        <v>2445.81</v>
      </c>
      <c r="C678" s="2">
        <f t="shared" si="81"/>
        <v>41157</v>
      </c>
      <c r="D678" s="1">
        <f t="shared" si="82"/>
        <v>2445.81</v>
      </c>
      <c r="E678" s="4">
        <f t="shared" si="83"/>
        <v>2398.7086000000004</v>
      </c>
      <c r="F678" s="3">
        <f t="shared" si="84"/>
        <v>1.0196361492179582</v>
      </c>
      <c r="G678" s="18">
        <f t="shared" si="85"/>
        <v>1</v>
      </c>
      <c r="H678" s="3">
        <f t="shared" si="86"/>
        <v>-8.1297491625142992E-4</v>
      </c>
      <c r="I678" s="3">
        <f t="shared" si="87"/>
        <v>-8.1297491625142992E-4</v>
      </c>
      <c r="K678" s="12" t="str">
        <f>IF(AND(G678=1,G677&lt;&gt;1),MAX($K$50:K677)+1,"")</f>
        <v/>
      </c>
      <c r="L678" s="13" t="str">
        <f>IF(AND(G678&lt;&gt;1,G677=1),MAX($L$50:L677)+1,"")</f>
        <v/>
      </c>
      <c r="M678" s="13" t="str">
        <f>IF(AND(G678=-1,G677&lt;&gt;-1),MAX($M$50:M677)+1,"")</f>
        <v/>
      </c>
      <c r="N678" s="13" t="str">
        <f>IF(AND(G678&lt;&gt;-1,G677=-1),MAX($N$50:N677)+1,"")</f>
        <v/>
      </c>
      <c r="T678" s="7">
        <f t="shared" si="88"/>
        <v>83.988241419736326</v>
      </c>
      <c r="U678" s="1">
        <f t="shared" si="89"/>
        <v>128.50432671847179</v>
      </c>
    </row>
    <row r="679" spans="1:21" x14ac:dyDescent="0.3">
      <c r="A679" s="2">
        <v>41158</v>
      </c>
      <c r="B679" s="1">
        <v>2496.12</v>
      </c>
      <c r="C679" s="2">
        <f t="shared" si="81"/>
        <v>41158</v>
      </c>
      <c r="D679" s="1">
        <f t="shared" si="82"/>
        <v>2496.12</v>
      </c>
      <c r="E679" s="4">
        <f t="shared" si="83"/>
        <v>2402.8338000000003</v>
      </c>
      <c r="F679" s="3">
        <f t="shared" si="84"/>
        <v>1.0388234092595166</v>
      </c>
      <c r="G679" s="18">
        <f t="shared" si="85"/>
        <v>1</v>
      </c>
      <c r="H679" s="3">
        <f t="shared" si="86"/>
        <v>2.05698725575576E-2</v>
      </c>
      <c r="I679" s="3">
        <f t="shared" si="87"/>
        <v>2.05698725575576E-2</v>
      </c>
      <c r="K679" s="12" t="str">
        <f>IF(AND(G679=1,G678&lt;&gt;1),MAX($K$50:K678)+1,"")</f>
        <v/>
      </c>
      <c r="L679" s="13" t="str">
        <f>IF(AND(G679&lt;&gt;1,G678=1),MAX($L$50:L678)+1,"")</f>
        <v/>
      </c>
      <c r="M679" s="13" t="str">
        <f>IF(AND(G679=-1,G678&lt;&gt;-1),MAX($M$50:M678)+1,"")</f>
        <v/>
      </c>
      <c r="N679" s="13" t="str">
        <f>IF(AND(G679&lt;&gt;-1,G678=-1),MAX($N$50:N678)+1,"")</f>
        <v/>
      </c>
      <c r="T679" s="7">
        <f t="shared" si="88"/>
        <v>85.715868842073689</v>
      </c>
      <c r="U679" s="1">
        <f t="shared" si="89"/>
        <v>131.14764434216551</v>
      </c>
    </row>
    <row r="680" spans="1:21" x14ac:dyDescent="0.3">
      <c r="A680" s="2">
        <v>41159</v>
      </c>
      <c r="B680" s="1">
        <v>2506.37</v>
      </c>
      <c r="C680" s="2">
        <f t="shared" si="81"/>
        <v>41159</v>
      </c>
      <c r="D680" s="1">
        <f t="shared" si="82"/>
        <v>2506.37</v>
      </c>
      <c r="E680" s="4">
        <f t="shared" si="83"/>
        <v>2406.7415999999998</v>
      </c>
      <c r="F680" s="3">
        <f t="shared" si="84"/>
        <v>1.0413955532243262</v>
      </c>
      <c r="G680" s="18">
        <f t="shared" si="85"/>
        <v>1</v>
      </c>
      <c r="H680" s="3">
        <f t="shared" si="86"/>
        <v>4.1063730910373408E-3</v>
      </c>
      <c r="I680" s="3">
        <f t="shared" si="87"/>
        <v>4.1063730910373408E-3</v>
      </c>
      <c r="K680" s="12" t="str">
        <f>IF(AND(G680=1,G679&lt;&gt;1),MAX($K$50:K679)+1,"")</f>
        <v/>
      </c>
      <c r="L680" s="13" t="str">
        <f>IF(AND(G680&lt;&gt;1,G679=1),MAX($L$50:L679)+1,"")</f>
        <v/>
      </c>
      <c r="M680" s="13" t="str">
        <f>IF(AND(G680=-1,G679&lt;&gt;-1),MAX($M$50:M679)+1,"")</f>
        <v/>
      </c>
      <c r="N680" s="13" t="str">
        <f>IF(AND(G680&lt;&gt;-1,G679=-1),MAX($N$50:N679)+1,"")</f>
        <v/>
      </c>
      <c r="T680" s="7">
        <f t="shared" si="88"/>
        <v>86.06785017936167</v>
      </c>
      <c r="U680" s="1">
        <f t="shared" si="89"/>
        <v>131.6861854998451</v>
      </c>
    </row>
    <row r="681" spans="1:21" x14ac:dyDescent="0.3">
      <c r="A681" s="2">
        <v>41162</v>
      </c>
      <c r="B681" s="1">
        <v>2491.11</v>
      </c>
      <c r="C681" s="2">
        <f t="shared" si="81"/>
        <v>41162</v>
      </c>
      <c r="D681" s="1">
        <f t="shared" si="82"/>
        <v>2491.11</v>
      </c>
      <c r="E681" s="4">
        <f t="shared" si="83"/>
        <v>2410.4394000000002</v>
      </c>
      <c r="F681" s="3">
        <f t="shared" si="84"/>
        <v>1.0334671761505392</v>
      </c>
      <c r="G681" s="18">
        <f t="shared" si="85"/>
        <v>1</v>
      </c>
      <c r="H681" s="3">
        <f t="shared" si="86"/>
        <v>-6.0884865363054486E-3</v>
      </c>
      <c r="I681" s="3">
        <f t="shared" si="87"/>
        <v>-6.0884865363054486E-3</v>
      </c>
      <c r="K681" s="12" t="str">
        <f>IF(AND(G681=1,G680&lt;&gt;1),MAX($K$50:K680)+1,"")</f>
        <v/>
      </c>
      <c r="L681" s="13" t="str">
        <f>IF(AND(G681&lt;&gt;1,G680=1),MAX($L$50:L680)+1,"")</f>
        <v/>
      </c>
      <c r="M681" s="13" t="str">
        <f>IF(AND(G681=-1,G680&lt;&gt;-1),MAX($M$50:M680)+1,"")</f>
        <v/>
      </c>
      <c r="N681" s="13" t="str">
        <f>IF(AND(G681&lt;&gt;-1,G680=-1),MAX($N$50:N680)+1,"")</f>
        <v/>
      </c>
      <c r="T681" s="7">
        <f t="shared" si="88"/>
        <v>85.543827232335872</v>
      </c>
      <c r="U681" s="1">
        <f t="shared" si="89"/>
        <v>130.88441593241188</v>
      </c>
    </row>
    <row r="682" spans="1:21" x14ac:dyDescent="0.3">
      <c r="A682" s="2">
        <v>41163</v>
      </c>
      <c r="B682" s="1">
        <v>2498.9499999999998</v>
      </c>
      <c r="C682" s="2">
        <f t="shared" si="81"/>
        <v>41163</v>
      </c>
      <c r="D682" s="1">
        <f t="shared" si="82"/>
        <v>2498.9499999999998</v>
      </c>
      <c r="E682" s="4">
        <f t="shared" si="83"/>
        <v>2413.1425999999997</v>
      </c>
      <c r="F682" s="3">
        <f t="shared" si="84"/>
        <v>1.0355583627755773</v>
      </c>
      <c r="G682" s="18">
        <f t="shared" si="85"/>
        <v>1</v>
      </c>
      <c r="H682" s="3">
        <f t="shared" si="86"/>
        <v>3.1471914126632861E-3</v>
      </c>
      <c r="I682" s="3">
        <f t="shared" si="87"/>
        <v>3.1471914126632861E-3</v>
      </c>
      <c r="K682" s="12" t="str">
        <f>IF(AND(G682=1,G681&lt;&gt;1),MAX($K$50:K681)+1,"")</f>
        <v/>
      </c>
      <c r="L682" s="13" t="str">
        <f>IF(AND(G682&lt;&gt;1,G681=1),MAX($L$50:L681)+1,"")</f>
        <v/>
      </c>
      <c r="M682" s="13" t="str">
        <f>IF(AND(G682=-1,G681&lt;&gt;-1),MAX($M$50:M681)+1,"")</f>
        <v/>
      </c>
      <c r="N682" s="13" t="str">
        <f>IF(AND(G682&lt;&gt;-1,G681=-1),MAX($N$50:N681)+1,"")</f>
        <v/>
      </c>
      <c r="T682" s="7">
        <f t="shared" si="88"/>
        <v>85.81305003080783</v>
      </c>
      <c r="U682" s="1">
        <f t="shared" si="89"/>
        <v>131.29633424228581</v>
      </c>
    </row>
    <row r="683" spans="1:21" x14ac:dyDescent="0.3">
      <c r="A683" s="2">
        <v>41164</v>
      </c>
      <c r="B683" s="1">
        <v>2504.84</v>
      </c>
      <c r="C683" s="2">
        <f t="shared" si="81"/>
        <v>41164</v>
      </c>
      <c r="D683" s="1">
        <f t="shared" si="82"/>
        <v>2504.84</v>
      </c>
      <c r="E683" s="4">
        <f t="shared" si="83"/>
        <v>2415.8444</v>
      </c>
      <c r="F683" s="3">
        <f t="shared" si="84"/>
        <v>1.036838299685195</v>
      </c>
      <c r="G683" s="18">
        <f t="shared" si="85"/>
        <v>1</v>
      </c>
      <c r="H683" s="3">
        <f t="shared" si="86"/>
        <v>2.3569899357731572E-3</v>
      </c>
      <c r="I683" s="3">
        <f t="shared" si="87"/>
        <v>2.3569899357731572E-3</v>
      </c>
      <c r="K683" s="12" t="str">
        <f>IF(AND(G683=1,G682&lt;&gt;1),MAX($K$50:K682)+1,"")</f>
        <v/>
      </c>
      <c r="L683" s="13" t="str">
        <f>IF(AND(G683&lt;&gt;1,G682=1),MAX($L$50:L682)+1,"")</f>
        <v/>
      </c>
      <c r="M683" s="13" t="str">
        <f>IF(AND(G683=-1,G682&lt;&gt;-1),MAX($M$50:M682)+1,"")</f>
        <v/>
      </c>
      <c r="N683" s="13" t="str">
        <f>IF(AND(G683&lt;&gt;-1,G682=-1),MAX($N$50:N682)+1,"")</f>
        <v/>
      </c>
      <c r="T683" s="7">
        <f t="shared" si="88"/>
        <v>86.015310526088442</v>
      </c>
      <c r="U683" s="1">
        <f t="shared" si="89"/>
        <v>131.60579838069879</v>
      </c>
    </row>
    <row r="684" spans="1:21" x14ac:dyDescent="0.3">
      <c r="A684" s="2">
        <v>41165</v>
      </c>
      <c r="B684" s="1">
        <v>2546.0300000000002</v>
      </c>
      <c r="C684" s="2">
        <f t="shared" si="81"/>
        <v>41165</v>
      </c>
      <c r="D684" s="1">
        <f t="shared" si="82"/>
        <v>2546.0300000000002</v>
      </c>
      <c r="E684" s="4">
        <f t="shared" si="83"/>
        <v>2419.0637999999999</v>
      </c>
      <c r="F684" s="3">
        <f t="shared" si="84"/>
        <v>1.052485676483605</v>
      </c>
      <c r="G684" s="18">
        <f t="shared" si="85"/>
        <v>1</v>
      </c>
      <c r="H684" s="3">
        <f t="shared" si="86"/>
        <v>1.6444164098305736E-2</v>
      </c>
      <c r="I684" s="3">
        <f t="shared" si="87"/>
        <v>1.6444164098305736E-2</v>
      </c>
      <c r="K684" s="12" t="str">
        <f>IF(AND(G684=1,G683&lt;&gt;1),MAX($K$50:K683)+1,"")</f>
        <v/>
      </c>
      <c r="L684" s="13" t="str">
        <f>IF(AND(G684&lt;&gt;1,G683=1),MAX($L$50:L683)+1,"")</f>
        <v/>
      </c>
      <c r="M684" s="13" t="str">
        <f>IF(AND(G684=-1,G683&lt;&gt;-1),MAX($M$50:M683)+1,"")</f>
        <v/>
      </c>
      <c r="N684" s="13" t="str">
        <f>IF(AND(G684&lt;&gt;-1,G683=-1),MAX($N$50:N683)+1,"")</f>
        <v/>
      </c>
      <c r="T684" s="7">
        <f t="shared" si="88"/>
        <v>87.429760407346166</v>
      </c>
      <c r="U684" s="1">
        <f t="shared" si="89"/>
        <v>133.76994572555952</v>
      </c>
    </row>
    <row r="685" spans="1:21" x14ac:dyDescent="0.3">
      <c r="A685" s="2">
        <v>41166</v>
      </c>
      <c r="B685" s="1">
        <v>2556.13</v>
      </c>
      <c r="C685" s="2">
        <f t="shared" si="81"/>
        <v>41166</v>
      </c>
      <c r="D685" s="1">
        <f t="shared" si="82"/>
        <v>2556.13</v>
      </c>
      <c r="E685" s="4">
        <f t="shared" si="83"/>
        <v>2422.7081999999996</v>
      </c>
      <c r="F685" s="3">
        <f t="shared" si="84"/>
        <v>1.0550713453646627</v>
      </c>
      <c r="G685" s="18">
        <f t="shared" si="85"/>
        <v>1</v>
      </c>
      <c r="H685" s="3">
        <f t="shared" si="86"/>
        <v>3.9669603264689268E-3</v>
      </c>
      <c r="I685" s="3">
        <f t="shared" si="87"/>
        <v>3.9669603264689268E-3</v>
      </c>
      <c r="K685" s="12" t="str">
        <f>IF(AND(G685=1,G684&lt;&gt;1),MAX($K$50:K684)+1,"")</f>
        <v/>
      </c>
      <c r="L685" s="13" t="str">
        <f>IF(AND(G685&lt;&gt;1,G684=1),MAX($L$50:L684)+1,"")</f>
        <v/>
      </c>
      <c r="M685" s="13" t="str">
        <f>IF(AND(G685=-1,G684&lt;&gt;-1),MAX($M$50:M684)+1,"")</f>
        <v/>
      </c>
      <c r="N685" s="13" t="str">
        <f>IF(AND(G685&lt;&gt;-1,G684=-1),MAX($N$50:N684)+1,"")</f>
        <v/>
      </c>
      <c r="T685" s="7">
        <f t="shared" si="88"/>
        <v>87.776590798234793</v>
      </c>
      <c r="U685" s="1">
        <f t="shared" si="89"/>
        <v>134.30060579312675</v>
      </c>
    </row>
    <row r="686" spans="1:21" x14ac:dyDescent="0.3">
      <c r="A686" s="2">
        <v>41169</v>
      </c>
      <c r="B686" s="1">
        <v>2548.2600000000002</v>
      </c>
      <c r="C686" s="2">
        <f t="shared" si="81"/>
        <v>41169</v>
      </c>
      <c r="D686" s="1">
        <f t="shared" si="82"/>
        <v>2548.2600000000002</v>
      </c>
      <c r="E686" s="4">
        <f t="shared" si="83"/>
        <v>2426.6265999999996</v>
      </c>
      <c r="F686" s="3">
        <f t="shared" si="84"/>
        <v>1.0501244814509165</v>
      </c>
      <c r="G686" s="18">
        <f t="shared" si="85"/>
        <v>1</v>
      </c>
      <c r="H686" s="3">
        <f t="shared" si="86"/>
        <v>-3.0788731402549008E-3</v>
      </c>
      <c r="I686" s="3">
        <f t="shared" si="87"/>
        <v>-3.0788731402549008E-3</v>
      </c>
      <c r="K686" s="12" t="str">
        <f>IF(AND(G686=1,G685&lt;&gt;1),MAX($K$50:K685)+1,"")</f>
        <v/>
      </c>
      <c r="L686" s="13" t="str">
        <f>IF(AND(G686&lt;&gt;1,G685=1),MAX($L$50:L685)+1,"")</f>
        <v/>
      </c>
      <c r="M686" s="13" t="str">
        <f>IF(AND(G686=-1,G685&lt;&gt;-1),MAX($M$50:M685)+1,"")</f>
        <v/>
      </c>
      <c r="N686" s="13" t="str">
        <f>IF(AND(G686&lt;&gt;-1,G685=-1),MAX($N$50:N685)+1,"")</f>
        <v/>
      </c>
      <c r="T686" s="7">
        <f t="shared" si="88"/>
        <v>87.506337810482961</v>
      </c>
      <c r="U686" s="1">
        <f t="shared" si="89"/>
        <v>133.88711126523035</v>
      </c>
    </row>
    <row r="687" spans="1:21" x14ac:dyDescent="0.3">
      <c r="A687" s="2">
        <v>41170</v>
      </c>
      <c r="B687" s="1">
        <v>2545.0500000000002</v>
      </c>
      <c r="C687" s="2">
        <f t="shared" si="81"/>
        <v>41170</v>
      </c>
      <c r="D687" s="1">
        <f t="shared" si="82"/>
        <v>2545.0500000000002</v>
      </c>
      <c r="E687" s="4">
        <f t="shared" si="83"/>
        <v>2430.5571999999993</v>
      </c>
      <c r="F687" s="3">
        <f t="shared" si="84"/>
        <v>1.0471055772725699</v>
      </c>
      <c r="G687" s="18">
        <f t="shared" si="85"/>
        <v>1</v>
      </c>
      <c r="H687" s="3">
        <f t="shared" si="86"/>
        <v>-1.2596830778649482E-3</v>
      </c>
      <c r="I687" s="3">
        <f t="shared" si="87"/>
        <v>-1.2596830778649482E-3</v>
      </c>
      <c r="K687" s="12" t="str">
        <f>IF(AND(G687=1,G686&lt;&gt;1),MAX($K$50:K686)+1,"")</f>
        <v/>
      </c>
      <c r="L687" s="13" t="str">
        <f>IF(AND(G687&lt;&gt;1,G686=1),MAX($L$50:L686)+1,"")</f>
        <v/>
      </c>
      <c r="M687" s="13" t="str">
        <f>IF(AND(G687=-1,G686&lt;&gt;-1),MAX($M$50:M686)+1,"")</f>
        <v/>
      </c>
      <c r="N687" s="13" t="str">
        <f>IF(AND(G687&lt;&gt;-1,G686=-1),MAX($N$50:N686)+1,"")</f>
        <v/>
      </c>
      <c r="T687" s="7">
        <f t="shared" si="88"/>
        <v>87.396107557537164</v>
      </c>
      <c r="U687" s="1">
        <f t="shared" si="89"/>
        <v>133.71845593682534</v>
      </c>
    </row>
    <row r="688" spans="1:21" x14ac:dyDescent="0.3">
      <c r="A688" s="2">
        <v>41171</v>
      </c>
      <c r="B688" s="1">
        <v>2548.11</v>
      </c>
      <c r="C688" s="2">
        <f t="shared" si="81"/>
        <v>41171</v>
      </c>
      <c r="D688" s="1">
        <f t="shared" si="82"/>
        <v>2548.11</v>
      </c>
      <c r="E688" s="4">
        <f t="shared" si="83"/>
        <v>2434.9301999999998</v>
      </c>
      <c r="F688" s="3">
        <f t="shared" si="84"/>
        <v>1.0464817430906235</v>
      </c>
      <c r="G688" s="18">
        <f t="shared" si="85"/>
        <v>1</v>
      </c>
      <c r="H688" s="3">
        <f t="shared" si="86"/>
        <v>1.2023339423585799E-3</v>
      </c>
      <c r="I688" s="3">
        <f t="shared" si="87"/>
        <v>1.2023339423585799E-3</v>
      </c>
      <c r="K688" s="12" t="str">
        <f>IF(AND(G688=1,G687&lt;&gt;1),MAX($K$50:K687)+1,"")</f>
        <v/>
      </c>
      <c r="L688" s="13" t="str">
        <f>IF(AND(G688&lt;&gt;1,G687=1),MAX($L$50:L687)+1,"")</f>
        <v/>
      </c>
      <c r="M688" s="13" t="str">
        <f>IF(AND(G688=-1,G687&lt;&gt;-1),MAX($M$50:M687)+1,"")</f>
        <v/>
      </c>
      <c r="N688" s="13" t="str">
        <f>IF(AND(G688&lt;&gt;-1,G687=-1),MAX($N$50:N687)+1,"")</f>
        <v/>
      </c>
      <c r="T688" s="7">
        <f t="shared" si="88"/>
        <v>87.501186864083607</v>
      </c>
      <c r="U688" s="1">
        <f t="shared" si="89"/>
        <v>133.87923017511798</v>
      </c>
    </row>
    <row r="689" spans="1:21" x14ac:dyDescent="0.3">
      <c r="A689" s="2">
        <v>41172</v>
      </c>
      <c r="B689" s="1">
        <v>2547.11</v>
      </c>
      <c r="C689" s="2">
        <f t="shared" si="81"/>
        <v>41172</v>
      </c>
      <c r="D689" s="1">
        <f t="shared" si="82"/>
        <v>2547.11</v>
      </c>
      <c r="E689" s="4">
        <f t="shared" si="83"/>
        <v>2439.2781999999993</v>
      </c>
      <c r="F689" s="3">
        <f t="shared" si="84"/>
        <v>1.0442064377896711</v>
      </c>
      <c r="G689" s="18">
        <f t="shared" si="85"/>
        <v>1</v>
      </c>
      <c r="H689" s="3">
        <f t="shared" si="86"/>
        <v>-3.924477357727385E-4</v>
      </c>
      <c r="I689" s="3">
        <f t="shared" si="87"/>
        <v>-3.924477357727385E-4</v>
      </c>
      <c r="K689" s="12" t="str">
        <f>IF(AND(G689=1,G688&lt;&gt;1),MAX($K$50:K688)+1,"")</f>
        <v/>
      </c>
      <c r="L689" s="13" t="str">
        <f>IF(AND(G689&lt;&gt;1,G688=1),MAX($L$50:L688)+1,"")</f>
        <v/>
      </c>
      <c r="M689" s="13" t="str">
        <f>IF(AND(G689=-1,G688&lt;&gt;-1),MAX($M$50:M688)+1,"")</f>
        <v/>
      </c>
      <c r="N689" s="13" t="str">
        <f>IF(AND(G689&lt;&gt;-1,G688=-1),MAX($N$50:N688)+1,"")</f>
        <v/>
      </c>
      <c r="T689" s="7">
        <f t="shared" si="88"/>
        <v>87.466847221421375</v>
      </c>
      <c r="U689" s="1">
        <f t="shared" si="89"/>
        <v>133.82668957436874</v>
      </c>
    </row>
    <row r="690" spans="1:21" x14ac:dyDescent="0.3">
      <c r="A690" s="2">
        <v>41173</v>
      </c>
      <c r="B690" s="1">
        <v>2546.92</v>
      </c>
      <c r="C690" s="2">
        <f t="shared" si="81"/>
        <v>41173</v>
      </c>
      <c r="D690" s="1">
        <f t="shared" si="82"/>
        <v>2546.92</v>
      </c>
      <c r="E690" s="4">
        <f t="shared" si="83"/>
        <v>2443.8547999999992</v>
      </c>
      <c r="F690" s="3">
        <f t="shared" si="84"/>
        <v>1.0421732093085077</v>
      </c>
      <c r="G690" s="18">
        <f t="shared" si="85"/>
        <v>1</v>
      </c>
      <c r="H690" s="3">
        <f t="shared" si="86"/>
        <v>-7.4594344178335881E-5</v>
      </c>
      <c r="I690" s="3">
        <f t="shared" si="87"/>
        <v>-7.4594344178335881E-5</v>
      </c>
      <c r="K690" s="12" t="str">
        <f>IF(AND(G690=1,G689&lt;&gt;1),MAX($K$50:K689)+1,"")</f>
        <v/>
      </c>
      <c r="L690" s="13" t="str">
        <f>IF(AND(G690&lt;&gt;1,G689=1),MAX($L$50:L689)+1,"")</f>
        <v/>
      </c>
      <c r="M690" s="13" t="str">
        <f>IF(AND(G690=-1,G689&lt;&gt;-1),MAX($M$50:M689)+1,"")</f>
        <v/>
      </c>
      <c r="N690" s="13" t="str">
        <f>IF(AND(G690&lt;&gt;-1,G689=-1),MAX($N$50:N689)+1,"")</f>
        <v/>
      </c>
      <c r="T690" s="7">
        <f t="shared" si="88"/>
        <v>87.460322689315547</v>
      </c>
      <c r="U690" s="1">
        <f t="shared" si="89"/>
        <v>133.81670686022639</v>
      </c>
    </row>
    <row r="691" spans="1:21" x14ac:dyDescent="0.3">
      <c r="A691" s="2">
        <v>41176</v>
      </c>
      <c r="B691" s="1">
        <v>2541.23</v>
      </c>
      <c r="C691" s="2">
        <f t="shared" si="81"/>
        <v>41176</v>
      </c>
      <c r="D691" s="1">
        <f t="shared" si="82"/>
        <v>2541.23</v>
      </c>
      <c r="E691" s="4">
        <f t="shared" si="83"/>
        <v>2447.5513999999989</v>
      </c>
      <c r="F691" s="3">
        <f t="shared" si="84"/>
        <v>1.0382744158100219</v>
      </c>
      <c r="G691" s="18">
        <f t="shared" si="85"/>
        <v>1</v>
      </c>
      <c r="H691" s="3">
        <f t="shared" si="86"/>
        <v>-2.2340709562923555E-3</v>
      </c>
      <c r="I691" s="3">
        <f t="shared" si="87"/>
        <v>-2.2340709562923555E-3</v>
      </c>
      <c r="K691" s="12" t="str">
        <f>IF(AND(G691=1,G690&lt;&gt;1),MAX($K$50:K690)+1,"")</f>
        <v/>
      </c>
      <c r="L691" s="13" t="str">
        <f>IF(AND(G691&lt;&gt;1,G690=1),MAX($L$50:L690)+1,"")</f>
        <v/>
      </c>
      <c r="M691" s="13" t="str">
        <f>IF(AND(G691=-1,G690&lt;&gt;-1),MAX($M$50:M690)+1,"")</f>
        <v/>
      </c>
      <c r="N691" s="13" t="str">
        <f>IF(AND(G691&lt;&gt;-1,G690=-1),MAX($N$50:N690)+1,"")</f>
        <v/>
      </c>
      <c r="T691" s="7">
        <f t="shared" si="88"/>
        <v>87.264930122567392</v>
      </c>
      <c r="U691" s="1">
        <f t="shared" si="89"/>
        <v>133.51775084196328</v>
      </c>
    </row>
    <row r="692" spans="1:21" x14ac:dyDescent="0.3">
      <c r="A692" s="2">
        <v>41177</v>
      </c>
      <c r="B692" s="1">
        <v>2514.83</v>
      </c>
      <c r="C692" s="2">
        <f t="shared" ref="C692:C755" si="90">A692</f>
        <v>41177</v>
      </c>
      <c r="D692" s="1">
        <f t="shared" ref="D692:D755" si="91">B692</f>
        <v>2514.83</v>
      </c>
      <c r="E692" s="4">
        <f t="shared" ref="E692:E755" si="92">AVERAGE(B643:B692)</f>
        <v>2450.8291999999997</v>
      </c>
      <c r="F692" s="3">
        <f t="shared" ref="F692:F755" si="93">D692/E692</f>
        <v>1.0261139372747805</v>
      </c>
      <c r="G692" s="18">
        <f t="shared" ref="G692:G755" si="94">IF(F692&gt;=$Q$51,1,IF(F692&lt;=$Q$52,-1,0))</f>
        <v>1</v>
      </c>
      <c r="H692" s="3">
        <f t="shared" si="86"/>
        <v>-1.03886700534781E-2</v>
      </c>
      <c r="I692" s="3">
        <f t="shared" si="87"/>
        <v>-1.03886700534781E-2</v>
      </c>
      <c r="K692" s="12" t="str">
        <f>IF(AND(G692=1,G691&lt;&gt;1),MAX($K$50:K691)+1,"")</f>
        <v/>
      </c>
      <c r="L692" s="13" t="str">
        <f>IF(AND(G692&lt;&gt;1,G691=1),MAX($L$50:L691)+1,"")</f>
        <v/>
      </c>
      <c r="M692" s="13" t="str">
        <f>IF(AND(G692=-1,G691&lt;&gt;-1),MAX($M$50:M691)+1,"")</f>
        <v/>
      </c>
      <c r="N692" s="13" t="str">
        <f>IF(AND(G692&lt;&gt;-1,G691=-1),MAX($N$50:N691)+1,"")</f>
        <v/>
      </c>
      <c r="T692" s="7">
        <f t="shared" si="88"/>
        <v>86.358363556284218</v>
      </c>
      <c r="U692" s="1">
        <f t="shared" si="89"/>
        <v>132.13067898218364</v>
      </c>
    </row>
    <row r="693" spans="1:21" x14ac:dyDescent="0.3">
      <c r="A693" s="2">
        <v>41178</v>
      </c>
      <c r="B693" s="1">
        <v>2500.92</v>
      </c>
      <c r="C693" s="2">
        <f t="shared" si="90"/>
        <v>41178</v>
      </c>
      <c r="D693" s="1">
        <f t="shared" si="91"/>
        <v>2500.92</v>
      </c>
      <c r="E693" s="4">
        <f t="shared" si="92"/>
        <v>2453.4803999999995</v>
      </c>
      <c r="F693" s="3">
        <f t="shared" si="93"/>
        <v>1.0193356343910474</v>
      </c>
      <c r="G693" s="18">
        <f t="shared" si="94"/>
        <v>1</v>
      </c>
      <c r="H693" s="3">
        <f t="shared" ref="H693:H756" si="95">D693/D692-1</f>
        <v>-5.5311889869295028E-3</v>
      </c>
      <c r="I693" s="3">
        <f t="shared" ref="I693:I756" si="96">G692*H693</f>
        <v>-5.5311889869295028E-3</v>
      </c>
      <c r="K693" s="12" t="str">
        <f>IF(AND(G693=1,G692&lt;&gt;1),MAX($K$50:K692)+1,"")</f>
        <v/>
      </c>
      <c r="L693" s="13" t="str">
        <f>IF(AND(G693&lt;&gt;1,G692=1),MAX($L$50:L692)+1,"")</f>
        <v/>
      </c>
      <c r="M693" s="13" t="str">
        <f>IF(AND(G693=-1,G692&lt;&gt;-1),MAX($M$50:M692)+1,"")</f>
        <v/>
      </c>
      <c r="N693" s="13" t="str">
        <f>IF(AND(G693&lt;&gt;-1,G692=-1),MAX($N$50:N692)+1,"")</f>
        <v/>
      </c>
      <c r="T693" s="7">
        <f t="shared" ref="T693:T756" si="97">T692*(1+I693)</f>
        <v>85.880699126852448</v>
      </c>
      <c r="U693" s="1">
        <f t="shared" ref="U693:U756" si="98">U692*D693/D692</f>
        <v>131.39983922576189</v>
      </c>
    </row>
    <row r="694" spans="1:21" x14ac:dyDescent="0.3">
      <c r="A694" s="2">
        <v>41179</v>
      </c>
      <c r="B694" s="1">
        <v>2525.23</v>
      </c>
      <c r="C694" s="2">
        <f t="shared" si="90"/>
        <v>41179</v>
      </c>
      <c r="D694" s="1">
        <f t="shared" si="91"/>
        <v>2525.23</v>
      </c>
      <c r="E694" s="4">
        <f t="shared" si="92"/>
        <v>2456.2941999999994</v>
      </c>
      <c r="F694" s="3">
        <f t="shared" si="93"/>
        <v>1.0280649606223882</v>
      </c>
      <c r="G694" s="18">
        <f t="shared" si="94"/>
        <v>1</v>
      </c>
      <c r="H694" s="3">
        <f t="shared" si="95"/>
        <v>9.7204228843785767E-3</v>
      </c>
      <c r="I694" s="3">
        <f t="shared" si="96"/>
        <v>9.7204228843785767E-3</v>
      </c>
      <c r="K694" s="12" t="str">
        <f>IF(AND(G694=1,G693&lt;&gt;1),MAX($K$50:K693)+1,"")</f>
        <v/>
      </c>
      <c r="L694" s="13" t="str">
        <f>IF(AND(G694&lt;&gt;1,G693=1),MAX($L$50:L693)+1,"")</f>
        <v/>
      </c>
      <c r="M694" s="13" t="str">
        <f>IF(AND(G694=-1,G693&lt;&gt;-1),MAX($M$50:M693)+1,"")</f>
        <v/>
      </c>
      <c r="N694" s="13" t="str">
        <f>IF(AND(G694&lt;&gt;-1,G693=-1),MAX($N$50:N693)+1,"")</f>
        <v/>
      </c>
      <c r="T694" s="7">
        <f t="shared" si="97"/>
        <v>86.715495839971538</v>
      </c>
      <c r="U694" s="1">
        <f t="shared" si="98"/>
        <v>132.67710122997565</v>
      </c>
    </row>
    <row r="695" spans="1:21" x14ac:dyDescent="0.3">
      <c r="A695" s="2">
        <v>41180</v>
      </c>
      <c r="B695" s="1">
        <v>2513.9299999999998</v>
      </c>
      <c r="C695" s="2">
        <f t="shared" si="90"/>
        <v>41180</v>
      </c>
      <c r="D695" s="1">
        <f t="shared" si="91"/>
        <v>2513.9299999999998</v>
      </c>
      <c r="E695" s="4">
        <f t="shared" si="92"/>
        <v>2458.7473999999997</v>
      </c>
      <c r="F695" s="3">
        <f t="shared" si="93"/>
        <v>1.0224433790962015</v>
      </c>
      <c r="G695" s="18">
        <f t="shared" si="94"/>
        <v>1</v>
      </c>
      <c r="H695" s="3">
        <f t="shared" si="95"/>
        <v>-4.4748399155720708E-3</v>
      </c>
      <c r="I695" s="3">
        <f t="shared" si="96"/>
        <v>-4.4748399155720708E-3</v>
      </c>
      <c r="K695" s="12" t="str">
        <f>IF(AND(G695=1,G694&lt;&gt;1),MAX($K$50:K694)+1,"")</f>
        <v/>
      </c>
      <c r="L695" s="13" t="str">
        <f>IF(AND(G695&lt;&gt;1,G694=1),MAX($L$50:L694)+1,"")</f>
        <v/>
      </c>
      <c r="M695" s="13" t="str">
        <f>IF(AND(G695=-1,G694&lt;&gt;-1),MAX($M$50:M694)+1,"")</f>
        <v/>
      </c>
      <c r="N695" s="13" t="str">
        <f>IF(AND(G695&lt;&gt;-1,G694=-1),MAX($N$50:N694)+1,"")</f>
        <v/>
      </c>
      <c r="T695" s="7">
        <f t="shared" si="97"/>
        <v>86.327457877888207</v>
      </c>
      <c r="U695" s="1">
        <f t="shared" si="98"/>
        <v>132.08339244150935</v>
      </c>
    </row>
    <row r="696" spans="1:21" x14ac:dyDescent="0.3">
      <c r="A696" s="2">
        <v>41183</v>
      </c>
      <c r="B696" s="1">
        <v>2520.71</v>
      </c>
      <c r="C696" s="2">
        <f t="shared" si="90"/>
        <v>41183</v>
      </c>
      <c r="D696" s="1">
        <f t="shared" si="91"/>
        <v>2520.71</v>
      </c>
      <c r="E696" s="4">
        <f t="shared" si="92"/>
        <v>2461.8163999999997</v>
      </c>
      <c r="F696" s="3">
        <f t="shared" si="93"/>
        <v>1.0239228238141562</v>
      </c>
      <c r="G696" s="18">
        <f t="shared" si="94"/>
        <v>1</v>
      </c>
      <c r="H696" s="3">
        <f t="shared" si="95"/>
        <v>2.6969724694005937E-3</v>
      </c>
      <c r="I696" s="3">
        <f t="shared" si="96"/>
        <v>2.6969724694005937E-3</v>
      </c>
      <c r="K696" s="12" t="str">
        <f>IF(AND(G696=1,G695&lt;&gt;1),MAX($K$50:K695)+1,"")</f>
        <v/>
      </c>
      <c r="L696" s="13" t="str">
        <f>IF(AND(G696&lt;&gt;1,G695=1),MAX($L$50:L695)+1,"")</f>
        <v/>
      </c>
      <c r="M696" s="13" t="str">
        <f>IF(AND(G696=-1,G695&lt;&gt;-1),MAX($M$50:M695)+1,"")</f>
        <v/>
      </c>
      <c r="N696" s="13" t="str">
        <f>IF(AND(G696&lt;&gt;-1,G695=-1),MAX($N$50:N695)+1,"")</f>
        <v/>
      </c>
      <c r="T696" s="7">
        <f t="shared" si="97"/>
        <v>86.560280655138214</v>
      </c>
      <c r="U696" s="1">
        <f t="shared" si="98"/>
        <v>132.43961771458913</v>
      </c>
    </row>
    <row r="697" spans="1:21" x14ac:dyDescent="0.3">
      <c r="A697" s="2">
        <v>41184</v>
      </c>
      <c r="B697" s="1">
        <v>2523.08</v>
      </c>
      <c r="C697" s="2">
        <f t="shared" si="90"/>
        <v>41184</v>
      </c>
      <c r="D697" s="1">
        <f t="shared" si="91"/>
        <v>2523.08</v>
      </c>
      <c r="E697" s="4">
        <f t="shared" si="92"/>
        <v>2465.3535999999999</v>
      </c>
      <c r="F697" s="3">
        <f t="shared" si="93"/>
        <v>1.0234150590000559</v>
      </c>
      <c r="G697" s="18">
        <f t="shared" si="94"/>
        <v>1</v>
      </c>
      <c r="H697" s="3">
        <f t="shared" si="95"/>
        <v>9.4021128967636258E-4</v>
      </c>
      <c r="I697" s="3">
        <f t="shared" si="96"/>
        <v>9.4021128967636258E-4</v>
      </c>
      <c r="K697" s="12" t="str">
        <f>IF(AND(G697=1,G696&lt;&gt;1),MAX($K$50:K696)+1,"")</f>
        <v/>
      </c>
      <c r="L697" s="13" t="str">
        <f>IF(AND(G697&lt;&gt;1,G696=1),MAX($L$50:L696)+1,"")</f>
        <v/>
      </c>
      <c r="M697" s="13" t="str">
        <f>IF(AND(G697=-1,G696&lt;&gt;-1),MAX($M$50:M696)+1,"")</f>
        <v/>
      </c>
      <c r="N697" s="13" t="str">
        <f>IF(AND(G697&lt;&gt;-1,G696=-1),MAX($N$50:N696)+1,"")</f>
        <v/>
      </c>
      <c r="T697" s="7">
        <f t="shared" si="97"/>
        <v>86.641665608247735</v>
      </c>
      <c r="U697" s="1">
        <f t="shared" si="98"/>
        <v>132.56413893836481</v>
      </c>
    </row>
    <row r="698" spans="1:21" x14ac:dyDescent="0.3">
      <c r="A698" s="2">
        <v>41185</v>
      </c>
      <c r="B698" s="1">
        <v>2532.79</v>
      </c>
      <c r="C698" s="2">
        <f t="shared" si="90"/>
        <v>41185</v>
      </c>
      <c r="D698" s="1">
        <f t="shared" si="91"/>
        <v>2532.79</v>
      </c>
      <c r="E698" s="4">
        <f t="shared" si="92"/>
        <v>2469.5089999999996</v>
      </c>
      <c r="F698" s="3">
        <f t="shared" si="93"/>
        <v>1.0256249319196651</v>
      </c>
      <c r="G698" s="18">
        <f t="shared" si="94"/>
        <v>1</v>
      </c>
      <c r="H698" s="3">
        <f t="shared" si="95"/>
        <v>3.8484709164989805E-3</v>
      </c>
      <c r="I698" s="3">
        <f t="shared" si="96"/>
        <v>3.8484709164989805E-3</v>
      </c>
      <c r="K698" s="12" t="str">
        <f>IF(AND(G698=1,G697&lt;&gt;1),MAX($K$50:K697)+1,"")</f>
        <v/>
      </c>
      <c r="L698" s="13" t="str">
        <f>IF(AND(G698&lt;&gt;1,G697=1),MAX($L$50:L697)+1,"")</f>
        <v/>
      </c>
      <c r="M698" s="13" t="str">
        <f>IF(AND(G698=-1,G697&lt;&gt;-1),MAX($M$50:M697)+1,"")</f>
        <v/>
      </c>
      <c r="N698" s="13" t="str">
        <f>IF(AND(G698&lt;&gt;-1,G697=-1),MAX($N$50:N697)+1,"")</f>
        <v/>
      </c>
      <c r="T698" s="7">
        <f t="shared" si="97"/>
        <v>86.975103538498104</v>
      </c>
      <c r="U698" s="1">
        <f t="shared" si="98"/>
        <v>133.07430817163984</v>
      </c>
    </row>
    <row r="699" spans="1:21" x14ac:dyDescent="0.3">
      <c r="A699" s="2">
        <v>41186</v>
      </c>
      <c r="B699" s="1">
        <v>2550.98</v>
      </c>
      <c r="C699" s="2">
        <f t="shared" si="90"/>
        <v>41186</v>
      </c>
      <c r="D699" s="1">
        <f t="shared" si="91"/>
        <v>2550.98</v>
      </c>
      <c r="E699" s="4">
        <f t="shared" si="92"/>
        <v>2474.0419999999995</v>
      </c>
      <c r="F699" s="3">
        <f t="shared" si="93"/>
        <v>1.0310980977687527</v>
      </c>
      <c r="G699" s="18">
        <f t="shared" si="94"/>
        <v>1</v>
      </c>
      <c r="H699" s="3">
        <f t="shared" si="95"/>
        <v>7.1818034657433749E-3</v>
      </c>
      <c r="I699" s="3">
        <f t="shared" si="96"/>
        <v>7.1818034657433749E-3</v>
      </c>
      <c r="K699" s="12" t="str">
        <f>IF(AND(G699=1,G698&lt;&gt;1),MAX($K$50:K698)+1,"")</f>
        <v/>
      </c>
      <c r="L699" s="13" t="str">
        <f>IF(AND(G699&lt;&gt;1,G698=1),MAX($L$50:L698)+1,"")</f>
        <v/>
      </c>
      <c r="M699" s="13" t="str">
        <f>IF(AND(G699=-1,G698&lt;&gt;-1),MAX($M$50:M698)+1,"")</f>
        <v/>
      </c>
      <c r="N699" s="13" t="str">
        <f>IF(AND(G699&lt;&gt;-1,G698=-1),MAX($N$50:N698)+1,"")</f>
        <v/>
      </c>
      <c r="T699" s="7">
        <f t="shared" si="97"/>
        <v>87.599741638524279</v>
      </c>
      <c r="U699" s="1">
        <f t="shared" si="98"/>
        <v>134.03002169926833</v>
      </c>
    </row>
    <row r="700" spans="1:21" x14ac:dyDescent="0.3">
      <c r="A700" s="2">
        <v>41187</v>
      </c>
      <c r="B700" s="1">
        <v>2551.0300000000002</v>
      </c>
      <c r="C700" s="2">
        <f t="shared" si="90"/>
        <v>41187</v>
      </c>
      <c r="D700" s="1">
        <f t="shared" si="91"/>
        <v>2551.0300000000002</v>
      </c>
      <c r="E700" s="4">
        <f t="shared" si="92"/>
        <v>2477.8055999999992</v>
      </c>
      <c r="F700" s="3">
        <f t="shared" si="93"/>
        <v>1.0295521165986552</v>
      </c>
      <c r="G700" s="18">
        <f t="shared" si="94"/>
        <v>1</v>
      </c>
      <c r="H700" s="3">
        <f t="shared" si="95"/>
        <v>1.9600310468881332E-5</v>
      </c>
      <c r="I700" s="3">
        <f t="shared" si="96"/>
        <v>1.9600310468881332E-5</v>
      </c>
      <c r="K700" s="12" t="str">
        <f>IF(AND(G700=1,G699&lt;&gt;1),MAX($K$50:K699)+1,"")</f>
        <v/>
      </c>
      <c r="L700" s="13" t="str">
        <f>IF(AND(G700&lt;&gt;1,G699=1),MAX($L$50:L699)+1,"")</f>
        <v/>
      </c>
      <c r="M700" s="13" t="str">
        <f>IF(AND(G700=-1,G699&lt;&gt;-1),MAX($M$50:M699)+1,"")</f>
        <v/>
      </c>
      <c r="N700" s="13" t="str">
        <f>IF(AND(G700&lt;&gt;-1,G699=-1),MAX($N$50:N699)+1,"")</f>
        <v/>
      </c>
      <c r="T700" s="7">
        <f t="shared" si="97"/>
        <v>87.601458620657382</v>
      </c>
      <c r="U700" s="1">
        <f t="shared" si="98"/>
        <v>134.03264872930581</v>
      </c>
    </row>
    <row r="701" spans="1:21" x14ac:dyDescent="0.3">
      <c r="A701" s="2">
        <v>41190</v>
      </c>
      <c r="B701" s="1">
        <v>2542.21</v>
      </c>
      <c r="C701" s="2">
        <f t="shared" si="90"/>
        <v>41190</v>
      </c>
      <c r="D701" s="1">
        <f t="shared" si="91"/>
        <v>2542.21</v>
      </c>
      <c r="E701" s="4">
        <f t="shared" si="92"/>
        <v>2480.4883999999993</v>
      </c>
      <c r="F701" s="3">
        <f t="shared" si="93"/>
        <v>1.0248828416210294</v>
      </c>
      <c r="G701" s="18">
        <f t="shared" si="94"/>
        <v>1</v>
      </c>
      <c r="H701" s="3">
        <f t="shared" si="95"/>
        <v>-3.4574270000745644E-3</v>
      </c>
      <c r="I701" s="3">
        <f t="shared" si="96"/>
        <v>-3.4574270000745644E-3</v>
      </c>
      <c r="K701" s="12" t="str">
        <f>IF(AND(G701=1,G700&lt;&gt;1),MAX($K$50:K700)+1,"")</f>
        <v/>
      </c>
      <c r="L701" s="13" t="str">
        <f>IF(AND(G701&lt;&gt;1,G700=1),MAX($L$50:L700)+1,"")</f>
        <v/>
      </c>
      <c r="M701" s="13" t="str">
        <f>IF(AND(G701=-1,G700&lt;&gt;-1),MAX($M$50:M700)+1,"")</f>
        <v/>
      </c>
      <c r="N701" s="13" t="str">
        <f>IF(AND(G701&lt;&gt;-1,G700=-1),MAX($N$50:N700)+1,"")</f>
        <v/>
      </c>
      <c r="T701" s="7">
        <f t="shared" si="97"/>
        <v>87.298582972376408</v>
      </c>
      <c r="U701" s="1">
        <f t="shared" si="98"/>
        <v>133.56924063069758</v>
      </c>
    </row>
    <row r="702" spans="1:21" x14ac:dyDescent="0.3">
      <c r="A702" s="2">
        <v>41191</v>
      </c>
      <c r="B702" s="1">
        <v>2517.14</v>
      </c>
      <c r="C702" s="2">
        <f t="shared" si="90"/>
        <v>41191</v>
      </c>
      <c r="D702" s="1">
        <f t="shared" si="91"/>
        <v>2517.14</v>
      </c>
      <c r="E702" s="4">
        <f t="shared" si="92"/>
        <v>2482.6913999999997</v>
      </c>
      <c r="F702" s="3">
        <f t="shared" si="93"/>
        <v>1.013875506234887</v>
      </c>
      <c r="G702" s="18">
        <f t="shared" si="94"/>
        <v>1</v>
      </c>
      <c r="H702" s="3">
        <f t="shared" si="95"/>
        <v>-9.8614984600013944E-3</v>
      </c>
      <c r="I702" s="3">
        <f t="shared" si="96"/>
        <v>-9.8614984600013944E-3</v>
      </c>
      <c r="K702" s="12" t="str">
        <f>IF(AND(G702=1,G701&lt;&gt;1),MAX($K$50:K701)+1,"")</f>
        <v/>
      </c>
      <c r="L702" s="13" t="str">
        <f>IF(AND(G702&lt;&gt;1,G701=1),MAX($L$50:L701)+1,"")</f>
        <v/>
      </c>
      <c r="M702" s="13" t="str">
        <f>IF(AND(G702=-1,G701&lt;&gt;-1),MAX($M$50:M701)+1,"")</f>
        <v/>
      </c>
      <c r="N702" s="13" t="str">
        <f>IF(AND(G702&lt;&gt;-1,G701=-1),MAX($N$50:N701)+1,"")</f>
        <v/>
      </c>
      <c r="T702" s="7">
        <f t="shared" si="97"/>
        <v>86.437688130834019</v>
      </c>
      <c r="U702" s="1">
        <f t="shared" si="98"/>
        <v>132.25204776991441</v>
      </c>
    </row>
    <row r="703" spans="1:21" x14ac:dyDescent="0.3">
      <c r="A703" s="2">
        <v>41192</v>
      </c>
      <c r="B703" s="1">
        <v>2501.75</v>
      </c>
      <c r="C703" s="2">
        <f t="shared" si="90"/>
        <v>41192</v>
      </c>
      <c r="D703" s="1">
        <f t="shared" si="91"/>
        <v>2501.75</v>
      </c>
      <c r="E703" s="4">
        <f t="shared" si="92"/>
        <v>2484.7939999999999</v>
      </c>
      <c r="F703" s="3">
        <f t="shared" si="93"/>
        <v>1.0068239057241768</v>
      </c>
      <c r="G703" s="18">
        <f t="shared" si="94"/>
        <v>1</v>
      </c>
      <c r="H703" s="3">
        <f t="shared" si="95"/>
        <v>-6.1140818548034437E-3</v>
      </c>
      <c r="I703" s="3">
        <f t="shared" si="96"/>
        <v>-6.1140818548034437E-3</v>
      </c>
      <c r="K703" s="12" t="str">
        <f>IF(AND(G703=1,G702&lt;&gt;1),MAX($K$50:K702)+1,"")</f>
        <v/>
      </c>
      <c r="L703" s="13" t="str">
        <f>IF(AND(G703&lt;&gt;1,G702=1),MAX($L$50:L702)+1,"")</f>
        <v/>
      </c>
      <c r="M703" s="13" t="str">
        <f>IF(AND(G703=-1,G702&lt;&gt;-1),MAX($M$50:M702)+1,"")</f>
        <v/>
      </c>
      <c r="N703" s="13" t="str">
        <f>IF(AND(G703&lt;&gt;-1,G702=-1),MAX($N$50:N702)+1,"")</f>
        <v/>
      </c>
      <c r="T703" s="7">
        <f t="shared" si="97"/>
        <v>85.909201030262125</v>
      </c>
      <c r="U703" s="1">
        <f t="shared" si="98"/>
        <v>131.44344792438378</v>
      </c>
    </row>
    <row r="704" spans="1:21" x14ac:dyDescent="0.3">
      <c r="A704" s="2">
        <v>41193</v>
      </c>
      <c r="B704" s="1">
        <v>2502.66</v>
      </c>
      <c r="C704" s="2">
        <f t="shared" si="90"/>
        <v>41193</v>
      </c>
      <c r="D704" s="1">
        <f t="shared" si="91"/>
        <v>2502.66</v>
      </c>
      <c r="E704" s="4">
        <f t="shared" si="92"/>
        <v>2487.0526</v>
      </c>
      <c r="F704" s="3">
        <f t="shared" si="93"/>
        <v>1.0062754603581765</v>
      </c>
      <c r="G704" s="18">
        <f t="shared" si="94"/>
        <v>1</v>
      </c>
      <c r="H704" s="3">
        <f t="shared" si="95"/>
        <v>3.6374537823524733E-4</v>
      </c>
      <c r="I704" s="3">
        <f t="shared" si="96"/>
        <v>3.6374537823524733E-4</v>
      </c>
      <c r="K704" s="12" t="str">
        <f>IF(AND(G704=1,G703&lt;&gt;1),MAX($K$50:K703)+1,"")</f>
        <v/>
      </c>
      <c r="L704" s="13" t="str">
        <f>IF(AND(G704&lt;&gt;1,G703=1),MAX($L$50:L703)+1,"")</f>
        <v/>
      </c>
      <c r="M704" s="13" t="str">
        <f>IF(AND(G704=-1,G703&lt;&gt;-1),MAX($M$50:M703)+1,"")</f>
        <v/>
      </c>
      <c r="N704" s="13" t="str">
        <f>IF(AND(G704&lt;&gt;-1,G703=-1),MAX($N$50:N703)+1,"")</f>
        <v/>
      </c>
      <c r="T704" s="7">
        <f t="shared" si="97"/>
        <v>85.940450105084764</v>
      </c>
      <c r="U704" s="1">
        <f t="shared" si="98"/>
        <v>131.49125987106555</v>
      </c>
    </row>
    <row r="705" spans="1:21" x14ac:dyDescent="0.3">
      <c r="A705" s="2">
        <v>41194</v>
      </c>
      <c r="B705" s="1">
        <v>2495.2800000000002</v>
      </c>
      <c r="C705" s="2">
        <f t="shared" si="90"/>
        <v>41194</v>
      </c>
      <c r="D705" s="1">
        <f t="shared" si="91"/>
        <v>2495.2800000000002</v>
      </c>
      <c r="E705" s="4">
        <f t="shared" si="92"/>
        <v>2489.5119999999997</v>
      </c>
      <c r="F705" s="3">
        <f t="shared" si="93"/>
        <v>1.0023169199425432</v>
      </c>
      <c r="G705" s="18">
        <f t="shared" si="94"/>
        <v>1</v>
      </c>
      <c r="H705" s="3">
        <f t="shared" si="95"/>
        <v>-2.9488624103951588E-3</v>
      </c>
      <c r="I705" s="3">
        <f t="shared" si="96"/>
        <v>-2.9488624103951588E-3</v>
      </c>
      <c r="K705" s="12" t="str">
        <f>IF(AND(G705=1,G704&lt;&gt;1),MAX($K$50:K704)+1,"")</f>
        <v/>
      </c>
      <c r="L705" s="13" t="str">
        <f>IF(AND(G705&lt;&gt;1,G704=1),MAX($L$50:L704)+1,"")</f>
        <v/>
      </c>
      <c r="M705" s="13" t="str">
        <f>IF(AND(G705=-1,G704&lt;&gt;-1),MAX($M$50:M704)+1,"")</f>
        <v/>
      </c>
      <c r="N705" s="13" t="str">
        <f>IF(AND(G705&lt;&gt;-1,G704=-1),MAX($N$50:N704)+1,"")</f>
        <v/>
      </c>
      <c r="T705" s="7">
        <f t="shared" si="97"/>
        <v>85.687023542237441</v>
      </c>
      <c r="U705" s="1">
        <f t="shared" si="98"/>
        <v>131.10351023753626</v>
      </c>
    </row>
    <row r="706" spans="1:21" x14ac:dyDescent="0.3">
      <c r="A706" s="2">
        <v>41197</v>
      </c>
      <c r="B706" s="1">
        <v>2515.44</v>
      </c>
      <c r="C706" s="2">
        <f t="shared" si="90"/>
        <v>41197</v>
      </c>
      <c r="D706" s="1">
        <f t="shared" si="91"/>
        <v>2515.44</v>
      </c>
      <c r="E706" s="4">
        <f t="shared" si="92"/>
        <v>2491.4653999999996</v>
      </c>
      <c r="F706" s="3">
        <f t="shared" si="93"/>
        <v>1.0096226903251397</v>
      </c>
      <c r="G706" s="18">
        <f t="shared" si="94"/>
        <v>1</v>
      </c>
      <c r="H706" s="3">
        <f t="shared" si="95"/>
        <v>8.0792536308549323E-3</v>
      </c>
      <c r="I706" s="3">
        <f t="shared" si="96"/>
        <v>8.0792536308549323E-3</v>
      </c>
      <c r="K706" s="12" t="str">
        <f>IF(AND(G706=1,G705&lt;&gt;1),MAX($K$50:K705)+1,"")</f>
        <v/>
      </c>
      <c r="L706" s="13" t="str">
        <f>IF(AND(G706&lt;&gt;1,G705=1),MAX($L$50:L705)+1,"")</f>
        <v/>
      </c>
      <c r="M706" s="13" t="str">
        <f>IF(AND(G706=-1,G705&lt;&gt;-1),MAX($M$50:M705)+1,"")</f>
        <v/>
      </c>
      <c r="N706" s="13" t="str">
        <f>IF(AND(G706&lt;&gt;-1,G705=-1),MAX($N$50:N705)+1,"")</f>
        <v/>
      </c>
      <c r="T706" s="7">
        <f t="shared" si="97"/>
        <v>86.37931073830822</v>
      </c>
      <c r="U706" s="1">
        <f t="shared" si="98"/>
        <v>132.16272874864072</v>
      </c>
    </row>
    <row r="707" spans="1:21" x14ac:dyDescent="0.3">
      <c r="A707" s="2">
        <v>41198</v>
      </c>
      <c r="B707" s="1">
        <v>2541.2800000000002</v>
      </c>
      <c r="C707" s="2">
        <f t="shared" si="90"/>
        <v>41198</v>
      </c>
      <c r="D707" s="1">
        <f t="shared" si="91"/>
        <v>2541.2800000000002</v>
      </c>
      <c r="E707" s="4">
        <f t="shared" si="92"/>
        <v>2493.8217999999997</v>
      </c>
      <c r="F707" s="3">
        <f t="shared" si="93"/>
        <v>1.0190303092225759</v>
      </c>
      <c r="G707" s="18">
        <f t="shared" si="94"/>
        <v>1</v>
      </c>
      <c r="H707" s="3">
        <f t="shared" si="95"/>
        <v>1.0272556689883361E-2</v>
      </c>
      <c r="I707" s="3">
        <f t="shared" si="96"/>
        <v>1.0272556689883361E-2</v>
      </c>
      <c r="K707" s="12" t="str">
        <f>IF(AND(G707=1,G706&lt;&gt;1),MAX($K$50:K706)+1,"")</f>
        <v/>
      </c>
      <c r="L707" s="13" t="str">
        <f>IF(AND(G707&lt;&gt;1,G706=1),MAX($L$50:L706)+1,"")</f>
        <v/>
      </c>
      <c r="M707" s="13" t="str">
        <f>IF(AND(G707=-1,G706&lt;&gt;-1),MAX($M$50:M706)+1,"")</f>
        <v/>
      </c>
      <c r="N707" s="13" t="str">
        <f>IF(AND(G707&lt;&gt;-1,G706=-1),MAX($N$50:N706)+1,"")</f>
        <v/>
      </c>
      <c r="T707" s="7">
        <f t="shared" si="97"/>
        <v>87.266647104700539</v>
      </c>
      <c r="U707" s="1">
        <f t="shared" si="98"/>
        <v>133.52037787200081</v>
      </c>
    </row>
    <row r="708" spans="1:21" x14ac:dyDescent="0.3">
      <c r="A708" s="2">
        <v>41199</v>
      </c>
      <c r="B708" s="1">
        <v>2552.0500000000002</v>
      </c>
      <c r="C708" s="2">
        <f t="shared" si="90"/>
        <v>41199</v>
      </c>
      <c r="D708" s="1">
        <f t="shared" si="91"/>
        <v>2552.0500000000002</v>
      </c>
      <c r="E708" s="4">
        <f t="shared" si="92"/>
        <v>2496.1451999999999</v>
      </c>
      <c r="F708" s="3">
        <f t="shared" si="93"/>
        <v>1.0223964535396419</v>
      </c>
      <c r="G708" s="18">
        <f t="shared" si="94"/>
        <v>1</v>
      </c>
      <c r="H708" s="3">
        <f t="shared" si="95"/>
        <v>4.2380217842976631E-3</v>
      </c>
      <c r="I708" s="3">
        <f t="shared" si="96"/>
        <v>4.2380217842976631E-3</v>
      </c>
      <c r="K708" s="12" t="str">
        <f>IF(AND(G708=1,G707&lt;&gt;1),MAX($K$50:K707)+1,"")</f>
        <v/>
      </c>
      <c r="L708" s="13" t="str">
        <f>IF(AND(G708&lt;&gt;1,G707=1),MAX($L$50:L707)+1,"")</f>
        <v/>
      </c>
      <c r="M708" s="13" t="str">
        <f>IF(AND(G708=-1,G707&lt;&gt;-1),MAX($M$50:M707)+1,"")</f>
        <v/>
      </c>
      <c r="N708" s="13" t="str">
        <f>IF(AND(G708&lt;&gt;-1,G707=-1),MAX($N$50:N707)+1,"")</f>
        <v/>
      </c>
      <c r="T708" s="7">
        <f t="shared" si="97"/>
        <v>87.636485056172873</v>
      </c>
      <c r="U708" s="1">
        <f t="shared" si="98"/>
        <v>134.08624014206998</v>
      </c>
    </row>
    <row r="709" spans="1:21" x14ac:dyDescent="0.3">
      <c r="A709" s="2">
        <v>41200</v>
      </c>
      <c r="B709" s="1">
        <v>2545.9499999999998</v>
      </c>
      <c r="C709" s="2">
        <f t="shared" si="90"/>
        <v>41200</v>
      </c>
      <c r="D709" s="1">
        <f t="shared" si="91"/>
        <v>2545.9499999999998</v>
      </c>
      <c r="E709" s="4">
        <f t="shared" si="92"/>
        <v>2498.3009999999999</v>
      </c>
      <c r="F709" s="3">
        <f t="shared" si="93"/>
        <v>1.0190725617129401</v>
      </c>
      <c r="G709" s="18">
        <f t="shared" si="94"/>
        <v>1</v>
      </c>
      <c r="H709" s="3">
        <f t="shared" si="95"/>
        <v>-2.3902353010326616E-3</v>
      </c>
      <c r="I709" s="3">
        <f t="shared" si="96"/>
        <v>-2.3902353010326616E-3</v>
      </c>
      <c r="K709" s="12" t="str">
        <f>IF(AND(G709=1,G708&lt;&gt;1),MAX($K$50:K708)+1,"")</f>
        <v/>
      </c>
      <c r="L709" s="13" t="str">
        <f>IF(AND(G709&lt;&gt;1,G708=1),MAX($L$50:L708)+1,"")</f>
        <v/>
      </c>
      <c r="M709" s="13" t="str">
        <f>IF(AND(G709=-1,G708&lt;&gt;-1),MAX($M$50:M708)+1,"")</f>
        <v/>
      </c>
      <c r="N709" s="13" t="str">
        <f>IF(AND(G709&lt;&gt;-1,G708=-1),MAX($N$50:N708)+1,"")</f>
        <v/>
      </c>
      <c r="T709" s="7">
        <f t="shared" si="97"/>
        <v>87.427013235933188</v>
      </c>
      <c r="U709" s="1">
        <f t="shared" si="98"/>
        <v>133.76574247749966</v>
      </c>
    </row>
    <row r="710" spans="1:21" x14ac:dyDescent="0.3">
      <c r="A710" s="2">
        <v>41201</v>
      </c>
      <c r="B710" s="1">
        <v>2503.8000000000002</v>
      </c>
      <c r="C710" s="2">
        <f t="shared" si="90"/>
        <v>41201</v>
      </c>
      <c r="D710" s="1">
        <f t="shared" si="91"/>
        <v>2503.8000000000002</v>
      </c>
      <c r="E710" s="4">
        <f t="shared" si="92"/>
        <v>2499.5724</v>
      </c>
      <c r="F710" s="3">
        <f t="shared" si="93"/>
        <v>1.001691329284961</v>
      </c>
      <c r="G710" s="18">
        <f t="shared" si="94"/>
        <v>1</v>
      </c>
      <c r="H710" s="3">
        <f t="shared" si="95"/>
        <v>-1.6555706121486935E-2</v>
      </c>
      <c r="I710" s="3">
        <f t="shared" si="96"/>
        <v>-1.6555706121486935E-2</v>
      </c>
      <c r="K710" s="12" t="str">
        <f>IF(AND(G710=1,G709&lt;&gt;1),MAX($K$50:K709)+1,"")</f>
        <v/>
      </c>
      <c r="L710" s="13" t="str">
        <f>IF(AND(G710&lt;&gt;1,G709=1),MAX($L$50:L709)+1,"")</f>
        <v/>
      </c>
      <c r="M710" s="13" t="str">
        <f>IF(AND(G710=-1,G709&lt;&gt;-1),MAX($M$50:M709)+1,"")</f>
        <v/>
      </c>
      <c r="N710" s="13" t="str">
        <f>IF(AND(G710&lt;&gt;-1,G709=-1),MAX($N$50:N709)+1,"")</f>
        <v/>
      </c>
      <c r="T710" s="7">
        <f t="shared" si="97"/>
        <v>85.979597297719735</v>
      </c>
      <c r="U710" s="1">
        <f t="shared" si="98"/>
        <v>131.55115615591967</v>
      </c>
    </row>
    <row r="711" spans="1:21" x14ac:dyDescent="0.3">
      <c r="A711" s="2">
        <v>41204</v>
      </c>
      <c r="B711" s="1">
        <v>2504.96</v>
      </c>
      <c r="C711" s="2">
        <f t="shared" si="90"/>
        <v>41204</v>
      </c>
      <c r="D711" s="1">
        <f t="shared" si="91"/>
        <v>2504.96</v>
      </c>
      <c r="E711" s="4">
        <f t="shared" si="92"/>
        <v>2500.7588000000001</v>
      </c>
      <c r="F711" s="3">
        <f t="shared" si="93"/>
        <v>1.0016799700954766</v>
      </c>
      <c r="G711" s="18">
        <f t="shared" si="94"/>
        <v>1</v>
      </c>
      <c r="H711" s="3">
        <f t="shared" si="95"/>
        <v>4.6329579039849911E-4</v>
      </c>
      <c r="I711" s="3">
        <f t="shared" si="96"/>
        <v>4.6329579039849911E-4</v>
      </c>
      <c r="K711" s="12" t="str">
        <f>IF(AND(G711=1,G710&lt;&gt;1),MAX($K$50:K710)+1,"")</f>
        <v/>
      </c>
      <c r="L711" s="13" t="str">
        <f>IF(AND(G711&lt;&gt;1,G710=1),MAX($L$50:L710)+1,"")</f>
        <v/>
      </c>
      <c r="M711" s="13" t="str">
        <f>IF(AND(G711=-1,G710&lt;&gt;-1),MAX($M$50:M710)+1,"")</f>
        <v/>
      </c>
      <c r="N711" s="13" t="str">
        <f>IF(AND(G711&lt;&gt;-1,G710=-1),MAX($N$50:N710)+1,"")</f>
        <v/>
      </c>
      <c r="T711" s="7">
        <f t="shared" si="97"/>
        <v>86.019431283207922</v>
      </c>
      <c r="U711" s="1">
        <f t="shared" si="98"/>
        <v>131.61210325278876</v>
      </c>
    </row>
    <row r="712" spans="1:21" x14ac:dyDescent="0.3">
      <c r="A712" s="2">
        <v>41205</v>
      </c>
      <c r="B712" s="1">
        <v>2468.7800000000002</v>
      </c>
      <c r="C712" s="2">
        <f t="shared" si="90"/>
        <v>41205</v>
      </c>
      <c r="D712" s="1">
        <f t="shared" si="91"/>
        <v>2468.7800000000002</v>
      </c>
      <c r="E712" s="4">
        <f t="shared" si="92"/>
        <v>2501.2734</v>
      </c>
      <c r="F712" s="3">
        <f t="shared" si="93"/>
        <v>0.98700925696487241</v>
      </c>
      <c r="G712" s="18">
        <f t="shared" si="94"/>
        <v>1</v>
      </c>
      <c r="H712" s="3">
        <f t="shared" si="95"/>
        <v>-1.4443344404700964E-2</v>
      </c>
      <c r="I712" s="3">
        <f t="shared" si="96"/>
        <v>-1.4443344404700964E-2</v>
      </c>
      <c r="K712" s="12" t="str">
        <f>IF(AND(G712=1,G711&lt;&gt;1),MAX($K$50:K711)+1,"")</f>
        <v/>
      </c>
      <c r="L712" s="13" t="str">
        <f>IF(AND(G712&lt;&gt;1,G711=1),MAX($L$50:L711)+1,"")</f>
        <v/>
      </c>
      <c r="M712" s="13" t="str">
        <f>IF(AND(G712=-1,G711&lt;&gt;-1),MAX($M$50:M711)+1,"")</f>
        <v/>
      </c>
      <c r="N712" s="13" t="str">
        <f>IF(AND(G712&lt;&gt;-1,G711=-1),MAX($N$50:N711)+1,"")</f>
        <v/>
      </c>
      <c r="T712" s="7">
        <f t="shared" si="97"/>
        <v>84.777023011688044</v>
      </c>
      <c r="U712" s="1">
        <f t="shared" si="98"/>
        <v>129.71118431768164</v>
      </c>
    </row>
    <row r="713" spans="1:21" x14ac:dyDescent="0.3">
      <c r="A713" s="2">
        <v>41206</v>
      </c>
      <c r="B713" s="1">
        <v>2461.1799999999998</v>
      </c>
      <c r="C713" s="2">
        <f t="shared" si="90"/>
        <v>41206</v>
      </c>
      <c r="D713" s="1">
        <f t="shared" si="91"/>
        <v>2461.1799999999998</v>
      </c>
      <c r="E713" s="4">
        <f t="shared" si="92"/>
        <v>2501.6338000000001</v>
      </c>
      <c r="F713" s="3">
        <f t="shared" si="93"/>
        <v>0.98382904804052451</v>
      </c>
      <c r="G713" s="18">
        <f t="shared" si="94"/>
        <v>1</v>
      </c>
      <c r="H713" s="3">
        <f t="shared" si="95"/>
        <v>-3.0784436037234464E-3</v>
      </c>
      <c r="I713" s="3">
        <f t="shared" si="96"/>
        <v>-3.0784436037234464E-3</v>
      </c>
      <c r="K713" s="12" t="str">
        <f>IF(AND(G713=1,G712&lt;&gt;1),MAX($K$50:K712)+1,"")</f>
        <v/>
      </c>
      <c r="L713" s="13" t="str">
        <f>IF(AND(G713&lt;&gt;1,G712=1),MAX($L$50:L712)+1,"")</f>
        <v/>
      </c>
      <c r="M713" s="13" t="str">
        <f>IF(AND(G713=-1,G712&lt;&gt;-1),MAX($M$50:M712)+1,"")</f>
        <v/>
      </c>
      <c r="N713" s="13" t="str">
        <f>IF(AND(G713&lt;&gt;-1,G712=-1),MAX($N$50:N712)+1,"")</f>
        <v/>
      </c>
      <c r="T713" s="7">
        <f t="shared" si="97"/>
        <v>84.516041727455004</v>
      </c>
      <c r="U713" s="1">
        <f t="shared" si="98"/>
        <v>129.31187575198749</v>
      </c>
    </row>
    <row r="714" spans="1:21" x14ac:dyDescent="0.3">
      <c r="A714" s="2">
        <v>41207</v>
      </c>
      <c r="B714" s="1">
        <v>2468.6</v>
      </c>
      <c r="C714" s="2">
        <f t="shared" si="90"/>
        <v>41207</v>
      </c>
      <c r="D714" s="1">
        <f t="shared" si="91"/>
        <v>2468.6</v>
      </c>
      <c r="E714" s="4">
        <f t="shared" si="92"/>
        <v>2502.0693999999999</v>
      </c>
      <c r="F714" s="3">
        <f t="shared" si="93"/>
        <v>0.98662331268669046</v>
      </c>
      <c r="G714" s="18">
        <f t="shared" si="94"/>
        <v>1</v>
      </c>
      <c r="H714" s="3">
        <f t="shared" si="95"/>
        <v>3.0148140322934225E-3</v>
      </c>
      <c r="I714" s="3">
        <f t="shared" si="96"/>
        <v>3.0148140322934225E-3</v>
      </c>
      <c r="K714" s="12" t="str">
        <f>IF(AND(G714=1,G713&lt;&gt;1),MAX($K$50:K713)+1,"")</f>
        <v/>
      </c>
      <c r="L714" s="13" t="str">
        <f>IF(AND(G714&lt;&gt;1,G713=1),MAX($L$50:L713)+1,"")</f>
        <v/>
      </c>
      <c r="M714" s="13" t="str">
        <f>IF(AND(G714=-1,G713&lt;&gt;-1),MAX($M$50:M713)+1,"")</f>
        <v/>
      </c>
      <c r="N714" s="13" t="str">
        <f>IF(AND(G714&lt;&gt;-1,G713=-1),MAX($N$50:N713)+1,"")</f>
        <v/>
      </c>
      <c r="T714" s="7">
        <f t="shared" si="97"/>
        <v>84.770841876008831</v>
      </c>
      <c r="U714" s="1">
        <f t="shared" si="98"/>
        <v>129.70172700954677</v>
      </c>
    </row>
    <row r="715" spans="1:21" x14ac:dyDescent="0.3">
      <c r="A715" s="2">
        <v>41208</v>
      </c>
      <c r="B715" s="1">
        <v>2466.8000000000002</v>
      </c>
      <c r="C715" s="2">
        <f t="shared" si="90"/>
        <v>41208</v>
      </c>
      <c r="D715" s="1">
        <f t="shared" si="91"/>
        <v>2466.8000000000002</v>
      </c>
      <c r="E715" s="4">
        <f t="shared" si="92"/>
        <v>2502.1178</v>
      </c>
      <c r="F715" s="3">
        <f t="shared" si="93"/>
        <v>0.98588483723668019</v>
      </c>
      <c r="G715" s="18">
        <f t="shared" si="94"/>
        <v>1</v>
      </c>
      <c r="H715" s="3">
        <f t="shared" si="95"/>
        <v>-7.2915822733521374E-4</v>
      </c>
      <c r="I715" s="3">
        <f t="shared" si="96"/>
        <v>-7.2915822733521374E-4</v>
      </c>
      <c r="K715" s="12" t="str">
        <f>IF(AND(G715=1,G714&lt;&gt;1),MAX($K$50:K714)+1,"")</f>
        <v/>
      </c>
      <c r="L715" s="13" t="str">
        <f>IF(AND(G715&lt;&gt;1,G714=1),MAX($L$50:L714)+1,"")</f>
        <v/>
      </c>
      <c r="M715" s="13" t="str">
        <f>IF(AND(G715=-1,G714&lt;&gt;-1),MAX($M$50:M714)+1,"")</f>
        <v/>
      </c>
      <c r="N715" s="13" t="str">
        <f>IF(AND(G715&lt;&gt;-1,G714=-1),MAX($N$50:N714)+1,"")</f>
        <v/>
      </c>
      <c r="T715" s="7">
        <f t="shared" si="97"/>
        <v>84.70903051921681</v>
      </c>
      <c r="U715" s="1">
        <f t="shared" si="98"/>
        <v>129.60715392819819</v>
      </c>
    </row>
    <row r="716" spans="1:21" x14ac:dyDescent="0.3">
      <c r="A716" s="2">
        <v>41213</v>
      </c>
      <c r="B716" s="1">
        <v>2467.5100000000002</v>
      </c>
      <c r="C716" s="2">
        <f t="shared" si="90"/>
        <v>41213</v>
      </c>
      <c r="D716" s="1">
        <f t="shared" si="91"/>
        <v>2467.5100000000002</v>
      </c>
      <c r="E716" s="4">
        <f t="shared" si="92"/>
        <v>2502.0880000000002</v>
      </c>
      <c r="F716" s="3">
        <f t="shared" si="93"/>
        <v>0.98618034217821282</v>
      </c>
      <c r="G716" s="18">
        <f t="shared" si="94"/>
        <v>1</v>
      </c>
      <c r="H716" s="3">
        <f t="shared" si="95"/>
        <v>2.8782227987678155E-4</v>
      </c>
      <c r="I716" s="3">
        <f t="shared" si="96"/>
        <v>2.8782227987678155E-4</v>
      </c>
      <c r="K716" s="12" t="str">
        <f>IF(AND(G716=1,G715&lt;&gt;1),MAX($K$50:K715)+1,"")</f>
        <v/>
      </c>
      <c r="L716" s="13" t="str">
        <f>IF(AND(G716&lt;&gt;1,G715=1),MAX($L$50:L715)+1,"")</f>
        <v/>
      </c>
      <c r="M716" s="13" t="str">
        <f>IF(AND(G716=-1,G715&lt;&gt;-1),MAX($M$50:M715)+1,"")</f>
        <v/>
      </c>
      <c r="N716" s="13" t="str">
        <f>IF(AND(G716&lt;&gt;-1,G715=-1),MAX($N$50:N715)+1,"")</f>
        <v/>
      </c>
      <c r="T716" s="7">
        <f t="shared" si="97"/>
        <v>84.733411665507006</v>
      </c>
      <c r="U716" s="1">
        <f t="shared" si="98"/>
        <v>129.64445775473015</v>
      </c>
    </row>
    <row r="717" spans="1:21" x14ac:dyDescent="0.3">
      <c r="A717" s="2">
        <v>41214</v>
      </c>
      <c r="B717" s="1">
        <v>2494.67</v>
      </c>
      <c r="C717" s="2">
        <f t="shared" si="90"/>
        <v>41214</v>
      </c>
      <c r="D717" s="1">
        <f t="shared" si="91"/>
        <v>2494.67</v>
      </c>
      <c r="E717" s="4">
        <f t="shared" si="92"/>
        <v>2502.6016</v>
      </c>
      <c r="F717" s="3">
        <f t="shared" si="93"/>
        <v>0.99683065814390914</v>
      </c>
      <c r="G717" s="18">
        <f t="shared" si="94"/>
        <v>1</v>
      </c>
      <c r="H717" s="3">
        <f t="shared" si="95"/>
        <v>1.1007047590485985E-2</v>
      </c>
      <c r="I717" s="3">
        <f t="shared" si="96"/>
        <v>1.1007047590485985E-2</v>
      </c>
      <c r="K717" s="12" t="str">
        <f>IF(AND(G717=1,G716&lt;&gt;1),MAX($K$50:K716)+1,"")</f>
        <v/>
      </c>
      <c r="L717" s="13" t="str">
        <f>IF(AND(G717&lt;&gt;1,G716=1),MAX($L$50:L716)+1,"")</f>
        <v/>
      </c>
      <c r="M717" s="13" t="str">
        <f>IF(AND(G717=-1,G716&lt;&gt;-1),MAX($M$50:M716)+1,"")</f>
        <v/>
      </c>
      <c r="N717" s="13" t="str">
        <f>IF(AND(G717&lt;&gt;-1,G716=-1),MAX($N$50:N716)+1,"")</f>
        <v/>
      </c>
      <c r="T717" s="7">
        <f t="shared" si="97"/>
        <v>85.666076360213481</v>
      </c>
      <c r="U717" s="1">
        <f t="shared" si="98"/>
        <v>131.07146047107921</v>
      </c>
    </row>
    <row r="718" spans="1:21" x14ac:dyDescent="0.3">
      <c r="A718" s="2">
        <v>41215</v>
      </c>
      <c r="B718" s="1">
        <v>2471.3000000000002</v>
      </c>
      <c r="C718" s="2">
        <f t="shared" si="90"/>
        <v>41215</v>
      </c>
      <c r="D718" s="1">
        <f t="shared" si="91"/>
        <v>2471.3000000000002</v>
      </c>
      <c r="E718" s="4">
        <f t="shared" si="92"/>
        <v>2502.8193999999999</v>
      </c>
      <c r="F718" s="3">
        <f t="shared" si="93"/>
        <v>0.98740644251039456</v>
      </c>
      <c r="G718" s="18">
        <f t="shared" si="94"/>
        <v>1</v>
      </c>
      <c r="H718" s="3">
        <f t="shared" si="95"/>
        <v>-9.3679725174070638E-3</v>
      </c>
      <c r="I718" s="3">
        <f t="shared" si="96"/>
        <v>-9.3679725174070638E-3</v>
      </c>
      <c r="K718" s="12" t="str">
        <f>IF(AND(G718=1,G717&lt;&gt;1),MAX($K$50:K717)+1,"")</f>
        <v/>
      </c>
      <c r="L718" s="13" t="str">
        <f>IF(AND(G718&lt;&gt;1,G717=1),MAX($L$50:L717)+1,"")</f>
        <v/>
      </c>
      <c r="M718" s="13" t="str">
        <f>IF(AND(G718=-1,G717&lt;&gt;-1),MAX($M$50:M717)+1,"")</f>
        <v/>
      </c>
      <c r="N718" s="13" t="str">
        <f>IF(AND(G718&lt;&gt;-1,G717=-1),MAX($N$50:N717)+1,"")</f>
        <v/>
      </c>
      <c r="T718" s="7">
        <f t="shared" si="97"/>
        <v>84.863558911196904</v>
      </c>
      <c r="U718" s="1">
        <f t="shared" si="98"/>
        <v>129.84358663156971</v>
      </c>
    </row>
    <row r="719" spans="1:21" x14ac:dyDescent="0.3">
      <c r="A719" s="2">
        <v>41218</v>
      </c>
      <c r="B719" s="1">
        <v>2476.94</v>
      </c>
      <c r="C719" s="2">
        <f t="shared" si="90"/>
        <v>41218</v>
      </c>
      <c r="D719" s="1">
        <f t="shared" si="91"/>
        <v>2476.94</v>
      </c>
      <c r="E719" s="4">
        <f t="shared" si="92"/>
        <v>2503.1358</v>
      </c>
      <c r="F719" s="3">
        <f t="shared" si="93"/>
        <v>0.98953480670125848</v>
      </c>
      <c r="G719" s="18">
        <f t="shared" si="94"/>
        <v>1</v>
      </c>
      <c r="H719" s="3">
        <f t="shared" si="95"/>
        <v>2.2821996520050458E-3</v>
      </c>
      <c r="I719" s="3">
        <f t="shared" si="96"/>
        <v>2.2821996520050458E-3</v>
      </c>
      <c r="K719" s="12" t="str">
        <f>IF(AND(G719=1,G718&lt;&gt;1),MAX($K$50:K718)+1,"")</f>
        <v/>
      </c>
      <c r="L719" s="13" t="str">
        <f>IF(AND(G719&lt;&gt;1,G718=1),MAX($L$50:L718)+1,"")</f>
        <v/>
      </c>
      <c r="M719" s="13" t="str">
        <f>IF(AND(G719=-1,G718&lt;&gt;-1),MAX($M$50:M718)+1,"")</f>
        <v/>
      </c>
      <c r="N719" s="13" t="str">
        <f>IF(AND(G719&lt;&gt;-1,G718=-1),MAX($N$50:N718)+1,"")</f>
        <v/>
      </c>
      <c r="T719" s="7">
        <f t="shared" si="97"/>
        <v>85.05723449581194</v>
      </c>
      <c r="U719" s="1">
        <f t="shared" si="98"/>
        <v>130.13991561979535</v>
      </c>
    </row>
    <row r="720" spans="1:21" x14ac:dyDescent="0.3">
      <c r="A720" s="2">
        <v>41219</v>
      </c>
      <c r="B720" s="1">
        <v>2496.46</v>
      </c>
      <c r="C720" s="2">
        <f t="shared" si="90"/>
        <v>41219</v>
      </c>
      <c r="D720" s="1">
        <f t="shared" si="91"/>
        <v>2496.46</v>
      </c>
      <c r="E720" s="4">
        <f t="shared" si="92"/>
        <v>2504.2392000000004</v>
      </c>
      <c r="F720" s="3">
        <f t="shared" si="93"/>
        <v>0.99689358748157908</v>
      </c>
      <c r="G720" s="18">
        <f t="shared" si="94"/>
        <v>1</v>
      </c>
      <c r="H720" s="3">
        <f t="shared" si="95"/>
        <v>7.8806914983811094E-3</v>
      </c>
      <c r="I720" s="3">
        <f t="shared" si="96"/>
        <v>7.8806914983811094E-3</v>
      </c>
      <c r="K720" s="12" t="str">
        <f>IF(AND(G720=1,G719&lt;&gt;1),MAX($K$50:K719)+1,"")</f>
        <v/>
      </c>
      <c r="L720" s="13" t="str">
        <f>IF(AND(G720&lt;&gt;1,G719=1),MAX($L$50:L719)+1,"")</f>
        <v/>
      </c>
      <c r="M720" s="13" t="str">
        <f>IF(AND(G720=-1,G719&lt;&gt;-1),MAX($M$50:M719)+1,"")</f>
        <v/>
      </c>
      <c r="N720" s="13" t="str">
        <f>IF(AND(G720&lt;&gt;-1,G719=-1),MAX($N$50:N719)+1,"")</f>
        <v/>
      </c>
      <c r="T720" s="7">
        <f t="shared" si="97"/>
        <v>85.7275443205789</v>
      </c>
      <c r="U720" s="1">
        <f t="shared" si="98"/>
        <v>131.16550814642028</v>
      </c>
    </row>
    <row r="721" spans="1:21" x14ac:dyDescent="0.3">
      <c r="A721" s="2">
        <v>41220</v>
      </c>
      <c r="B721" s="1">
        <v>2439.48</v>
      </c>
      <c r="C721" s="2">
        <f t="shared" si="90"/>
        <v>41220</v>
      </c>
      <c r="D721" s="1">
        <f t="shared" si="91"/>
        <v>2439.48</v>
      </c>
      <c r="E721" s="4">
        <f t="shared" si="92"/>
        <v>2503.8808000000004</v>
      </c>
      <c r="F721" s="3">
        <f t="shared" si="93"/>
        <v>0.97427960628157684</v>
      </c>
      <c r="G721" s="18">
        <f t="shared" si="94"/>
        <v>1</v>
      </c>
      <c r="H721" s="3">
        <f t="shared" si="95"/>
        <v>-2.2824319236038226E-2</v>
      </c>
      <c r="I721" s="3">
        <f t="shared" si="96"/>
        <v>-2.2824319236038226E-2</v>
      </c>
      <c r="K721" s="12" t="str">
        <f>IF(AND(G721=1,G720&lt;&gt;1),MAX($K$50:K720)+1,"")</f>
        <v/>
      </c>
      <c r="L721" s="13" t="str">
        <f>IF(AND(G721&lt;&gt;1,G720=1),MAX($L$50:L720)+1,"")</f>
        <v/>
      </c>
      <c r="M721" s="13" t="str">
        <f>IF(AND(G721=-1,G720&lt;&gt;-1),MAX($M$50:M720)+1,"")</f>
        <v/>
      </c>
      <c r="N721" s="13" t="str">
        <f>IF(AND(G721&lt;&gt;-1,G720=-1),MAX($N$50:N720)+1,"")</f>
        <v/>
      </c>
      <c r="T721" s="7">
        <f t="shared" si="97"/>
        <v>83.770871481684395</v>
      </c>
      <c r="U721" s="1">
        <f t="shared" si="98"/>
        <v>128.1717447157292</v>
      </c>
    </row>
    <row r="722" spans="1:21" x14ac:dyDescent="0.3">
      <c r="A722" s="2">
        <v>41221</v>
      </c>
      <c r="B722" s="1">
        <v>2409.7199999999998</v>
      </c>
      <c r="C722" s="2">
        <f t="shared" si="90"/>
        <v>41221</v>
      </c>
      <c r="D722" s="1">
        <f t="shared" si="91"/>
        <v>2409.7199999999998</v>
      </c>
      <c r="E722" s="4">
        <f t="shared" si="92"/>
        <v>2502.9508000000005</v>
      </c>
      <c r="F722" s="3">
        <f t="shared" si="93"/>
        <v>0.96275164497839882</v>
      </c>
      <c r="G722" s="18">
        <f t="shared" si="94"/>
        <v>1</v>
      </c>
      <c r="H722" s="3">
        <f t="shared" si="95"/>
        <v>-1.219932116680611E-2</v>
      </c>
      <c r="I722" s="3">
        <f t="shared" si="96"/>
        <v>-1.219932116680611E-2</v>
      </c>
      <c r="K722" s="12" t="str">
        <f>IF(AND(G722=1,G721&lt;&gt;1),MAX($K$50:K721)+1,"")</f>
        <v/>
      </c>
      <c r="L722" s="13" t="str">
        <f>IF(AND(G722&lt;&gt;1,G721=1),MAX($L$50:L721)+1,"")</f>
        <v/>
      </c>
      <c r="M722" s="13" t="str">
        <f>IF(AND(G722=-1,G721&lt;&gt;-1),MAX($M$50:M721)+1,"")</f>
        <v/>
      </c>
      <c r="N722" s="13" t="str">
        <f>IF(AND(G722&lt;&gt;-1,G721=-1),MAX($N$50:N721)+1,"")</f>
        <v/>
      </c>
      <c r="T722" s="7">
        <f t="shared" si="97"/>
        <v>82.748923716056083</v>
      </c>
      <c r="U722" s="1">
        <f t="shared" si="98"/>
        <v>126.60813643743214</v>
      </c>
    </row>
    <row r="723" spans="1:21" x14ac:dyDescent="0.3">
      <c r="A723" s="2">
        <v>41222</v>
      </c>
      <c r="B723" s="1">
        <v>2413.92</v>
      </c>
      <c r="C723" s="2">
        <f t="shared" si="90"/>
        <v>41222</v>
      </c>
      <c r="D723" s="1">
        <f t="shared" si="91"/>
        <v>2413.92</v>
      </c>
      <c r="E723" s="4">
        <f t="shared" si="92"/>
        <v>2502.1414000000009</v>
      </c>
      <c r="F723" s="3">
        <f t="shared" si="93"/>
        <v>0.96474164090007031</v>
      </c>
      <c r="G723" s="18">
        <f t="shared" si="94"/>
        <v>1</v>
      </c>
      <c r="H723" s="3">
        <f t="shared" si="95"/>
        <v>1.7429410885914098E-3</v>
      </c>
      <c r="I723" s="3">
        <f t="shared" si="96"/>
        <v>1.7429410885914098E-3</v>
      </c>
      <c r="K723" s="12" t="str">
        <f>IF(AND(G723=1,G722&lt;&gt;1),MAX($K$50:K722)+1,"")</f>
        <v/>
      </c>
      <c r="L723" s="13" t="str">
        <f>IF(AND(G723&lt;&gt;1,G722=1),MAX($L$50:L722)+1,"")</f>
        <v/>
      </c>
      <c r="M723" s="13" t="str">
        <f>IF(AND(G723=-1,G722&lt;&gt;-1),MAX($M$50:M722)+1,"")</f>
        <v/>
      </c>
      <c r="N723" s="13" t="str">
        <f>IF(AND(G723&lt;&gt;-1,G722=-1),MAX($N$50:N722)+1,"")</f>
        <v/>
      </c>
      <c r="T723" s="7">
        <f t="shared" si="97"/>
        <v>82.893150215237512</v>
      </c>
      <c r="U723" s="1">
        <f t="shared" si="98"/>
        <v>126.82880696057892</v>
      </c>
    </row>
    <row r="724" spans="1:21" x14ac:dyDescent="0.3">
      <c r="A724" s="2">
        <v>41225</v>
      </c>
      <c r="B724" s="1">
        <v>2414.2399999999998</v>
      </c>
      <c r="C724" s="2">
        <f t="shared" si="90"/>
        <v>41225</v>
      </c>
      <c r="D724" s="1">
        <f t="shared" si="91"/>
        <v>2414.2399999999998</v>
      </c>
      <c r="E724" s="4">
        <f t="shared" si="92"/>
        <v>2501.2852000000003</v>
      </c>
      <c r="F724" s="3">
        <f t="shared" si="93"/>
        <v>0.96519981008163303</v>
      </c>
      <c r="G724" s="18">
        <f t="shared" si="94"/>
        <v>1</v>
      </c>
      <c r="H724" s="3">
        <f t="shared" si="95"/>
        <v>1.3256445946829842E-4</v>
      </c>
      <c r="I724" s="3">
        <f t="shared" si="96"/>
        <v>1.3256445946829842E-4</v>
      </c>
      <c r="K724" s="12" t="str">
        <f>IF(AND(G724=1,G723&lt;&gt;1),MAX($K$50:K723)+1,"")</f>
        <v/>
      </c>
      <c r="L724" s="13" t="str">
        <f>IF(AND(G724&lt;&gt;1,G723=1),MAX($L$50:L723)+1,"")</f>
        <v/>
      </c>
      <c r="M724" s="13" t="str">
        <f>IF(AND(G724=-1,G723&lt;&gt;-1),MAX($M$50:M723)+1,"")</f>
        <v/>
      </c>
      <c r="N724" s="13" t="str">
        <f>IF(AND(G724&lt;&gt;-1,G723=-1),MAX($N$50:N723)+1,"")</f>
        <v/>
      </c>
      <c r="T724" s="7">
        <f t="shared" si="97"/>
        <v>82.904138900889421</v>
      </c>
      <c r="U724" s="1">
        <f t="shared" si="98"/>
        <v>126.84561995281867</v>
      </c>
    </row>
    <row r="725" spans="1:21" x14ac:dyDescent="0.3">
      <c r="A725" s="2">
        <v>41226</v>
      </c>
      <c r="B725" s="1">
        <v>2405.38</v>
      </c>
      <c r="C725" s="2">
        <f t="shared" si="90"/>
        <v>41226</v>
      </c>
      <c r="D725" s="1">
        <f t="shared" si="91"/>
        <v>2405.38</v>
      </c>
      <c r="E725" s="4">
        <f t="shared" si="92"/>
        <v>2500.6288000000004</v>
      </c>
      <c r="F725" s="3">
        <f t="shared" si="93"/>
        <v>0.96191006038161275</v>
      </c>
      <c r="G725" s="18">
        <f t="shared" si="94"/>
        <v>1</v>
      </c>
      <c r="H725" s="3">
        <f t="shared" si="95"/>
        <v>-3.6698919742857994E-3</v>
      </c>
      <c r="I725" s="3">
        <f t="shared" si="96"/>
        <v>-3.6698919742857994E-3</v>
      </c>
      <c r="K725" s="12" t="str">
        <f>IF(AND(G725=1,G724&lt;&gt;1),MAX($K$50:K724)+1,"")</f>
        <v/>
      </c>
      <c r="L725" s="13" t="str">
        <f>IF(AND(G725&lt;&gt;1,G724=1),MAX($L$50:L724)+1,"")</f>
        <v/>
      </c>
      <c r="M725" s="13" t="str">
        <f>IF(AND(G725=-1,G724&lt;&gt;-1),MAX($M$50:M724)+1,"")</f>
        <v/>
      </c>
      <c r="N725" s="13" t="str">
        <f>IF(AND(G725&lt;&gt;-1,G724=-1),MAX($N$50:N724)+1,"")</f>
        <v/>
      </c>
      <c r="T725" s="7">
        <f t="shared" si="97"/>
        <v>82.599889666901973</v>
      </c>
      <c r="U725" s="1">
        <f t="shared" si="98"/>
        <v>126.38011023018051</v>
      </c>
    </row>
    <row r="726" spans="1:21" x14ac:dyDescent="0.3">
      <c r="A726" s="2">
        <v>41227</v>
      </c>
      <c r="B726" s="1">
        <v>2372.94</v>
      </c>
      <c r="C726" s="2">
        <f t="shared" si="90"/>
        <v>41227</v>
      </c>
      <c r="D726" s="1">
        <f t="shared" si="91"/>
        <v>2372.94</v>
      </c>
      <c r="E726" s="4">
        <f t="shared" si="92"/>
        <v>2499.075600000001</v>
      </c>
      <c r="F726" s="3">
        <f t="shared" si="93"/>
        <v>0.94952709713943795</v>
      </c>
      <c r="G726" s="18">
        <f t="shared" si="94"/>
        <v>-1</v>
      </c>
      <c r="H726" s="3">
        <f t="shared" si="95"/>
        <v>-1.3486434575825879E-2</v>
      </c>
      <c r="I726" s="3">
        <f t="shared" si="96"/>
        <v>-1.3486434575825879E-2</v>
      </c>
      <c r="K726" s="12" t="str">
        <f>IF(AND(G726=1,G725&lt;&gt;1),MAX($K$50:K725)+1,"")</f>
        <v/>
      </c>
      <c r="L726" s="13">
        <f>IF(AND(G726&lt;&gt;1,G725=1),MAX($L$50:L725)+1,"")</f>
        <v>11</v>
      </c>
      <c r="M726" s="13">
        <f>IF(AND(G726=-1,G725&lt;&gt;-1),MAX($M$50:M725)+1,"")</f>
        <v>11</v>
      </c>
      <c r="N726" s="13" t="str">
        <f>IF(AND(G726&lt;&gt;-1,G725=-1),MAX($N$50:N725)+1,"")</f>
        <v/>
      </c>
      <c r="T726" s="7">
        <f t="shared" si="97"/>
        <v>81.485911658938861</v>
      </c>
      <c r="U726" s="1">
        <f t="shared" si="98"/>
        <v>124.67569314187551</v>
      </c>
    </row>
    <row r="727" spans="1:21" x14ac:dyDescent="0.3">
      <c r="A727" s="2">
        <v>41228</v>
      </c>
      <c r="B727" s="1">
        <v>2369.3200000000002</v>
      </c>
      <c r="C727" s="2">
        <f t="shared" si="90"/>
        <v>41228</v>
      </c>
      <c r="D727" s="1">
        <f t="shared" si="91"/>
        <v>2369.3200000000002</v>
      </c>
      <c r="E727" s="4">
        <f t="shared" si="92"/>
        <v>2497.5060000000008</v>
      </c>
      <c r="F727" s="3">
        <f t="shared" si="93"/>
        <v>0.94867439757902461</v>
      </c>
      <c r="G727" s="18">
        <f t="shared" si="94"/>
        <v>-1</v>
      </c>
      <c r="H727" s="3">
        <f t="shared" si="95"/>
        <v>-1.5255337260949853E-3</v>
      </c>
      <c r="I727" s="3">
        <f t="shared" si="96"/>
        <v>1.5255337260949853E-3</v>
      </c>
      <c r="K727" s="12" t="str">
        <f>IF(AND(G727=1,G726&lt;&gt;1),MAX($K$50:K726)+1,"")</f>
        <v/>
      </c>
      <c r="L727" s="13" t="str">
        <f>IF(AND(G727&lt;&gt;1,G726=1),MAX($L$50:L726)+1,"")</f>
        <v/>
      </c>
      <c r="M727" s="13" t="str">
        <f>IF(AND(G727=-1,G726&lt;&gt;-1),MAX($M$50:M726)+1,"")</f>
        <v/>
      </c>
      <c r="N727" s="13" t="str">
        <f>IF(AND(G727&lt;&gt;-1,G726=-1),MAX($N$50:N726)+1,"")</f>
        <v/>
      </c>
      <c r="T727" s="7">
        <f t="shared" si="97"/>
        <v>81.61022116537616</v>
      </c>
      <c r="U727" s="1">
        <f t="shared" si="98"/>
        <v>124.4854961671633</v>
      </c>
    </row>
    <row r="728" spans="1:21" x14ac:dyDescent="0.3">
      <c r="A728" s="2">
        <v>41229</v>
      </c>
      <c r="B728" s="1">
        <v>2381.02</v>
      </c>
      <c r="C728" s="2">
        <f t="shared" si="90"/>
        <v>41229</v>
      </c>
      <c r="D728" s="1">
        <f t="shared" si="91"/>
        <v>2381.02</v>
      </c>
      <c r="E728" s="4">
        <f t="shared" si="92"/>
        <v>2496.2102000000009</v>
      </c>
      <c r="F728" s="3">
        <f t="shared" si="93"/>
        <v>0.95385396630460006</v>
      </c>
      <c r="G728" s="18">
        <f t="shared" si="94"/>
        <v>1</v>
      </c>
      <c r="H728" s="3">
        <f t="shared" si="95"/>
        <v>4.9381257069538442E-3</v>
      </c>
      <c r="I728" s="3">
        <f t="shared" si="96"/>
        <v>-4.9381257069538442E-3</v>
      </c>
      <c r="K728" s="12">
        <f>IF(AND(G728=1,G727&lt;&gt;1),MAX($K$50:K727)+1,"")</f>
        <v>12</v>
      </c>
      <c r="L728" s="13" t="str">
        <f>IF(AND(G728&lt;&gt;1,G727=1),MAX($L$50:L727)+1,"")</f>
        <v/>
      </c>
      <c r="M728" s="13" t="str">
        <f>IF(AND(G728=-1,G727&lt;&gt;-1),MAX($M$50:M727)+1,"")</f>
        <v/>
      </c>
      <c r="N728" s="13">
        <f>IF(AND(G728&lt;&gt;-1,G727=-1),MAX($N$50:N727)+1,"")</f>
        <v>11</v>
      </c>
      <c r="T728" s="7">
        <f t="shared" si="97"/>
        <v>81.207219634289231</v>
      </c>
      <c r="U728" s="1">
        <f t="shared" si="98"/>
        <v>125.10022119592928</v>
      </c>
    </row>
    <row r="729" spans="1:21" x14ac:dyDescent="0.3">
      <c r="A729" s="2">
        <v>41232</v>
      </c>
      <c r="B729" s="1">
        <v>2428.4699999999998</v>
      </c>
      <c r="C729" s="2">
        <f t="shared" si="90"/>
        <v>41232</v>
      </c>
      <c r="D729" s="1">
        <f t="shared" si="91"/>
        <v>2428.4699999999998</v>
      </c>
      <c r="E729" s="4">
        <f t="shared" si="92"/>
        <v>2494.8572000000008</v>
      </c>
      <c r="F729" s="3">
        <f t="shared" si="93"/>
        <v>0.97339038082019247</v>
      </c>
      <c r="G729" s="18">
        <f t="shared" si="94"/>
        <v>1</v>
      </c>
      <c r="H729" s="3">
        <f t="shared" si="95"/>
        <v>1.9928434032473463E-2</v>
      </c>
      <c r="I729" s="3">
        <f t="shared" si="96"/>
        <v>1.9928434032473463E-2</v>
      </c>
      <c r="K729" s="12" t="str">
        <f>IF(AND(G729=1,G728&lt;&gt;1),MAX($K$50:K728)+1,"")</f>
        <v/>
      </c>
      <c r="L729" s="13" t="str">
        <f>IF(AND(G729&lt;&gt;1,G728=1),MAX($L$50:L728)+1,"")</f>
        <v/>
      </c>
      <c r="M729" s="13" t="str">
        <f>IF(AND(G729=-1,G728&lt;&gt;-1),MAX($M$50:M728)+1,"")</f>
        <v/>
      </c>
      <c r="N729" s="13" t="str">
        <f>IF(AND(G729&lt;&gt;-1,G728=-1),MAX($N$50:N728)+1,"")</f>
        <v/>
      </c>
      <c r="T729" s="7">
        <f t="shared" si="97"/>
        <v>82.825552353731752</v>
      </c>
      <c r="U729" s="1">
        <f t="shared" si="98"/>
        <v>127.59327270148019</v>
      </c>
    </row>
    <row r="730" spans="1:21" x14ac:dyDescent="0.3">
      <c r="A730" s="2">
        <v>41233</v>
      </c>
      <c r="B730" s="1">
        <v>2430.29</v>
      </c>
      <c r="C730" s="2">
        <f t="shared" si="90"/>
        <v>41233</v>
      </c>
      <c r="D730" s="1">
        <f t="shared" si="91"/>
        <v>2430.29</v>
      </c>
      <c r="E730" s="4">
        <f t="shared" si="92"/>
        <v>2493.3356000000003</v>
      </c>
      <c r="F730" s="3">
        <f t="shared" si="93"/>
        <v>0.97471435453775246</v>
      </c>
      <c r="G730" s="18">
        <f t="shared" si="94"/>
        <v>1</v>
      </c>
      <c r="H730" s="3">
        <f t="shared" si="95"/>
        <v>7.4944306497504165E-4</v>
      </c>
      <c r="I730" s="3">
        <f t="shared" si="96"/>
        <v>7.4944306497504165E-4</v>
      </c>
      <c r="K730" s="12" t="str">
        <f>IF(AND(G730=1,G729&lt;&gt;1),MAX($K$50:K729)+1,"")</f>
        <v/>
      </c>
      <c r="L730" s="13" t="str">
        <f>IF(AND(G730&lt;&gt;1,G729=1),MAX($L$50:L729)+1,"")</f>
        <v/>
      </c>
      <c r="M730" s="13" t="str">
        <f>IF(AND(G730=-1,G729&lt;&gt;-1),MAX($M$50:M729)+1,"")</f>
        <v/>
      </c>
      <c r="N730" s="13" t="str">
        <f>IF(AND(G730&lt;&gt;-1,G729=-1),MAX($N$50:N729)+1,"")</f>
        <v/>
      </c>
      <c r="T730" s="7">
        <f t="shared" si="97"/>
        <v>82.887625389545988</v>
      </c>
      <c r="U730" s="1">
        <f t="shared" si="98"/>
        <v>127.68889659484378</v>
      </c>
    </row>
    <row r="731" spans="1:21" x14ac:dyDescent="0.3">
      <c r="A731" s="2">
        <v>41234</v>
      </c>
      <c r="B731" s="1">
        <v>2435.9699999999998</v>
      </c>
      <c r="C731" s="2">
        <f t="shared" si="90"/>
        <v>41234</v>
      </c>
      <c r="D731" s="1">
        <f t="shared" si="91"/>
        <v>2435.9699999999998</v>
      </c>
      <c r="E731" s="4">
        <f t="shared" si="92"/>
        <v>2492.2328000000007</v>
      </c>
      <c r="F731" s="3">
        <f t="shared" si="93"/>
        <v>0.97742474138049995</v>
      </c>
      <c r="G731" s="18">
        <f t="shared" si="94"/>
        <v>1</v>
      </c>
      <c r="H731" s="3">
        <f t="shared" si="95"/>
        <v>2.3371696381913054E-3</v>
      </c>
      <c r="I731" s="3">
        <f t="shared" si="96"/>
        <v>2.3371696381913054E-3</v>
      </c>
      <c r="K731" s="12" t="str">
        <f>IF(AND(G731=1,G730&lt;&gt;1),MAX($K$50:K730)+1,"")</f>
        <v/>
      </c>
      <c r="L731" s="13" t="str">
        <f>IF(AND(G731&lt;&gt;1,G730=1),MAX($L$50:L730)+1,"")</f>
        <v/>
      </c>
      <c r="M731" s="13" t="str">
        <f>IF(AND(G731=-1,G730&lt;&gt;-1),MAX($M$50:M730)+1,"")</f>
        <v/>
      </c>
      <c r="N731" s="13" t="str">
        <f>IF(AND(G731&lt;&gt;-1,G730=-1),MAX($N$50:N730)+1,"")</f>
        <v/>
      </c>
      <c r="T731" s="7">
        <f t="shared" si="97"/>
        <v>83.081347830988207</v>
      </c>
      <c r="U731" s="1">
        <f t="shared" si="98"/>
        <v>127.9873272070994</v>
      </c>
    </row>
    <row r="732" spans="1:21" x14ac:dyDescent="0.3">
      <c r="A732" s="2">
        <v>41236</v>
      </c>
      <c r="B732" s="1">
        <v>2468.06</v>
      </c>
      <c r="C732" s="2">
        <f t="shared" si="90"/>
        <v>41236</v>
      </c>
      <c r="D732" s="1">
        <f t="shared" si="91"/>
        <v>2468.06</v>
      </c>
      <c r="E732" s="4">
        <f t="shared" si="92"/>
        <v>2491.6150000000007</v>
      </c>
      <c r="F732" s="3">
        <f t="shared" si="93"/>
        <v>0.99054629226425406</v>
      </c>
      <c r="G732" s="18">
        <f t="shared" si="94"/>
        <v>1</v>
      </c>
      <c r="H732" s="3">
        <f t="shared" si="95"/>
        <v>1.3173397045119772E-2</v>
      </c>
      <c r="I732" s="3">
        <f t="shared" si="96"/>
        <v>1.3173397045119772E-2</v>
      </c>
      <c r="K732" s="12" t="str">
        <f>IF(AND(G732=1,G731&lt;&gt;1),MAX($K$50:K731)+1,"")</f>
        <v/>
      </c>
      <c r="L732" s="13" t="str">
        <f>IF(AND(G732&lt;&gt;1,G731=1),MAX($L$50:L731)+1,"")</f>
        <v/>
      </c>
      <c r="M732" s="13" t="str">
        <f>IF(AND(G732=-1,G731&lt;&gt;-1),MAX($M$50:M731)+1,"")</f>
        <v/>
      </c>
      <c r="N732" s="13" t="str">
        <f>IF(AND(G732&lt;&gt;-1,G731=-1),MAX($N$50:N731)+1,"")</f>
        <v/>
      </c>
      <c r="T732" s="7">
        <f t="shared" si="97"/>
        <v>84.175811413009512</v>
      </c>
      <c r="U732" s="1">
        <f t="shared" si="98"/>
        <v>129.67335508514216</v>
      </c>
    </row>
    <row r="733" spans="1:21" x14ac:dyDescent="0.3">
      <c r="A733" s="2">
        <v>41239</v>
      </c>
      <c r="B733" s="1">
        <v>2463.12</v>
      </c>
      <c r="C733" s="2">
        <f t="shared" si="90"/>
        <v>41239</v>
      </c>
      <c r="D733" s="1">
        <f t="shared" si="91"/>
        <v>2463.12</v>
      </c>
      <c r="E733" s="4">
        <f t="shared" si="92"/>
        <v>2490.7806000000005</v>
      </c>
      <c r="F733" s="3">
        <f t="shared" si="93"/>
        <v>0.98889480671240149</v>
      </c>
      <c r="G733" s="18">
        <f t="shared" si="94"/>
        <v>1</v>
      </c>
      <c r="H733" s="3">
        <f t="shared" si="95"/>
        <v>-2.001572084957437E-3</v>
      </c>
      <c r="I733" s="3">
        <f t="shared" si="96"/>
        <v>-2.001572084957437E-3</v>
      </c>
      <c r="K733" s="12" t="str">
        <f>IF(AND(G733=1,G732&lt;&gt;1),MAX($K$50:K732)+1,"")</f>
        <v/>
      </c>
      <c r="L733" s="13" t="str">
        <f>IF(AND(G733&lt;&gt;1,G732=1),MAX($L$50:L732)+1,"")</f>
        <v/>
      </c>
      <c r="M733" s="13" t="str">
        <f>IF(AND(G733=-1,G732&lt;&gt;-1),MAX($M$50:M732)+1,"")</f>
        <v/>
      </c>
      <c r="N733" s="13" t="str">
        <f>IF(AND(G733&lt;&gt;-1,G732=-1),MAX($N$50:N732)+1,"")</f>
        <v/>
      </c>
      <c r="T733" s="7">
        <f t="shared" si="97"/>
        <v>84.00732745865659</v>
      </c>
      <c r="U733" s="1">
        <f t="shared" si="98"/>
        <v>129.41380451744098</v>
      </c>
    </row>
    <row r="734" spans="1:21" x14ac:dyDescent="0.3">
      <c r="A734" s="2">
        <v>41240</v>
      </c>
      <c r="B734" s="1">
        <v>2450.48</v>
      </c>
      <c r="C734" s="2">
        <f t="shared" si="90"/>
        <v>41240</v>
      </c>
      <c r="D734" s="1">
        <f t="shared" si="91"/>
        <v>2450.48</v>
      </c>
      <c r="E734" s="4">
        <f t="shared" si="92"/>
        <v>2488.8696</v>
      </c>
      <c r="F734" s="3">
        <f t="shared" si="93"/>
        <v>0.98457548760288605</v>
      </c>
      <c r="G734" s="18">
        <f t="shared" si="94"/>
        <v>1</v>
      </c>
      <c r="H734" s="3">
        <f t="shared" si="95"/>
        <v>-5.1317028808989251E-3</v>
      </c>
      <c r="I734" s="3">
        <f t="shared" si="96"/>
        <v>-5.1317028808989251E-3</v>
      </c>
      <c r="K734" s="12" t="str">
        <f>IF(AND(G734=1,G733&lt;&gt;1),MAX($K$50:K733)+1,"")</f>
        <v/>
      </c>
      <c r="L734" s="13" t="str">
        <f>IF(AND(G734&lt;&gt;1,G733=1),MAX($L$50:L733)+1,"")</f>
        <v/>
      </c>
      <c r="M734" s="13" t="str">
        <f>IF(AND(G734=-1,G733&lt;&gt;-1),MAX($M$50:M733)+1,"")</f>
        <v/>
      </c>
      <c r="N734" s="13" t="str">
        <f>IF(AND(G734&lt;&gt;-1,G733=-1),MAX($N$50:N733)+1,"")</f>
        <v/>
      </c>
      <c r="T734" s="7">
        <f t="shared" si="97"/>
        <v>83.576226814320378</v>
      </c>
      <c r="U734" s="1">
        <f t="shared" si="98"/>
        <v>128.74969132397072</v>
      </c>
    </row>
    <row r="735" spans="1:21" x14ac:dyDescent="0.3">
      <c r="A735" s="2">
        <v>41241</v>
      </c>
      <c r="B735" s="1">
        <v>2470.4699999999998</v>
      </c>
      <c r="C735" s="2">
        <f t="shared" si="90"/>
        <v>41241</v>
      </c>
      <c r="D735" s="1">
        <f t="shared" si="91"/>
        <v>2470.4699999999998</v>
      </c>
      <c r="E735" s="4">
        <f t="shared" si="92"/>
        <v>2487.1564000000003</v>
      </c>
      <c r="F735" s="3">
        <f t="shared" si="93"/>
        <v>0.99329097277517386</v>
      </c>
      <c r="G735" s="18">
        <f t="shared" si="94"/>
        <v>1</v>
      </c>
      <c r="H735" s="3">
        <f t="shared" si="95"/>
        <v>8.157585452645888E-3</v>
      </c>
      <c r="I735" s="3">
        <f t="shared" si="96"/>
        <v>8.157585452645888E-3</v>
      </c>
      <c r="K735" s="12" t="str">
        <f>IF(AND(G735=1,G734&lt;&gt;1),MAX($K$50:K734)+1,"")</f>
        <v/>
      </c>
      <c r="L735" s="13" t="str">
        <f>IF(AND(G735&lt;&gt;1,G734=1),MAX($L$50:L734)+1,"")</f>
        <v/>
      </c>
      <c r="M735" s="13" t="str">
        <f>IF(AND(G735=-1,G734&lt;&gt;-1),MAX($M$50:M734)+1,"")</f>
        <v/>
      </c>
      <c r="N735" s="13" t="str">
        <f>IF(AND(G735&lt;&gt;-1,G734=-1),MAX($N$50:N734)+1,"")</f>
        <v/>
      </c>
      <c r="T735" s="7">
        <f t="shared" si="97"/>
        <v>84.258007026367906</v>
      </c>
      <c r="U735" s="1">
        <f t="shared" si="98"/>
        <v>129.7999779329478</v>
      </c>
    </row>
    <row r="736" spans="1:21" x14ac:dyDescent="0.3">
      <c r="A736" s="2">
        <v>41242</v>
      </c>
      <c r="B736" s="1">
        <v>2481.42</v>
      </c>
      <c r="C736" s="2">
        <f t="shared" si="90"/>
        <v>41242</v>
      </c>
      <c r="D736" s="1">
        <f t="shared" si="91"/>
        <v>2481.42</v>
      </c>
      <c r="E736" s="4">
        <f t="shared" si="92"/>
        <v>2485.8196000000003</v>
      </c>
      <c r="F736" s="3">
        <f t="shared" si="93"/>
        <v>0.99823012096292096</v>
      </c>
      <c r="G736" s="18">
        <f t="shared" si="94"/>
        <v>1</v>
      </c>
      <c r="H736" s="3">
        <f t="shared" si="95"/>
        <v>4.4323549769882398E-3</v>
      </c>
      <c r="I736" s="3">
        <f t="shared" si="96"/>
        <v>4.4323549769882398E-3</v>
      </c>
      <c r="K736" s="12" t="str">
        <f>IF(AND(G736=1,G735&lt;&gt;1),MAX($K$50:K735)+1,"")</f>
        <v/>
      </c>
      <c r="L736" s="13" t="str">
        <f>IF(AND(G736&lt;&gt;1,G735=1),MAX($L$50:L735)+1,"")</f>
        <v/>
      </c>
      <c r="M736" s="13" t="str">
        <f>IF(AND(G736=-1,G735&lt;&gt;-1),MAX($M$50:M735)+1,"")</f>
        <v/>
      </c>
      <c r="N736" s="13" t="str">
        <f>IF(AND(G736&lt;&gt;-1,G735=-1),MAX($N$50:N735)+1,"")</f>
        <v/>
      </c>
      <c r="T736" s="7">
        <f t="shared" si="97"/>
        <v>84.631468423162332</v>
      </c>
      <c r="U736" s="1">
        <f t="shared" si="98"/>
        <v>130.37529751115187</v>
      </c>
    </row>
    <row r="737" spans="1:21" x14ac:dyDescent="0.3">
      <c r="A737" s="2">
        <v>41243</v>
      </c>
      <c r="B737" s="1">
        <v>2481.8200000000002</v>
      </c>
      <c r="C737" s="2">
        <f t="shared" si="90"/>
        <v>41243</v>
      </c>
      <c r="D737" s="1">
        <f t="shared" si="91"/>
        <v>2481.8200000000002</v>
      </c>
      <c r="E737" s="4">
        <f t="shared" si="92"/>
        <v>2484.5550000000007</v>
      </c>
      <c r="F737" s="3">
        <f t="shared" si="93"/>
        <v>0.99889919925298476</v>
      </c>
      <c r="G737" s="18">
        <f t="shared" si="94"/>
        <v>1</v>
      </c>
      <c r="H737" s="3">
        <f t="shared" si="95"/>
        <v>1.611980237121724E-4</v>
      </c>
      <c r="I737" s="3">
        <f t="shared" si="96"/>
        <v>1.611980237121724E-4</v>
      </c>
      <c r="K737" s="12" t="str">
        <f>IF(AND(G737=1,G736&lt;&gt;1),MAX($K$50:K736)+1,"")</f>
        <v/>
      </c>
      <c r="L737" s="13" t="str">
        <f>IF(AND(G737&lt;&gt;1,G736=1),MAX($L$50:L736)+1,"")</f>
        <v/>
      </c>
      <c r="M737" s="13" t="str">
        <f>IF(AND(G737=-1,G736&lt;&gt;-1),MAX($M$50:M736)+1,"")</f>
        <v/>
      </c>
      <c r="N737" s="13" t="str">
        <f>IF(AND(G737&lt;&gt;-1,G736=-1),MAX($N$50:N736)+1,"")</f>
        <v/>
      </c>
      <c r="T737" s="7">
        <f t="shared" si="97"/>
        <v>84.645110848616</v>
      </c>
      <c r="U737" s="1">
        <f t="shared" si="98"/>
        <v>130.39631375145157</v>
      </c>
    </row>
    <row r="738" spans="1:21" x14ac:dyDescent="0.3">
      <c r="A738" s="2">
        <v>41246</v>
      </c>
      <c r="B738" s="1">
        <v>2470.0700000000002</v>
      </c>
      <c r="C738" s="2">
        <f t="shared" si="90"/>
        <v>41246</v>
      </c>
      <c r="D738" s="1">
        <f t="shared" si="91"/>
        <v>2470.0700000000002</v>
      </c>
      <c r="E738" s="4">
        <f t="shared" si="92"/>
        <v>2482.9942000000005</v>
      </c>
      <c r="F738" s="3">
        <f t="shared" si="93"/>
        <v>0.99479491333487591</v>
      </c>
      <c r="G738" s="18">
        <f t="shared" si="94"/>
        <v>1</v>
      </c>
      <c r="H738" s="3">
        <f t="shared" si="95"/>
        <v>-4.7344287659862871E-3</v>
      </c>
      <c r="I738" s="3">
        <f t="shared" si="96"/>
        <v>-4.7344287659862871E-3</v>
      </c>
      <c r="K738" s="12" t="str">
        <f>IF(AND(G738=1,G737&lt;&gt;1),MAX($K$50:K737)+1,"")</f>
        <v/>
      </c>
      <c r="L738" s="13" t="str">
        <f>IF(AND(G738&lt;&gt;1,G737=1),MAX($L$50:L737)+1,"")</f>
        <v/>
      </c>
      <c r="M738" s="13" t="str">
        <f>IF(AND(G738=-1,G737&lt;&gt;-1),MAX($M$50:M737)+1,"")</f>
        <v/>
      </c>
      <c r="N738" s="13" t="str">
        <f>IF(AND(G738&lt;&gt;-1,G737=-1),MAX($N$50:N737)+1,"")</f>
        <v/>
      </c>
      <c r="T738" s="7">
        <f t="shared" si="97"/>
        <v>84.24436460091421</v>
      </c>
      <c r="U738" s="1">
        <f t="shared" si="98"/>
        <v>129.77896169264812</v>
      </c>
    </row>
    <row r="739" spans="1:21" x14ac:dyDescent="0.3">
      <c r="A739" s="2">
        <v>41247</v>
      </c>
      <c r="B739" s="1">
        <v>2465.9</v>
      </c>
      <c r="C739" s="2">
        <f t="shared" si="90"/>
        <v>41247</v>
      </c>
      <c r="D739" s="1">
        <f t="shared" si="91"/>
        <v>2465.9</v>
      </c>
      <c r="E739" s="4">
        <f t="shared" si="92"/>
        <v>2481.3700000000008</v>
      </c>
      <c r="F739" s="3">
        <f t="shared" si="93"/>
        <v>0.9937655408101167</v>
      </c>
      <c r="G739" s="18">
        <f t="shared" si="94"/>
        <v>1</v>
      </c>
      <c r="H739" s="3">
        <f t="shared" si="95"/>
        <v>-1.6882112652678583E-3</v>
      </c>
      <c r="I739" s="3">
        <f t="shared" si="96"/>
        <v>-1.6882112652678583E-3</v>
      </c>
      <c r="K739" s="12" t="str">
        <f>IF(AND(G739=1,G738&lt;&gt;1),MAX($K$50:K738)+1,"")</f>
        <v/>
      </c>
      <c r="L739" s="13" t="str">
        <f>IF(AND(G739&lt;&gt;1,G738=1),MAX($L$50:L738)+1,"")</f>
        <v/>
      </c>
      <c r="M739" s="13" t="str">
        <f>IF(AND(G739=-1,G738&lt;&gt;-1),MAX($M$50:M738)+1,"")</f>
        <v/>
      </c>
      <c r="N739" s="13" t="str">
        <f>IF(AND(G739&lt;&gt;-1,G738=-1),MAX($N$50:N738)+1,"")</f>
        <v/>
      </c>
      <c r="T739" s="7">
        <f t="shared" si="97"/>
        <v>84.102142315559618</v>
      </c>
      <c r="U739" s="1">
        <f t="shared" si="98"/>
        <v>129.55986738752384</v>
      </c>
    </row>
    <row r="740" spans="1:21" x14ac:dyDescent="0.3">
      <c r="A740" s="2">
        <v>41248</v>
      </c>
      <c r="B740" s="1">
        <v>2470.59</v>
      </c>
      <c r="C740" s="2">
        <f t="shared" si="90"/>
        <v>41248</v>
      </c>
      <c r="D740" s="1">
        <f t="shared" si="91"/>
        <v>2470.59</v>
      </c>
      <c r="E740" s="4">
        <f t="shared" si="92"/>
        <v>2479.8434000000007</v>
      </c>
      <c r="F740" s="3">
        <f t="shared" si="93"/>
        <v>0.99626855469986508</v>
      </c>
      <c r="G740" s="18">
        <f t="shared" si="94"/>
        <v>1</v>
      </c>
      <c r="H740" s="3">
        <f t="shared" si="95"/>
        <v>1.9019424956405739E-3</v>
      </c>
      <c r="I740" s="3">
        <f t="shared" si="96"/>
        <v>1.9019424956405739E-3</v>
      </c>
      <c r="K740" s="12" t="str">
        <f>IF(AND(G740=1,G739&lt;&gt;1),MAX($K$50:K739)+1,"")</f>
        <v/>
      </c>
      <c r="L740" s="13" t="str">
        <f>IF(AND(G740&lt;&gt;1,G739=1),MAX($L$50:L739)+1,"")</f>
        <v/>
      </c>
      <c r="M740" s="13" t="str">
        <f>IF(AND(G740=-1,G739&lt;&gt;-1),MAX($M$50:M739)+1,"")</f>
        <v/>
      </c>
      <c r="N740" s="13" t="str">
        <f>IF(AND(G740&lt;&gt;-1,G739=-1),MAX($N$50:N739)+1,"")</f>
        <v/>
      </c>
      <c r="T740" s="7">
        <f t="shared" si="97"/>
        <v>84.262099754003998</v>
      </c>
      <c r="U740" s="1">
        <f t="shared" si="98"/>
        <v>129.80628280503774</v>
      </c>
    </row>
    <row r="741" spans="1:21" x14ac:dyDescent="0.3">
      <c r="A741" s="2">
        <v>41249</v>
      </c>
      <c r="B741" s="1">
        <v>2479.4</v>
      </c>
      <c r="C741" s="2">
        <f t="shared" si="90"/>
        <v>41249</v>
      </c>
      <c r="D741" s="1">
        <f t="shared" si="91"/>
        <v>2479.4</v>
      </c>
      <c r="E741" s="4">
        <f t="shared" si="92"/>
        <v>2478.6068</v>
      </c>
      <c r="F741" s="3">
        <f t="shared" si="93"/>
        <v>1.0003200184878054</v>
      </c>
      <c r="G741" s="18">
        <f t="shared" si="94"/>
        <v>1</v>
      </c>
      <c r="H741" s="3">
        <f t="shared" si="95"/>
        <v>3.5659498338453943E-3</v>
      </c>
      <c r="I741" s="3">
        <f t="shared" si="96"/>
        <v>3.5659498338453943E-3</v>
      </c>
      <c r="K741" s="12" t="str">
        <f>IF(AND(G741=1,G740&lt;&gt;1),MAX($K$50:K740)+1,"")</f>
        <v/>
      </c>
      <c r="L741" s="13" t="str">
        <f>IF(AND(G741&lt;&gt;1,G740=1),MAX($L$50:L740)+1,"")</f>
        <v/>
      </c>
      <c r="M741" s="13" t="str">
        <f>IF(AND(G741=-1,G740&lt;&gt;-1),MAX($M$50:M740)+1,"")</f>
        <v/>
      </c>
      <c r="N741" s="13" t="str">
        <f>IF(AND(G741&lt;&gt;-1,G740=-1),MAX($N$50:N740)+1,"")</f>
        <v/>
      </c>
      <c r="T741" s="7">
        <f t="shared" si="97"/>
        <v>84.562574174621247</v>
      </c>
      <c r="U741" s="1">
        <f t="shared" si="98"/>
        <v>130.26916549763843</v>
      </c>
    </row>
    <row r="742" spans="1:21" x14ac:dyDescent="0.3">
      <c r="A742" s="2">
        <v>41250</v>
      </c>
      <c r="B742" s="1">
        <v>2486.84</v>
      </c>
      <c r="C742" s="2">
        <f t="shared" si="90"/>
        <v>41250</v>
      </c>
      <c r="D742" s="1">
        <f t="shared" si="91"/>
        <v>2486.84</v>
      </c>
      <c r="E742" s="4">
        <f t="shared" si="92"/>
        <v>2478.047</v>
      </c>
      <c r="F742" s="3">
        <f t="shared" si="93"/>
        <v>1.0035483588487224</v>
      </c>
      <c r="G742" s="18">
        <f t="shared" si="94"/>
        <v>1</v>
      </c>
      <c r="H742" s="3">
        <f t="shared" si="95"/>
        <v>3.0007259820925558E-3</v>
      </c>
      <c r="I742" s="3">
        <f t="shared" si="96"/>
        <v>3.0007259820925558E-3</v>
      </c>
      <c r="K742" s="12" t="str">
        <f>IF(AND(G742=1,G741&lt;&gt;1),MAX($K$50:K741)+1,"")</f>
        <v/>
      </c>
      <c r="L742" s="13" t="str">
        <f>IF(AND(G742&lt;&gt;1,G741=1),MAX($L$50:L741)+1,"")</f>
        <v/>
      </c>
      <c r="M742" s="13" t="str">
        <f>IF(AND(G742=-1,G741&lt;&gt;-1),MAX($M$50:M741)+1,"")</f>
        <v/>
      </c>
      <c r="N742" s="13" t="str">
        <f>IF(AND(G742&lt;&gt;-1,G741=-1),MAX($N$50:N741)+1,"")</f>
        <v/>
      </c>
      <c r="T742" s="7">
        <f t="shared" si="97"/>
        <v>84.816323288059664</v>
      </c>
      <c r="U742" s="1">
        <f t="shared" si="98"/>
        <v>130.66006756721268</v>
      </c>
    </row>
    <row r="743" spans="1:21" x14ac:dyDescent="0.3">
      <c r="A743" s="2">
        <v>41253</v>
      </c>
      <c r="B743" s="1">
        <v>2487.7800000000002</v>
      </c>
      <c r="C743" s="2">
        <f t="shared" si="90"/>
        <v>41253</v>
      </c>
      <c r="D743" s="1">
        <f t="shared" si="91"/>
        <v>2487.7800000000002</v>
      </c>
      <c r="E743" s="4">
        <f t="shared" si="92"/>
        <v>2477.7842000000001</v>
      </c>
      <c r="F743" s="3">
        <f t="shared" si="93"/>
        <v>1.0040341689159209</v>
      </c>
      <c r="G743" s="18">
        <f t="shared" si="94"/>
        <v>1</v>
      </c>
      <c r="H743" s="3">
        <f t="shared" si="95"/>
        <v>3.7798973798075508E-4</v>
      </c>
      <c r="I743" s="3">
        <f t="shared" si="96"/>
        <v>3.7798973798075508E-4</v>
      </c>
      <c r="K743" s="12" t="str">
        <f>IF(AND(G743=1,G742&lt;&gt;1),MAX($K$50:K742)+1,"")</f>
        <v/>
      </c>
      <c r="L743" s="13" t="str">
        <f>IF(AND(G743&lt;&gt;1,G742=1),MAX($L$50:L742)+1,"")</f>
        <v/>
      </c>
      <c r="M743" s="13" t="str">
        <f>IF(AND(G743=-1,G742&lt;&gt;-1),MAX($M$50:M742)+1,"")</f>
        <v/>
      </c>
      <c r="N743" s="13" t="str">
        <f>IF(AND(G743&lt;&gt;-1,G742=-1),MAX($N$50:N742)+1,"")</f>
        <v/>
      </c>
      <c r="T743" s="7">
        <f t="shared" si="97"/>
        <v>84.848382987875809</v>
      </c>
      <c r="U743" s="1">
        <f t="shared" si="98"/>
        <v>130.70945573191696</v>
      </c>
    </row>
    <row r="744" spans="1:21" x14ac:dyDescent="0.3">
      <c r="A744" s="2">
        <v>41254</v>
      </c>
      <c r="B744" s="1">
        <v>2504.08</v>
      </c>
      <c r="C744" s="2">
        <f t="shared" si="90"/>
        <v>41254</v>
      </c>
      <c r="D744" s="1">
        <f t="shared" si="91"/>
        <v>2504.08</v>
      </c>
      <c r="E744" s="4">
        <f t="shared" si="92"/>
        <v>2477.3612000000003</v>
      </c>
      <c r="F744" s="3">
        <f t="shared" si="93"/>
        <v>1.0107851854626606</v>
      </c>
      <c r="G744" s="18">
        <f t="shared" si="94"/>
        <v>1</v>
      </c>
      <c r="H744" s="3">
        <f t="shared" si="95"/>
        <v>6.5520263045766303E-3</v>
      </c>
      <c r="I744" s="3">
        <f t="shared" si="96"/>
        <v>6.5520263045766303E-3</v>
      </c>
      <c r="K744" s="12" t="str">
        <f>IF(AND(G744=1,G743&lt;&gt;1),MAX($K$50:K743)+1,"")</f>
        <v/>
      </c>
      <c r="L744" s="13" t="str">
        <f>IF(AND(G744&lt;&gt;1,G743=1),MAX($L$50:L743)+1,"")</f>
        <v/>
      </c>
      <c r="M744" s="13" t="str">
        <f>IF(AND(G744=-1,G743&lt;&gt;-1),MAX($M$50:M743)+1,"")</f>
        <v/>
      </c>
      <c r="N744" s="13" t="str">
        <f>IF(AND(G744&lt;&gt;-1,G743=-1),MAX($N$50:N743)+1,"")</f>
        <v/>
      </c>
      <c r="T744" s="7">
        <f t="shared" si="97"/>
        <v>85.404311825113169</v>
      </c>
      <c r="U744" s="1">
        <f t="shared" si="98"/>
        <v>131.56586752412937</v>
      </c>
    </row>
    <row r="745" spans="1:21" x14ac:dyDescent="0.3">
      <c r="A745" s="2">
        <v>41255</v>
      </c>
      <c r="B745" s="1">
        <v>2505.7600000000002</v>
      </c>
      <c r="C745" s="2">
        <f t="shared" si="90"/>
        <v>41255</v>
      </c>
      <c r="D745" s="1">
        <f t="shared" si="91"/>
        <v>2505.7600000000002</v>
      </c>
      <c r="E745" s="4">
        <f t="shared" si="92"/>
        <v>2477.1977999999999</v>
      </c>
      <c r="F745" s="3">
        <f t="shared" si="93"/>
        <v>1.0115300441490787</v>
      </c>
      <c r="G745" s="18">
        <f t="shared" si="94"/>
        <v>1</v>
      </c>
      <c r="H745" s="3">
        <f t="shared" si="95"/>
        <v>6.7090508290479356E-4</v>
      </c>
      <c r="I745" s="3">
        <f t="shared" si="96"/>
        <v>6.7090508290479356E-4</v>
      </c>
      <c r="K745" s="12" t="str">
        <f>IF(AND(G745=1,G744&lt;&gt;1),MAX($K$50:K744)+1,"")</f>
        <v/>
      </c>
      <c r="L745" s="13" t="str">
        <f>IF(AND(G745&lt;&gt;1,G744=1),MAX($L$50:L744)+1,"")</f>
        <v/>
      </c>
      <c r="M745" s="13" t="str">
        <f>IF(AND(G745=-1,G744&lt;&gt;-1),MAX($M$50:M744)+1,"")</f>
        <v/>
      </c>
      <c r="N745" s="13" t="str">
        <f>IF(AND(G745&lt;&gt;-1,G744=-1),MAX($N$50:N744)+1,"")</f>
        <v/>
      </c>
      <c r="T745" s="7">
        <f t="shared" si="97"/>
        <v>85.461610012018625</v>
      </c>
      <c r="U745" s="1">
        <f t="shared" si="98"/>
        <v>131.6541357333881</v>
      </c>
    </row>
    <row r="746" spans="1:21" x14ac:dyDescent="0.3">
      <c r="A746" s="2">
        <v>41256</v>
      </c>
      <c r="B746" s="1">
        <v>2490.56</v>
      </c>
      <c r="C746" s="2">
        <f t="shared" si="90"/>
        <v>41256</v>
      </c>
      <c r="D746" s="1">
        <f t="shared" si="91"/>
        <v>2490.56</v>
      </c>
      <c r="E746" s="4">
        <f t="shared" si="92"/>
        <v>2476.5948000000003</v>
      </c>
      <c r="F746" s="3">
        <f t="shared" si="93"/>
        <v>1.0056388715667173</v>
      </c>
      <c r="G746" s="18">
        <f t="shared" si="94"/>
        <v>1</v>
      </c>
      <c r="H746" s="3">
        <f t="shared" si="95"/>
        <v>-6.0660238809783218E-3</v>
      </c>
      <c r="I746" s="3">
        <f t="shared" si="96"/>
        <v>-6.0660238809783218E-3</v>
      </c>
      <c r="K746" s="12" t="str">
        <f>IF(AND(G746=1,G745&lt;&gt;1),MAX($K$50:K745)+1,"")</f>
        <v/>
      </c>
      <c r="L746" s="13" t="str">
        <f>IF(AND(G746&lt;&gt;1,G745=1),MAX($L$50:L745)+1,"")</f>
        <v/>
      </c>
      <c r="M746" s="13" t="str">
        <f>IF(AND(G746=-1,G745&lt;&gt;-1),MAX($M$50:M745)+1,"")</f>
        <v/>
      </c>
      <c r="N746" s="13" t="str">
        <f>IF(AND(G746&lt;&gt;-1,G745=-1),MAX($N$50:N745)+1,"")</f>
        <v/>
      </c>
      <c r="T746" s="7">
        <f t="shared" si="97"/>
        <v>84.943197844778865</v>
      </c>
      <c r="U746" s="1">
        <f t="shared" si="98"/>
        <v>130.85551860199982</v>
      </c>
    </row>
    <row r="747" spans="1:21" x14ac:dyDescent="0.3">
      <c r="A747" s="2">
        <v>41257</v>
      </c>
      <c r="B747" s="1">
        <v>2480.36</v>
      </c>
      <c r="C747" s="2">
        <f t="shared" si="90"/>
        <v>41257</v>
      </c>
      <c r="D747" s="1">
        <f t="shared" si="91"/>
        <v>2480.36</v>
      </c>
      <c r="E747" s="4">
        <f t="shared" si="92"/>
        <v>2475.7404000000001</v>
      </c>
      <c r="F747" s="3">
        <f t="shared" si="93"/>
        <v>1.0018659468496778</v>
      </c>
      <c r="G747" s="18">
        <f t="shared" si="94"/>
        <v>1</v>
      </c>
      <c r="H747" s="3">
        <f t="shared" si="95"/>
        <v>-4.0954644738532275E-3</v>
      </c>
      <c r="I747" s="3">
        <f t="shared" si="96"/>
        <v>-4.0954644738532275E-3</v>
      </c>
      <c r="K747" s="12" t="str">
        <f>IF(AND(G747=1,G746&lt;&gt;1),MAX($K$50:K746)+1,"")</f>
        <v/>
      </c>
      <c r="L747" s="13" t="str">
        <f>IF(AND(G747&lt;&gt;1,G746=1),MAX($L$50:L746)+1,"")</f>
        <v/>
      </c>
      <c r="M747" s="13" t="str">
        <f>IF(AND(G747=-1,G746&lt;&gt;-1),MAX($M$50:M746)+1,"")</f>
        <v/>
      </c>
      <c r="N747" s="13" t="str">
        <f>IF(AND(G747&lt;&gt;-1,G746=-1),MAX($N$50:N746)+1,"")</f>
        <v/>
      </c>
      <c r="T747" s="7">
        <f t="shared" si="97"/>
        <v>84.595315995710081</v>
      </c>
      <c r="U747" s="1">
        <f t="shared" si="98"/>
        <v>130.31960447435767</v>
      </c>
    </row>
    <row r="748" spans="1:21" x14ac:dyDescent="0.3">
      <c r="A748" s="2">
        <v>41260</v>
      </c>
      <c r="B748" s="1">
        <v>2509.84</v>
      </c>
      <c r="C748" s="2">
        <f t="shared" si="90"/>
        <v>41260</v>
      </c>
      <c r="D748" s="1">
        <f t="shared" si="91"/>
        <v>2509.84</v>
      </c>
      <c r="E748" s="4">
        <f t="shared" si="92"/>
        <v>2475.2813999999998</v>
      </c>
      <c r="F748" s="3">
        <f t="shared" si="93"/>
        <v>1.0139614833287238</v>
      </c>
      <c r="G748" s="18">
        <f t="shared" si="94"/>
        <v>1</v>
      </c>
      <c r="H748" s="3">
        <f t="shared" si="95"/>
        <v>1.1885371478333795E-2</v>
      </c>
      <c r="I748" s="3">
        <f t="shared" si="96"/>
        <v>1.1885371478333795E-2</v>
      </c>
      <c r="K748" s="12" t="str">
        <f>IF(AND(G748=1,G747&lt;&gt;1),MAX($K$50:K747)+1,"")</f>
        <v/>
      </c>
      <c r="L748" s="13" t="str">
        <f>IF(AND(G748&lt;&gt;1,G747=1),MAX($L$50:L747)+1,"")</f>
        <v/>
      </c>
      <c r="M748" s="13" t="str">
        <f>IF(AND(G748=-1,G747&lt;&gt;-1),MAX($M$50:M747)+1,"")</f>
        <v/>
      </c>
      <c r="N748" s="13" t="str">
        <f>IF(AND(G748&lt;&gt;-1,G747=-1),MAX($N$50:N747)+1,"")</f>
        <v/>
      </c>
      <c r="T748" s="7">
        <f t="shared" si="97"/>
        <v>85.60076275164613</v>
      </c>
      <c r="U748" s="1">
        <f t="shared" si="98"/>
        <v>131.86850138444495</v>
      </c>
    </row>
    <row r="749" spans="1:21" x14ac:dyDescent="0.3">
      <c r="A749" s="2">
        <v>41261</v>
      </c>
      <c r="B749" s="1">
        <v>2538.7199999999998</v>
      </c>
      <c r="C749" s="2">
        <f t="shared" si="90"/>
        <v>41261</v>
      </c>
      <c r="D749" s="1">
        <f t="shared" si="91"/>
        <v>2538.7199999999998</v>
      </c>
      <c r="E749" s="4">
        <f t="shared" si="92"/>
        <v>2475.0361999999996</v>
      </c>
      <c r="F749" s="3">
        <f t="shared" si="93"/>
        <v>1.0257304519424808</v>
      </c>
      <c r="G749" s="18">
        <f t="shared" si="94"/>
        <v>1</v>
      </c>
      <c r="H749" s="3">
        <f t="shared" si="95"/>
        <v>1.1506709591049491E-2</v>
      </c>
      <c r="I749" s="3">
        <f t="shared" si="96"/>
        <v>1.1506709591049491E-2</v>
      </c>
      <c r="K749" s="12" t="str">
        <f>IF(AND(G749=1,G748&lt;&gt;1),MAX($K$50:K748)+1,"")</f>
        <v/>
      </c>
      <c r="L749" s="13" t="str">
        <f>IF(AND(G749&lt;&gt;1,G748=1),MAX($L$50:L748)+1,"")</f>
        <v/>
      </c>
      <c r="M749" s="13" t="str">
        <f>IF(AND(G749=-1,G748&lt;&gt;-1),MAX($M$50:M748)+1,"")</f>
        <v/>
      </c>
      <c r="N749" s="13" t="str">
        <f>IF(AND(G749&lt;&gt;-1,G748=-1),MAX($N$50:N748)+1,"")</f>
        <v/>
      </c>
      <c r="T749" s="7">
        <f t="shared" si="97"/>
        <v>86.585745869401649</v>
      </c>
      <c r="U749" s="1">
        <f t="shared" si="98"/>
        <v>133.38587393408267</v>
      </c>
    </row>
    <row r="750" spans="1:21" x14ac:dyDescent="0.3">
      <c r="A750" s="2">
        <v>41262</v>
      </c>
      <c r="B750" s="1">
        <v>2519.54</v>
      </c>
      <c r="C750" s="2">
        <f t="shared" si="90"/>
        <v>41262</v>
      </c>
      <c r="D750" s="1">
        <f t="shared" si="91"/>
        <v>2519.54</v>
      </c>
      <c r="E750" s="4">
        <f t="shared" si="92"/>
        <v>2474.4063999999994</v>
      </c>
      <c r="F750" s="3">
        <f t="shared" si="93"/>
        <v>1.0182401726733332</v>
      </c>
      <c r="G750" s="18">
        <f t="shared" si="94"/>
        <v>1</v>
      </c>
      <c r="H750" s="3">
        <f t="shared" si="95"/>
        <v>-7.5549883405809926E-3</v>
      </c>
      <c r="I750" s="3">
        <f t="shared" si="96"/>
        <v>-7.5549883405809926E-3</v>
      </c>
      <c r="K750" s="12" t="str">
        <f>IF(AND(G750=1,G749&lt;&gt;1),MAX($K$50:K749)+1,"")</f>
        <v/>
      </c>
      <c r="L750" s="13" t="str">
        <f>IF(AND(G750&lt;&gt;1,G749=1),MAX($L$50:L749)+1,"")</f>
        <v/>
      </c>
      <c r="M750" s="13" t="str">
        <f>IF(AND(G750=-1,G749&lt;&gt;-1),MAX($M$50:M749)+1,"")</f>
        <v/>
      </c>
      <c r="N750" s="13" t="str">
        <f>IF(AND(G750&lt;&gt;-1,G749=-1),MAX($N$50:N749)+1,"")</f>
        <v/>
      </c>
      <c r="T750" s="7">
        <f t="shared" si="97"/>
        <v>85.931591568897815</v>
      </c>
      <c r="U750" s="1">
        <f t="shared" si="98"/>
        <v>132.37814521171248</v>
      </c>
    </row>
    <row r="751" spans="1:21" x14ac:dyDescent="0.3">
      <c r="A751" s="2">
        <v>41263</v>
      </c>
      <c r="B751" s="1">
        <v>2533.91</v>
      </c>
      <c r="C751" s="2">
        <f t="shared" si="90"/>
        <v>41263</v>
      </c>
      <c r="D751" s="1">
        <f t="shared" si="91"/>
        <v>2533.91</v>
      </c>
      <c r="E751" s="4">
        <f t="shared" si="92"/>
        <v>2474.2403999999997</v>
      </c>
      <c r="F751" s="3">
        <f t="shared" si="93"/>
        <v>1.0241163308140955</v>
      </c>
      <c r="G751" s="18">
        <f t="shared" si="94"/>
        <v>1</v>
      </c>
      <c r="H751" s="3">
        <f t="shared" si="95"/>
        <v>5.7034220532319324E-3</v>
      </c>
      <c r="I751" s="3">
        <f t="shared" si="96"/>
        <v>5.7034220532319324E-3</v>
      </c>
      <c r="K751" s="12" t="str">
        <f>IF(AND(G751=1,G750&lt;&gt;1),MAX($K$50:K750)+1,"")</f>
        <v/>
      </c>
      <c r="L751" s="13" t="str">
        <f>IF(AND(G751&lt;&gt;1,G750=1),MAX($L$50:L750)+1,"")</f>
        <v/>
      </c>
      <c r="M751" s="13" t="str">
        <f>IF(AND(G751=-1,G750&lt;&gt;-1),MAX($M$50:M750)+1,"")</f>
        <v/>
      </c>
      <c r="N751" s="13" t="str">
        <f>IF(AND(G751&lt;&gt;-1,G750=-1),MAX($N$50:N750)+1,"")</f>
        <v/>
      </c>
      <c r="T751" s="7">
        <f t="shared" si="97"/>
        <v>86.421695703321191</v>
      </c>
      <c r="U751" s="1">
        <f t="shared" si="98"/>
        <v>133.13315364447891</v>
      </c>
    </row>
    <row r="752" spans="1:21" x14ac:dyDescent="0.3">
      <c r="A752" s="2">
        <v>41264</v>
      </c>
      <c r="B752" s="1">
        <v>2510.3200000000002</v>
      </c>
      <c r="C752" s="2">
        <f t="shared" si="90"/>
        <v>41264</v>
      </c>
      <c r="D752" s="1">
        <f t="shared" si="91"/>
        <v>2510.3200000000002</v>
      </c>
      <c r="E752" s="4">
        <f t="shared" si="92"/>
        <v>2474.1039999999994</v>
      </c>
      <c r="F752" s="3">
        <f t="shared" si="93"/>
        <v>1.0146380265340507</v>
      </c>
      <c r="G752" s="18">
        <f t="shared" si="94"/>
        <v>1</v>
      </c>
      <c r="H752" s="3">
        <f t="shared" si="95"/>
        <v>-9.309722918335539E-3</v>
      </c>
      <c r="I752" s="3">
        <f t="shared" si="96"/>
        <v>-9.309722918335539E-3</v>
      </c>
      <c r="K752" s="12" t="str">
        <f>IF(AND(G752=1,G751&lt;&gt;1),MAX($K$50:K751)+1,"")</f>
        <v/>
      </c>
      <c r="L752" s="13" t="str">
        <f>IF(AND(G752&lt;&gt;1,G751=1),MAX($L$50:L751)+1,"")</f>
        <v/>
      </c>
      <c r="M752" s="13" t="str">
        <f>IF(AND(G752=-1,G751&lt;&gt;-1),MAX($M$50:M751)+1,"")</f>
        <v/>
      </c>
      <c r="N752" s="13" t="str">
        <f>IF(AND(G752&lt;&gt;-1,G751=-1),MAX($N$50:N751)+1,"")</f>
        <v/>
      </c>
      <c r="T752" s="7">
        <f t="shared" si="97"/>
        <v>85.617133662190568</v>
      </c>
      <c r="U752" s="1">
        <f t="shared" si="98"/>
        <v>131.89372087280461</v>
      </c>
    </row>
    <row r="753" spans="1:21" x14ac:dyDescent="0.3">
      <c r="A753" s="2">
        <v>41267</v>
      </c>
      <c r="B753" s="1">
        <v>2504.5100000000002</v>
      </c>
      <c r="C753" s="2">
        <f t="shared" si="90"/>
        <v>41267</v>
      </c>
      <c r="D753" s="1">
        <f t="shared" si="91"/>
        <v>2504.5100000000002</v>
      </c>
      <c r="E753" s="4">
        <f t="shared" si="92"/>
        <v>2474.1591999999996</v>
      </c>
      <c r="F753" s="3">
        <f t="shared" si="93"/>
        <v>1.0122671168451896</v>
      </c>
      <c r="G753" s="18">
        <f t="shared" si="94"/>
        <v>1</v>
      </c>
      <c r="H753" s="3">
        <f t="shared" si="95"/>
        <v>-2.3144459670479955E-3</v>
      </c>
      <c r="I753" s="3">
        <f t="shared" si="96"/>
        <v>-2.3144459670479955E-3</v>
      </c>
      <c r="K753" s="12" t="str">
        <f>IF(AND(G753=1,G752&lt;&gt;1),MAX($K$50:K752)+1,"")</f>
        <v/>
      </c>
      <c r="L753" s="13" t="str">
        <f>IF(AND(G753&lt;&gt;1,G752=1),MAX($L$50:L752)+1,"")</f>
        <v/>
      </c>
      <c r="M753" s="13" t="str">
        <f>IF(AND(G753=-1,G752&lt;&gt;-1),MAX($M$50:M752)+1,"")</f>
        <v/>
      </c>
      <c r="N753" s="13" t="str">
        <f>IF(AND(G753&lt;&gt;-1,G752=-1),MAX($N$50:N752)+1,"")</f>
        <v/>
      </c>
      <c r="T753" s="7">
        <f t="shared" si="97"/>
        <v>85.418977432475899</v>
      </c>
      <c r="U753" s="1">
        <f t="shared" si="98"/>
        <v>131.58845998245158</v>
      </c>
    </row>
    <row r="754" spans="1:21" x14ac:dyDescent="0.3">
      <c r="A754" s="2">
        <v>41269</v>
      </c>
      <c r="B754" s="1">
        <v>2492.54</v>
      </c>
      <c r="C754" s="2">
        <f t="shared" si="90"/>
        <v>41269</v>
      </c>
      <c r="D754" s="1">
        <f t="shared" si="91"/>
        <v>2492.54</v>
      </c>
      <c r="E754" s="4">
        <f t="shared" si="92"/>
        <v>2473.9567999999995</v>
      </c>
      <c r="F754" s="3">
        <f t="shared" si="93"/>
        <v>1.0075115297081989</v>
      </c>
      <c r="G754" s="18">
        <f t="shared" si="94"/>
        <v>1</v>
      </c>
      <c r="H754" s="3">
        <f t="shared" si="95"/>
        <v>-4.779378002084389E-3</v>
      </c>
      <c r="I754" s="3">
        <f t="shared" si="96"/>
        <v>-4.779378002084389E-3</v>
      </c>
      <c r="K754" s="12" t="str">
        <f>IF(AND(G754=1,G753&lt;&gt;1),MAX($K$50:K753)+1,"")</f>
        <v/>
      </c>
      <c r="L754" s="13" t="str">
        <f>IF(AND(G754&lt;&gt;1,G753=1),MAX($L$50:L753)+1,"")</f>
        <v/>
      </c>
      <c r="M754" s="13" t="str">
        <f>IF(AND(G754=-1,G753&lt;&gt;-1),MAX($M$50:M753)+1,"")</f>
        <v/>
      </c>
      <c r="N754" s="13" t="str">
        <f>IF(AND(G754&lt;&gt;-1,G753=-1),MAX($N$50:N753)+1,"")</f>
        <v/>
      </c>
      <c r="T754" s="7">
        <f t="shared" si="97"/>
        <v>85.010727850774586</v>
      </c>
      <c r="U754" s="1">
        <f t="shared" si="98"/>
        <v>130.9595489914833</v>
      </c>
    </row>
    <row r="755" spans="1:21" x14ac:dyDescent="0.3">
      <c r="A755" s="2">
        <v>41270</v>
      </c>
      <c r="B755" s="1">
        <v>2489.9699999999998</v>
      </c>
      <c r="C755" s="2">
        <f t="shared" si="90"/>
        <v>41270</v>
      </c>
      <c r="D755" s="1">
        <f t="shared" si="91"/>
        <v>2489.9699999999998</v>
      </c>
      <c r="E755" s="4">
        <f t="shared" si="92"/>
        <v>2473.8505999999993</v>
      </c>
      <c r="F755" s="3">
        <f t="shared" si="93"/>
        <v>1.0065159149060985</v>
      </c>
      <c r="G755" s="18">
        <f t="shared" si="94"/>
        <v>1</v>
      </c>
      <c r="H755" s="3">
        <f t="shared" si="95"/>
        <v>-1.0310767329712034E-3</v>
      </c>
      <c r="I755" s="3">
        <f t="shared" si="96"/>
        <v>-1.0310767329712034E-3</v>
      </c>
      <c r="K755" s="12" t="str">
        <f>IF(AND(G755=1,G754&lt;&gt;1),MAX($K$50:K754)+1,"")</f>
        <v/>
      </c>
      <c r="L755" s="13" t="str">
        <f>IF(AND(G755&lt;&gt;1,G754=1),MAX($L$50:L754)+1,"")</f>
        <v/>
      </c>
      <c r="M755" s="13" t="str">
        <f>IF(AND(G755=-1,G754&lt;&gt;-1),MAX($M$50:M754)+1,"")</f>
        <v/>
      </c>
      <c r="N755" s="13" t="str">
        <f>IF(AND(G755&lt;&gt;-1,G754=-1),MAX($N$50:N754)+1,"")</f>
        <v/>
      </c>
      <c r="T755" s="7">
        <f t="shared" si="97"/>
        <v>84.923075267234708</v>
      </c>
      <c r="U755" s="1">
        <f t="shared" si="98"/>
        <v>130.82451964755776</v>
      </c>
    </row>
    <row r="756" spans="1:21" x14ac:dyDescent="0.3">
      <c r="A756" s="2">
        <v>41271</v>
      </c>
      <c r="B756" s="1">
        <v>2462.71</v>
      </c>
      <c r="C756" s="2">
        <f t="shared" ref="C756:C819" si="99">A756</f>
        <v>41271</v>
      </c>
      <c r="D756" s="1">
        <f t="shared" ref="D756:D819" si="100">B756</f>
        <v>2462.71</v>
      </c>
      <c r="E756" s="4">
        <f t="shared" ref="E756:E819" si="101">AVERAGE(B707:B756)</f>
        <v>2472.7959999999994</v>
      </c>
      <c r="F756" s="3">
        <f t="shared" ref="F756:F819" si="102">D756/E756</f>
        <v>0.99592121630737052</v>
      </c>
      <c r="G756" s="18">
        <f t="shared" ref="G756:G819" si="103">IF(F756&gt;=$Q$51,1,IF(F756&lt;=$Q$52,-1,0))</f>
        <v>1</v>
      </c>
      <c r="H756" s="3">
        <f t="shared" si="95"/>
        <v>-1.0947923067346044E-2</v>
      </c>
      <c r="I756" s="3">
        <f t="shared" si="96"/>
        <v>-1.0947923067346044E-2</v>
      </c>
      <c r="K756" s="12" t="str">
        <f>IF(AND(G756=1,G755&lt;&gt;1),MAX($K$50:K755)+1,"")</f>
        <v/>
      </c>
      <c r="L756" s="13" t="str">
        <f>IF(AND(G756&lt;&gt;1,G755=1),MAX($L$50:L755)+1,"")</f>
        <v/>
      </c>
      <c r="M756" s="13" t="str">
        <f>IF(AND(G756=-1,G755&lt;&gt;-1),MAX($M$50:M755)+1,"")</f>
        <v/>
      </c>
      <c r="N756" s="13" t="str">
        <f>IF(AND(G756&lt;&gt;-1,G755=-1),MAX($N$50:N755)+1,"")</f>
        <v/>
      </c>
      <c r="T756" s="7">
        <f t="shared" si="97"/>
        <v>83.993343972566578</v>
      </c>
      <c r="U756" s="1">
        <f t="shared" si="98"/>
        <v>129.39226287113379</v>
      </c>
    </row>
    <row r="757" spans="1:21" x14ac:dyDescent="0.3">
      <c r="A757" s="2">
        <v>41274</v>
      </c>
      <c r="B757" s="1">
        <v>2504.44</v>
      </c>
      <c r="C757" s="2">
        <f t="shared" si="99"/>
        <v>41274</v>
      </c>
      <c r="D757" s="1">
        <f t="shared" si="100"/>
        <v>2504.44</v>
      </c>
      <c r="E757" s="4">
        <f t="shared" si="101"/>
        <v>2472.0591999999997</v>
      </c>
      <c r="F757" s="3">
        <f t="shared" si="102"/>
        <v>1.013098715435294</v>
      </c>
      <c r="G757" s="18">
        <f t="shared" si="103"/>
        <v>1</v>
      </c>
      <c r="H757" s="3">
        <f t="shared" ref="H757:H820" si="104">D757/D756-1</f>
        <v>1.6944747859065856E-2</v>
      </c>
      <c r="I757" s="3">
        <f t="shared" ref="I757:I820" si="105">G756*H757</f>
        <v>1.6944747859065856E-2</v>
      </c>
      <c r="K757" s="12" t="str">
        <f>IF(AND(G757=1,G756&lt;&gt;1),MAX($K$50:K756)+1,"")</f>
        <v/>
      </c>
      <c r="L757" s="13" t="str">
        <f>IF(AND(G757&lt;&gt;1,G756=1),MAX($L$50:L756)+1,"")</f>
        <v/>
      </c>
      <c r="M757" s="13" t="str">
        <f>IF(AND(G757=-1,G756&lt;&gt;-1),MAX($M$50:M756)+1,"")</f>
        <v/>
      </c>
      <c r="N757" s="13" t="str">
        <f>IF(AND(G757&lt;&gt;-1,G756=-1),MAX($N$50:N756)+1,"")</f>
        <v/>
      </c>
      <c r="T757" s="7">
        <f t="shared" ref="T757:T820" si="106">T756*(1+I757)</f>
        <v>85.416590008021501</v>
      </c>
      <c r="U757" s="1">
        <f t="shared" ref="U757:U820" si="107">U756*D757/D756</f>
        <v>131.58478214039914</v>
      </c>
    </row>
    <row r="758" spans="1:21" x14ac:dyDescent="0.3">
      <c r="A758" s="2">
        <v>41276</v>
      </c>
      <c r="B758" s="1">
        <v>2568.5500000000002</v>
      </c>
      <c r="C758" s="2">
        <f t="shared" si="99"/>
        <v>41276</v>
      </c>
      <c r="D758" s="1">
        <f t="shared" si="100"/>
        <v>2568.5500000000002</v>
      </c>
      <c r="E758" s="4">
        <f t="shared" si="101"/>
        <v>2472.3891999999996</v>
      </c>
      <c r="F758" s="3">
        <f t="shared" si="102"/>
        <v>1.0388938764171922</v>
      </c>
      <c r="G758" s="18">
        <f t="shared" si="103"/>
        <v>1</v>
      </c>
      <c r="H758" s="3">
        <f t="shared" si="104"/>
        <v>2.5598536998291177E-2</v>
      </c>
      <c r="I758" s="3">
        <f t="shared" si="105"/>
        <v>2.5598536998291177E-2</v>
      </c>
      <c r="K758" s="12" t="str">
        <f>IF(AND(G758=1,G757&lt;&gt;1),MAX($K$50:K757)+1,"")</f>
        <v/>
      </c>
      <c r="L758" s="13" t="str">
        <f>IF(AND(G758&lt;&gt;1,G757=1),MAX($L$50:L757)+1,"")</f>
        <v/>
      </c>
      <c r="M758" s="13" t="str">
        <f>IF(AND(G758=-1,G757&lt;&gt;-1),MAX($M$50:M757)+1,"")</f>
        <v/>
      </c>
      <c r="N758" s="13" t="str">
        <f>IF(AND(G758&lt;&gt;-1,G757=-1),MAX($N$50:N757)+1,"")</f>
        <v/>
      </c>
      <c r="T758" s="7">
        <f t="shared" si="106"/>
        <v>87.603129747609714</v>
      </c>
      <c r="U758" s="1">
        <f t="shared" si="107"/>
        <v>134.9531600544322</v>
      </c>
    </row>
    <row r="759" spans="1:21" x14ac:dyDescent="0.3">
      <c r="A759" s="2">
        <v>41277</v>
      </c>
      <c r="B759" s="1">
        <v>2563.19</v>
      </c>
      <c r="C759" s="2">
        <f t="shared" si="99"/>
        <v>41277</v>
      </c>
      <c r="D759" s="1">
        <f t="shared" si="100"/>
        <v>2563.19</v>
      </c>
      <c r="E759" s="4">
        <f t="shared" si="101"/>
        <v>2472.7339999999999</v>
      </c>
      <c r="F759" s="3">
        <f t="shared" si="102"/>
        <v>1.0365813710653875</v>
      </c>
      <c r="G759" s="18">
        <f t="shared" si="103"/>
        <v>1</v>
      </c>
      <c r="H759" s="3">
        <f t="shared" si="104"/>
        <v>-2.0867804792588096E-3</v>
      </c>
      <c r="I759" s="3">
        <f t="shared" si="105"/>
        <v>-2.0867804792588096E-3</v>
      </c>
      <c r="K759" s="12" t="str">
        <f>IF(AND(G759=1,G758&lt;&gt;1),MAX($K$50:K758)+1,"")</f>
        <v/>
      </c>
      <c r="L759" s="13" t="str">
        <f>IF(AND(G759&lt;&gt;1,G758=1),MAX($L$50:L758)+1,"")</f>
        <v/>
      </c>
      <c r="M759" s="13" t="str">
        <f>IF(AND(G759=-1,G758&lt;&gt;-1),MAX($M$50:M758)+1,"")</f>
        <v/>
      </c>
      <c r="N759" s="13" t="str">
        <f>IF(AND(G759&lt;&gt;-1,G758=-1),MAX($N$50:N758)+1,"")</f>
        <v/>
      </c>
      <c r="T759" s="7">
        <f t="shared" si="106"/>
        <v>87.42032124653042</v>
      </c>
      <c r="U759" s="1">
        <f t="shared" si="107"/>
        <v>134.67154243441632</v>
      </c>
    </row>
    <row r="760" spans="1:21" x14ac:dyDescent="0.3">
      <c r="A760" s="2">
        <v>41278</v>
      </c>
      <c r="B760" s="1">
        <v>2575.66</v>
      </c>
      <c r="C760" s="2">
        <f t="shared" si="99"/>
        <v>41278</v>
      </c>
      <c r="D760" s="1">
        <f t="shared" si="100"/>
        <v>2575.66</v>
      </c>
      <c r="E760" s="4">
        <f t="shared" si="101"/>
        <v>2474.1711999999998</v>
      </c>
      <c r="F760" s="3">
        <f t="shared" si="102"/>
        <v>1.0410193118406681</v>
      </c>
      <c r="G760" s="18">
        <f t="shared" si="103"/>
        <v>1</v>
      </c>
      <c r="H760" s="3">
        <f t="shared" si="104"/>
        <v>4.8650314646982995E-3</v>
      </c>
      <c r="I760" s="3">
        <f t="shared" si="105"/>
        <v>4.8650314646982995E-3</v>
      </c>
      <c r="K760" s="12" t="str">
        <f>IF(AND(G760=1,G759&lt;&gt;1),MAX($K$50:K759)+1,"")</f>
        <v/>
      </c>
      <c r="L760" s="13" t="str">
        <f>IF(AND(G760&lt;&gt;1,G759=1),MAX($L$50:L759)+1,"")</f>
        <v/>
      </c>
      <c r="M760" s="13" t="str">
        <f>IF(AND(G760=-1,G759&lt;&gt;-1),MAX($M$50:M759)+1,"")</f>
        <v/>
      </c>
      <c r="N760" s="13" t="str">
        <f>IF(AND(G760&lt;&gt;-1,G759=-1),MAX($N$50:N759)+1,"")</f>
        <v/>
      </c>
      <c r="T760" s="7">
        <f t="shared" si="106"/>
        <v>87.845623860048818</v>
      </c>
      <c r="U760" s="1">
        <f t="shared" si="107"/>
        <v>135.32672372575919</v>
      </c>
    </row>
    <row r="761" spans="1:21" x14ac:dyDescent="0.3">
      <c r="A761" s="2">
        <v>41281</v>
      </c>
      <c r="B761" s="1">
        <v>2567.63</v>
      </c>
      <c r="C761" s="2">
        <f t="shared" si="99"/>
        <v>41281</v>
      </c>
      <c r="D761" s="1">
        <f t="shared" si="100"/>
        <v>2567.63</v>
      </c>
      <c r="E761" s="4">
        <f t="shared" si="101"/>
        <v>2475.4245999999998</v>
      </c>
      <c r="F761" s="3">
        <f t="shared" si="102"/>
        <v>1.0372483169150053</v>
      </c>
      <c r="G761" s="18">
        <f t="shared" si="103"/>
        <v>1</v>
      </c>
      <c r="H761" s="3">
        <f t="shared" si="104"/>
        <v>-3.1176475155881844E-3</v>
      </c>
      <c r="I761" s="3">
        <f t="shared" si="105"/>
        <v>-3.1176475155881844E-3</v>
      </c>
      <c r="K761" s="12" t="str">
        <f>IF(AND(G761=1,G760&lt;&gt;1),MAX($K$50:K760)+1,"")</f>
        <v/>
      </c>
      <c r="L761" s="13" t="str">
        <f>IF(AND(G761&lt;&gt;1,G760=1),MAX($L$50:L760)+1,"")</f>
        <v/>
      </c>
      <c r="M761" s="13" t="str">
        <f>IF(AND(G761=-1,G760&lt;&gt;-1),MAX($M$50:M760)+1,"")</f>
        <v/>
      </c>
      <c r="N761" s="13" t="str">
        <f>IF(AND(G761&lt;&gt;-1,G760=-1),MAX($N$50:N760)+1,"")</f>
        <v/>
      </c>
      <c r="T761" s="7">
        <f t="shared" si="106"/>
        <v>87.571752169066244</v>
      </c>
      <c r="U761" s="1">
        <f t="shared" si="107"/>
        <v>134.90482270174289</v>
      </c>
    </row>
    <row r="762" spans="1:21" x14ac:dyDescent="0.3">
      <c r="A762" s="2">
        <v>41282</v>
      </c>
      <c r="B762" s="1">
        <v>2560.17</v>
      </c>
      <c r="C762" s="2">
        <f t="shared" si="99"/>
        <v>41282</v>
      </c>
      <c r="D762" s="1">
        <f t="shared" si="100"/>
        <v>2560.17</v>
      </c>
      <c r="E762" s="4">
        <f t="shared" si="101"/>
        <v>2477.2523999999999</v>
      </c>
      <c r="F762" s="3">
        <f t="shared" si="102"/>
        <v>1.0334715994220049</v>
      </c>
      <c r="G762" s="18">
        <f t="shared" si="103"/>
        <v>1</v>
      </c>
      <c r="H762" s="3">
        <f t="shared" si="104"/>
        <v>-2.9054030370420092E-3</v>
      </c>
      <c r="I762" s="3">
        <f t="shared" si="105"/>
        <v>-2.9054030370420092E-3</v>
      </c>
      <c r="K762" s="12" t="str">
        <f>IF(AND(G762=1,G761&lt;&gt;1),MAX($K$50:K761)+1,"")</f>
        <v/>
      </c>
      <c r="L762" s="13" t="str">
        <f>IF(AND(G762&lt;&gt;1,G761=1),MAX($L$50:L761)+1,"")</f>
        <v/>
      </c>
      <c r="M762" s="13" t="str">
        <f>IF(AND(G762=-1,G761&lt;&gt;-1),MAX($M$50:M761)+1,"")</f>
        <v/>
      </c>
      <c r="N762" s="13" t="str">
        <f>IF(AND(G762&lt;&gt;-1,G761=-1),MAX($N$50:N761)+1,"")</f>
        <v/>
      </c>
      <c r="T762" s="7">
        <f t="shared" si="106"/>
        <v>87.317320934355152</v>
      </c>
      <c r="U762" s="1">
        <f t="shared" si="107"/>
        <v>134.51286982015364</v>
      </c>
    </row>
    <row r="763" spans="1:21" x14ac:dyDescent="0.3">
      <c r="A763" s="2">
        <v>41283</v>
      </c>
      <c r="B763" s="1">
        <v>2567.02</v>
      </c>
      <c r="C763" s="2">
        <f t="shared" si="99"/>
        <v>41283</v>
      </c>
      <c r="D763" s="1">
        <f t="shared" si="100"/>
        <v>2567.02</v>
      </c>
      <c r="E763" s="4">
        <f t="shared" si="101"/>
        <v>2479.3692000000001</v>
      </c>
      <c r="F763" s="3">
        <f t="shared" si="102"/>
        <v>1.0353520564827536</v>
      </c>
      <c r="G763" s="18">
        <f t="shared" si="103"/>
        <v>1</v>
      </c>
      <c r="H763" s="3">
        <f t="shared" si="104"/>
        <v>2.6756035732002914E-3</v>
      </c>
      <c r="I763" s="3">
        <f t="shared" si="105"/>
        <v>2.6756035732002914E-3</v>
      </c>
      <c r="K763" s="12" t="str">
        <f>IF(AND(G763=1,G762&lt;&gt;1),MAX($K$50:K762)+1,"")</f>
        <v/>
      </c>
      <c r="L763" s="13" t="str">
        <f>IF(AND(G763&lt;&gt;1,G762=1),MAX($L$50:L762)+1,"")</f>
        <v/>
      </c>
      <c r="M763" s="13" t="str">
        <f>IF(AND(G763=-1,G762&lt;&gt;-1),MAX($M$50:M762)+1,"")</f>
        <v/>
      </c>
      <c r="N763" s="13" t="str">
        <f>IF(AND(G763&lt;&gt;-1,G762=-1),MAX($N$50:N762)+1,"")</f>
        <v/>
      </c>
      <c r="T763" s="7">
        <f t="shared" si="106"/>
        <v>87.550947470249383</v>
      </c>
      <c r="U763" s="1">
        <f t="shared" si="107"/>
        <v>134.87277293528587</v>
      </c>
    </row>
    <row r="764" spans="1:21" x14ac:dyDescent="0.3">
      <c r="A764" s="2">
        <v>41284</v>
      </c>
      <c r="B764" s="1">
        <v>2586.52</v>
      </c>
      <c r="C764" s="2">
        <f t="shared" si="99"/>
        <v>41284</v>
      </c>
      <c r="D764" s="1">
        <f t="shared" si="100"/>
        <v>2586.52</v>
      </c>
      <c r="E764" s="4">
        <f t="shared" si="101"/>
        <v>2481.7276000000002</v>
      </c>
      <c r="F764" s="3">
        <f t="shared" si="102"/>
        <v>1.0422255851125644</v>
      </c>
      <c r="G764" s="18">
        <f t="shared" si="103"/>
        <v>1</v>
      </c>
      <c r="H764" s="3">
        <f t="shared" si="104"/>
        <v>7.5963568651589153E-3</v>
      </c>
      <c r="I764" s="3">
        <f t="shared" si="105"/>
        <v>7.5963568651589153E-3</v>
      </c>
      <c r="K764" s="12" t="str">
        <f>IF(AND(G764=1,G763&lt;&gt;1),MAX($K$50:K763)+1,"")</f>
        <v/>
      </c>
      <c r="L764" s="13" t="str">
        <f>IF(AND(G764&lt;&gt;1,G763=1),MAX($L$50:L763)+1,"")</f>
        <v/>
      </c>
      <c r="M764" s="13" t="str">
        <f>IF(AND(G764=-1,G763&lt;&gt;-1),MAX($M$50:M763)+1,"")</f>
        <v/>
      </c>
      <c r="N764" s="13" t="str">
        <f>IF(AND(G764&lt;&gt;-1,G763=-1),MAX($N$50:N763)+1,"")</f>
        <v/>
      </c>
      <c r="T764" s="7">
        <f t="shared" si="106"/>
        <v>88.216015711116185</v>
      </c>
      <c r="U764" s="1">
        <f t="shared" si="107"/>
        <v>135.89731464989583</v>
      </c>
    </row>
    <row r="765" spans="1:21" x14ac:dyDescent="0.3">
      <c r="A765" s="2">
        <v>41285</v>
      </c>
      <c r="B765" s="1">
        <v>2586.69</v>
      </c>
      <c r="C765" s="2">
        <f t="shared" si="99"/>
        <v>41285</v>
      </c>
      <c r="D765" s="1">
        <f t="shared" si="100"/>
        <v>2586.69</v>
      </c>
      <c r="E765" s="4">
        <f t="shared" si="101"/>
        <v>2484.1254000000004</v>
      </c>
      <c r="F765" s="3">
        <f t="shared" si="102"/>
        <v>1.0412880122718442</v>
      </c>
      <c r="G765" s="18">
        <f t="shared" si="103"/>
        <v>1</v>
      </c>
      <c r="H765" s="3">
        <f t="shared" si="104"/>
        <v>6.5725376181102746E-5</v>
      </c>
      <c r="I765" s="3">
        <f t="shared" si="105"/>
        <v>6.5725376181102746E-5</v>
      </c>
      <c r="K765" s="12" t="str">
        <f>IF(AND(G765=1,G764&lt;&gt;1),MAX($K$50:K764)+1,"")</f>
        <v/>
      </c>
      <c r="L765" s="13" t="str">
        <f>IF(AND(G765&lt;&gt;1,G764=1),MAX($L$50:L764)+1,"")</f>
        <v/>
      </c>
      <c r="M765" s="13" t="str">
        <f>IF(AND(G765=-1,G764&lt;&gt;-1),MAX($M$50:M764)+1,"")</f>
        <v/>
      </c>
      <c r="N765" s="13" t="str">
        <f>IF(AND(G765&lt;&gt;-1,G764=-1),MAX($N$50:N764)+1,"")</f>
        <v/>
      </c>
      <c r="T765" s="7">
        <f t="shared" si="106"/>
        <v>88.221813741934</v>
      </c>
      <c r="U765" s="1">
        <f t="shared" si="107"/>
        <v>135.90624655202319</v>
      </c>
    </row>
    <row r="766" spans="1:21" x14ac:dyDescent="0.3">
      <c r="A766" s="2">
        <v>41288</v>
      </c>
      <c r="B766" s="1">
        <v>2584.27</v>
      </c>
      <c r="C766" s="2">
        <f t="shared" si="99"/>
        <v>41288</v>
      </c>
      <c r="D766" s="1">
        <f t="shared" si="100"/>
        <v>2584.27</v>
      </c>
      <c r="E766" s="4">
        <f t="shared" si="101"/>
        <v>2486.4606000000003</v>
      </c>
      <c r="F766" s="3">
        <f t="shared" si="102"/>
        <v>1.0393367986607147</v>
      </c>
      <c r="G766" s="18">
        <f t="shared" si="103"/>
        <v>1</v>
      </c>
      <c r="H766" s="3">
        <f t="shared" si="104"/>
        <v>-9.3555857099225648E-4</v>
      </c>
      <c r="I766" s="3">
        <f t="shared" si="105"/>
        <v>-9.3555857099225648E-4</v>
      </c>
      <c r="K766" s="12" t="str">
        <f>IF(AND(G766=1,G765&lt;&gt;1),MAX($K$50:K765)+1,"")</f>
        <v/>
      </c>
      <c r="L766" s="13" t="str">
        <f>IF(AND(G766&lt;&gt;1,G765=1),MAX($L$50:L765)+1,"")</f>
        <v/>
      </c>
      <c r="M766" s="13" t="str">
        <f>IF(AND(G766=-1,G765&lt;&gt;-1),MAX($M$50:M765)+1,"")</f>
        <v/>
      </c>
      <c r="N766" s="13" t="str">
        <f>IF(AND(G766&lt;&gt;-1,G765=-1),MAX($N$50:N765)+1,"")</f>
        <v/>
      </c>
      <c r="T766" s="7">
        <f t="shared" si="106"/>
        <v>88.139277067939247</v>
      </c>
      <c r="U766" s="1">
        <f t="shared" si="107"/>
        <v>135.77909829821004</v>
      </c>
    </row>
    <row r="767" spans="1:21" x14ac:dyDescent="0.3">
      <c r="A767" s="2">
        <v>41289</v>
      </c>
      <c r="B767" s="1">
        <v>2587.1999999999998</v>
      </c>
      <c r="C767" s="2">
        <f t="shared" si="99"/>
        <v>41289</v>
      </c>
      <c r="D767" s="1">
        <f t="shared" si="100"/>
        <v>2587.1999999999998</v>
      </c>
      <c r="E767" s="4">
        <f t="shared" si="101"/>
        <v>2488.3112000000006</v>
      </c>
      <c r="F767" s="3">
        <f t="shared" si="102"/>
        <v>1.039741331389739</v>
      </c>
      <c r="G767" s="18">
        <f t="shared" si="103"/>
        <v>1</v>
      </c>
      <c r="H767" s="3">
        <f t="shared" si="104"/>
        <v>1.1337824608108615E-3</v>
      </c>
      <c r="I767" s="3">
        <f t="shared" si="105"/>
        <v>1.1337824608108615E-3</v>
      </c>
      <c r="K767" s="12" t="str">
        <f>IF(AND(G767=1,G766&lt;&gt;1),MAX($K$50:K766)+1,"")</f>
        <v/>
      </c>
      <c r="L767" s="13" t="str">
        <f>IF(AND(G767&lt;&gt;1,G766=1),MAX($L$50:L766)+1,"")</f>
        <v/>
      </c>
      <c r="M767" s="13" t="str">
        <f>IF(AND(G767=-1,G766&lt;&gt;-1),MAX($M$50:M766)+1,"")</f>
        <v/>
      </c>
      <c r="N767" s="13" t="str">
        <f>IF(AND(G767&lt;&gt;-1,G766=-1),MAX($N$50:N766)+1,"")</f>
        <v/>
      </c>
      <c r="T767" s="7">
        <f t="shared" si="106"/>
        <v>88.239207834387429</v>
      </c>
      <c r="U767" s="1">
        <f t="shared" si="107"/>
        <v>135.93304225840529</v>
      </c>
    </row>
    <row r="768" spans="1:21" x14ac:dyDescent="0.3">
      <c r="A768" s="2">
        <v>41290</v>
      </c>
      <c r="B768" s="1">
        <v>2588.02</v>
      </c>
      <c r="C768" s="2">
        <f t="shared" si="99"/>
        <v>41290</v>
      </c>
      <c r="D768" s="1">
        <f t="shared" si="100"/>
        <v>2588.02</v>
      </c>
      <c r="E768" s="4">
        <f t="shared" si="101"/>
        <v>2490.6456000000007</v>
      </c>
      <c r="F768" s="3">
        <f t="shared" si="102"/>
        <v>1.0390960480286715</v>
      </c>
      <c r="G768" s="18">
        <f t="shared" si="103"/>
        <v>1</v>
      </c>
      <c r="H768" s="3">
        <f t="shared" si="104"/>
        <v>3.1694495980216786E-4</v>
      </c>
      <c r="I768" s="3">
        <f t="shared" si="105"/>
        <v>3.1694495980216786E-4</v>
      </c>
      <c r="K768" s="12" t="str">
        <f>IF(AND(G768=1,G767&lt;&gt;1),MAX($K$50:K767)+1,"")</f>
        <v/>
      </c>
      <c r="L768" s="13" t="str">
        <f>IF(AND(G768&lt;&gt;1,G767=1),MAX($L$50:L767)+1,"")</f>
        <v/>
      </c>
      <c r="M768" s="13" t="str">
        <f>IF(AND(G768=-1,G767&lt;&gt;-1),MAX($M$50:M767)+1,"")</f>
        <v/>
      </c>
      <c r="N768" s="13" t="str">
        <f>IF(AND(G768&lt;&gt;-1,G767=-1),MAX($N$50:N767)+1,"")</f>
        <v/>
      </c>
      <c r="T768" s="7">
        <f t="shared" si="106"/>
        <v>88.267174806567468</v>
      </c>
      <c r="U768" s="1">
        <f t="shared" si="107"/>
        <v>135.97612555101966</v>
      </c>
    </row>
    <row r="769" spans="1:21" x14ac:dyDescent="0.3">
      <c r="A769" s="2">
        <v>41291</v>
      </c>
      <c r="B769" s="1">
        <v>2602.64</v>
      </c>
      <c r="C769" s="2">
        <f t="shared" si="99"/>
        <v>41291</v>
      </c>
      <c r="D769" s="1">
        <f t="shared" si="100"/>
        <v>2602.64</v>
      </c>
      <c r="E769" s="4">
        <f t="shared" si="101"/>
        <v>2493.1596000000009</v>
      </c>
      <c r="F769" s="3">
        <f t="shared" si="102"/>
        <v>1.0439123111091639</v>
      </c>
      <c r="G769" s="18">
        <f t="shared" si="103"/>
        <v>1</v>
      </c>
      <c r="H769" s="3">
        <f t="shared" si="104"/>
        <v>5.6491062665666725E-3</v>
      </c>
      <c r="I769" s="3">
        <f t="shared" si="105"/>
        <v>5.6491062665666725E-3</v>
      </c>
      <c r="K769" s="12" t="str">
        <f>IF(AND(G769=1,G768&lt;&gt;1),MAX($K$50:K768)+1,"")</f>
        <v/>
      </c>
      <c r="L769" s="13" t="str">
        <f>IF(AND(G769&lt;&gt;1,G768=1),MAX($L$50:L768)+1,"")</f>
        <v/>
      </c>
      <c r="M769" s="13" t="str">
        <f>IF(AND(G769=-1,G768&lt;&gt;-1),MAX($M$50:M768)+1,"")</f>
        <v/>
      </c>
      <c r="N769" s="13" t="str">
        <f>IF(AND(G769&lt;&gt;-1,G768=-1),MAX($N$50:N768)+1,"")</f>
        <v/>
      </c>
      <c r="T769" s="7">
        <f t="shared" si="106"/>
        <v>88.765805456899386</v>
      </c>
      <c r="U769" s="1">
        <f t="shared" si="107"/>
        <v>136.74426913397338</v>
      </c>
    </row>
    <row r="770" spans="1:21" x14ac:dyDescent="0.3">
      <c r="A770" s="2">
        <v>41292</v>
      </c>
      <c r="B770" s="1">
        <v>2611.54</v>
      </c>
      <c r="C770" s="2">
        <f t="shared" si="99"/>
        <v>41292</v>
      </c>
      <c r="D770" s="1">
        <f t="shared" si="100"/>
        <v>2611.54</v>
      </c>
      <c r="E770" s="4">
        <f t="shared" si="101"/>
        <v>2495.4612000000006</v>
      </c>
      <c r="F770" s="3">
        <f t="shared" si="102"/>
        <v>1.0465159706750797</v>
      </c>
      <c r="G770" s="18">
        <f t="shared" si="103"/>
        <v>1</v>
      </c>
      <c r="H770" s="3">
        <f t="shared" si="104"/>
        <v>3.4196047090646609E-3</v>
      </c>
      <c r="I770" s="3">
        <f t="shared" si="105"/>
        <v>3.4196047090646609E-3</v>
      </c>
      <c r="K770" s="12" t="str">
        <f>IF(AND(G770=1,G769&lt;&gt;1),MAX($K$50:K769)+1,"")</f>
        <v/>
      </c>
      <c r="L770" s="13" t="str">
        <f>IF(AND(G770&lt;&gt;1,G769=1),MAX($L$50:L769)+1,"")</f>
        <v/>
      </c>
      <c r="M770" s="13" t="str">
        <f>IF(AND(G770=-1,G769&lt;&gt;-1),MAX($M$50:M769)+1,"")</f>
        <v/>
      </c>
      <c r="N770" s="13" t="str">
        <f>IF(AND(G770&lt;&gt;-1,G769=-1),MAX($N$50:N769)+1,"")</f>
        <v/>
      </c>
      <c r="T770" s="7">
        <f t="shared" si="106"/>
        <v>89.069349423243722</v>
      </c>
      <c r="U770" s="1">
        <f t="shared" si="107"/>
        <v>137.21188048064153</v>
      </c>
    </row>
    <row r="771" spans="1:21" x14ac:dyDescent="0.3">
      <c r="A771" s="2">
        <v>41296</v>
      </c>
      <c r="B771" s="1">
        <v>2623.22</v>
      </c>
      <c r="C771" s="2">
        <f t="shared" si="99"/>
        <v>41296</v>
      </c>
      <c r="D771" s="1">
        <f t="shared" si="100"/>
        <v>2623.22</v>
      </c>
      <c r="E771" s="4">
        <f t="shared" si="101"/>
        <v>2499.1360000000004</v>
      </c>
      <c r="F771" s="3">
        <f t="shared" si="102"/>
        <v>1.0496507593024147</v>
      </c>
      <c r="G771" s="18">
        <f t="shared" si="103"/>
        <v>1</v>
      </c>
      <c r="H771" s="3">
        <f t="shared" si="104"/>
        <v>4.4724568645320151E-3</v>
      </c>
      <c r="I771" s="3">
        <f t="shared" si="105"/>
        <v>4.4724568645320151E-3</v>
      </c>
      <c r="K771" s="12" t="str">
        <f>IF(AND(G771=1,G770&lt;&gt;1),MAX($K$50:K770)+1,"")</f>
        <v/>
      </c>
      <c r="L771" s="13" t="str">
        <f>IF(AND(G771&lt;&gt;1,G770=1),MAX($L$50:L770)+1,"")</f>
        <v/>
      </c>
      <c r="M771" s="13" t="str">
        <f>IF(AND(G771=-1,G770&lt;&gt;-1),MAX($M$50:M770)+1,"")</f>
        <v/>
      </c>
      <c r="N771" s="13" t="str">
        <f>IF(AND(G771&lt;&gt;-1,G770=-1),MAX($N$50:N770)+1,"")</f>
        <v/>
      </c>
      <c r="T771" s="7">
        <f t="shared" si="106"/>
        <v>89.467708246491114</v>
      </c>
      <c r="U771" s="1">
        <f t="shared" si="107"/>
        <v>137.8255546973925</v>
      </c>
    </row>
    <row r="772" spans="1:21" x14ac:dyDescent="0.3">
      <c r="A772" s="2">
        <v>41297</v>
      </c>
      <c r="B772" s="1">
        <v>2627.23</v>
      </c>
      <c r="C772" s="2">
        <f t="shared" si="99"/>
        <v>41297</v>
      </c>
      <c r="D772" s="1">
        <f t="shared" si="100"/>
        <v>2627.23</v>
      </c>
      <c r="E772" s="4">
        <f t="shared" si="101"/>
        <v>2503.4862000000007</v>
      </c>
      <c r="F772" s="3">
        <f t="shared" si="102"/>
        <v>1.0494285928158897</v>
      </c>
      <c r="G772" s="18">
        <f t="shared" si="103"/>
        <v>1</v>
      </c>
      <c r="H772" s="3">
        <f t="shared" si="104"/>
        <v>1.5286556217168901E-3</v>
      </c>
      <c r="I772" s="3">
        <f t="shared" si="105"/>
        <v>1.5286556217168901E-3</v>
      </c>
      <c r="K772" s="12" t="str">
        <f>IF(AND(G772=1,G771&lt;&gt;1),MAX($K$50:K771)+1,"")</f>
        <v/>
      </c>
      <c r="L772" s="13" t="str">
        <f>IF(AND(G772&lt;&gt;1,G771=1),MAX($L$50:L771)+1,"")</f>
        <v/>
      </c>
      <c r="M772" s="13" t="str">
        <f>IF(AND(G772=-1,G771&lt;&gt;-1),MAX($M$50:M771)+1,"")</f>
        <v/>
      </c>
      <c r="N772" s="13" t="str">
        <f>IF(AND(G772&lt;&gt;-1,G771=-1),MAX($N$50:N771)+1,"")</f>
        <v/>
      </c>
      <c r="T772" s="7">
        <f t="shared" si="106"/>
        <v>89.604473561664236</v>
      </c>
      <c r="U772" s="1">
        <f t="shared" si="107"/>
        <v>138.03624250639692</v>
      </c>
    </row>
    <row r="773" spans="1:21" x14ac:dyDescent="0.3">
      <c r="A773" s="2">
        <v>41298</v>
      </c>
      <c r="B773" s="1">
        <v>2627.33</v>
      </c>
      <c r="C773" s="2">
        <f t="shared" si="99"/>
        <v>41298</v>
      </c>
      <c r="D773" s="1">
        <f t="shared" si="100"/>
        <v>2627.33</v>
      </c>
      <c r="E773" s="4">
        <f t="shared" si="101"/>
        <v>2507.7544000000007</v>
      </c>
      <c r="F773" s="3">
        <f t="shared" si="102"/>
        <v>1.04768234082253</v>
      </c>
      <c r="G773" s="18">
        <f t="shared" si="103"/>
        <v>1</v>
      </c>
      <c r="H773" s="3">
        <f t="shared" si="104"/>
        <v>3.8062902752988848E-5</v>
      </c>
      <c r="I773" s="3">
        <f t="shared" si="105"/>
        <v>3.8062902752988848E-5</v>
      </c>
      <c r="K773" s="12" t="str">
        <f>IF(AND(G773=1,G772&lt;&gt;1),MAX($K$50:K772)+1,"")</f>
        <v/>
      </c>
      <c r="L773" s="13" t="str">
        <f>IF(AND(G773&lt;&gt;1,G772=1),MAX($L$50:L772)+1,"")</f>
        <v/>
      </c>
      <c r="M773" s="13" t="str">
        <f>IF(AND(G773=-1,G772&lt;&gt;-1),MAX($M$50:M772)+1,"")</f>
        <v/>
      </c>
      <c r="N773" s="13" t="str">
        <f>IF(AND(G773&lt;&gt;-1,G772=-1),MAX($N$50:N772)+1,"")</f>
        <v/>
      </c>
      <c r="T773" s="7">
        <f t="shared" si="106"/>
        <v>89.607884168027653</v>
      </c>
      <c r="U773" s="1">
        <f t="shared" si="107"/>
        <v>138.04149656647184</v>
      </c>
    </row>
    <row r="774" spans="1:21" x14ac:dyDescent="0.3">
      <c r="A774" s="2">
        <v>41299</v>
      </c>
      <c r="B774" s="1">
        <v>2641.64</v>
      </c>
      <c r="C774" s="2">
        <f t="shared" si="99"/>
        <v>41299</v>
      </c>
      <c r="D774" s="1">
        <f t="shared" si="100"/>
        <v>2641.64</v>
      </c>
      <c r="E774" s="4">
        <f t="shared" si="101"/>
        <v>2512.3024000000009</v>
      </c>
      <c r="F774" s="3">
        <f t="shared" si="102"/>
        <v>1.051481700610563</v>
      </c>
      <c r="G774" s="18">
        <f t="shared" si="103"/>
        <v>1</v>
      </c>
      <c r="H774" s="3">
        <f t="shared" si="104"/>
        <v>5.4465940707866256E-3</v>
      </c>
      <c r="I774" s="3">
        <f t="shared" si="105"/>
        <v>5.4465940707866256E-3</v>
      </c>
      <c r="K774" s="12" t="str">
        <f>IF(AND(G774=1,G773&lt;&gt;1),MAX($K$50:K773)+1,"")</f>
        <v/>
      </c>
      <c r="L774" s="13" t="str">
        <f>IF(AND(G774&lt;&gt;1,G773=1),MAX($L$50:L773)+1,"")</f>
        <v/>
      </c>
      <c r="M774" s="13" t="str">
        <f>IF(AND(G774=-1,G773&lt;&gt;-1),MAX($M$50:M773)+1,"")</f>
        <v/>
      </c>
      <c r="N774" s="13" t="str">
        <f>IF(AND(G774&lt;&gt;-1,G773=-1),MAX($N$50:N773)+1,"")</f>
        <v/>
      </c>
      <c r="T774" s="7">
        <f t="shared" si="106"/>
        <v>90.095941938632961</v>
      </c>
      <c r="U774" s="1">
        <f t="shared" si="107"/>
        <v>138.79335256319331</v>
      </c>
    </row>
    <row r="775" spans="1:21" x14ac:dyDescent="0.3">
      <c r="A775" s="2">
        <v>41302</v>
      </c>
      <c r="B775" s="1">
        <v>2636.83</v>
      </c>
      <c r="C775" s="2">
        <f t="shared" si="99"/>
        <v>41302</v>
      </c>
      <c r="D775" s="1">
        <f t="shared" si="100"/>
        <v>2636.83</v>
      </c>
      <c r="E775" s="4">
        <f t="shared" si="101"/>
        <v>2516.9314000000008</v>
      </c>
      <c r="F775" s="3">
        <f t="shared" si="102"/>
        <v>1.0476368168000125</v>
      </c>
      <c r="G775" s="18">
        <f t="shared" si="103"/>
        <v>1</v>
      </c>
      <c r="H775" s="3">
        <f t="shared" si="104"/>
        <v>-1.8208385699792773E-3</v>
      </c>
      <c r="I775" s="3">
        <f t="shared" si="105"/>
        <v>-1.8208385699792773E-3</v>
      </c>
      <c r="K775" s="12" t="str">
        <f>IF(AND(G775=1,G774&lt;&gt;1),MAX($K$50:K774)+1,"")</f>
        <v/>
      </c>
      <c r="L775" s="13" t="str">
        <f>IF(AND(G775&lt;&gt;1,G774=1),MAX($L$50:L774)+1,"")</f>
        <v/>
      </c>
      <c r="M775" s="13" t="str">
        <f>IF(AND(G775=-1,G774&lt;&gt;-1),MAX($M$50:M774)+1,"")</f>
        <v/>
      </c>
      <c r="N775" s="13" t="str">
        <f>IF(AND(G775&lt;&gt;-1,G774=-1),MAX($N$50:N774)+1,"")</f>
        <v/>
      </c>
      <c r="T775" s="7">
        <f t="shared" si="106"/>
        <v>89.93189177255249</v>
      </c>
      <c r="U775" s="1">
        <f t="shared" si="107"/>
        <v>138.54063227358952</v>
      </c>
    </row>
    <row r="776" spans="1:21" x14ac:dyDescent="0.3">
      <c r="A776" s="2">
        <v>41303</v>
      </c>
      <c r="B776" s="1">
        <v>2650.43</v>
      </c>
      <c r="C776" s="2">
        <f t="shared" si="99"/>
        <v>41303</v>
      </c>
      <c r="D776" s="1">
        <f t="shared" si="100"/>
        <v>2650.43</v>
      </c>
      <c r="E776" s="4">
        <f t="shared" si="101"/>
        <v>2522.4812000000006</v>
      </c>
      <c r="F776" s="3">
        <f t="shared" si="102"/>
        <v>1.0507233909216049</v>
      </c>
      <c r="G776" s="18">
        <f t="shared" si="103"/>
        <v>1</v>
      </c>
      <c r="H776" s="3">
        <f t="shared" si="104"/>
        <v>5.1577083088405473E-3</v>
      </c>
      <c r="I776" s="3">
        <f t="shared" si="105"/>
        <v>5.1577083088405473E-3</v>
      </c>
      <c r="K776" s="12" t="str">
        <f>IF(AND(G776=1,G775&lt;&gt;1),MAX($K$50:K775)+1,"")</f>
        <v/>
      </c>
      <c r="L776" s="13" t="str">
        <f>IF(AND(G776&lt;&gt;1,G775=1),MAX($L$50:L775)+1,"")</f>
        <v/>
      </c>
      <c r="M776" s="13" t="str">
        <f>IF(AND(G776=-1,G775&lt;&gt;-1),MAX($M$50:M775)+1,"")</f>
        <v/>
      </c>
      <c r="N776" s="13" t="str">
        <f>IF(AND(G776&lt;&gt;-1,G775=-1),MAX($N$50:N775)+1,"")</f>
        <v/>
      </c>
      <c r="T776" s="7">
        <f t="shared" si="106"/>
        <v>90.395734237977535</v>
      </c>
      <c r="U776" s="1">
        <f t="shared" si="107"/>
        <v>139.25518444377903</v>
      </c>
    </row>
    <row r="777" spans="1:21" x14ac:dyDescent="0.3">
      <c r="A777" s="2">
        <v>41304</v>
      </c>
      <c r="B777" s="1">
        <v>2640.77</v>
      </c>
      <c r="C777" s="2">
        <f t="shared" si="99"/>
        <v>41304</v>
      </c>
      <c r="D777" s="1">
        <f t="shared" si="100"/>
        <v>2640.77</v>
      </c>
      <c r="E777" s="4">
        <f t="shared" si="101"/>
        <v>2527.9102000000003</v>
      </c>
      <c r="F777" s="3">
        <f t="shared" si="102"/>
        <v>1.0446454941318721</v>
      </c>
      <c r="G777" s="18">
        <f t="shared" si="103"/>
        <v>1</v>
      </c>
      <c r="H777" s="3">
        <f t="shared" si="104"/>
        <v>-3.644691616077389E-3</v>
      </c>
      <c r="I777" s="3">
        <f t="shared" si="105"/>
        <v>-3.644691616077389E-3</v>
      </c>
      <c r="K777" s="12" t="str">
        <f>IF(AND(G777=1,G776&lt;&gt;1),MAX($K$50:K776)+1,"")</f>
        <v/>
      </c>
      <c r="L777" s="13" t="str">
        <f>IF(AND(G777&lt;&gt;1,G776=1),MAX($L$50:L776)+1,"")</f>
        <v/>
      </c>
      <c r="M777" s="13" t="str">
        <f>IF(AND(G777=-1,G776&lt;&gt;-1),MAX($M$50:M776)+1,"")</f>
        <v/>
      </c>
      <c r="N777" s="13" t="str">
        <f>IF(AND(G777&lt;&gt;-1,G776=-1),MAX($N$50:N776)+1,"")</f>
        <v/>
      </c>
      <c r="T777" s="7">
        <f t="shared" si="106"/>
        <v>90.066269663271214</v>
      </c>
      <c r="U777" s="1">
        <f t="shared" si="107"/>
        <v>138.7476422405415</v>
      </c>
    </row>
    <row r="778" spans="1:21" x14ac:dyDescent="0.3">
      <c r="A778" s="2">
        <v>41305</v>
      </c>
      <c r="B778" s="1">
        <v>2634.16</v>
      </c>
      <c r="C778" s="2">
        <f t="shared" si="99"/>
        <v>41305</v>
      </c>
      <c r="D778" s="1">
        <f t="shared" si="100"/>
        <v>2634.16</v>
      </c>
      <c r="E778" s="4">
        <f t="shared" si="101"/>
        <v>2532.9730000000004</v>
      </c>
      <c r="F778" s="3">
        <f t="shared" si="102"/>
        <v>1.0399479189079393</v>
      </c>
      <c r="G778" s="18">
        <f t="shared" si="103"/>
        <v>1</v>
      </c>
      <c r="H778" s="3">
        <f t="shared" si="104"/>
        <v>-2.5030578202570597E-3</v>
      </c>
      <c r="I778" s="3">
        <f t="shared" si="105"/>
        <v>-2.5030578202570597E-3</v>
      </c>
      <c r="K778" s="12" t="str">
        <f>IF(AND(G778=1,G777&lt;&gt;1),MAX($K$50:K777)+1,"")</f>
        <v/>
      </c>
      <c r="L778" s="13" t="str">
        <f>IF(AND(G778&lt;&gt;1,G777=1),MAX($L$50:L777)+1,"")</f>
        <v/>
      </c>
      <c r="M778" s="13" t="str">
        <f>IF(AND(G778=-1,G777&lt;&gt;-1),MAX($M$50:M777)+1,"")</f>
        <v/>
      </c>
      <c r="N778" s="13" t="str">
        <f>IF(AND(G778&lt;&gt;-1,G777=-1),MAX($N$50:N777)+1,"")</f>
        <v/>
      </c>
      <c r="T778" s="7">
        <f t="shared" si="106"/>
        <v>89.840828582649181</v>
      </c>
      <c r="U778" s="1">
        <f t="shared" si="107"/>
        <v>138.4003488695891</v>
      </c>
    </row>
    <row r="779" spans="1:21" x14ac:dyDescent="0.3">
      <c r="A779" s="2">
        <v>41306</v>
      </c>
      <c r="B779" s="1">
        <v>2660.7</v>
      </c>
      <c r="C779" s="2">
        <f t="shared" si="99"/>
        <v>41306</v>
      </c>
      <c r="D779" s="1">
        <f t="shared" si="100"/>
        <v>2660.7</v>
      </c>
      <c r="E779" s="4">
        <f t="shared" si="101"/>
        <v>2537.6176000000005</v>
      </c>
      <c r="F779" s="3">
        <f t="shared" si="102"/>
        <v>1.0485031314410804</v>
      </c>
      <c r="G779" s="18">
        <f t="shared" si="103"/>
        <v>1</v>
      </c>
      <c r="H779" s="3">
        <f t="shared" si="104"/>
        <v>1.0075318127980015E-2</v>
      </c>
      <c r="I779" s="3">
        <f t="shared" si="105"/>
        <v>1.0075318127980015E-2</v>
      </c>
      <c r="K779" s="12" t="str">
        <f>IF(AND(G779=1,G778&lt;&gt;1),MAX($K$50:K778)+1,"")</f>
        <v/>
      </c>
      <c r="L779" s="13" t="str">
        <f>IF(AND(G779&lt;&gt;1,G778=1),MAX($L$50:L778)+1,"")</f>
        <v/>
      </c>
      <c r="M779" s="13" t="str">
        <f>IF(AND(G779=-1,G778&lt;&gt;-1),MAX($M$50:M778)+1,"")</f>
        <v/>
      </c>
      <c r="N779" s="13" t="str">
        <f>IF(AND(G779&lt;&gt;-1,G778=-1),MAX($N$50:N778)+1,"")</f>
        <v/>
      </c>
      <c r="T779" s="7">
        <f t="shared" si="106"/>
        <v>90.746003511500689</v>
      </c>
      <c r="U779" s="1">
        <f t="shared" si="107"/>
        <v>139.79477641347364</v>
      </c>
    </row>
    <row r="780" spans="1:21" x14ac:dyDescent="0.3">
      <c r="A780" s="2">
        <v>41309</v>
      </c>
      <c r="B780" s="1">
        <v>2630.05</v>
      </c>
      <c r="C780" s="2">
        <f t="shared" si="99"/>
        <v>41309</v>
      </c>
      <c r="D780" s="1">
        <f t="shared" si="100"/>
        <v>2630.05</v>
      </c>
      <c r="E780" s="4">
        <f t="shared" si="101"/>
        <v>2541.6128000000008</v>
      </c>
      <c r="F780" s="3">
        <f t="shared" si="102"/>
        <v>1.0347957013751266</v>
      </c>
      <c r="G780" s="18">
        <f t="shared" si="103"/>
        <v>1</v>
      </c>
      <c r="H780" s="3">
        <f t="shared" si="104"/>
        <v>-1.1519524937046555E-2</v>
      </c>
      <c r="I780" s="3">
        <f t="shared" si="105"/>
        <v>-1.1519524937046555E-2</v>
      </c>
      <c r="K780" s="12" t="str">
        <f>IF(AND(G780=1,G779&lt;&gt;1),MAX($K$50:K779)+1,"")</f>
        <v/>
      </c>
      <c r="L780" s="13" t="str">
        <f>IF(AND(G780&lt;&gt;1,G779=1),MAX($L$50:L779)+1,"")</f>
        <v/>
      </c>
      <c r="M780" s="13" t="str">
        <f>IF(AND(G780=-1,G779&lt;&gt;-1),MAX($M$50:M779)+1,"")</f>
        <v/>
      </c>
      <c r="N780" s="13" t="str">
        <f>IF(AND(G780&lt;&gt;-1,G779=-1),MAX($N$50:N779)+1,"")</f>
        <v/>
      </c>
      <c r="T780" s="7">
        <f t="shared" si="106"/>
        <v>89.700652661112642</v>
      </c>
      <c r="U780" s="1">
        <f t="shared" si="107"/>
        <v>138.18440700050979</v>
      </c>
    </row>
    <row r="781" spans="1:21" x14ac:dyDescent="0.3">
      <c r="A781" s="2">
        <v>41310</v>
      </c>
      <c r="B781" s="1">
        <v>2657.76</v>
      </c>
      <c r="C781" s="2">
        <f t="shared" si="99"/>
        <v>41310</v>
      </c>
      <c r="D781" s="1">
        <f t="shared" si="100"/>
        <v>2657.76</v>
      </c>
      <c r="E781" s="4">
        <f t="shared" si="101"/>
        <v>2546.0486000000005</v>
      </c>
      <c r="F781" s="3">
        <f t="shared" si="102"/>
        <v>1.043876381621309</v>
      </c>
      <c r="G781" s="18">
        <f t="shared" si="103"/>
        <v>1</v>
      </c>
      <c r="H781" s="3">
        <f t="shared" si="104"/>
        <v>1.0535921370316226E-2</v>
      </c>
      <c r="I781" s="3">
        <f t="shared" si="105"/>
        <v>1.0535921370316226E-2</v>
      </c>
      <c r="K781" s="12" t="str">
        <f>IF(AND(G781=1,G780&lt;&gt;1),MAX($K$50:K780)+1,"")</f>
        <v/>
      </c>
      <c r="L781" s="13" t="str">
        <f>IF(AND(G781&lt;&gt;1,G780=1),MAX($L$50:L780)+1,"")</f>
        <v/>
      </c>
      <c r="M781" s="13" t="str">
        <f>IF(AND(G781=-1,G780&lt;&gt;-1),MAX($M$50:M780)+1,"")</f>
        <v/>
      </c>
      <c r="N781" s="13" t="str">
        <f>IF(AND(G781&lt;&gt;-1,G780=-1),MAX($N$50:N780)+1,"")</f>
        <v/>
      </c>
      <c r="T781" s="7">
        <f t="shared" si="106"/>
        <v>90.645731684416177</v>
      </c>
      <c r="U781" s="1">
        <f t="shared" si="107"/>
        <v>139.64030704727094</v>
      </c>
    </row>
    <row r="782" spans="1:21" x14ac:dyDescent="0.3">
      <c r="A782" s="2">
        <v>41311</v>
      </c>
      <c r="B782" s="1">
        <v>2659.55</v>
      </c>
      <c r="C782" s="2">
        <f t="shared" si="99"/>
        <v>41311</v>
      </c>
      <c r="D782" s="1">
        <f t="shared" si="100"/>
        <v>2659.55</v>
      </c>
      <c r="E782" s="4">
        <f t="shared" si="101"/>
        <v>2549.8784000000005</v>
      </c>
      <c r="F782" s="3">
        <f t="shared" si="102"/>
        <v>1.0430105215997749</v>
      </c>
      <c r="G782" s="18">
        <f t="shared" si="103"/>
        <v>1</v>
      </c>
      <c r="H782" s="3">
        <f t="shared" si="104"/>
        <v>6.7349948829087403E-4</v>
      </c>
      <c r="I782" s="3">
        <f t="shared" si="105"/>
        <v>6.7349948829087403E-4</v>
      </c>
      <c r="K782" s="12" t="str">
        <f>IF(AND(G782=1,G781&lt;&gt;1),MAX($K$50:K781)+1,"")</f>
        <v/>
      </c>
      <c r="L782" s="13" t="str">
        <f>IF(AND(G782&lt;&gt;1,G781=1),MAX($L$50:L781)+1,"")</f>
        <v/>
      </c>
      <c r="M782" s="13" t="str">
        <f>IF(AND(G782=-1,G781&lt;&gt;-1),MAX($M$50:M781)+1,"")</f>
        <v/>
      </c>
      <c r="N782" s="13" t="str">
        <f>IF(AND(G782&lt;&gt;-1,G781=-1),MAX($N$50:N781)+1,"")</f>
        <v/>
      </c>
      <c r="T782" s="7">
        <f t="shared" si="106"/>
        <v>90.70678153832138</v>
      </c>
      <c r="U782" s="1">
        <f t="shared" si="107"/>
        <v>139.73435472261204</v>
      </c>
    </row>
    <row r="783" spans="1:21" x14ac:dyDescent="0.3">
      <c r="A783" s="2">
        <v>41312</v>
      </c>
      <c r="B783" s="1">
        <v>2655.84</v>
      </c>
      <c r="C783" s="2">
        <f t="shared" si="99"/>
        <v>41312</v>
      </c>
      <c r="D783" s="1">
        <f t="shared" si="100"/>
        <v>2655.84</v>
      </c>
      <c r="E783" s="4">
        <f t="shared" si="101"/>
        <v>2553.7328000000002</v>
      </c>
      <c r="F783" s="3">
        <f t="shared" si="102"/>
        <v>1.0399835096295118</v>
      </c>
      <c r="G783" s="18">
        <f t="shared" si="103"/>
        <v>1</v>
      </c>
      <c r="H783" s="3">
        <f t="shared" si="104"/>
        <v>-1.3949728337501188E-3</v>
      </c>
      <c r="I783" s="3">
        <f t="shared" si="105"/>
        <v>-1.3949728337501188E-3</v>
      </c>
      <c r="K783" s="12" t="str">
        <f>IF(AND(G783=1,G782&lt;&gt;1),MAX($K$50:K782)+1,"")</f>
        <v/>
      </c>
      <c r="L783" s="13" t="str">
        <f>IF(AND(G783&lt;&gt;1,G782=1),MAX($L$50:L782)+1,"")</f>
        <v/>
      </c>
      <c r="M783" s="13" t="str">
        <f>IF(AND(G783=-1,G782&lt;&gt;-1),MAX($M$50:M782)+1,"")</f>
        <v/>
      </c>
      <c r="N783" s="13" t="str">
        <f>IF(AND(G783&lt;&gt;-1,G782=-1),MAX($N$50:N782)+1,"")</f>
        <v/>
      </c>
      <c r="T783" s="7">
        <f t="shared" si="106"/>
        <v>90.580248042238509</v>
      </c>
      <c r="U783" s="1">
        <f t="shared" si="107"/>
        <v>139.53942909383241</v>
      </c>
    </row>
    <row r="784" spans="1:21" x14ac:dyDescent="0.3">
      <c r="A784" s="2">
        <v>41313</v>
      </c>
      <c r="B784" s="1">
        <v>2670.85</v>
      </c>
      <c r="C784" s="2">
        <f t="shared" si="99"/>
        <v>41313</v>
      </c>
      <c r="D784" s="1">
        <f t="shared" si="100"/>
        <v>2670.85</v>
      </c>
      <c r="E784" s="4">
        <f t="shared" si="101"/>
        <v>2558.1402000000003</v>
      </c>
      <c r="F784" s="3">
        <f t="shared" si="102"/>
        <v>1.0440592739991341</v>
      </c>
      <c r="G784" s="18">
        <f t="shared" si="103"/>
        <v>1</v>
      </c>
      <c r="H784" s="3">
        <f t="shared" si="104"/>
        <v>5.6516958852941279E-3</v>
      </c>
      <c r="I784" s="3">
        <f t="shared" si="105"/>
        <v>5.6516958852941279E-3</v>
      </c>
      <c r="K784" s="12" t="str">
        <f>IF(AND(G784=1,G783&lt;&gt;1),MAX($K$50:K783)+1,"")</f>
        <v/>
      </c>
      <c r="L784" s="13" t="str">
        <f>IF(AND(G784&lt;&gt;1,G783=1),MAX($L$50:L783)+1,"")</f>
        <v/>
      </c>
      <c r="M784" s="13" t="str">
        <f>IF(AND(G784=-1,G783&lt;&gt;-1),MAX($M$50:M783)+1,"")</f>
        <v/>
      </c>
      <c r="N784" s="13" t="str">
        <f>IF(AND(G784&lt;&gt;-1,G783=-1),MAX($N$50:N783)+1,"")</f>
        <v/>
      </c>
      <c r="T784" s="7">
        <f t="shared" si="106"/>
        <v>91.09218005738775</v>
      </c>
      <c r="U784" s="1">
        <f t="shared" si="107"/>
        <v>140.32806351107831</v>
      </c>
    </row>
    <row r="785" spans="1:21" x14ac:dyDescent="0.3">
      <c r="A785" s="2">
        <v>41316</v>
      </c>
      <c r="B785" s="1">
        <v>2669.37</v>
      </c>
      <c r="C785" s="2">
        <f t="shared" si="99"/>
        <v>41316</v>
      </c>
      <c r="D785" s="1">
        <f t="shared" si="100"/>
        <v>2669.37</v>
      </c>
      <c r="E785" s="4">
        <f t="shared" si="101"/>
        <v>2562.1182000000008</v>
      </c>
      <c r="F785" s="3">
        <f t="shared" si="102"/>
        <v>1.0418605980005133</v>
      </c>
      <c r="G785" s="18">
        <f t="shared" si="103"/>
        <v>1</v>
      </c>
      <c r="H785" s="3">
        <f t="shared" si="104"/>
        <v>-5.5413070745269355E-4</v>
      </c>
      <c r="I785" s="3">
        <f t="shared" si="105"/>
        <v>-5.5413070745269355E-4</v>
      </c>
      <c r="K785" s="12" t="str">
        <f>IF(AND(G785=1,G784&lt;&gt;1),MAX($K$50:K784)+1,"")</f>
        <v/>
      </c>
      <c r="L785" s="13" t="str">
        <f>IF(AND(G785&lt;&gt;1,G784=1),MAX($L$50:L784)+1,"")</f>
        <v/>
      </c>
      <c r="M785" s="13" t="str">
        <f>IF(AND(G785=-1,G784&lt;&gt;-1),MAX($M$50:M784)+1,"")</f>
        <v/>
      </c>
      <c r="N785" s="13" t="str">
        <f>IF(AND(G785&lt;&gt;-1,G784=-1),MAX($N$50:N784)+1,"")</f>
        <v/>
      </c>
      <c r="T785" s="7">
        <f t="shared" si="106"/>
        <v>91.041703083209143</v>
      </c>
      <c r="U785" s="1">
        <f t="shared" si="107"/>
        <v>140.25030342196945</v>
      </c>
    </row>
    <row r="786" spans="1:21" x14ac:dyDescent="0.3">
      <c r="A786" s="2">
        <v>41317</v>
      </c>
      <c r="B786" s="1">
        <v>2673.77</v>
      </c>
      <c r="C786" s="2">
        <f t="shared" si="99"/>
        <v>41317</v>
      </c>
      <c r="D786" s="1">
        <f t="shared" si="100"/>
        <v>2673.77</v>
      </c>
      <c r="E786" s="4">
        <f t="shared" si="101"/>
        <v>2565.9652000000006</v>
      </c>
      <c r="F786" s="3">
        <f t="shared" si="102"/>
        <v>1.0420133523244974</v>
      </c>
      <c r="G786" s="18">
        <f t="shared" si="103"/>
        <v>1</v>
      </c>
      <c r="H786" s="3">
        <f t="shared" si="104"/>
        <v>1.6483290064697176E-3</v>
      </c>
      <c r="I786" s="3">
        <f t="shared" si="105"/>
        <v>1.6483290064697176E-3</v>
      </c>
      <c r="K786" s="12" t="str">
        <f>IF(AND(G786=1,G785&lt;&gt;1),MAX($K$50:K785)+1,"")</f>
        <v/>
      </c>
      <c r="L786" s="13" t="str">
        <f>IF(AND(G786&lt;&gt;1,G785=1),MAX($L$50:L785)+1,"")</f>
        <v/>
      </c>
      <c r="M786" s="13" t="str">
        <f>IF(AND(G786=-1,G785&lt;&gt;-1),MAX($M$50:M785)+1,"")</f>
        <v/>
      </c>
      <c r="N786" s="13" t="str">
        <f>IF(AND(G786&lt;&gt;-1,G785=-1),MAX($N$50:N785)+1,"")</f>
        <v/>
      </c>
      <c r="T786" s="7">
        <f t="shared" si="106"/>
        <v>91.191769763199602</v>
      </c>
      <c r="U786" s="1">
        <f t="shared" si="107"/>
        <v>140.48148206526608</v>
      </c>
    </row>
    <row r="787" spans="1:21" x14ac:dyDescent="0.3">
      <c r="A787" s="2">
        <v>41318</v>
      </c>
      <c r="B787" s="1">
        <v>2676.6</v>
      </c>
      <c r="C787" s="2">
        <f t="shared" si="99"/>
        <v>41318</v>
      </c>
      <c r="D787" s="1">
        <f t="shared" si="100"/>
        <v>2676.6</v>
      </c>
      <c r="E787" s="4">
        <f t="shared" si="101"/>
        <v>2569.8608000000004</v>
      </c>
      <c r="F787" s="3">
        <f t="shared" si="102"/>
        <v>1.0415350123244027</v>
      </c>
      <c r="G787" s="18">
        <f t="shared" si="103"/>
        <v>1</v>
      </c>
      <c r="H787" s="3">
        <f t="shared" si="104"/>
        <v>1.058430605474614E-3</v>
      </c>
      <c r="I787" s="3">
        <f t="shared" si="105"/>
        <v>1.058430605474614E-3</v>
      </c>
      <c r="K787" s="12" t="str">
        <f>IF(AND(G787=1,G786&lt;&gt;1),MAX($K$50:K786)+1,"")</f>
        <v/>
      </c>
      <c r="L787" s="13" t="str">
        <f>IF(AND(G787&lt;&gt;1,G786=1),MAX($L$50:L786)+1,"")</f>
        <v/>
      </c>
      <c r="M787" s="13" t="str">
        <f>IF(AND(G787=-1,G786&lt;&gt;-1),MAX($M$50:M786)+1,"")</f>
        <v/>
      </c>
      <c r="N787" s="13" t="str">
        <f>IF(AND(G787&lt;&gt;-1,G786=-1),MAX($N$50:N786)+1,"")</f>
        <v/>
      </c>
      <c r="T787" s="7">
        <f t="shared" si="106"/>
        <v>91.288289923284367</v>
      </c>
      <c r="U787" s="1">
        <f t="shared" si="107"/>
        <v>140.63017196538638</v>
      </c>
    </row>
    <row r="788" spans="1:21" x14ac:dyDescent="0.3">
      <c r="A788" s="2">
        <v>41319</v>
      </c>
      <c r="B788" s="1">
        <v>2678.77</v>
      </c>
      <c r="C788" s="2">
        <f t="shared" si="99"/>
        <v>41319</v>
      </c>
      <c r="D788" s="1">
        <f t="shared" si="100"/>
        <v>2678.77</v>
      </c>
      <c r="E788" s="4">
        <f t="shared" si="101"/>
        <v>2574.0347999999999</v>
      </c>
      <c r="F788" s="3">
        <f t="shared" si="102"/>
        <v>1.0406891157804083</v>
      </c>
      <c r="G788" s="18">
        <f t="shared" si="103"/>
        <v>1</v>
      </c>
      <c r="H788" s="3">
        <f t="shared" si="104"/>
        <v>8.1073003063591997E-4</v>
      </c>
      <c r="I788" s="3">
        <f t="shared" si="105"/>
        <v>8.1073003063591997E-4</v>
      </c>
      <c r="K788" s="12" t="str">
        <f>IF(AND(G788=1,G787&lt;&gt;1),MAX($K$50:K787)+1,"")</f>
        <v/>
      </c>
      <c r="L788" s="13" t="str">
        <f>IF(AND(G788&lt;&gt;1,G787=1),MAX($L$50:L787)+1,"")</f>
        <v/>
      </c>
      <c r="M788" s="13" t="str">
        <f>IF(AND(G788=-1,G787&lt;&gt;-1),MAX($M$50:M787)+1,"")</f>
        <v/>
      </c>
      <c r="N788" s="13" t="str">
        <f>IF(AND(G788&lt;&gt;-1,G787=-1),MAX($N$50:N787)+1,"")</f>
        <v/>
      </c>
      <c r="T788" s="7">
        <f t="shared" si="106"/>
        <v>91.362300081370577</v>
      </c>
      <c r="U788" s="1">
        <f t="shared" si="107"/>
        <v>140.74418506901219</v>
      </c>
    </row>
    <row r="789" spans="1:21" x14ac:dyDescent="0.3">
      <c r="A789" s="2">
        <v>41320</v>
      </c>
      <c r="B789" s="1">
        <v>2676.21</v>
      </c>
      <c r="C789" s="2">
        <f t="shared" si="99"/>
        <v>41320</v>
      </c>
      <c r="D789" s="1">
        <f t="shared" si="100"/>
        <v>2676.21</v>
      </c>
      <c r="E789" s="4">
        <f t="shared" si="101"/>
        <v>2578.2410000000004</v>
      </c>
      <c r="F789" s="3">
        <f t="shared" si="102"/>
        <v>1.0379983872725629</v>
      </c>
      <c r="G789" s="18">
        <f t="shared" si="103"/>
        <v>1</v>
      </c>
      <c r="H789" s="3">
        <f t="shared" si="104"/>
        <v>-9.5566248688760957E-4</v>
      </c>
      <c r="I789" s="3">
        <f t="shared" si="105"/>
        <v>-9.5566248688760957E-4</v>
      </c>
      <c r="K789" s="12" t="str">
        <f>IF(AND(G789=1,G788&lt;&gt;1),MAX($K$50:K788)+1,"")</f>
        <v/>
      </c>
      <c r="L789" s="13" t="str">
        <f>IF(AND(G789&lt;&gt;1,G788=1),MAX($L$50:L788)+1,"")</f>
        <v/>
      </c>
      <c r="M789" s="13" t="str">
        <f>IF(AND(G789=-1,G788&lt;&gt;-1),MAX($M$50:M788)+1,"")</f>
        <v/>
      </c>
      <c r="N789" s="13" t="str">
        <f>IF(AND(G789&lt;&gt;-1,G788=-1),MAX($N$50:N788)+1,"")</f>
        <v/>
      </c>
      <c r="T789" s="7">
        <f t="shared" si="106"/>
        <v>91.274988558467044</v>
      </c>
      <c r="U789" s="1">
        <f t="shared" si="107"/>
        <v>140.60968113109416</v>
      </c>
    </row>
    <row r="790" spans="1:21" x14ac:dyDescent="0.3">
      <c r="A790" s="2">
        <v>41324</v>
      </c>
      <c r="B790" s="1">
        <v>2696.26</v>
      </c>
      <c r="C790" s="2">
        <f t="shared" si="99"/>
        <v>41324</v>
      </c>
      <c r="D790" s="1">
        <f t="shared" si="100"/>
        <v>2696.26</v>
      </c>
      <c r="E790" s="4">
        <f t="shared" si="101"/>
        <v>2582.7543999999998</v>
      </c>
      <c r="F790" s="3">
        <f t="shared" si="102"/>
        <v>1.0439475003895069</v>
      </c>
      <c r="G790" s="18">
        <f t="shared" si="103"/>
        <v>1</v>
      </c>
      <c r="H790" s="3">
        <f t="shared" si="104"/>
        <v>7.4919382260734135E-3</v>
      </c>
      <c r="I790" s="3">
        <f t="shared" si="105"/>
        <v>7.4919382260734135E-3</v>
      </c>
      <c r="K790" s="12" t="str">
        <f>IF(AND(G790=1,G789&lt;&gt;1),MAX($K$50:K789)+1,"")</f>
        <v/>
      </c>
      <c r="L790" s="13" t="str">
        <f>IF(AND(G790&lt;&gt;1,G789=1),MAX($L$50:L789)+1,"")</f>
        <v/>
      </c>
      <c r="M790" s="13" t="str">
        <f>IF(AND(G790=-1,G789&lt;&gt;-1),MAX($M$50:M789)+1,"")</f>
        <v/>
      </c>
      <c r="N790" s="13" t="str">
        <f>IF(AND(G790&lt;&gt;-1,G789=-1),MAX($N$50:N789)+1,"")</f>
        <v/>
      </c>
      <c r="T790" s="7">
        <f t="shared" si="106"/>
        <v>91.958815134332639</v>
      </c>
      <c r="U790" s="1">
        <f t="shared" si="107"/>
        <v>141.66312017611622</v>
      </c>
    </row>
    <row r="791" spans="1:21" x14ac:dyDescent="0.3">
      <c r="A791" s="2">
        <v>41325</v>
      </c>
      <c r="B791" s="1">
        <v>2662.94</v>
      </c>
      <c r="C791" s="2">
        <f t="shared" si="99"/>
        <v>41325</v>
      </c>
      <c r="D791" s="1">
        <f t="shared" si="100"/>
        <v>2662.94</v>
      </c>
      <c r="E791" s="4">
        <f t="shared" si="101"/>
        <v>2586.4252000000001</v>
      </c>
      <c r="F791" s="3">
        <f t="shared" si="102"/>
        <v>1.0295832255268778</v>
      </c>
      <c r="G791" s="18">
        <f t="shared" si="103"/>
        <v>1</v>
      </c>
      <c r="H791" s="3">
        <f t="shared" si="104"/>
        <v>-1.2357858663482046E-2</v>
      </c>
      <c r="I791" s="3">
        <f t="shared" si="105"/>
        <v>-1.2357858663482046E-2</v>
      </c>
      <c r="K791" s="12" t="str">
        <f>IF(AND(G791=1,G790&lt;&gt;1),MAX($K$50:K790)+1,"")</f>
        <v/>
      </c>
      <c r="L791" s="13" t="str">
        <f>IF(AND(G791&lt;&gt;1,G790=1),MAX($L$50:L790)+1,"")</f>
        <v/>
      </c>
      <c r="M791" s="13" t="str">
        <f>IF(AND(G791=-1,G790&lt;&gt;-1),MAX($M$50:M790)+1,"")</f>
        <v/>
      </c>
      <c r="N791" s="13" t="str">
        <f>IF(AND(G791&lt;&gt;-1,G790=-1),MAX($N$50:N790)+1,"")</f>
        <v/>
      </c>
      <c r="T791" s="7">
        <f t="shared" si="106"/>
        <v>90.822401094041282</v>
      </c>
      <c r="U791" s="1">
        <f t="shared" si="107"/>
        <v>139.91246735915192</v>
      </c>
    </row>
    <row r="792" spans="1:21" x14ac:dyDescent="0.3">
      <c r="A792" s="2">
        <v>41326</v>
      </c>
      <c r="B792" s="1">
        <v>2646.75</v>
      </c>
      <c r="C792" s="2">
        <f t="shared" si="99"/>
        <v>41326</v>
      </c>
      <c r="D792" s="1">
        <f t="shared" si="100"/>
        <v>2646.75</v>
      </c>
      <c r="E792" s="4">
        <f t="shared" si="101"/>
        <v>2589.6234000000004</v>
      </c>
      <c r="F792" s="3">
        <f t="shared" si="102"/>
        <v>1.0220598099322085</v>
      </c>
      <c r="G792" s="18">
        <f t="shared" si="103"/>
        <v>1</v>
      </c>
      <c r="H792" s="3">
        <f t="shared" si="104"/>
        <v>-6.0797464456577854E-3</v>
      </c>
      <c r="I792" s="3">
        <f t="shared" si="105"/>
        <v>-6.0797464456577854E-3</v>
      </c>
      <c r="K792" s="12" t="str">
        <f>IF(AND(G792=1,G791&lt;&gt;1),MAX($K$50:K791)+1,"")</f>
        <v/>
      </c>
      <c r="L792" s="13" t="str">
        <f>IF(AND(G792&lt;&gt;1,G791=1),MAX($L$50:L791)+1,"")</f>
        <v/>
      </c>
      <c r="M792" s="13" t="str">
        <f>IF(AND(G792=-1,G791&lt;&gt;-1),MAX($M$50:M791)+1,"")</f>
        <v/>
      </c>
      <c r="N792" s="13" t="str">
        <f>IF(AND(G792&lt;&gt;-1,G791=-1),MAX($N$50:N791)+1,"")</f>
        <v/>
      </c>
      <c r="T792" s="7">
        <f t="shared" si="106"/>
        <v>90.270223923803684</v>
      </c>
      <c r="U792" s="1">
        <f t="shared" si="107"/>
        <v>139.06183503302191</v>
      </c>
    </row>
    <row r="793" spans="1:21" x14ac:dyDescent="0.3">
      <c r="A793" s="2">
        <v>41327</v>
      </c>
      <c r="B793" s="1">
        <v>2670.36</v>
      </c>
      <c r="C793" s="2">
        <f t="shared" si="99"/>
        <v>41327</v>
      </c>
      <c r="D793" s="1">
        <f t="shared" si="100"/>
        <v>2670.36</v>
      </c>
      <c r="E793" s="4">
        <f t="shared" si="101"/>
        <v>2593.2750000000001</v>
      </c>
      <c r="F793" s="3">
        <f t="shared" si="102"/>
        <v>1.0297249616797293</v>
      </c>
      <c r="G793" s="18">
        <f t="shared" si="103"/>
        <v>1</v>
      </c>
      <c r="H793" s="3">
        <f t="shared" si="104"/>
        <v>8.9203740436385459E-3</v>
      </c>
      <c r="I793" s="3">
        <f t="shared" si="105"/>
        <v>8.9203740436385459E-3</v>
      </c>
      <c r="K793" s="12" t="str">
        <f>IF(AND(G793=1,G792&lt;&gt;1),MAX($K$50:K792)+1,"")</f>
        <v/>
      </c>
      <c r="L793" s="13" t="str">
        <f>IF(AND(G793&lt;&gt;1,G792=1),MAX($L$50:L792)+1,"")</f>
        <v/>
      </c>
      <c r="M793" s="13" t="str">
        <f>IF(AND(G793=-1,G792&lt;&gt;-1),MAX($M$50:M792)+1,"")</f>
        <v/>
      </c>
      <c r="N793" s="13" t="str">
        <f>IF(AND(G793&lt;&gt;-1,G792=-1),MAX($N$50:N792)+1,"")</f>
        <v/>
      </c>
      <c r="T793" s="7">
        <f t="shared" si="106"/>
        <v>91.075468086207024</v>
      </c>
      <c r="U793" s="1">
        <f t="shared" si="107"/>
        <v>140.3023186167112</v>
      </c>
    </row>
    <row r="794" spans="1:21" x14ac:dyDescent="0.3">
      <c r="A794" s="2">
        <v>41330</v>
      </c>
      <c r="B794" s="1">
        <v>2621.46</v>
      </c>
      <c r="C794" s="2">
        <f t="shared" si="99"/>
        <v>41330</v>
      </c>
      <c r="D794" s="1">
        <f t="shared" si="100"/>
        <v>2621.46</v>
      </c>
      <c r="E794" s="4">
        <f t="shared" si="101"/>
        <v>2595.6226000000001</v>
      </c>
      <c r="F794" s="3">
        <f t="shared" si="102"/>
        <v>1.0099542206174348</v>
      </c>
      <c r="G794" s="18">
        <f t="shared" si="103"/>
        <v>1</v>
      </c>
      <c r="H794" s="3">
        <f t="shared" si="104"/>
        <v>-1.8312137689300401E-2</v>
      </c>
      <c r="I794" s="3">
        <f t="shared" si="105"/>
        <v>-1.8312137689300401E-2</v>
      </c>
      <c r="K794" s="12" t="str">
        <f>IF(AND(G794=1,G793&lt;&gt;1),MAX($K$50:K793)+1,"")</f>
        <v/>
      </c>
      <c r="L794" s="13" t="str">
        <f>IF(AND(G794&lt;&gt;1,G793=1),MAX($L$50:L793)+1,"")</f>
        <v/>
      </c>
      <c r="M794" s="13" t="str">
        <f>IF(AND(G794=-1,G793&lt;&gt;-1),MAX($M$50:M793)+1,"")</f>
        <v/>
      </c>
      <c r="N794" s="13" t="str">
        <f>IF(AND(G794&lt;&gt;-1,G793=-1),MAX($N$50:N793)+1,"")</f>
        <v/>
      </c>
      <c r="T794" s="7">
        <f t="shared" si="106"/>
        <v>89.407681574494916</v>
      </c>
      <c r="U794" s="1">
        <f t="shared" si="107"/>
        <v>137.73308324007391</v>
      </c>
    </row>
    <row r="795" spans="1:21" x14ac:dyDescent="0.3">
      <c r="A795" s="2">
        <v>41331</v>
      </c>
      <c r="B795" s="1">
        <v>2637.89</v>
      </c>
      <c r="C795" s="2">
        <f t="shared" si="99"/>
        <v>41331</v>
      </c>
      <c r="D795" s="1">
        <f t="shared" si="100"/>
        <v>2637.89</v>
      </c>
      <c r="E795" s="4">
        <f t="shared" si="101"/>
        <v>2598.2652000000003</v>
      </c>
      <c r="F795" s="3">
        <f t="shared" si="102"/>
        <v>1.0152504832840004</v>
      </c>
      <c r="G795" s="18">
        <f t="shared" si="103"/>
        <v>1</v>
      </c>
      <c r="H795" s="3">
        <f t="shared" si="104"/>
        <v>6.2674997901932539E-3</v>
      </c>
      <c r="I795" s="3">
        <f t="shared" si="105"/>
        <v>6.2674997901932539E-3</v>
      </c>
      <c r="K795" s="12" t="str">
        <f>IF(AND(G795=1,G794&lt;&gt;1),MAX($K$50:K794)+1,"")</f>
        <v/>
      </c>
      <c r="L795" s="13" t="str">
        <f>IF(AND(G795&lt;&gt;1,G794=1),MAX($L$50:L794)+1,"")</f>
        <v/>
      </c>
      <c r="M795" s="13" t="str">
        <f>IF(AND(G795=-1,G794&lt;&gt;-1),MAX($M$50:M794)+1,"")</f>
        <v/>
      </c>
      <c r="N795" s="13" t="str">
        <f>IF(AND(G795&lt;&gt;-1,G794=-1),MAX($N$50:N794)+1,"")</f>
        <v/>
      </c>
      <c r="T795" s="7">
        <f t="shared" si="106"/>
        <v>89.968044200004726</v>
      </c>
      <c r="U795" s="1">
        <f t="shared" si="107"/>
        <v>138.59632531038375</v>
      </c>
    </row>
    <row r="796" spans="1:21" x14ac:dyDescent="0.3">
      <c r="A796" s="2">
        <v>41332</v>
      </c>
      <c r="B796" s="1">
        <v>2672.11</v>
      </c>
      <c r="C796" s="2">
        <f t="shared" si="99"/>
        <v>41332</v>
      </c>
      <c r="D796" s="1">
        <f t="shared" si="100"/>
        <v>2672.11</v>
      </c>
      <c r="E796" s="4">
        <f t="shared" si="101"/>
        <v>2601.8962000000001</v>
      </c>
      <c r="F796" s="3">
        <f t="shared" si="102"/>
        <v>1.0269856268670519</v>
      </c>
      <c r="G796" s="18">
        <f t="shared" si="103"/>
        <v>1</v>
      </c>
      <c r="H796" s="3">
        <f t="shared" si="104"/>
        <v>1.2972489375978613E-2</v>
      </c>
      <c r="I796" s="3">
        <f t="shared" si="105"/>
        <v>1.2972489375978613E-2</v>
      </c>
      <c r="K796" s="12" t="str">
        <f>IF(AND(G796=1,G795&lt;&gt;1),MAX($K$50:K795)+1,"")</f>
        <v/>
      </c>
      <c r="L796" s="13" t="str">
        <f>IF(AND(G796&lt;&gt;1,G795=1),MAX($L$50:L795)+1,"")</f>
        <v/>
      </c>
      <c r="M796" s="13" t="str">
        <f>IF(AND(G796=-1,G795&lt;&gt;-1),MAX($M$50:M795)+1,"")</f>
        <v/>
      </c>
      <c r="N796" s="13" t="str">
        <f>IF(AND(G796&lt;&gt;-1,G795=-1),MAX($N$50:N795)+1,"")</f>
        <v/>
      </c>
      <c r="T796" s="7">
        <f t="shared" si="106"/>
        <v>91.135153697566864</v>
      </c>
      <c r="U796" s="1">
        <f t="shared" si="107"/>
        <v>140.39426466802237</v>
      </c>
    </row>
    <row r="797" spans="1:21" x14ac:dyDescent="0.3">
      <c r="A797" s="2">
        <v>41333</v>
      </c>
      <c r="B797" s="1">
        <v>2669.92</v>
      </c>
      <c r="C797" s="2">
        <f t="shared" si="99"/>
        <v>41333</v>
      </c>
      <c r="D797" s="1">
        <f t="shared" si="100"/>
        <v>2669.92</v>
      </c>
      <c r="E797" s="4">
        <f t="shared" si="101"/>
        <v>2605.6873999999998</v>
      </c>
      <c r="F797" s="3">
        <f t="shared" si="102"/>
        <v>1.0246509232074423</v>
      </c>
      <c r="G797" s="18">
        <f t="shared" si="103"/>
        <v>1</v>
      </c>
      <c r="H797" s="3">
        <f t="shared" si="104"/>
        <v>-8.1957703837043372E-4</v>
      </c>
      <c r="I797" s="3">
        <f t="shared" si="105"/>
        <v>-8.1957703837043372E-4</v>
      </c>
      <c r="K797" s="12" t="str">
        <f>IF(AND(G797=1,G796&lt;&gt;1),MAX($K$50:K796)+1,"")</f>
        <v/>
      </c>
      <c r="L797" s="13" t="str">
        <f>IF(AND(G797&lt;&gt;1,G796=1),MAX($L$50:L796)+1,"")</f>
        <v/>
      </c>
      <c r="M797" s="13" t="str">
        <f>IF(AND(G797=-1,G796&lt;&gt;-1),MAX($M$50:M796)+1,"")</f>
        <v/>
      </c>
      <c r="N797" s="13" t="str">
        <f>IF(AND(G797&lt;&gt;-1,G796=-1),MAX($N$50:N796)+1,"")</f>
        <v/>
      </c>
      <c r="T797" s="7">
        <f t="shared" si="106"/>
        <v>91.060461418207979</v>
      </c>
      <c r="U797" s="1">
        <f t="shared" si="107"/>
        <v>140.27920075238154</v>
      </c>
    </row>
    <row r="798" spans="1:21" x14ac:dyDescent="0.3">
      <c r="A798" s="2">
        <v>41334</v>
      </c>
      <c r="B798" s="1">
        <v>2676.18</v>
      </c>
      <c r="C798" s="2">
        <f t="shared" si="99"/>
        <v>41334</v>
      </c>
      <c r="D798" s="1">
        <f t="shared" si="100"/>
        <v>2676.18</v>
      </c>
      <c r="E798" s="4">
        <f t="shared" si="101"/>
        <v>2609.0142000000001</v>
      </c>
      <c r="F798" s="3">
        <f t="shared" si="102"/>
        <v>1.0257437464311232</v>
      </c>
      <c r="G798" s="18">
        <f t="shared" si="103"/>
        <v>1</v>
      </c>
      <c r="H798" s="3">
        <f t="shared" si="104"/>
        <v>2.344639539761495E-3</v>
      </c>
      <c r="I798" s="3">
        <f t="shared" si="105"/>
        <v>2.344639539761495E-3</v>
      </c>
      <c r="K798" s="12" t="str">
        <f>IF(AND(G798=1,G797&lt;&gt;1),MAX($K$50:K797)+1,"")</f>
        <v/>
      </c>
      <c r="L798" s="13" t="str">
        <f>IF(AND(G798&lt;&gt;1,G797=1),MAX($L$50:L797)+1,"")</f>
        <v/>
      </c>
      <c r="M798" s="13" t="str">
        <f>IF(AND(G798=-1,G797&lt;&gt;-1),MAX($M$50:M797)+1,"")</f>
        <v/>
      </c>
      <c r="N798" s="13" t="str">
        <f>IF(AND(G798&lt;&gt;-1,G797=-1),MAX($N$50:N797)+1,"")</f>
        <v/>
      </c>
      <c r="T798" s="7">
        <f t="shared" si="106"/>
        <v>91.273965376558039</v>
      </c>
      <c r="U798" s="1">
        <f t="shared" si="107"/>
        <v>140.60810491307171</v>
      </c>
    </row>
    <row r="799" spans="1:21" x14ac:dyDescent="0.3">
      <c r="A799" s="2">
        <v>41337</v>
      </c>
      <c r="B799" s="1">
        <v>2688.54</v>
      </c>
      <c r="C799" s="2">
        <f t="shared" si="99"/>
        <v>41337</v>
      </c>
      <c r="D799" s="1">
        <f t="shared" si="100"/>
        <v>2688.54</v>
      </c>
      <c r="E799" s="4">
        <f t="shared" si="101"/>
        <v>2612.0106000000001</v>
      </c>
      <c r="F799" s="3">
        <f t="shared" si="102"/>
        <v>1.0292990388323844</v>
      </c>
      <c r="G799" s="18">
        <f t="shared" si="103"/>
        <v>1</v>
      </c>
      <c r="H799" s="3">
        <f t="shared" si="104"/>
        <v>4.6185234177074097E-3</v>
      </c>
      <c r="I799" s="3">
        <f t="shared" si="105"/>
        <v>4.6185234177074097E-3</v>
      </c>
      <c r="K799" s="12" t="str">
        <f>IF(AND(G799=1,G798&lt;&gt;1),MAX($K$50:K798)+1,"")</f>
        <v/>
      </c>
      <c r="L799" s="13" t="str">
        <f>IF(AND(G799&lt;&gt;1,G798=1),MAX($L$50:L798)+1,"")</f>
        <v/>
      </c>
      <c r="M799" s="13" t="str">
        <f>IF(AND(G799=-1,G798&lt;&gt;-1),MAX($M$50:M798)+1,"")</f>
        <v/>
      </c>
      <c r="N799" s="13" t="str">
        <f>IF(AND(G799&lt;&gt;-1,G798=-1),MAX($N$50:N798)+1,"")</f>
        <v/>
      </c>
      <c r="T799" s="7">
        <f t="shared" si="106"/>
        <v>91.695516323076689</v>
      </c>
      <c r="U799" s="1">
        <f t="shared" si="107"/>
        <v>141.25750673833221</v>
      </c>
    </row>
    <row r="800" spans="1:21" x14ac:dyDescent="0.3">
      <c r="A800" s="2">
        <v>41338</v>
      </c>
      <c r="B800" s="1">
        <v>2714.35</v>
      </c>
      <c r="C800" s="2">
        <f t="shared" si="99"/>
        <v>41338</v>
      </c>
      <c r="D800" s="1">
        <f t="shared" si="100"/>
        <v>2714.35</v>
      </c>
      <c r="E800" s="4">
        <f t="shared" si="101"/>
        <v>2615.9068000000002</v>
      </c>
      <c r="F800" s="3">
        <f t="shared" si="102"/>
        <v>1.03763253339148</v>
      </c>
      <c r="G800" s="18">
        <f t="shared" si="103"/>
        <v>1</v>
      </c>
      <c r="H800" s="3">
        <f t="shared" si="104"/>
        <v>9.6000059511853753E-3</v>
      </c>
      <c r="I800" s="3">
        <f t="shared" si="105"/>
        <v>9.6000059511853753E-3</v>
      </c>
      <c r="K800" s="12" t="str">
        <f>IF(AND(G800=1,G799&lt;&gt;1),MAX($K$50:K799)+1,"")</f>
        <v/>
      </c>
      <c r="L800" s="13" t="str">
        <f>IF(AND(G800&lt;&gt;1,G799=1),MAX($L$50:L799)+1,"")</f>
        <v/>
      </c>
      <c r="M800" s="13" t="str">
        <f>IF(AND(G800=-1,G799&lt;&gt;-1),MAX($M$50:M799)+1,"")</f>
        <v/>
      </c>
      <c r="N800" s="13" t="str">
        <f>IF(AND(G800&lt;&gt;-1,G799=-1),MAX($N$50:N799)+1,"")</f>
        <v/>
      </c>
      <c r="T800" s="7">
        <f t="shared" si="106"/>
        <v>92.575793825475245</v>
      </c>
      <c r="U800" s="1">
        <f t="shared" si="107"/>
        <v>142.61357964366979</v>
      </c>
    </row>
    <row r="801" spans="1:21" x14ac:dyDescent="0.3">
      <c r="A801" s="2">
        <v>41339</v>
      </c>
      <c r="B801" s="1">
        <v>2718.07</v>
      </c>
      <c r="C801" s="2">
        <f t="shared" si="99"/>
        <v>41339</v>
      </c>
      <c r="D801" s="1">
        <f t="shared" si="100"/>
        <v>2718.07</v>
      </c>
      <c r="E801" s="4">
        <f t="shared" si="101"/>
        <v>2619.5900000000006</v>
      </c>
      <c r="F801" s="3">
        <f t="shared" si="102"/>
        <v>1.0375936692383156</v>
      </c>
      <c r="G801" s="18">
        <f t="shared" si="103"/>
        <v>1</v>
      </c>
      <c r="H801" s="3">
        <f t="shared" si="104"/>
        <v>1.3704938567244973E-3</v>
      </c>
      <c r="I801" s="3">
        <f t="shared" si="105"/>
        <v>1.3704938567244973E-3</v>
      </c>
      <c r="K801" s="12" t="str">
        <f>IF(AND(G801=1,G800&lt;&gt;1),MAX($K$50:K800)+1,"")</f>
        <v/>
      </c>
      <c r="L801" s="13" t="str">
        <f>IF(AND(G801&lt;&gt;1,G800=1),MAX($L$50:L800)+1,"")</f>
        <v/>
      </c>
      <c r="M801" s="13" t="str">
        <f>IF(AND(G801=-1,G800&lt;&gt;-1),MAX($M$50:M800)+1,"")</f>
        <v/>
      </c>
      <c r="N801" s="13" t="str">
        <f>IF(AND(G801&lt;&gt;-1,G800=-1),MAX($N$50:N800)+1,"")</f>
        <v/>
      </c>
      <c r="T801" s="7">
        <f t="shared" si="106"/>
        <v>92.702668382194446</v>
      </c>
      <c r="U801" s="1">
        <f t="shared" si="107"/>
        <v>142.80903067845696</v>
      </c>
    </row>
    <row r="802" spans="1:21" x14ac:dyDescent="0.3">
      <c r="A802" s="2">
        <v>41340</v>
      </c>
      <c r="B802" s="1">
        <v>2723.27</v>
      </c>
      <c r="C802" s="2">
        <f t="shared" si="99"/>
        <v>41340</v>
      </c>
      <c r="D802" s="1">
        <f t="shared" si="100"/>
        <v>2723.27</v>
      </c>
      <c r="E802" s="4">
        <f t="shared" si="101"/>
        <v>2623.8490000000002</v>
      </c>
      <c r="F802" s="3">
        <f t="shared" si="102"/>
        <v>1.0378912810912517</v>
      </c>
      <c r="G802" s="18">
        <f t="shared" si="103"/>
        <v>1</v>
      </c>
      <c r="H802" s="3">
        <f t="shared" si="104"/>
        <v>1.9131221786046204E-3</v>
      </c>
      <c r="I802" s="3">
        <f t="shared" si="105"/>
        <v>1.9131221786046204E-3</v>
      </c>
      <c r="K802" s="12" t="str">
        <f>IF(AND(G802=1,G801&lt;&gt;1),MAX($K$50:K801)+1,"")</f>
        <v/>
      </c>
      <c r="L802" s="13" t="str">
        <f>IF(AND(G802&lt;&gt;1,G801=1),MAX($L$50:L801)+1,"")</f>
        <v/>
      </c>
      <c r="M802" s="13" t="str">
        <f>IF(AND(G802=-1,G801&lt;&gt;-1),MAX($M$50:M801)+1,"")</f>
        <v/>
      </c>
      <c r="N802" s="13" t="str">
        <f>IF(AND(G802&lt;&gt;-1,G801=-1),MAX($N$50:N801)+1,"")</f>
        <v/>
      </c>
      <c r="T802" s="7">
        <f t="shared" si="106"/>
        <v>92.880019913092255</v>
      </c>
      <c r="U802" s="1">
        <f t="shared" si="107"/>
        <v>143.08224180235294</v>
      </c>
    </row>
    <row r="803" spans="1:21" x14ac:dyDescent="0.3">
      <c r="A803" s="2">
        <v>41341</v>
      </c>
      <c r="B803" s="1">
        <v>2735.67</v>
      </c>
      <c r="C803" s="2">
        <f t="shared" si="99"/>
        <v>41341</v>
      </c>
      <c r="D803" s="1">
        <f t="shared" si="100"/>
        <v>2735.67</v>
      </c>
      <c r="E803" s="4">
        <f t="shared" si="101"/>
        <v>2628.4722000000002</v>
      </c>
      <c r="F803" s="3">
        <f t="shared" si="102"/>
        <v>1.0407833113091323</v>
      </c>
      <c r="G803" s="18">
        <f t="shared" si="103"/>
        <v>1</v>
      </c>
      <c r="H803" s="3">
        <f t="shared" si="104"/>
        <v>4.553349465899581E-3</v>
      </c>
      <c r="I803" s="3">
        <f t="shared" si="105"/>
        <v>4.553349465899581E-3</v>
      </c>
      <c r="K803" s="12" t="str">
        <f>IF(AND(G803=1,G802&lt;&gt;1),MAX($K$50:K802)+1,"")</f>
        <v/>
      </c>
      <c r="L803" s="13" t="str">
        <f>IF(AND(G803&lt;&gt;1,G802=1),MAX($L$50:L802)+1,"")</f>
        <v/>
      </c>
      <c r="M803" s="13" t="str">
        <f>IF(AND(G803=-1,G802&lt;&gt;-1),MAX($M$50:M802)+1,"")</f>
        <v/>
      </c>
      <c r="N803" s="13" t="str">
        <f>IF(AND(G803&lt;&gt;-1,G802=-1),MAX($N$50:N802)+1,"")</f>
        <v/>
      </c>
      <c r="T803" s="7">
        <f t="shared" si="106"/>
        <v>93.302935102156283</v>
      </c>
      <c r="U803" s="1">
        <f t="shared" si="107"/>
        <v>143.7337452516434</v>
      </c>
    </row>
    <row r="804" spans="1:21" x14ac:dyDescent="0.3">
      <c r="A804" s="2">
        <v>41344</v>
      </c>
      <c r="B804" s="1">
        <v>2744.81</v>
      </c>
      <c r="C804" s="2">
        <f t="shared" si="99"/>
        <v>41344</v>
      </c>
      <c r="D804" s="1">
        <f t="shared" si="100"/>
        <v>2744.81</v>
      </c>
      <c r="E804" s="4">
        <f t="shared" si="101"/>
        <v>2633.5176000000006</v>
      </c>
      <c r="F804" s="3">
        <f t="shared" si="102"/>
        <v>1.0422599795801628</v>
      </c>
      <c r="G804" s="18">
        <f t="shared" si="103"/>
        <v>1</v>
      </c>
      <c r="H804" s="3">
        <f t="shared" si="104"/>
        <v>3.3410462519236628E-3</v>
      </c>
      <c r="I804" s="3">
        <f t="shared" si="105"/>
        <v>3.3410462519236628E-3</v>
      </c>
      <c r="K804" s="12" t="str">
        <f>IF(AND(G804=1,G803&lt;&gt;1),MAX($K$50:K803)+1,"")</f>
        <v/>
      </c>
      <c r="L804" s="13" t="str">
        <f>IF(AND(G804&lt;&gt;1,G803=1),MAX($L$50:L803)+1,"")</f>
        <v/>
      </c>
      <c r="M804" s="13" t="str">
        <f>IF(AND(G804=-1,G803&lt;&gt;-1),MAX($M$50:M803)+1,"")</f>
        <v/>
      </c>
      <c r="N804" s="13" t="str">
        <f>IF(AND(G804&lt;&gt;-1,G803=-1),MAX($N$50:N803)+1,"")</f>
        <v/>
      </c>
      <c r="T804" s="7">
        <f t="shared" si="106"/>
        <v>93.614664523772817</v>
      </c>
      <c r="U804" s="1">
        <f t="shared" si="107"/>
        <v>144.21396634249135</v>
      </c>
    </row>
    <row r="805" spans="1:21" x14ac:dyDescent="0.3">
      <c r="A805" s="2">
        <v>41345</v>
      </c>
      <c r="B805" s="1">
        <v>2738.35</v>
      </c>
      <c r="C805" s="2">
        <f t="shared" si="99"/>
        <v>41345</v>
      </c>
      <c r="D805" s="1">
        <f t="shared" si="100"/>
        <v>2738.35</v>
      </c>
      <c r="E805" s="4">
        <f t="shared" si="101"/>
        <v>2638.4852000000001</v>
      </c>
      <c r="F805" s="3">
        <f t="shared" si="102"/>
        <v>1.0378492932232479</v>
      </c>
      <c r="G805" s="18">
        <f t="shared" si="103"/>
        <v>1</v>
      </c>
      <c r="H805" s="3">
        <f t="shared" si="104"/>
        <v>-2.3535326671062506E-3</v>
      </c>
      <c r="I805" s="3">
        <f t="shared" si="105"/>
        <v>-2.3535326671062506E-3</v>
      </c>
      <c r="K805" s="12" t="str">
        <f>IF(AND(G805=1,G804&lt;&gt;1),MAX($K$50:K804)+1,"")</f>
        <v/>
      </c>
      <c r="L805" s="13" t="str">
        <f>IF(AND(G805&lt;&gt;1,G804=1),MAX($L$50:L804)+1,"")</f>
        <v/>
      </c>
      <c r="M805" s="13" t="str">
        <f>IF(AND(G805=-1,G804&lt;&gt;-1),MAX($M$50:M804)+1,"")</f>
        <v/>
      </c>
      <c r="N805" s="13" t="str">
        <f>IF(AND(G805&lt;&gt;-1,G804=-1),MAX($N$50:N804)+1,"")</f>
        <v/>
      </c>
      <c r="T805" s="7">
        <f t="shared" si="106"/>
        <v>93.394339352695923</v>
      </c>
      <c r="U805" s="1">
        <f t="shared" si="107"/>
        <v>143.87455406165134</v>
      </c>
    </row>
    <row r="806" spans="1:21" x14ac:dyDescent="0.3">
      <c r="A806" s="2">
        <v>41346</v>
      </c>
      <c r="B806" s="1">
        <v>2742.87</v>
      </c>
      <c r="C806" s="2">
        <f t="shared" si="99"/>
        <v>41346</v>
      </c>
      <c r="D806" s="1">
        <f t="shared" si="100"/>
        <v>2742.87</v>
      </c>
      <c r="E806" s="4">
        <f t="shared" si="101"/>
        <v>2644.088400000001</v>
      </c>
      <c r="F806" s="3">
        <f t="shared" si="102"/>
        <v>1.0373594165762381</v>
      </c>
      <c r="G806" s="18">
        <f t="shared" si="103"/>
        <v>1</v>
      </c>
      <c r="H806" s="3">
        <f t="shared" si="104"/>
        <v>1.6506290284294955E-3</v>
      </c>
      <c r="I806" s="3">
        <f t="shared" si="105"/>
        <v>1.6506290284294955E-3</v>
      </c>
      <c r="K806" s="12" t="str">
        <f>IF(AND(G806=1,G805&lt;&gt;1),MAX($K$50:K805)+1,"")</f>
        <v/>
      </c>
      <c r="L806" s="13" t="str">
        <f>IF(AND(G806&lt;&gt;1,G805=1),MAX($L$50:L805)+1,"")</f>
        <v/>
      </c>
      <c r="M806" s="13" t="str">
        <f>IF(AND(G806=-1,G805&lt;&gt;-1),MAX($M$50:M805)+1,"")</f>
        <v/>
      </c>
      <c r="N806" s="13" t="str">
        <f>IF(AND(G806&lt;&gt;-1,G805=-1),MAX($N$50:N805)+1,"")</f>
        <v/>
      </c>
      <c r="T806" s="7">
        <f t="shared" si="106"/>
        <v>93.548498760322474</v>
      </c>
      <c r="U806" s="1">
        <f t="shared" si="107"/>
        <v>144.11203757703785</v>
      </c>
    </row>
    <row r="807" spans="1:21" x14ac:dyDescent="0.3">
      <c r="A807" s="2">
        <v>41347</v>
      </c>
      <c r="B807" s="1">
        <v>2758.3</v>
      </c>
      <c r="C807" s="2">
        <f t="shared" si="99"/>
        <v>41347</v>
      </c>
      <c r="D807" s="1">
        <f t="shared" si="100"/>
        <v>2758.3</v>
      </c>
      <c r="E807" s="4">
        <f t="shared" si="101"/>
        <v>2649.1656000000007</v>
      </c>
      <c r="F807" s="3">
        <f t="shared" si="102"/>
        <v>1.0411957636774385</v>
      </c>
      <c r="G807" s="18">
        <f t="shared" si="103"/>
        <v>1</v>
      </c>
      <c r="H807" s="3">
        <f t="shared" si="104"/>
        <v>5.6254944638280957E-3</v>
      </c>
      <c r="I807" s="3">
        <f t="shared" si="105"/>
        <v>5.6254944638280957E-3</v>
      </c>
      <c r="K807" s="12" t="str">
        <f>IF(AND(G807=1,G806&lt;&gt;1),MAX($K$50:K806)+1,"")</f>
        <v/>
      </c>
      <c r="L807" s="13" t="str">
        <f>IF(AND(G807&lt;&gt;1,G806=1),MAX($L$50:L806)+1,"")</f>
        <v/>
      </c>
      <c r="M807" s="13" t="str">
        <f>IF(AND(G807=-1,G806&lt;&gt;-1),MAX($M$50:M806)+1,"")</f>
        <v/>
      </c>
      <c r="N807" s="13" t="str">
        <f>IF(AND(G807&lt;&gt;-1,G806=-1),MAX($N$50:N806)+1,"")</f>
        <v/>
      </c>
      <c r="T807" s="7">
        <f t="shared" si="106"/>
        <v>94.074755322198101</v>
      </c>
      <c r="U807" s="1">
        <f t="shared" si="107"/>
        <v>144.92273904659848</v>
      </c>
    </row>
    <row r="808" spans="1:21" x14ac:dyDescent="0.3">
      <c r="A808" s="2">
        <v>41348</v>
      </c>
      <c r="B808" s="1">
        <v>2753.82</v>
      </c>
      <c r="C808" s="2">
        <f t="shared" si="99"/>
        <v>41348</v>
      </c>
      <c r="D808" s="1">
        <f t="shared" si="100"/>
        <v>2753.82</v>
      </c>
      <c r="E808" s="4">
        <f t="shared" si="101"/>
        <v>2652.871000000001</v>
      </c>
      <c r="F808" s="3">
        <f t="shared" si="102"/>
        <v>1.0380527360734839</v>
      </c>
      <c r="G808" s="18">
        <f t="shared" si="103"/>
        <v>1</v>
      </c>
      <c r="H808" s="3">
        <f t="shared" si="104"/>
        <v>-1.6241888119493675E-3</v>
      </c>
      <c r="I808" s="3">
        <f t="shared" si="105"/>
        <v>-1.6241888119493675E-3</v>
      </c>
      <c r="K808" s="12" t="str">
        <f>IF(AND(G808=1,G807&lt;&gt;1),MAX($K$50:K807)+1,"")</f>
        <v/>
      </c>
      <c r="L808" s="13" t="str">
        <f>IF(AND(G808&lt;&gt;1,G807=1),MAX($L$50:L807)+1,"")</f>
        <v/>
      </c>
      <c r="M808" s="13" t="str">
        <f>IF(AND(G808=-1,G807&lt;&gt;-1),MAX($M$50:M807)+1,"")</f>
        <v/>
      </c>
      <c r="N808" s="13" t="str">
        <f>IF(AND(G808&lt;&gt;-1,G807=-1),MAX($N$50:N807)+1,"")</f>
        <v/>
      </c>
      <c r="T808" s="7">
        <f t="shared" si="106"/>
        <v>93.921960157116914</v>
      </c>
      <c r="U808" s="1">
        <f t="shared" si="107"/>
        <v>144.68735715524193</v>
      </c>
    </row>
    <row r="809" spans="1:21" x14ac:dyDescent="0.3">
      <c r="A809" s="2">
        <v>41351</v>
      </c>
      <c r="B809" s="1">
        <v>2738.68</v>
      </c>
      <c r="C809" s="2">
        <f t="shared" si="99"/>
        <v>41351</v>
      </c>
      <c r="D809" s="1">
        <f t="shared" si="100"/>
        <v>2738.68</v>
      </c>
      <c r="E809" s="4">
        <f t="shared" si="101"/>
        <v>2656.3808000000008</v>
      </c>
      <c r="F809" s="3">
        <f t="shared" si="102"/>
        <v>1.0309817026233585</v>
      </c>
      <c r="G809" s="18">
        <f t="shared" si="103"/>
        <v>1</v>
      </c>
      <c r="H809" s="3">
        <f t="shared" si="104"/>
        <v>-5.4978175770385995E-3</v>
      </c>
      <c r="I809" s="3">
        <f t="shared" si="105"/>
        <v>-5.4978175770385995E-3</v>
      </c>
      <c r="K809" s="12" t="str">
        <f>IF(AND(G809=1,G808&lt;&gt;1),MAX($K$50:K808)+1,"")</f>
        <v/>
      </c>
      <c r="L809" s="13" t="str">
        <f>IF(AND(G809&lt;&gt;1,G808=1),MAX($L$50:L808)+1,"")</f>
        <v/>
      </c>
      <c r="M809" s="13" t="str">
        <f>IF(AND(G809=-1,G808&lt;&gt;-1),MAX($M$50:M808)+1,"")</f>
        <v/>
      </c>
      <c r="N809" s="13" t="str">
        <f>IF(AND(G809&lt;&gt;-1,G808=-1),MAX($N$50:N808)+1,"")</f>
        <v/>
      </c>
      <c r="T809" s="7">
        <f t="shared" si="106"/>
        <v>93.405594353695193</v>
      </c>
      <c r="U809" s="1">
        <f t="shared" si="107"/>
        <v>143.89189245989857</v>
      </c>
    </row>
    <row r="810" spans="1:21" x14ac:dyDescent="0.3">
      <c r="A810" s="2">
        <v>41352</v>
      </c>
      <c r="B810" s="1">
        <v>2732.09</v>
      </c>
      <c r="C810" s="2">
        <f t="shared" si="99"/>
        <v>41352</v>
      </c>
      <c r="D810" s="1">
        <f t="shared" si="100"/>
        <v>2732.09</v>
      </c>
      <c r="E810" s="4">
        <f t="shared" si="101"/>
        <v>2659.5094000000008</v>
      </c>
      <c r="F810" s="3">
        <f t="shared" si="102"/>
        <v>1.0272909732900359</v>
      </c>
      <c r="G810" s="18">
        <f t="shared" si="103"/>
        <v>1</v>
      </c>
      <c r="H810" s="3">
        <f t="shared" si="104"/>
        <v>-2.4062687133946659E-3</v>
      </c>
      <c r="I810" s="3">
        <f t="shared" si="105"/>
        <v>-2.4062687133946659E-3</v>
      </c>
      <c r="K810" s="12" t="str">
        <f>IF(AND(G810=1,G809&lt;&gt;1),MAX($K$50:K809)+1,"")</f>
        <v/>
      </c>
      <c r="L810" s="13" t="str">
        <f>IF(AND(G810&lt;&gt;1,G809=1),MAX($L$50:L809)+1,"")</f>
        <v/>
      </c>
      <c r="M810" s="13" t="str">
        <f>IF(AND(G810=-1,G809&lt;&gt;-1),MAX($M$50:M809)+1,"")</f>
        <v/>
      </c>
      <c r="N810" s="13" t="str">
        <f>IF(AND(G810&lt;&gt;-1,G809=-1),MAX($N$50:N809)+1,"")</f>
        <v/>
      </c>
      <c r="T810" s="7">
        <f t="shared" si="106"/>
        <v>93.180835394345863</v>
      </c>
      <c r="U810" s="1">
        <f t="shared" si="107"/>
        <v>143.54564990096117</v>
      </c>
    </row>
    <row r="811" spans="1:21" x14ac:dyDescent="0.3">
      <c r="A811" s="2">
        <v>41353</v>
      </c>
      <c r="B811" s="1">
        <v>2750.42</v>
      </c>
      <c r="C811" s="2">
        <f t="shared" si="99"/>
        <v>41353</v>
      </c>
      <c r="D811" s="1">
        <f t="shared" si="100"/>
        <v>2750.42</v>
      </c>
      <c r="E811" s="4">
        <f t="shared" si="101"/>
        <v>2663.1652000000008</v>
      </c>
      <c r="F811" s="3">
        <f t="shared" si="102"/>
        <v>1.0327635702058584</v>
      </c>
      <c r="G811" s="18">
        <f t="shared" si="103"/>
        <v>1</v>
      </c>
      <c r="H811" s="3">
        <f t="shared" si="104"/>
        <v>6.7091494057662793E-3</v>
      </c>
      <c r="I811" s="3">
        <f t="shared" si="105"/>
        <v>6.7091494057662793E-3</v>
      </c>
      <c r="K811" s="12" t="str">
        <f>IF(AND(G811=1,G810&lt;&gt;1),MAX($K$50:K810)+1,"")</f>
        <v/>
      </c>
      <c r="L811" s="13" t="str">
        <f>IF(AND(G811&lt;&gt;1,G810=1),MAX($L$50:L810)+1,"")</f>
        <v/>
      </c>
      <c r="M811" s="13" t="str">
        <f>IF(AND(G811=-1,G810&lt;&gt;-1),MAX($M$50:M810)+1,"")</f>
        <v/>
      </c>
      <c r="N811" s="13" t="str">
        <f>IF(AND(G811&lt;&gt;-1,G810=-1),MAX($N$50:N810)+1,"")</f>
        <v/>
      </c>
      <c r="T811" s="7">
        <f t="shared" si="106"/>
        <v>93.805999540760638</v>
      </c>
      <c r="U811" s="1">
        <f t="shared" si="107"/>
        <v>144.50871911269454</v>
      </c>
    </row>
    <row r="812" spans="1:21" x14ac:dyDescent="0.3">
      <c r="A812" s="2">
        <v>41354</v>
      </c>
      <c r="B812" s="1">
        <v>2727.69</v>
      </c>
      <c r="C812" s="2">
        <f t="shared" si="99"/>
        <v>41354</v>
      </c>
      <c r="D812" s="1">
        <f t="shared" si="100"/>
        <v>2727.69</v>
      </c>
      <c r="E812" s="4">
        <f t="shared" si="101"/>
        <v>2666.5156000000002</v>
      </c>
      <c r="F812" s="3">
        <f t="shared" si="102"/>
        <v>1.0229416996472849</v>
      </c>
      <c r="G812" s="18">
        <f t="shared" si="103"/>
        <v>1</v>
      </c>
      <c r="H812" s="3">
        <f t="shared" si="104"/>
        <v>-8.2641923778913329E-3</v>
      </c>
      <c r="I812" s="3">
        <f t="shared" si="105"/>
        <v>-8.2641923778913329E-3</v>
      </c>
      <c r="K812" s="12" t="str">
        <f>IF(AND(G812=1,G811&lt;&gt;1),MAX($K$50:K811)+1,"")</f>
        <v/>
      </c>
      <c r="L812" s="13" t="str">
        <f>IF(AND(G812&lt;&gt;1,G811=1),MAX($L$50:L811)+1,"")</f>
        <v/>
      </c>
      <c r="M812" s="13" t="str">
        <f>IF(AND(G812=-1,G811&lt;&gt;-1),MAX($M$50:M811)+1,"")</f>
        <v/>
      </c>
      <c r="N812" s="13" t="str">
        <f>IF(AND(G812&lt;&gt;-1,G811=-1),MAX($N$50:N811)+1,"")</f>
        <v/>
      </c>
      <c r="T812" s="7">
        <f t="shared" si="106"/>
        <v>93.030768714355403</v>
      </c>
      <c r="U812" s="1">
        <f t="shared" si="107"/>
        <v>143.31447125766456</v>
      </c>
    </row>
    <row r="813" spans="1:21" x14ac:dyDescent="0.3">
      <c r="A813" s="2">
        <v>41355</v>
      </c>
      <c r="B813" s="1">
        <v>2747.25</v>
      </c>
      <c r="C813" s="2">
        <f t="shared" si="99"/>
        <v>41355</v>
      </c>
      <c r="D813" s="1">
        <f t="shared" si="100"/>
        <v>2747.25</v>
      </c>
      <c r="E813" s="4">
        <f t="shared" si="101"/>
        <v>2670.1202000000003</v>
      </c>
      <c r="F813" s="3">
        <f t="shared" si="102"/>
        <v>1.0288862651201993</v>
      </c>
      <c r="G813" s="18">
        <f t="shared" si="103"/>
        <v>1</v>
      </c>
      <c r="H813" s="3">
        <f t="shared" si="104"/>
        <v>7.1709028518636142E-3</v>
      </c>
      <c r="I813" s="3">
        <f t="shared" si="105"/>
        <v>7.1709028518636142E-3</v>
      </c>
      <c r="K813" s="12" t="str">
        <f>IF(AND(G813=1,G812&lt;&gt;1),MAX($K$50:K812)+1,"")</f>
        <v/>
      </c>
      <c r="L813" s="13" t="str">
        <f>IF(AND(G813&lt;&gt;1,G812=1),MAX($L$50:L812)+1,"")</f>
        <v/>
      </c>
      <c r="M813" s="13" t="str">
        <f>IF(AND(G813=-1,G812&lt;&gt;-1),MAX($M$50:M812)+1,"")</f>
        <v/>
      </c>
      <c r="N813" s="13" t="str">
        <f>IF(AND(G813&lt;&gt;-1,G812=-1),MAX($N$50:N812)+1,"")</f>
        <v/>
      </c>
      <c r="T813" s="7">
        <f t="shared" si="106"/>
        <v>93.697883319040244</v>
      </c>
      <c r="U813" s="1">
        <f t="shared" si="107"/>
        <v>144.34216540831949</v>
      </c>
    </row>
    <row r="814" spans="1:21" x14ac:dyDescent="0.3">
      <c r="A814" s="2">
        <v>41358</v>
      </c>
      <c r="B814" s="1">
        <v>2738.08</v>
      </c>
      <c r="C814" s="2">
        <f t="shared" si="99"/>
        <v>41358</v>
      </c>
      <c r="D814" s="1">
        <f t="shared" si="100"/>
        <v>2738.08</v>
      </c>
      <c r="E814" s="4">
        <f t="shared" si="101"/>
        <v>2673.1514000000002</v>
      </c>
      <c r="F814" s="3">
        <f t="shared" si="102"/>
        <v>1.0242891592298138</v>
      </c>
      <c r="G814" s="18">
        <f t="shared" si="103"/>
        <v>1</v>
      </c>
      <c r="H814" s="3">
        <f t="shared" si="104"/>
        <v>-3.3378833378833184E-3</v>
      </c>
      <c r="I814" s="3">
        <f t="shared" si="105"/>
        <v>-3.3378833378833184E-3</v>
      </c>
      <c r="K814" s="12" t="str">
        <f>IF(AND(G814=1,G813&lt;&gt;1),MAX($K$50:K813)+1,"")</f>
        <v/>
      </c>
      <c r="L814" s="13" t="str">
        <f>IF(AND(G814&lt;&gt;1,G813=1),MAX($L$50:L813)+1,"")</f>
        <v/>
      </c>
      <c r="M814" s="13" t="str">
        <f>IF(AND(G814=-1,G813&lt;&gt;-1),MAX($M$50:M813)+1,"")</f>
        <v/>
      </c>
      <c r="N814" s="13" t="str">
        <f>IF(AND(G814&lt;&gt;-1,G813=-1),MAX($N$50:N813)+1,"")</f>
        <v/>
      </c>
      <c r="T814" s="7">
        <f t="shared" si="106"/>
        <v>93.385130715514691</v>
      </c>
      <c r="U814" s="1">
        <f t="shared" si="107"/>
        <v>143.86036809944906</v>
      </c>
    </row>
    <row r="815" spans="1:21" x14ac:dyDescent="0.3">
      <c r="A815" s="2">
        <v>41359</v>
      </c>
      <c r="B815" s="1">
        <v>2760.32</v>
      </c>
      <c r="C815" s="2">
        <f t="shared" si="99"/>
        <v>41359</v>
      </c>
      <c r="D815" s="1">
        <f t="shared" si="100"/>
        <v>2760.32</v>
      </c>
      <c r="E815" s="4">
        <f t="shared" si="101"/>
        <v>2676.6240000000003</v>
      </c>
      <c r="F815" s="3">
        <f t="shared" si="102"/>
        <v>1.0312692406553927</v>
      </c>
      <c r="G815" s="18">
        <f t="shared" si="103"/>
        <v>1</v>
      </c>
      <c r="H815" s="3">
        <f t="shared" si="104"/>
        <v>8.1224799859755947E-3</v>
      </c>
      <c r="I815" s="3">
        <f t="shared" si="105"/>
        <v>8.1224799859755947E-3</v>
      </c>
      <c r="K815" s="12" t="str">
        <f>IF(AND(G815=1,G814&lt;&gt;1),MAX($K$50:K814)+1,"")</f>
        <v/>
      </c>
      <c r="L815" s="13" t="str">
        <f>IF(AND(G815&lt;&gt;1,G814=1),MAX($L$50:L814)+1,"")</f>
        <v/>
      </c>
      <c r="M815" s="13" t="str">
        <f>IF(AND(G815=-1,G814&lt;&gt;-1),MAX($M$50:M814)+1,"")</f>
        <v/>
      </c>
      <c r="N815" s="13" t="str">
        <f>IF(AND(G815&lt;&gt;-1,G814=-1),MAX($N$50:N814)+1,"")</f>
        <v/>
      </c>
      <c r="T815" s="7">
        <f t="shared" si="106"/>
        <v>94.143649570739171</v>
      </c>
      <c r="U815" s="1">
        <f t="shared" si="107"/>
        <v>145.02887106011192</v>
      </c>
    </row>
    <row r="816" spans="1:21" x14ac:dyDescent="0.3">
      <c r="A816" s="2">
        <v>41360</v>
      </c>
      <c r="B816" s="1">
        <v>2758.85</v>
      </c>
      <c r="C816" s="2">
        <f t="shared" si="99"/>
        <v>41360</v>
      </c>
      <c r="D816" s="1">
        <f t="shared" si="100"/>
        <v>2758.85</v>
      </c>
      <c r="E816" s="4">
        <f t="shared" si="101"/>
        <v>2680.1156000000001</v>
      </c>
      <c r="F816" s="3">
        <f t="shared" si="102"/>
        <v>1.0293772402951573</v>
      </c>
      <c r="G816" s="18">
        <f t="shared" si="103"/>
        <v>1</v>
      </c>
      <c r="H816" s="3">
        <f t="shared" si="104"/>
        <v>-5.3254695107818328E-4</v>
      </c>
      <c r="I816" s="3">
        <f t="shared" si="105"/>
        <v>-5.3254695107818328E-4</v>
      </c>
      <c r="K816" s="12" t="str">
        <f>IF(AND(G816=1,G815&lt;&gt;1),MAX($K$50:K815)+1,"")</f>
        <v/>
      </c>
      <c r="L816" s="13" t="str">
        <f>IF(AND(G816&lt;&gt;1,G815=1),MAX($L$50:L815)+1,"")</f>
        <v/>
      </c>
      <c r="M816" s="13" t="str">
        <f>IF(AND(G816=-1,G815&lt;&gt;-1),MAX($M$50:M815)+1,"")</f>
        <v/>
      </c>
      <c r="N816" s="13" t="str">
        <f>IF(AND(G816&lt;&gt;-1,G815=-1),MAX($N$50:N815)+1,"")</f>
        <v/>
      </c>
      <c r="T816" s="7">
        <f t="shared" si="106"/>
        <v>94.093513657196908</v>
      </c>
      <c r="U816" s="1">
        <f t="shared" si="107"/>
        <v>144.95163637701054</v>
      </c>
    </row>
    <row r="817" spans="1:21" x14ac:dyDescent="0.3">
      <c r="A817" s="2">
        <v>41361</v>
      </c>
      <c r="B817" s="1">
        <v>2770.05</v>
      </c>
      <c r="C817" s="2">
        <f t="shared" si="99"/>
        <v>41361</v>
      </c>
      <c r="D817" s="1">
        <f t="shared" si="100"/>
        <v>2770.05</v>
      </c>
      <c r="E817" s="4">
        <f t="shared" si="101"/>
        <v>2683.7726000000002</v>
      </c>
      <c r="F817" s="3">
        <f t="shared" si="102"/>
        <v>1.0321478056672908</v>
      </c>
      <c r="G817" s="18">
        <f t="shared" si="103"/>
        <v>1</v>
      </c>
      <c r="H817" s="3">
        <f t="shared" si="104"/>
        <v>4.0596625405513453E-3</v>
      </c>
      <c r="I817" s="3">
        <f t="shared" si="105"/>
        <v>4.0596625405513453E-3</v>
      </c>
      <c r="K817" s="12" t="str">
        <f>IF(AND(G817=1,G816&lt;&gt;1),MAX($K$50:K816)+1,"")</f>
        <v/>
      </c>
      <c r="L817" s="13" t="str">
        <f>IF(AND(G817&lt;&gt;1,G816=1),MAX($L$50:L816)+1,"")</f>
        <v/>
      </c>
      <c r="M817" s="13" t="str">
        <f>IF(AND(G817=-1,G816&lt;&gt;-1),MAX($M$50:M816)+1,"")</f>
        <v/>
      </c>
      <c r="N817" s="13" t="str">
        <f>IF(AND(G817&lt;&gt;-1,G816=-1),MAX($N$50:N816)+1,"")</f>
        <v/>
      </c>
      <c r="T817" s="7">
        <f t="shared" si="106"/>
        <v>94.47550156989989</v>
      </c>
      <c r="U817" s="1">
        <f t="shared" si="107"/>
        <v>145.54009110540193</v>
      </c>
    </row>
    <row r="818" spans="1:21" x14ac:dyDescent="0.3">
      <c r="A818" s="2">
        <v>41365</v>
      </c>
      <c r="B818" s="1">
        <v>2757.83</v>
      </c>
      <c r="C818" s="2">
        <f t="shared" si="99"/>
        <v>41365</v>
      </c>
      <c r="D818" s="1">
        <f t="shared" si="100"/>
        <v>2757.83</v>
      </c>
      <c r="E818" s="4">
        <f t="shared" si="101"/>
        <v>2687.1687999999999</v>
      </c>
      <c r="F818" s="3">
        <f t="shared" si="102"/>
        <v>1.0262957801534462</v>
      </c>
      <c r="G818" s="18">
        <f t="shared" si="103"/>
        <v>1</v>
      </c>
      <c r="H818" s="3">
        <f t="shared" si="104"/>
        <v>-4.4114727170990742E-3</v>
      </c>
      <c r="I818" s="3">
        <f t="shared" si="105"/>
        <v>-4.4114727170990742E-3</v>
      </c>
      <c r="K818" s="12" t="str">
        <f>IF(AND(G818=1,G817&lt;&gt;1),MAX($K$50:K817)+1,"")</f>
        <v/>
      </c>
      <c r="L818" s="13" t="str">
        <f>IF(AND(G818&lt;&gt;1,G817=1),MAX($L$50:L817)+1,"")</f>
        <v/>
      </c>
      <c r="M818" s="13" t="str">
        <f>IF(AND(G818=-1,G817&lt;&gt;-1),MAX($M$50:M817)+1,"")</f>
        <v/>
      </c>
      <c r="N818" s="13" t="str">
        <f>IF(AND(G818&lt;&gt;-1,G817=-1),MAX($N$50:N817)+1,"")</f>
        <v/>
      </c>
      <c r="T818" s="7">
        <f t="shared" si="106"/>
        <v>94.058725472290021</v>
      </c>
      <c r="U818" s="1">
        <f t="shared" si="107"/>
        <v>144.89804496424634</v>
      </c>
    </row>
    <row r="819" spans="1:21" x14ac:dyDescent="0.3">
      <c r="A819" s="2">
        <v>41366</v>
      </c>
      <c r="B819" s="1">
        <v>2772.11</v>
      </c>
      <c r="C819" s="2">
        <f t="shared" si="99"/>
        <v>41366</v>
      </c>
      <c r="D819" s="1">
        <f t="shared" si="100"/>
        <v>2772.11</v>
      </c>
      <c r="E819" s="4">
        <f t="shared" si="101"/>
        <v>2690.5581999999999</v>
      </c>
      <c r="F819" s="3">
        <f t="shared" si="102"/>
        <v>1.0303103645927452</v>
      </c>
      <c r="G819" s="18">
        <f t="shared" si="103"/>
        <v>1</v>
      </c>
      <c r="H819" s="3">
        <f t="shared" si="104"/>
        <v>5.1779841397041615E-3</v>
      </c>
      <c r="I819" s="3">
        <f t="shared" si="105"/>
        <v>5.1779841397041615E-3</v>
      </c>
      <c r="K819" s="12" t="str">
        <f>IF(AND(G819=1,G818&lt;&gt;1),MAX($K$50:K818)+1,"")</f>
        <v/>
      </c>
      <c r="L819" s="13" t="str">
        <f>IF(AND(G819&lt;&gt;1,G818=1),MAX($L$50:L818)+1,"")</f>
        <v/>
      </c>
      <c r="M819" s="13" t="str">
        <f>IF(AND(G819=-1,G818&lt;&gt;-1),MAX($M$50:M818)+1,"")</f>
        <v/>
      </c>
      <c r="N819" s="13" t="str">
        <f>IF(AND(G819&lt;&gt;-1,G818=-1),MAX($N$50:N818)+1,"")</f>
        <v/>
      </c>
      <c r="T819" s="7">
        <f t="shared" si="106"/>
        <v>94.545760060986325</v>
      </c>
      <c r="U819" s="1">
        <f t="shared" si="107"/>
        <v>145.64832474294536</v>
      </c>
    </row>
    <row r="820" spans="1:21" x14ac:dyDescent="0.3">
      <c r="A820" s="2">
        <v>41367</v>
      </c>
      <c r="B820" s="1">
        <v>2743.38</v>
      </c>
      <c r="C820" s="2">
        <f t="shared" ref="C820:C883" si="108">A820</f>
        <v>41367</v>
      </c>
      <c r="D820" s="1">
        <f t="shared" ref="D820:D883" si="109">B820</f>
        <v>2743.38</v>
      </c>
      <c r="E820" s="4">
        <f t="shared" ref="E820:E883" si="110">AVERAGE(B771:B820)</f>
        <v>2693.1950000000006</v>
      </c>
      <c r="F820" s="3">
        <f t="shared" ref="F820:F883" si="111">D820/E820</f>
        <v>1.0186340016226079</v>
      </c>
      <c r="G820" s="18">
        <f t="shared" ref="G820:G883" si="112">IF(F820&gt;=$Q$51,1,IF(F820&lt;=$Q$52,-1,0))</f>
        <v>1</v>
      </c>
      <c r="H820" s="3">
        <f t="shared" si="104"/>
        <v>-1.0363946596635754E-2</v>
      </c>
      <c r="I820" s="3">
        <f t="shared" si="105"/>
        <v>-1.0363946596635754E-2</v>
      </c>
      <c r="K820" s="12" t="str">
        <f>IF(AND(G820=1,G819&lt;&gt;1),MAX($K$50:K819)+1,"")</f>
        <v/>
      </c>
      <c r="L820" s="13" t="str">
        <f>IF(AND(G820&lt;&gt;1,G819=1),MAX($L$50:L819)+1,"")</f>
        <v/>
      </c>
      <c r="M820" s="13" t="str">
        <f>IF(AND(G820=-1,G819&lt;&gt;-1),MAX($M$50:M819)+1,"")</f>
        <v/>
      </c>
      <c r="N820" s="13" t="str">
        <f>IF(AND(G820&lt;&gt;-1,G819=-1),MAX($N$50:N819)+1,"")</f>
        <v/>
      </c>
      <c r="T820" s="7">
        <f t="shared" si="106"/>
        <v>93.565892852775931</v>
      </c>
      <c r="U820" s="1">
        <f t="shared" si="107"/>
        <v>144.13883328342001</v>
      </c>
    </row>
    <row r="821" spans="1:21" x14ac:dyDescent="0.3">
      <c r="A821" s="2">
        <v>41368</v>
      </c>
      <c r="B821" s="1">
        <v>2754.67</v>
      </c>
      <c r="C821" s="2">
        <f t="shared" si="108"/>
        <v>41368</v>
      </c>
      <c r="D821" s="1">
        <f t="shared" si="109"/>
        <v>2754.67</v>
      </c>
      <c r="E821" s="4">
        <f t="shared" si="110"/>
        <v>2695.8240000000001</v>
      </c>
      <c r="F821" s="3">
        <f t="shared" si="111"/>
        <v>1.0218285763462303</v>
      </c>
      <c r="G821" s="18">
        <f t="shared" si="112"/>
        <v>1</v>
      </c>
      <c r="H821" s="3">
        <f t="shared" ref="H821:H884" si="113">D821/D820-1</f>
        <v>4.1153613425772839E-3</v>
      </c>
      <c r="I821" s="3">
        <f t="shared" ref="I821:I884" si="114">G820*H821</f>
        <v>4.1153613425772839E-3</v>
      </c>
      <c r="K821" s="12" t="str">
        <f>IF(AND(G821=1,G820&lt;&gt;1),MAX($K$50:K820)+1,"")</f>
        <v/>
      </c>
      <c r="L821" s="13" t="str">
        <f>IF(AND(G821&lt;&gt;1,G820=1),MAX($L$50:L820)+1,"")</f>
        <v/>
      </c>
      <c r="M821" s="13" t="str">
        <f>IF(AND(G821=-1,G820&lt;&gt;-1),MAX($M$50:M820)+1,"")</f>
        <v/>
      </c>
      <c r="N821" s="13" t="str">
        <f>IF(AND(G821&lt;&gt;-1,G820=-1),MAX($N$50:N820)+1,"")</f>
        <v/>
      </c>
      <c r="T821" s="7">
        <f t="shared" ref="T821:T884" si="115">T820*(1+I821)</f>
        <v>93.950950311205972</v>
      </c>
      <c r="U821" s="1">
        <f t="shared" ref="U821:U884" si="116">U820*D821/D820</f>
        <v>144.7320166658788</v>
      </c>
    </row>
    <row r="822" spans="1:21" x14ac:dyDescent="0.3">
      <c r="A822" s="2">
        <v>41369</v>
      </c>
      <c r="B822" s="1">
        <v>2742.86</v>
      </c>
      <c r="C822" s="2">
        <f t="shared" si="108"/>
        <v>41369</v>
      </c>
      <c r="D822" s="1">
        <f t="shared" si="109"/>
        <v>2742.86</v>
      </c>
      <c r="E822" s="4">
        <f t="shared" si="110"/>
        <v>2698.1366000000003</v>
      </c>
      <c r="F822" s="3">
        <f t="shared" si="111"/>
        <v>1.016575661884576</v>
      </c>
      <c r="G822" s="18">
        <f t="shared" si="112"/>
        <v>1</v>
      </c>
      <c r="H822" s="3">
        <f t="shared" si="113"/>
        <v>-4.2872648992438034E-3</v>
      </c>
      <c r="I822" s="3">
        <f t="shared" si="114"/>
        <v>-4.2872648992438034E-3</v>
      </c>
      <c r="K822" s="12" t="str">
        <f>IF(AND(G822=1,G821&lt;&gt;1),MAX($K$50:K821)+1,"")</f>
        <v/>
      </c>
      <c r="L822" s="13" t="str">
        <f>IF(AND(G822&lt;&gt;1,G821=1),MAX($L$50:L821)+1,"")</f>
        <v/>
      </c>
      <c r="M822" s="13" t="str">
        <f>IF(AND(G822=-1,G821&lt;&gt;-1),MAX($M$50:M821)+1,"")</f>
        <v/>
      </c>
      <c r="N822" s="13" t="str">
        <f>IF(AND(G822&lt;&gt;-1,G821=-1),MAX($N$50:N821)+1,"")</f>
        <v/>
      </c>
      <c r="T822" s="7">
        <f t="shared" si="115"/>
        <v>93.548157699686143</v>
      </c>
      <c r="U822" s="1">
        <f t="shared" si="116"/>
        <v>144.11151217103043</v>
      </c>
    </row>
    <row r="823" spans="1:21" x14ac:dyDescent="0.3">
      <c r="A823" s="2">
        <v>41372</v>
      </c>
      <c r="B823" s="1">
        <v>2761.05</v>
      </c>
      <c r="C823" s="2">
        <f t="shared" si="108"/>
        <v>41372</v>
      </c>
      <c r="D823" s="1">
        <f t="shared" si="109"/>
        <v>2761.05</v>
      </c>
      <c r="E823" s="4">
        <f t="shared" si="110"/>
        <v>2700.8109999999997</v>
      </c>
      <c r="F823" s="3">
        <f t="shared" si="111"/>
        <v>1.0223040412676045</v>
      </c>
      <c r="G823" s="18">
        <f t="shared" si="112"/>
        <v>1</v>
      </c>
      <c r="H823" s="3">
        <f t="shared" si="113"/>
        <v>6.6317639252460037E-3</v>
      </c>
      <c r="I823" s="3">
        <f t="shared" si="114"/>
        <v>6.6317639252460037E-3</v>
      </c>
      <c r="K823" s="12" t="str">
        <f>IF(AND(G823=1,G822&lt;&gt;1),MAX($K$50:K822)+1,"")</f>
        <v/>
      </c>
      <c r="L823" s="13" t="str">
        <f>IF(AND(G823&lt;&gt;1,G822=1),MAX($L$50:L822)+1,"")</f>
        <v/>
      </c>
      <c r="M823" s="13" t="str">
        <f>IF(AND(G823=-1,G822&lt;&gt;-1),MAX($M$50:M822)+1,"")</f>
        <v/>
      </c>
      <c r="N823" s="13" t="str">
        <f>IF(AND(G823&lt;&gt;-1,G822=-1),MAX($N$50:N822)+1,"")</f>
        <v/>
      </c>
      <c r="T823" s="7">
        <f t="shared" si="115"/>
        <v>94.168546997192152</v>
      </c>
      <c r="U823" s="1">
        <f t="shared" si="116"/>
        <v>145.06722569865892</v>
      </c>
    </row>
    <row r="824" spans="1:21" x14ac:dyDescent="0.3">
      <c r="A824" s="2">
        <v>41373</v>
      </c>
      <c r="B824" s="1">
        <v>2770.84</v>
      </c>
      <c r="C824" s="2">
        <f t="shared" si="108"/>
        <v>41373</v>
      </c>
      <c r="D824" s="1">
        <f t="shared" si="109"/>
        <v>2770.84</v>
      </c>
      <c r="E824" s="4">
        <f t="shared" si="110"/>
        <v>2703.3950000000004</v>
      </c>
      <c r="F824" s="3">
        <f t="shared" si="111"/>
        <v>1.0249482595033281</v>
      </c>
      <c r="G824" s="18">
        <f t="shared" si="112"/>
        <v>1</v>
      </c>
      <c r="H824" s="3">
        <f t="shared" si="113"/>
        <v>3.5457525216855412E-3</v>
      </c>
      <c r="I824" s="3">
        <f t="shared" si="114"/>
        <v>3.5457525216855412E-3</v>
      </c>
      <c r="K824" s="12" t="str">
        <f>IF(AND(G824=1,G823&lt;&gt;1),MAX($K$50:K823)+1,"")</f>
        <v/>
      </c>
      <c r="L824" s="13" t="str">
        <f>IF(AND(G824&lt;&gt;1,G823=1),MAX($L$50:L823)+1,"")</f>
        <v/>
      </c>
      <c r="M824" s="13" t="str">
        <f>IF(AND(G824=-1,G823&lt;&gt;-1),MAX($M$50:M823)+1,"")</f>
        <v/>
      </c>
      <c r="N824" s="13" t="str">
        <f>IF(AND(G824&lt;&gt;-1,G823=-1),MAX($N$50:N823)+1,"")</f>
        <v/>
      </c>
      <c r="T824" s="7">
        <f t="shared" si="115"/>
        <v>94.50244536017091</v>
      </c>
      <c r="U824" s="1">
        <f t="shared" si="116"/>
        <v>145.58159817999388</v>
      </c>
    </row>
    <row r="825" spans="1:21" x14ac:dyDescent="0.3">
      <c r="A825" s="2">
        <v>41374</v>
      </c>
      <c r="B825" s="1">
        <v>2804.81</v>
      </c>
      <c r="C825" s="2">
        <f t="shared" si="108"/>
        <v>41374</v>
      </c>
      <c r="D825" s="1">
        <f t="shared" si="109"/>
        <v>2804.81</v>
      </c>
      <c r="E825" s="4">
        <f t="shared" si="110"/>
        <v>2706.7546000000007</v>
      </c>
      <c r="F825" s="3">
        <f t="shared" si="111"/>
        <v>1.0362261876270569</v>
      </c>
      <c r="G825" s="18">
        <f t="shared" si="112"/>
        <v>1</v>
      </c>
      <c r="H825" s="3">
        <f t="shared" si="113"/>
        <v>1.2259820126748533E-2</v>
      </c>
      <c r="I825" s="3">
        <f t="shared" si="114"/>
        <v>1.2259820126748533E-2</v>
      </c>
      <c r="K825" s="12" t="str">
        <f>IF(AND(G825=1,G824&lt;&gt;1),MAX($K$50:K824)+1,"")</f>
        <v/>
      </c>
      <c r="L825" s="13" t="str">
        <f>IF(AND(G825&lt;&gt;1,G824=1),MAX($L$50:L824)+1,"")</f>
        <v/>
      </c>
      <c r="M825" s="13" t="str">
        <f>IF(AND(G825=-1,G824&lt;&gt;-1),MAX($M$50:M824)+1,"")</f>
        <v/>
      </c>
      <c r="N825" s="13" t="str">
        <f>IF(AND(G825&lt;&gt;-1,G824=-1),MAX($N$50:N824)+1,"")</f>
        <v/>
      </c>
      <c r="T825" s="7">
        <f t="shared" si="115"/>
        <v>95.66102834182449</v>
      </c>
      <c r="U825" s="1">
        <f t="shared" si="116"/>
        <v>147.36640238744516</v>
      </c>
    </row>
    <row r="826" spans="1:21" x14ac:dyDescent="0.3">
      <c r="A826" s="2">
        <v>41375</v>
      </c>
      <c r="B826" s="1">
        <v>2815.02</v>
      </c>
      <c r="C826" s="2">
        <f t="shared" si="108"/>
        <v>41375</v>
      </c>
      <c r="D826" s="1">
        <f t="shared" si="109"/>
        <v>2815.02</v>
      </c>
      <c r="E826" s="4">
        <f t="shared" si="110"/>
        <v>2710.0464000000006</v>
      </c>
      <c r="F826" s="3">
        <f t="shared" si="111"/>
        <v>1.0387349825449481</v>
      </c>
      <c r="G826" s="18">
        <f t="shared" si="112"/>
        <v>1</v>
      </c>
      <c r="H826" s="3">
        <f t="shared" si="113"/>
        <v>3.6401752703392187E-3</v>
      </c>
      <c r="I826" s="3">
        <f t="shared" si="114"/>
        <v>3.6401752703392187E-3</v>
      </c>
      <c r="K826" s="12" t="str">
        <f>IF(AND(G826=1,G825&lt;&gt;1),MAX($K$50:K825)+1,"")</f>
        <v/>
      </c>
      <c r="L826" s="13" t="str">
        <f>IF(AND(G826&lt;&gt;1,G825=1),MAX($L$50:L825)+1,"")</f>
        <v/>
      </c>
      <c r="M826" s="13" t="str">
        <f>IF(AND(G826=-1,G825&lt;&gt;-1),MAX($M$50:M825)+1,"")</f>
        <v/>
      </c>
      <c r="N826" s="13" t="str">
        <f>IF(AND(G826&lt;&gt;-1,G825=-1),MAX($N$50:N825)+1,"")</f>
        <v/>
      </c>
      <c r="T826" s="7">
        <f t="shared" si="115"/>
        <v>96.009251251529619</v>
      </c>
      <c r="U826" s="1">
        <f t="shared" si="116"/>
        <v>147.90284192109479</v>
      </c>
    </row>
    <row r="827" spans="1:21" x14ac:dyDescent="0.3">
      <c r="A827" s="2">
        <v>41376</v>
      </c>
      <c r="B827" s="1">
        <v>2807.1</v>
      </c>
      <c r="C827" s="2">
        <f t="shared" si="108"/>
        <v>41376</v>
      </c>
      <c r="D827" s="1">
        <f t="shared" si="109"/>
        <v>2807.1</v>
      </c>
      <c r="E827" s="4">
        <f t="shared" si="110"/>
        <v>2713.3730000000005</v>
      </c>
      <c r="F827" s="3">
        <f t="shared" si="111"/>
        <v>1.0345426154089392</v>
      </c>
      <c r="G827" s="18">
        <f t="shared" si="112"/>
        <v>1</v>
      </c>
      <c r="H827" s="3">
        <f t="shared" si="113"/>
        <v>-2.8134791227061307E-3</v>
      </c>
      <c r="I827" s="3">
        <f t="shared" si="114"/>
        <v>-2.8134791227061307E-3</v>
      </c>
      <c r="K827" s="12" t="str">
        <f>IF(AND(G827=1,G826&lt;&gt;1),MAX($K$50:K826)+1,"")</f>
        <v/>
      </c>
      <c r="L827" s="13" t="str">
        <f>IF(AND(G827&lt;&gt;1,G826=1),MAX($L$50:L826)+1,"")</f>
        <v/>
      </c>
      <c r="M827" s="13" t="str">
        <f>IF(AND(G827=-1,G826&lt;&gt;-1),MAX($M$50:M826)+1,"")</f>
        <v/>
      </c>
      <c r="N827" s="13" t="str">
        <f>IF(AND(G827&lt;&gt;-1,G826=-1),MAX($N$50:N826)+1,"")</f>
        <v/>
      </c>
      <c r="T827" s="7">
        <f t="shared" si="115"/>
        <v>95.739131227546793</v>
      </c>
      <c r="U827" s="1">
        <f t="shared" si="116"/>
        <v>147.48672036316088</v>
      </c>
    </row>
    <row r="828" spans="1:21" x14ac:dyDescent="0.3">
      <c r="A828" s="2">
        <v>41379</v>
      </c>
      <c r="B828" s="1">
        <v>2742.63</v>
      </c>
      <c r="C828" s="2">
        <f t="shared" si="108"/>
        <v>41379</v>
      </c>
      <c r="D828" s="1">
        <f t="shared" si="109"/>
        <v>2742.63</v>
      </c>
      <c r="E828" s="4">
        <f t="shared" si="110"/>
        <v>2715.5424000000003</v>
      </c>
      <c r="F828" s="3">
        <f t="shared" si="111"/>
        <v>1.009975023774256</v>
      </c>
      <c r="G828" s="18">
        <f t="shared" si="112"/>
        <v>1</v>
      </c>
      <c r="H828" s="3">
        <f t="shared" si="113"/>
        <v>-2.2966762851341138E-2</v>
      </c>
      <c r="I828" s="3">
        <f t="shared" si="114"/>
        <v>-2.2966762851341138E-2</v>
      </c>
      <c r="K828" s="12" t="str">
        <f>IF(AND(G828=1,G827&lt;&gt;1),MAX($K$50:K827)+1,"")</f>
        <v/>
      </c>
      <c r="L828" s="13" t="str">
        <f>IF(AND(G828&lt;&gt;1,G827=1),MAX($L$50:L827)+1,"")</f>
        <v/>
      </c>
      <c r="M828" s="13" t="str">
        <f>IF(AND(G828=-1,G827&lt;&gt;-1),MAX($M$50:M827)+1,"")</f>
        <v/>
      </c>
      <c r="N828" s="13" t="str">
        <f>IF(AND(G828&lt;&gt;-1,G827=-1),MAX($N$50:N827)+1,"")</f>
        <v/>
      </c>
      <c r="T828" s="7">
        <f t="shared" si="115"/>
        <v>93.54031330505029</v>
      </c>
      <c r="U828" s="1">
        <f t="shared" si="116"/>
        <v>144.09942783285811</v>
      </c>
    </row>
    <row r="829" spans="1:21" x14ac:dyDescent="0.3">
      <c r="A829" s="2">
        <v>41380</v>
      </c>
      <c r="B829" s="1">
        <v>2781.86</v>
      </c>
      <c r="C829" s="2">
        <f t="shared" si="108"/>
        <v>41380</v>
      </c>
      <c r="D829" s="1">
        <f t="shared" si="109"/>
        <v>2781.86</v>
      </c>
      <c r="E829" s="4">
        <f t="shared" si="110"/>
        <v>2717.9656</v>
      </c>
      <c r="F829" s="3">
        <f t="shared" si="111"/>
        <v>1.0235081709643419</v>
      </c>
      <c r="G829" s="18">
        <f t="shared" si="112"/>
        <v>1</v>
      </c>
      <c r="H829" s="3">
        <f t="shared" si="113"/>
        <v>1.4303788699168374E-2</v>
      </c>
      <c r="I829" s="3">
        <f t="shared" si="114"/>
        <v>1.4303788699168374E-2</v>
      </c>
      <c r="K829" s="12" t="str">
        <f>IF(AND(G829=1,G828&lt;&gt;1),MAX($K$50:K828)+1,"")</f>
        <v/>
      </c>
      <c r="L829" s="13" t="str">
        <f>IF(AND(G829&lt;&gt;1,G828=1),MAX($L$50:L828)+1,"")</f>
        <v/>
      </c>
      <c r="M829" s="13" t="str">
        <f>IF(AND(G829=-1,G828&lt;&gt;-1),MAX($M$50:M828)+1,"")</f>
        <v/>
      </c>
      <c r="N829" s="13" t="str">
        <f>IF(AND(G829&lt;&gt;-1,G828=-1),MAX($N$50:N828)+1,"")</f>
        <v/>
      </c>
      <c r="T829" s="7">
        <f t="shared" si="115"/>
        <v>94.878294181419733</v>
      </c>
      <c r="U829" s="1">
        <f t="shared" si="116"/>
        <v>146.16059560025036</v>
      </c>
    </row>
    <row r="830" spans="1:21" x14ac:dyDescent="0.3">
      <c r="A830" s="2">
        <v>41381</v>
      </c>
      <c r="B830" s="1">
        <v>2742.01</v>
      </c>
      <c r="C830" s="2">
        <f t="shared" si="108"/>
        <v>41381</v>
      </c>
      <c r="D830" s="1">
        <f t="shared" si="109"/>
        <v>2742.01</v>
      </c>
      <c r="E830" s="4">
        <f t="shared" si="110"/>
        <v>2720.2048000000004</v>
      </c>
      <c r="F830" s="3">
        <f t="shared" si="111"/>
        <v>1.008016014088351</v>
      </c>
      <c r="G830" s="18">
        <f t="shared" si="112"/>
        <v>1</v>
      </c>
      <c r="H830" s="3">
        <f t="shared" si="113"/>
        <v>-1.4324948056336329E-2</v>
      </c>
      <c r="I830" s="3">
        <f t="shared" si="114"/>
        <v>-1.4324948056336329E-2</v>
      </c>
      <c r="K830" s="12" t="str">
        <f>IF(AND(G830=1,G829&lt;&gt;1),MAX($K$50:K829)+1,"")</f>
        <v/>
      </c>
      <c r="L830" s="13" t="str">
        <f>IF(AND(G830&lt;&gt;1,G829=1),MAX($L$50:L829)+1,"")</f>
        <v/>
      </c>
      <c r="M830" s="13" t="str">
        <f>IF(AND(G830=-1,G829&lt;&gt;-1),MAX($M$50:M829)+1,"")</f>
        <v/>
      </c>
      <c r="N830" s="13" t="str">
        <f>IF(AND(G830&lt;&gt;-1,G829=-1),MAX($N$50:N829)+1,"")</f>
        <v/>
      </c>
      <c r="T830" s="7">
        <f t="shared" si="115"/>
        <v>93.519167545597099</v>
      </c>
      <c r="U830" s="1">
        <f t="shared" si="116"/>
        <v>144.06685266039358</v>
      </c>
    </row>
    <row r="831" spans="1:21" x14ac:dyDescent="0.3">
      <c r="A831" s="2">
        <v>41382</v>
      </c>
      <c r="B831" s="1">
        <v>2723.72</v>
      </c>
      <c r="C831" s="2">
        <f t="shared" si="108"/>
        <v>41382</v>
      </c>
      <c r="D831" s="1">
        <f t="shared" si="109"/>
        <v>2723.72</v>
      </c>
      <c r="E831" s="4">
        <f t="shared" si="110"/>
        <v>2721.5240000000008</v>
      </c>
      <c r="F831" s="3">
        <f t="shared" si="111"/>
        <v>1.0008069008393823</v>
      </c>
      <c r="G831" s="18">
        <f t="shared" si="112"/>
        <v>1</v>
      </c>
      <c r="H831" s="3">
        <f t="shared" si="113"/>
        <v>-6.6702893133141483E-3</v>
      </c>
      <c r="I831" s="3">
        <f t="shared" si="114"/>
        <v>-6.6702893133141483E-3</v>
      </c>
      <c r="K831" s="12" t="str">
        <f>IF(AND(G831=1,G830&lt;&gt;1),MAX($K$50:K830)+1,"")</f>
        <v/>
      </c>
      <c r="L831" s="13" t="str">
        <f>IF(AND(G831&lt;&gt;1,G830=1),MAX($L$50:L830)+1,"")</f>
        <v/>
      </c>
      <c r="M831" s="13" t="str">
        <f>IF(AND(G831=-1,G830&lt;&gt;-1),MAX($M$50:M830)+1,"")</f>
        <v/>
      </c>
      <c r="N831" s="13" t="str">
        <f>IF(AND(G831&lt;&gt;-1,G830=-1),MAX($N$50:N830)+1,"")</f>
        <v/>
      </c>
      <c r="T831" s="7">
        <f t="shared" si="115"/>
        <v>92.895367641727674</v>
      </c>
      <c r="U831" s="1">
        <f t="shared" si="116"/>
        <v>143.10588507269017</v>
      </c>
    </row>
    <row r="832" spans="1:21" x14ac:dyDescent="0.3">
      <c r="A832" s="2">
        <v>41383</v>
      </c>
      <c r="B832" s="1">
        <v>2747.94</v>
      </c>
      <c r="C832" s="2">
        <f t="shared" si="108"/>
        <v>41383</v>
      </c>
      <c r="D832" s="1">
        <f t="shared" si="109"/>
        <v>2747.94</v>
      </c>
      <c r="E832" s="4">
        <f t="shared" si="110"/>
        <v>2723.2918000000004</v>
      </c>
      <c r="F832" s="3">
        <f t="shared" si="111"/>
        <v>1.0090508846683266</v>
      </c>
      <c r="G832" s="18">
        <f t="shared" si="112"/>
        <v>1</v>
      </c>
      <c r="H832" s="3">
        <f t="shared" si="113"/>
        <v>8.892250304730398E-3</v>
      </c>
      <c r="I832" s="3">
        <f t="shared" si="114"/>
        <v>8.892250304730398E-3</v>
      </c>
      <c r="K832" s="12" t="str">
        <f>IF(AND(G832=1,G831&lt;&gt;1),MAX($K$50:K831)+1,"")</f>
        <v/>
      </c>
      <c r="L832" s="13" t="str">
        <f>IF(AND(G832&lt;&gt;1,G831=1),MAX($L$50:L831)+1,"")</f>
        <v/>
      </c>
      <c r="M832" s="13" t="str">
        <f>IF(AND(G832=-1,G831&lt;&gt;-1),MAX($M$50:M831)+1,"")</f>
        <v/>
      </c>
      <c r="N832" s="13" t="str">
        <f>IF(AND(G832&lt;&gt;-1,G831=-1),MAX($N$50:N831)+1,"")</f>
        <v/>
      </c>
      <c r="T832" s="7">
        <f t="shared" si="115"/>
        <v>93.721416502947875</v>
      </c>
      <c r="U832" s="1">
        <f t="shared" si="116"/>
        <v>144.37841842283652</v>
      </c>
    </row>
    <row r="833" spans="1:21" x14ac:dyDescent="0.3">
      <c r="A833" s="2">
        <v>41386</v>
      </c>
      <c r="B833" s="1">
        <v>2760.8</v>
      </c>
      <c r="C833" s="2">
        <f t="shared" si="108"/>
        <v>41386</v>
      </c>
      <c r="D833" s="1">
        <f t="shared" si="109"/>
        <v>2760.8</v>
      </c>
      <c r="E833" s="4">
        <f t="shared" si="110"/>
        <v>2725.3909999999996</v>
      </c>
      <c r="F833" s="3">
        <f t="shared" si="111"/>
        <v>1.0129922642292428</v>
      </c>
      <c r="G833" s="18">
        <f t="shared" si="112"/>
        <v>1</v>
      </c>
      <c r="H833" s="3">
        <f t="shared" si="113"/>
        <v>4.6798692839000733E-3</v>
      </c>
      <c r="I833" s="3">
        <f t="shared" si="114"/>
        <v>4.6798692839000733E-3</v>
      </c>
      <c r="K833" s="12" t="str">
        <f>IF(AND(G833=1,G832&lt;&gt;1),MAX($K$50:K832)+1,"")</f>
        <v/>
      </c>
      <c r="L833" s="13" t="str">
        <f>IF(AND(G833&lt;&gt;1,G832=1),MAX($L$50:L832)+1,"")</f>
        <v/>
      </c>
      <c r="M833" s="13" t="str">
        <f>IF(AND(G833=-1,G832&lt;&gt;-1),MAX($M$50:M832)+1,"")</f>
        <v/>
      </c>
      <c r="N833" s="13" t="str">
        <f>IF(AND(G833&lt;&gt;-1,G832=-1),MAX($N$50:N832)+1,"")</f>
        <v/>
      </c>
      <c r="T833" s="7">
        <f t="shared" si="115"/>
        <v>94.160020481283624</v>
      </c>
      <c r="U833" s="1">
        <f t="shared" si="116"/>
        <v>145.05409054847161</v>
      </c>
    </row>
    <row r="834" spans="1:21" x14ac:dyDescent="0.3">
      <c r="A834" s="2">
        <v>41387</v>
      </c>
      <c r="B834" s="1">
        <v>2789.56</v>
      </c>
      <c r="C834" s="2">
        <f t="shared" si="108"/>
        <v>41387</v>
      </c>
      <c r="D834" s="1">
        <f t="shared" si="109"/>
        <v>2789.56</v>
      </c>
      <c r="E834" s="4">
        <f t="shared" si="110"/>
        <v>2727.7652000000003</v>
      </c>
      <c r="F834" s="3">
        <f t="shared" si="111"/>
        <v>1.0226540026245658</v>
      </c>
      <c r="G834" s="18">
        <f t="shared" si="112"/>
        <v>1</v>
      </c>
      <c r="H834" s="3">
        <f t="shared" si="113"/>
        <v>1.0417270356418262E-2</v>
      </c>
      <c r="I834" s="3">
        <f t="shared" si="114"/>
        <v>1.0417270356418262E-2</v>
      </c>
      <c r="K834" s="12" t="str">
        <f>IF(AND(G834=1,G833&lt;&gt;1),MAX($K$50:K833)+1,"")</f>
        <v/>
      </c>
      <c r="L834" s="13" t="str">
        <f>IF(AND(G834&lt;&gt;1,G833=1),MAX($L$50:L833)+1,"")</f>
        <v/>
      </c>
      <c r="M834" s="13" t="str">
        <f>IF(AND(G834=-1,G833&lt;&gt;-1),MAX($M$50:M833)+1,"")</f>
        <v/>
      </c>
      <c r="N834" s="13" t="str">
        <f>IF(AND(G834&lt;&gt;-1,G833=-1),MAX($N$50:N833)+1,"")</f>
        <v/>
      </c>
      <c r="T834" s="7">
        <f t="shared" si="115"/>
        <v>95.140910871403037</v>
      </c>
      <c r="U834" s="1">
        <f t="shared" si="116"/>
        <v>146.56515822601941</v>
      </c>
    </row>
    <row r="835" spans="1:21" x14ac:dyDescent="0.3">
      <c r="A835" s="2">
        <v>41388</v>
      </c>
      <c r="B835" s="1">
        <v>2789.93</v>
      </c>
      <c r="C835" s="2">
        <f t="shared" si="108"/>
        <v>41388</v>
      </c>
      <c r="D835" s="1">
        <f t="shared" si="109"/>
        <v>2789.93</v>
      </c>
      <c r="E835" s="4">
        <f t="shared" si="110"/>
        <v>2730.1764000000007</v>
      </c>
      <c r="F835" s="3">
        <f t="shared" si="111"/>
        <v>1.0218863513727534</v>
      </c>
      <c r="G835" s="18">
        <f t="shared" si="112"/>
        <v>1</v>
      </c>
      <c r="H835" s="3">
        <f t="shared" si="113"/>
        <v>1.3263740518221212E-4</v>
      </c>
      <c r="I835" s="3">
        <f t="shared" si="114"/>
        <v>1.3263740518221212E-4</v>
      </c>
      <c r="K835" s="12" t="str">
        <f>IF(AND(G835=1,G834&lt;&gt;1),MAX($K$50:K834)+1,"")</f>
        <v/>
      </c>
      <c r="L835" s="13" t="str">
        <f>IF(AND(G835&lt;&gt;1,G834=1),MAX($L$50:L834)+1,"")</f>
        <v/>
      </c>
      <c r="M835" s="13" t="str">
        <f>IF(AND(G835=-1,G834&lt;&gt;-1),MAX($M$50:M834)+1,"")</f>
        <v/>
      </c>
      <c r="N835" s="13" t="str">
        <f>IF(AND(G835&lt;&gt;-1,G834=-1),MAX($N$50:N834)+1,"")</f>
        <v/>
      </c>
      <c r="T835" s="7">
        <f t="shared" si="115"/>
        <v>95.153530114947685</v>
      </c>
      <c r="U835" s="1">
        <f t="shared" si="116"/>
        <v>146.58459824829663</v>
      </c>
    </row>
    <row r="836" spans="1:21" x14ac:dyDescent="0.3">
      <c r="A836" s="2">
        <v>41389</v>
      </c>
      <c r="B836" s="1">
        <v>2801.28</v>
      </c>
      <c r="C836" s="2">
        <f t="shared" si="108"/>
        <v>41389</v>
      </c>
      <c r="D836" s="1">
        <f t="shared" si="109"/>
        <v>2801.28</v>
      </c>
      <c r="E836" s="4">
        <f t="shared" si="110"/>
        <v>2732.7266000000004</v>
      </c>
      <c r="F836" s="3">
        <f t="shared" si="111"/>
        <v>1.0250860806931801</v>
      </c>
      <c r="G836" s="18">
        <f t="shared" si="112"/>
        <v>1</v>
      </c>
      <c r="H836" s="3">
        <f t="shared" si="113"/>
        <v>4.0682024280180862E-3</v>
      </c>
      <c r="I836" s="3">
        <f t="shared" si="114"/>
        <v>4.0682024280180862E-3</v>
      </c>
      <c r="K836" s="12" t="str">
        <f>IF(AND(G836=1,G835&lt;&gt;1),MAX($K$50:K835)+1,"")</f>
        <v/>
      </c>
      <c r="L836" s="13" t="str">
        <f>IF(AND(G836&lt;&gt;1,G835=1),MAX($L$50:L835)+1,"")</f>
        <v/>
      </c>
      <c r="M836" s="13" t="str">
        <f>IF(AND(G836=-1,G835&lt;&gt;-1),MAX($M$50:M835)+1,"")</f>
        <v/>
      </c>
      <c r="N836" s="13" t="str">
        <f>IF(AND(G836&lt;&gt;-1,G835=-1),MAX($N$50:N835)+1,"")</f>
        <v/>
      </c>
      <c r="T836" s="7">
        <f t="shared" si="115"/>
        <v>95.540633937195807</v>
      </c>
      <c r="U836" s="1">
        <f t="shared" si="116"/>
        <v>147.1809340668004</v>
      </c>
    </row>
    <row r="837" spans="1:21" x14ac:dyDescent="0.3">
      <c r="A837" s="2">
        <v>41390</v>
      </c>
      <c r="B837" s="1">
        <v>2796.24</v>
      </c>
      <c r="C837" s="2">
        <f t="shared" si="108"/>
        <v>41390</v>
      </c>
      <c r="D837" s="1">
        <f t="shared" si="109"/>
        <v>2796.24</v>
      </c>
      <c r="E837" s="4">
        <f t="shared" si="110"/>
        <v>2735.1194000000005</v>
      </c>
      <c r="F837" s="3">
        <f t="shared" si="111"/>
        <v>1.0223465929860318</v>
      </c>
      <c r="G837" s="18">
        <f t="shared" si="112"/>
        <v>1</v>
      </c>
      <c r="H837" s="3">
        <f t="shared" si="113"/>
        <v>-1.7991775188487269E-3</v>
      </c>
      <c r="I837" s="3">
        <f t="shared" si="114"/>
        <v>-1.7991775188487269E-3</v>
      </c>
      <c r="K837" s="12" t="str">
        <f>IF(AND(G837=1,G836&lt;&gt;1),MAX($K$50:K836)+1,"")</f>
        <v/>
      </c>
      <c r="L837" s="13" t="str">
        <f>IF(AND(G837&lt;&gt;1,G836=1),MAX($L$50:L836)+1,"")</f>
        <v/>
      </c>
      <c r="M837" s="13" t="str">
        <f>IF(AND(G837=-1,G836&lt;&gt;-1),MAX($M$50:M836)+1,"")</f>
        <v/>
      </c>
      <c r="N837" s="13" t="str">
        <f>IF(AND(G837&lt;&gt;-1,G836=-1),MAX($N$50:N836)+1,"")</f>
        <v/>
      </c>
      <c r="T837" s="7">
        <f t="shared" si="115"/>
        <v>95.368739376479454</v>
      </c>
      <c r="U837" s="1">
        <f t="shared" si="116"/>
        <v>146.91612943902427</v>
      </c>
    </row>
    <row r="838" spans="1:21" x14ac:dyDescent="0.3">
      <c r="A838" s="2">
        <v>41393</v>
      </c>
      <c r="B838" s="1">
        <v>2816.39</v>
      </c>
      <c r="C838" s="2">
        <f t="shared" si="108"/>
        <v>41393</v>
      </c>
      <c r="D838" s="1">
        <f t="shared" si="109"/>
        <v>2816.39</v>
      </c>
      <c r="E838" s="4">
        <f t="shared" si="110"/>
        <v>2737.8718000000003</v>
      </c>
      <c r="F838" s="3">
        <f t="shared" si="111"/>
        <v>1.0286785524435438</v>
      </c>
      <c r="G838" s="18">
        <f t="shared" si="112"/>
        <v>1</v>
      </c>
      <c r="H838" s="3">
        <f t="shared" si="113"/>
        <v>7.2061053414584908E-3</v>
      </c>
      <c r="I838" s="3">
        <f t="shared" si="114"/>
        <v>7.2061053414584908E-3</v>
      </c>
      <c r="K838" s="12" t="str">
        <f>IF(AND(G838=1,G837&lt;&gt;1),MAX($K$50:K837)+1,"")</f>
        <v/>
      </c>
      <c r="L838" s="13" t="str">
        <f>IF(AND(G838&lt;&gt;1,G837=1),MAX($L$50:L837)+1,"")</f>
        <v/>
      </c>
      <c r="M838" s="13" t="str">
        <f>IF(AND(G838=-1,G837&lt;&gt;-1),MAX($M$50:M837)+1,"")</f>
        <v/>
      </c>
      <c r="N838" s="13" t="str">
        <f>IF(AND(G838&lt;&gt;-1,G837=-1),MAX($N$50:N837)+1,"")</f>
        <v/>
      </c>
      <c r="T838" s="7">
        <f t="shared" si="115"/>
        <v>96.055976558708466</v>
      </c>
      <c r="U838" s="1">
        <f t="shared" si="116"/>
        <v>147.97482254412125</v>
      </c>
    </row>
    <row r="839" spans="1:21" x14ac:dyDescent="0.3">
      <c r="A839" s="2">
        <v>41394</v>
      </c>
      <c r="B839" s="1">
        <v>2823.42</v>
      </c>
      <c r="C839" s="2">
        <f t="shared" si="108"/>
        <v>41394</v>
      </c>
      <c r="D839" s="1">
        <f t="shared" si="109"/>
        <v>2823.42</v>
      </c>
      <c r="E839" s="4">
        <f t="shared" si="110"/>
        <v>2740.8160000000007</v>
      </c>
      <c r="F839" s="3">
        <f t="shared" si="111"/>
        <v>1.0301384697112099</v>
      </c>
      <c r="G839" s="18">
        <f t="shared" si="112"/>
        <v>1</v>
      </c>
      <c r="H839" s="3">
        <f t="shared" si="113"/>
        <v>2.4961031675301282E-3</v>
      </c>
      <c r="I839" s="3">
        <f t="shared" si="114"/>
        <v>2.4961031675301282E-3</v>
      </c>
      <c r="K839" s="12" t="str">
        <f>IF(AND(G839=1,G838&lt;&gt;1),MAX($K$50:K838)+1,"")</f>
        <v/>
      </c>
      <c r="L839" s="13" t="str">
        <f>IF(AND(G839&lt;&gt;1,G838=1),MAX($L$50:L838)+1,"")</f>
        <v/>
      </c>
      <c r="M839" s="13" t="str">
        <f>IF(AND(G839=-1,G838&lt;&gt;-1),MAX($M$50:M838)+1,"")</f>
        <v/>
      </c>
      <c r="N839" s="13" t="str">
        <f>IF(AND(G839&lt;&gt;-1,G838=-1),MAX($N$50:N838)+1,"")</f>
        <v/>
      </c>
      <c r="T839" s="7">
        <f t="shared" si="115"/>
        <v>96.295742186056856</v>
      </c>
      <c r="U839" s="1">
        <f t="shared" si="116"/>
        <v>148.34418296738835</v>
      </c>
    </row>
    <row r="840" spans="1:21" x14ac:dyDescent="0.3">
      <c r="A840" s="2">
        <v>41395</v>
      </c>
      <c r="B840" s="1">
        <v>2797.28</v>
      </c>
      <c r="C840" s="2">
        <f t="shared" si="108"/>
        <v>41395</v>
      </c>
      <c r="D840" s="1">
        <f t="shared" si="109"/>
        <v>2797.28</v>
      </c>
      <c r="E840" s="4">
        <f t="shared" si="110"/>
        <v>2742.8364000000015</v>
      </c>
      <c r="F840" s="3">
        <f t="shared" si="111"/>
        <v>1.0198493792775969</v>
      </c>
      <c r="G840" s="18">
        <f t="shared" si="112"/>
        <v>1</v>
      </c>
      <c r="H840" s="3">
        <f t="shared" si="113"/>
        <v>-9.2582754248393684E-3</v>
      </c>
      <c r="I840" s="3">
        <f t="shared" si="114"/>
        <v>-9.2582754248393684E-3</v>
      </c>
      <c r="K840" s="12" t="str">
        <f>IF(AND(G840=1,G839&lt;&gt;1),MAX($K$50:K839)+1,"")</f>
        <v/>
      </c>
      <c r="L840" s="13" t="str">
        <f>IF(AND(G840&lt;&gt;1,G839=1),MAX($L$50:L839)+1,"")</f>
        <v/>
      </c>
      <c r="M840" s="13" t="str">
        <f>IF(AND(G840=-1,G839&lt;&gt;-1),MAX($M$50:M839)+1,"")</f>
        <v/>
      </c>
      <c r="N840" s="13" t="str">
        <f>IF(AND(G840&lt;&gt;-1,G839=-1),MAX($N$50:N839)+1,"")</f>
        <v/>
      </c>
      <c r="T840" s="7">
        <f t="shared" si="115"/>
        <v>95.404209682659015</v>
      </c>
      <c r="U840" s="1">
        <f t="shared" si="116"/>
        <v>146.9707716638035</v>
      </c>
    </row>
    <row r="841" spans="1:21" x14ac:dyDescent="0.3">
      <c r="A841" s="2">
        <v>41396</v>
      </c>
      <c r="B841" s="1">
        <v>2823.82</v>
      </c>
      <c r="C841" s="2">
        <f t="shared" si="108"/>
        <v>41396</v>
      </c>
      <c r="D841" s="1">
        <f t="shared" si="109"/>
        <v>2823.82</v>
      </c>
      <c r="E841" s="4">
        <f t="shared" si="110"/>
        <v>2746.054000000001</v>
      </c>
      <c r="F841" s="3">
        <f t="shared" si="111"/>
        <v>1.0283191809046723</v>
      </c>
      <c r="G841" s="18">
        <f t="shared" si="112"/>
        <v>1</v>
      </c>
      <c r="H841" s="3">
        <f t="shared" si="113"/>
        <v>9.487788137047426E-3</v>
      </c>
      <c r="I841" s="3">
        <f t="shared" si="114"/>
        <v>9.487788137047426E-3</v>
      </c>
      <c r="K841" s="12" t="str">
        <f>IF(AND(G841=1,G840&lt;&gt;1),MAX($K$50:K840)+1,"")</f>
        <v/>
      </c>
      <c r="L841" s="13" t="str">
        <f>IF(AND(G841&lt;&gt;1,G840=1),MAX($L$50:L840)+1,"")</f>
        <v/>
      </c>
      <c r="M841" s="13" t="str">
        <f>IF(AND(G841=-1,G840&lt;&gt;-1),MAX($M$50:M840)+1,"")</f>
        <v/>
      </c>
      <c r="N841" s="13" t="str">
        <f>IF(AND(G841&lt;&gt;-1,G840=-1),MAX($N$50:N840)+1,"")</f>
        <v/>
      </c>
      <c r="T841" s="7">
        <f t="shared" si="115"/>
        <v>96.309384611510538</v>
      </c>
      <c r="U841" s="1">
        <f t="shared" si="116"/>
        <v>148.36519920768805</v>
      </c>
    </row>
    <row r="842" spans="1:21" x14ac:dyDescent="0.3">
      <c r="A842" s="2">
        <v>41397</v>
      </c>
      <c r="B842" s="1">
        <v>2853.88</v>
      </c>
      <c r="C842" s="2">
        <f t="shared" si="108"/>
        <v>41397</v>
      </c>
      <c r="D842" s="1">
        <f t="shared" si="109"/>
        <v>2853.88</v>
      </c>
      <c r="E842" s="4">
        <f t="shared" si="110"/>
        <v>2750.1966000000011</v>
      </c>
      <c r="F842" s="3">
        <f t="shared" si="111"/>
        <v>1.0377003593124938</v>
      </c>
      <c r="G842" s="18">
        <f t="shared" si="112"/>
        <v>1</v>
      </c>
      <c r="H842" s="3">
        <f t="shared" si="113"/>
        <v>1.0645154436189186E-2</v>
      </c>
      <c r="I842" s="3">
        <f t="shared" si="114"/>
        <v>1.0645154436189186E-2</v>
      </c>
      <c r="K842" s="12" t="str">
        <f>IF(AND(G842=1,G841&lt;&gt;1),MAX($K$50:K841)+1,"")</f>
        <v/>
      </c>
      <c r="L842" s="13" t="str">
        <f>IF(AND(G842&lt;&gt;1,G841=1),MAX($L$50:L841)+1,"")</f>
        <v/>
      </c>
      <c r="M842" s="13" t="str">
        <f>IF(AND(G842=-1,G841&lt;&gt;-1),MAX($M$50:M841)+1,"")</f>
        <v/>
      </c>
      <c r="N842" s="13" t="str">
        <f>IF(AND(G842&lt;&gt;-1,G841=-1),MAX($N$50:N841)+1,"")</f>
        <v/>
      </c>
      <c r="T842" s="7">
        <f t="shared" si="115"/>
        <v>97.334612884354414</v>
      </c>
      <c r="U842" s="1">
        <f t="shared" si="116"/>
        <v>149.94456966620987</v>
      </c>
    </row>
    <row r="843" spans="1:21" x14ac:dyDescent="0.3">
      <c r="A843" s="2">
        <v>41400</v>
      </c>
      <c r="B843" s="1">
        <v>2859.34</v>
      </c>
      <c r="C843" s="2">
        <f t="shared" si="108"/>
        <v>41400</v>
      </c>
      <c r="D843" s="1">
        <f t="shared" si="109"/>
        <v>2859.34</v>
      </c>
      <c r="E843" s="4">
        <f t="shared" si="110"/>
        <v>2753.9762000000005</v>
      </c>
      <c r="F843" s="3">
        <f t="shared" si="111"/>
        <v>1.038258791052733</v>
      </c>
      <c r="G843" s="18">
        <f t="shared" si="112"/>
        <v>1</v>
      </c>
      <c r="H843" s="3">
        <f t="shared" si="113"/>
        <v>1.9131848571067867E-3</v>
      </c>
      <c r="I843" s="3">
        <f t="shared" si="114"/>
        <v>1.9131848571067867E-3</v>
      </c>
      <c r="K843" s="12" t="str">
        <f>IF(AND(G843=1,G842&lt;&gt;1),MAX($K$50:K842)+1,"")</f>
        <v/>
      </c>
      <c r="L843" s="13" t="str">
        <f>IF(AND(G843&lt;&gt;1,G842=1),MAX($L$50:L842)+1,"")</f>
        <v/>
      </c>
      <c r="M843" s="13" t="str">
        <f>IF(AND(G843=-1,G842&lt;&gt;-1),MAX($M$50:M842)+1,"")</f>
        <v/>
      </c>
      <c r="N843" s="13" t="str">
        <f>IF(AND(G843&lt;&gt;-1,G842=-1),MAX($N$50:N842)+1,"")</f>
        <v/>
      </c>
      <c r="T843" s="7">
        <f t="shared" si="115"/>
        <v>97.52083199179711</v>
      </c>
      <c r="U843" s="1">
        <f t="shared" si="116"/>
        <v>150.23144134630067</v>
      </c>
    </row>
    <row r="844" spans="1:21" x14ac:dyDescent="0.3">
      <c r="A844" s="2">
        <v>41401</v>
      </c>
      <c r="B844" s="1">
        <v>2874.46</v>
      </c>
      <c r="C844" s="2">
        <f t="shared" si="108"/>
        <v>41401</v>
      </c>
      <c r="D844" s="1">
        <f t="shared" si="109"/>
        <v>2874.46</v>
      </c>
      <c r="E844" s="4">
        <f t="shared" si="110"/>
        <v>2759.0362</v>
      </c>
      <c r="F844" s="3">
        <f t="shared" si="111"/>
        <v>1.0418348262338857</v>
      </c>
      <c r="G844" s="18">
        <f t="shared" si="112"/>
        <v>1</v>
      </c>
      <c r="H844" s="3">
        <f t="shared" si="113"/>
        <v>5.2879335790776416E-3</v>
      </c>
      <c r="I844" s="3">
        <f t="shared" si="114"/>
        <v>5.2879335790776416E-3</v>
      </c>
      <c r="K844" s="12" t="str">
        <f>IF(AND(G844=1,G843&lt;&gt;1),MAX($K$50:K843)+1,"")</f>
        <v/>
      </c>
      <c r="L844" s="13" t="str">
        <f>IF(AND(G844&lt;&gt;1,G843=1),MAX($L$50:L843)+1,"")</f>
        <v/>
      </c>
      <c r="M844" s="13" t="str">
        <f>IF(AND(G844=-1,G843&lt;&gt;-1),MAX($M$50:M843)+1,"")</f>
        <v/>
      </c>
      <c r="N844" s="13" t="str">
        <f>IF(AND(G844&lt;&gt;-1,G843=-1),MAX($N$50:N843)+1,"")</f>
        <v/>
      </c>
      <c r="T844" s="7">
        <f t="shared" si="115"/>
        <v>98.036515673946127</v>
      </c>
      <c r="U844" s="1">
        <f t="shared" si="116"/>
        <v>151.025855229629</v>
      </c>
    </row>
    <row r="845" spans="1:21" x14ac:dyDescent="0.3">
      <c r="A845" s="2">
        <v>41402</v>
      </c>
      <c r="B845" s="1">
        <v>2887.61</v>
      </c>
      <c r="C845" s="2">
        <f t="shared" si="108"/>
        <v>41402</v>
      </c>
      <c r="D845" s="1">
        <f t="shared" si="109"/>
        <v>2887.61</v>
      </c>
      <c r="E845" s="4">
        <f t="shared" si="110"/>
        <v>2764.0306</v>
      </c>
      <c r="F845" s="3">
        <f t="shared" si="111"/>
        <v>1.0447098523438922</v>
      </c>
      <c r="G845" s="18">
        <f t="shared" si="112"/>
        <v>1</v>
      </c>
      <c r="H845" s="3">
        <f t="shared" si="113"/>
        <v>4.5747723050590938E-3</v>
      </c>
      <c r="I845" s="3">
        <f t="shared" si="114"/>
        <v>4.5747723050590938E-3</v>
      </c>
      <c r="K845" s="12" t="str">
        <f>IF(AND(G845=1,G844&lt;&gt;1),MAX($K$50:K844)+1,"")</f>
        <v/>
      </c>
      <c r="L845" s="13" t="str">
        <f>IF(AND(G845&lt;&gt;1,G844=1),MAX($L$50:L844)+1,"")</f>
        <v/>
      </c>
      <c r="M845" s="13" t="str">
        <f>IF(AND(G845=-1,G844&lt;&gt;-1),MAX($M$50:M844)+1,"")</f>
        <v/>
      </c>
      <c r="N845" s="13" t="str">
        <f>IF(AND(G845&lt;&gt;-1,G844=-1),MAX($N$50:N844)+1,"")</f>
        <v/>
      </c>
      <c r="T845" s="7">
        <f t="shared" si="115"/>
        <v>98.485010410735782</v>
      </c>
      <c r="U845" s="1">
        <f t="shared" si="116"/>
        <v>151.71676412948136</v>
      </c>
    </row>
    <row r="846" spans="1:21" x14ac:dyDescent="0.3">
      <c r="A846" s="2">
        <v>41403</v>
      </c>
      <c r="B846" s="1">
        <v>2878.3</v>
      </c>
      <c r="C846" s="2">
        <f t="shared" si="108"/>
        <v>41403</v>
      </c>
      <c r="D846" s="1">
        <f t="shared" si="109"/>
        <v>2878.3</v>
      </c>
      <c r="E846" s="4">
        <f t="shared" si="110"/>
        <v>2768.1543999999999</v>
      </c>
      <c r="F846" s="3">
        <f t="shared" si="111"/>
        <v>1.0397902660342935</v>
      </c>
      <c r="G846" s="18">
        <f t="shared" si="112"/>
        <v>1</v>
      </c>
      <c r="H846" s="3">
        <f t="shared" si="113"/>
        <v>-3.2241196006386197E-3</v>
      </c>
      <c r="I846" s="3">
        <f t="shared" si="114"/>
        <v>-3.2241196006386197E-3</v>
      </c>
      <c r="K846" s="12" t="str">
        <f>IF(AND(G846=1,G845&lt;&gt;1),MAX($K$50:K845)+1,"")</f>
        <v/>
      </c>
      <c r="L846" s="13" t="str">
        <f>IF(AND(G846&lt;&gt;1,G845=1),MAX($L$50:L845)+1,"")</f>
        <v/>
      </c>
      <c r="M846" s="13" t="str">
        <f>IF(AND(G846=-1,G845&lt;&gt;-1),MAX($M$50:M845)+1,"")</f>
        <v/>
      </c>
      <c r="N846" s="13" t="str">
        <f>IF(AND(G846&lt;&gt;-1,G845=-1),MAX($N$50:N845)+1,"")</f>
        <v/>
      </c>
      <c r="T846" s="7">
        <f t="shared" si="115"/>
        <v>98.167482958301434</v>
      </c>
      <c r="U846" s="1">
        <f t="shared" si="116"/>
        <v>151.22761113650606</v>
      </c>
    </row>
    <row r="847" spans="1:21" x14ac:dyDescent="0.3">
      <c r="A847" s="2">
        <v>41404</v>
      </c>
      <c r="B847" s="1">
        <v>2890.77</v>
      </c>
      <c r="C847" s="2">
        <f t="shared" si="108"/>
        <v>41404</v>
      </c>
      <c r="D847" s="1">
        <f t="shared" si="109"/>
        <v>2890.77</v>
      </c>
      <c r="E847" s="4">
        <f t="shared" si="110"/>
        <v>2772.5714000000003</v>
      </c>
      <c r="F847" s="3">
        <f t="shared" si="111"/>
        <v>1.0426313998622361</v>
      </c>
      <c r="G847" s="18">
        <f t="shared" si="112"/>
        <v>1</v>
      </c>
      <c r="H847" s="3">
        <f t="shared" si="113"/>
        <v>4.3324184414410549E-3</v>
      </c>
      <c r="I847" s="3">
        <f t="shared" si="114"/>
        <v>4.3324184414410549E-3</v>
      </c>
      <c r="K847" s="12" t="str">
        <f>IF(AND(G847=1,G846&lt;&gt;1),MAX($K$50:K846)+1,"")</f>
        <v/>
      </c>
      <c r="L847" s="13" t="str">
        <f>IF(AND(G847&lt;&gt;1,G846=1),MAX($L$50:L846)+1,"")</f>
        <v/>
      </c>
      <c r="M847" s="13" t="str">
        <f>IF(AND(G847=-1,G846&lt;&gt;-1),MAX($M$50:M846)+1,"")</f>
        <v/>
      </c>
      <c r="N847" s="13" t="str">
        <f>IF(AND(G847&lt;&gt;-1,G846=-1),MAX($N$50:N846)+1,"")</f>
        <v/>
      </c>
      <c r="T847" s="7">
        <f t="shared" si="115"/>
        <v>98.592785571819832</v>
      </c>
      <c r="U847" s="1">
        <f t="shared" si="116"/>
        <v>151.88279242784893</v>
      </c>
    </row>
    <row r="848" spans="1:21" x14ac:dyDescent="0.3">
      <c r="A848" s="2">
        <v>41407</v>
      </c>
      <c r="B848" s="1">
        <v>2891.17</v>
      </c>
      <c r="C848" s="2">
        <f t="shared" si="108"/>
        <v>41407</v>
      </c>
      <c r="D848" s="1">
        <f t="shared" si="109"/>
        <v>2891.17</v>
      </c>
      <c r="E848" s="4">
        <f t="shared" si="110"/>
        <v>2776.8712</v>
      </c>
      <c r="F848" s="3">
        <f t="shared" si="111"/>
        <v>1.0411610016337811</v>
      </c>
      <c r="G848" s="18">
        <f t="shared" si="112"/>
        <v>1</v>
      </c>
      <c r="H848" s="3">
        <f t="shared" si="113"/>
        <v>1.3837143736794566E-4</v>
      </c>
      <c r="I848" s="3">
        <f t="shared" si="114"/>
        <v>1.3837143736794566E-4</v>
      </c>
      <c r="K848" s="12" t="str">
        <f>IF(AND(G848=1,G847&lt;&gt;1),MAX($K$50:K847)+1,"")</f>
        <v/>
      </c>
      <c r="L848" s="13" t="str">
        <f>IF(AND(G848&lt;&gt;1,G847=1),MAX($L$50:L847)+1,"")</f>
        <v/>
      </c>
      <c r="M848" s="13" t="str">
        <f>IF(AND(G848=-1,G847&lt;&gt;-1),MAX($M$50:M847)+1,"")</f>
        <v/>
      </c>
      <c r="N848" s="13" t="str">
        <f>IF(AND(G848&lt;&gt;-1,G847=-1),MAX($N$50:N847)+1,"")</f>
        <v/>
      </c>
      <c r="T848" s="7">
        <f t="shared" si="115"/>
        <v>98.606427997273514</v>
      </c>
      <c r="U848" s="1">
        <f t="shared" si="116"/>
        <v>151.90380866814863</v>
      </c>
    </row>
    <row r="849" spans="1:21" x14ac:dyDescent="0.3">
      <c r="A849" s="2">
        <v>41408</v>
      </c>
      <c r="B849" s="1">
        <v>2921.12</v>
      </c>
      <c r="C849" s="2">
        <f t="shared" si="108"/>
        <v>41408</v>
      </c>
      <c r="D849" s="1">
        <f t="shared" si="109"/>
        <v>2921.12</v>
      </c>
      <c r="E849" s="4">
        <f t="shared" si="110"/>
        <v>2781.5228000000002</v>
      </c>
      <c r="F849" s="3">
        <f t="shared" si="111"/>
        <v>1.0501873290414876</v>
      </c>
      <c r="G849" s="18">
        <f t="shared" si="112"/>
        <v>1</v>
      </c>
      <c r="H849" s="3">
        <f t="shared" si="113"/>
        <v>1.0359127965494874E-2</v>
      </c>
      <c r="I849" s="3">
        <f t="shared" si="114"/>
        <v>1.0359127965494874E-2</v>
      </c>
      <c r="K849" s="12" t="str">
        <f>IF(AND(G849=1,G848&lt;&gt;1),MAX($K$50:K848)+1,"")</f>
        <v/>
      </c>
      <c r="L849" s="13" t="str">
        <f>IF(AND(G849&lt;&gt;1,G848=1),MAX($L$50:L848)+1,"")</f>
        <v/>
      </c>
      <c r="M849" s="13" t="str">
        <f>IF(AND(G849=-1,G848&lt;&gt;-1),MAX($M$50:M848)+1,"")</f>
        <v/>
      </c>
      <c r="N849" s="13" t="str">
        <f>IF(AND(G849&lt;&gt;-1,G848=-1),MAX($N$50:N848)+1,"")</f>
        <v/>
      </c>
      <c r="T849" s="7">
        <f t="shared" si="115"/>
        <v>99.627904603117628</v>
      </c>
      <c r="U849" s="1">
        <f t="shared" si="116"/>
        <v>153.47739966058805</v>
      </c>
    </row>
    <row r="850" spans="1:21" x14ac:dyDescent="0.3">
      <c r="A850" s="2">
        <v>41409</v>
      </c>
      <c r="B850" s="1">
        <v>2936.98</v>
      </c>
      <c r="C850" s="2">
        <f t="shared" si="108"/>
        <v>41409</v>
      </c>
      <c r="D850" s="1">
        <f t="shared" si="109"/>
        <v>2936.98</v>
      </c>
      <c r="E850" s="4">
        <f t="shared" si="110"/>
        <v>2785.9754000000012</v>
      </c>
      <c r="F850" s="3">
        <f t="shared" si="111"/>
        <v>1.0542016989812613</v>
      </c>
      <c r="G850" s="18">
        <f t="shared" si="112"/>
        <v>1</v>
      </c>
      <c r="H850" s="3">
        <f t="shared" si="113"/>
        <v>5.4294243303938394E-3</v>
      </c>
      <c r="I850" s="3">
        <f t="shared" si="114"/>
        <v>5.4294243303938394E-3</v>
      </c>
      <c r="K850" s="12" t="str">
        <f>IF(AND(G850=1,G849&lt;&gt;1),MAX($K$50:K849)+1,"")</f>
        <v/>
      </c>
      <c r="L850" s="13" t="str">
        <f>IF(AND(G850&lt;&gt;1,G849=1),MAX($L$50:L849)+1,"")</f>
        <v/>
      </c>
      <c r="M850" s="13" t="str">
        <f>IF(AND(G850=-1,G849&lt;&gt;-1),MAX($M$50:M849)+1,"")</f>
        <v/>
      </c>
      <c r="N850" s="13" t="str">
        <f>IF(AND(G850&lt;&gt;-1,G849=-1),MAX($N$50:N849)+1,"")</f>
        <v/>
      </c>
      <c r="T850" s="7">
        <f t="shared" si="115"/>
        <v>100.16882677235596</v>
      </c>
      <c r="U850" s="1">
        <f t="shared" si="116"/>
        <v>154.31069358847083</v>
      </c>
    </row>
    <row r="851" spans="1:21" x14ac:dyDescent="0.3">
      <c r="A851" s="2">
        <v>41410</v>
      </c>
      <c r="B851" s="1">
        <v>2922.4</v>
      </c>
      <c r="C851" s="2">
        <f t="shared" si="108"/>
        <v>41410</v>
      </c>
      <c r="D851" s="1">
        <f t="shared" si="109"/>
        <v>2922.4</v>
      </c>
      <c r="E851" s="4">
        <f t="shared" si="110"/>
        <v>2790.0620000000008</v>
      </c>
      <c r="F851" s="3">
        <f t="shared" si="111"/>
        <v>1.0474319208677081</v>
      </c>
      <c r="G851" s="18">
        <f t="shared" si="112"/>
        <v>1</v>
      </c>
      <c r="H851" s="3">
        <f t="shared" si="113"/>
        <v>-4.9642830390400627E-3</v>
      </c>
      <c r="I851" s="3">
        <f t="shared" si="114"/>
        <v>-4.9642830390400627E-3</v>
      </c>
      <c r="K851" s="12" t="str">
        <f>IF(AND(G851=1,G850&lt;&gt;1),MAX($K$50:K850)+1,"")</f>
        <v/>
      </c>
      <c r="L851" s="13" t="str">
        <f>IF(AND(G851&lt;&gt;1,G850=1),MAX($L$50:L850)+1,"")</f>
        <v/>
      </c>
      <c r="M851" s="13" t="str">
        <f>IF(AND(G851=-1,G850&lt;&gt;-1),MAX($M$50:M850)+1,"")</f>
        <v/>
      </c>
      <c r="N851" s="13" t="str">
        <f>IF(AND(G851&lt;&gt;-1,G850=-1),MAX($N$50:N850)+1,"")</f>
        <v/>
      </c>
      <c r="T851" s="7">
        <f t="shared" si="115"/>
        <v>99.671560364569402</v>
      </c>
      <c r="U851" s="1">
        <f t="shared" si="116"/>
        <v>153.54465162954708</v>
      </c>
    </row>
    <row r="852" spans="1:21" x14ac:dyDescent="0.3">
      <c r="A852" s="2">
        <v>41411</v>
      </c>
      <c r="B852" s="1">
        <v>2952.56</v>
      </c>
      <c r="C852" s="2">
        <f t="shared" si="108"/>
        <v>41411</v>
      </c>
      <c r="D852" s="1">
        <f t="shared" si="109"/>
        <v>2952.56</v>
      </c>
      <c r="E852" s="4">
        <f t="shared" si="110"/>
        <v>2794.6478000000002</v>
      </c>
      <c r="F852" s="3">
        <f t="shared" si="111"/>
        <v>1.0565052240214312</v>
      </c>
      <c r="G852" s="18">
        <f t="shared" si="112"/>
        <v>1</v>
      </c>
      <c r="H852" s="3">
        <f t="shared" si="113"/>
        <v>1.0320284697508786E-2</v>
      </c>
      <c r="I852" s="3">
        <f t="shared" si="114"/>
        <v>1.0320284697508786E-2</v>
      </c>
      <c r="K852" s="12" t="str">
        <f>IF(AND(G852=1,G851&lt;&gt;1),MAX($K$50:K851)+1,"")</f>
        <v/>
      </c>
      <c r="L852" s="13" t="str">
        <f>IF(AND(G852&lt;&gt;1,G851=1),MAX($L$50:L851)+1,"")</f>
        <v/>
      </c>
      <c r="M852" s="13" t="str">
        <f>IF(AND(G852=-1,G851&lt;&gt;-1),MAX($M$50:M851)+1,"")</f>
        <v/>
      </c>
      <c r="N852" s="13" t="str">
        <f>IF(AND(G852&lt;&gt;-1,G851=-1),MAX($N$50:N851)+1,"")</f>
        <v/>
      </c>
      <c r="T852" s="7">
        <f t="shared" si="115"/>
        <v>100.70019924377669</v>
      </c>
      <c r="U852" s="1">
        <f t="shared" si="116"/>
        <v>155.12927614814382</v>
      </c>
    </row>
    <row r="853" spans="1:21" x14ac:dyDescent="0.3">
      <c r="A853" s="2">
        <v>41414</v>
      </c>
      <c r="B853" s="1">
        <v>2950.53</v>
      </c>
      <c r="C853" s="2">
        <f t="shared" si="108"/>
        <v>41414</v>
      </c>
      <c r="D853" s="1">
        <f t="shared" si="109"/>
        <v>2950.53</v>
      </c>
      <c r="E853" s="4">
        <f t="shared" si="110"/>
        <v>2798.9450000000002</v>
      </c>
      <c r="F853" s="3">
        <f t="shared" si="111"/>
        <v>1.0541579059252684</v>
      </c>
      <c r="G853" s="18">
        <f t="shared" si="112"/>
        <v>1</v>
      </c>
      <c r="H853" s="3">
        <f t="shared" si="113"/>
        <v>-6.8753894925077663E-4</v>
      </c>
      <c r="I853" s="3">
        <f t="shared" si="114"/>
        <v>-6.8753894925077663E-4</v>
      </c>
      <c r="K853" s="12" t="str">
        <f>IF(AND(G853=1,G852&lt;&gt;1),MAX($K$50:K852)+1,"")</f>
        <v/>
      </c>
      <c r="L853" s="13" t="str">
        <f>IF(AND(G853&lt;&gt;1,G852=1),MAX($L$50:L852)+1,"")</f>
        <v/>
      </c>
      <c r="M853" s="13" t="str">
        <f>IF(AND(G853=-1,G852&lt;&gt;-1),MAX($M$50:M852)+1,"")</f>
        <v/>
      </c>
      <c r="N853" s="13" t="str">
        <f>IF(AND(G853&lt;&gt;-1,G852=-1),MAX($N$50:N852)+1,"")</f>
        <v/>
      </c>
      <c r="T853" s="7">
        <f t="shared" si="115"/>
        <v>100.63096393459928</v>
      </c>
      <c r="U853" s="1">
        <f t="shared" si="116"/>
        <v>155.02261872862289</v>
      </c>
    </row>
    <row r="854" spans="1:21" x14ac:dyDescent="0.3">
      <c r="A854" s="2">
        <v>41415</v>
      </c>
      <c r="B854" s="1">
        <v>2955.69</v>
      </c>
      <c r="C854" s="2">
        <f t="shared" si="108"/>
        <v>41415</v>
      </c>
      <c r="D854" s="1">
        <f t="shared" si="109"/>
        <v>2955.69</v>
      </c>
      <c r="E854" s="4">
        <f t="shared" si="110"/>
        <v>2803.1626000000001</v>
      </c>
      <c r="F854" s="3">
        <f t="shared" si="111"/>
        <v>1.054412612382885</v>
      </c>
      <c r="G854" s="18">
        <f t="shared" si="112"/>
        <v>1</v>
      </c>
      <c r="H854" s="3">
        <f t="shared" si="113"/>
        <v>1.7488383442973987E-3</v>
      </c>
      <c r="I854" s="3">
        <f t="shared" si="114"/>
        <v>1.7488383442973987E-3</v>
      </c>
      <c r="K854" s="12" t="str">
        <f>IF(AND(G854=1,G853&lt;&gt;1),MAX($K$50:K853)+1,"")</f>
        <v/>
      </c>
      <c r="L854" s="13" t="str">
        <f>IF(AND(G854&lt;&gt;1,G853=1),MAX($L$50:L853)+1,"")</f>
        <v/>
      </c>
      <c r="M854" s="13" t="str">
        <f>IF(AND(G854=-1,G853&lt;&gt;-1),MAX($M$50:M853)+1,"")</f>
        <v/>
      </c>
      <c r="N854" s="13" t="str">
        <f>IF(AND(G854&lt;&gt;-1,G853=-1),MAX($N$50:N853)+1,"")</f>
        <v/>
      </c>
      <c r="T854" s="7">
        <f t="shared" si="115"/>
        <v>100.80695122295171</v>
      </c>
      <c r="U854" s="1">
        <f t="shared" si="116"/>
        <v>155.2937282284889</v>
      </c>
    </row>
    <row r="855" spans="1:21" x14ac:dyDescent="0.3">
      <c r="A855" s="2">
        <v>41416</v>
      </c>
      <c r="B855" s="1">
        <v>2931.58</v>
      </c>
      <c r="C855" s="2">
        <f t="shared" si="108"/>
        <v>41416</v>
      </c>
      <c r="D855" s="1">
        <f t="shared" si="109"/>
        <v>2931.58</v>
      </c>
      <c r="E855" s="4">
        <f t="shared" si="110"/>
        <v>2807.0271999999995</v>
      </c>
      <c r="F855" s="3">
        <f t="shared" si="111"/>
        <v>1.0443717823610688</v>
      </c>
      <c r="G855" s="18">
        <f t="shared" si="112"/>
        <v>1</v>
      </c>
      <c r="H855" s="3">
        <f t="shared" si="113"/>
        <v>-8.1571477387683E-3</v>
      </c>
      <c r="I855" s="3">
        <f t="shared" si="114"/>
        <v>-8.1571477387683E-3</v>
      </c>
      <c r="K855" s="12" t="str">
        <f>IF(AND(G855=1,G854&lt;&gt;1),MAX($K$50:K854)+1,"")</f>
        <v/>
      </c>
      <c r="L855" s="13" t="str">
        <f>IF(AND(G855&lt;&gt;1,G854=1),MAX($L$50:L854)+1,"")</f>
        <v/>
      </c>
      <c r="M855" s="13" t="str">
        <f>IF(AND(G855=-1,G854&lt;&gt;-1),MAX($M$50:M854)+1,"")</f>
        <v/>
      </c>
      <c r="N855" s="13" t="str">
        <f>IF(AND(G855&lt;&gt;-1,G854=-1),MAX($N$50:N854)+1,"")</f>
        <v/>
      </c>
      <c r="T855" s="7">
        <f t="shared" si="115"/>
        <v>99.984654028731285</v>
      </c>
      <c r="U855" s="1">
        <f t="shared" si="116"/>
        <v>154.02697434442499</v>
      </c>
    </row>
    <row r="856" spans="1:21" x14ac:dyDescent="0.3">
      <c r="A856" s="2">
        <v>41417</v>
      </c>
      <c r="B856" s="1">
        <v>2923.43</v>
      </c>
      <c r="C856" s="2">
        <f t="shared" si="108"/>
        <v>41417</v>
      </c>
      <c r="D856" s="1">
        <f t="shared" si="109"/>
        <v>2923.43</v>
      </c>
      <c r="E856" s="4">
        <f t="shared" si="110"/>
        <v>2810.6383999999998</v>
      </c>
      <c r="F856" s="3">
        <f t="shared" si="111"/>
        <v>1.0401302422965544</v>
      </c>
      <c r="G856" s="18">
        <f t="shared" si="112"/>
        <v>1</v>
      </c>
      <c r="H856" s="3">
        <f t="shared" si="113"/>
        <v>-2.7800708150553799E-3</v>
      </c>
      <c r="I856" s="3">
        <f t="shared" si="114"/>
        <v>-2.7800708150553799E-3</v>
      </c>
      <c r="K856" s="12" t="str">
        <f>IF(AND(G856=1,G855&lt;&gt;1),MAX($K$50:K855)+1,"")</f>
        <v/>
      </c>
      <c r="L856" s="13" t="str">
        <f>IF(AND(G856&lt;&gt;1,G855=1),MAX($L$50:L855)+1,"")</f>
        <v/>
      </c>
      <c r="M856" s="13" t="str">
        <f>IF(AND(G856=-1,G855&lt;&gt;-1),MAX($M$50:M855)+1,"")</f>
        <v/>
      </c>
      <c r="N856" s="13" t="str">
        <f>IF(AND(G856&lt;&gt;-1,G855=-1),MAX($N$50:N855)+1,"")</f>
        <v/>
      </c>
      <c r="T856" s="7">
        <f t="shared" si="115"/>
        <v>99.706689610112605</v>
      </c>
      <c r="U856" s="1">
        <f t="shared" si="116"/>
        <v>153.59876844831876</v>
      </c>
    </row>
    <row r="857" spans="1:21" x14ac:dyDescent="0.3">
      <c r="A857" s="2">
        <v>41418</v>
      </c>
      <c r="B857" s="1">
        <v>2921.88</v>
      </c>
      <c r="C857" s="2">
        <f t="shared" si="108"/>
        <v>41418</v>
      </c>
      <c r="D857" s="1">
        <f t="shared" si="109"/>
        <v>2921.88</v>
      </c>
      <c r="E857" s="4">
        <f t="shared" si="110"/>
        <v>2813.9099999999994</v>
      </c>
      <c r="F857" s="3">
        <f t="shared" si="111"/>
        <v>1.0383700971246417</v>
      </c>
      <c r="G857" s="18">
        <f t="shared" si="112"/>
        <v>1</v>
      </c>
      <c r="H857" s="3">
        <f t="shared" si="113"/>
        <v>-5.3019911542251386E-4</v>
      </c>
      <c r="I857" s="3">
        <f t="shared" si="114"/>
        <v>-5.3019911542251386E-4</v>
      </c>
      <c r="K857" s="12" t="str">
        <f>IF(AND(G857=1,G856&lt;&gt;1),MAX($K$50:K856)+1,"")</f>
        <v/>
      </c>
      <c r="L857" s="13" t="str">
        <f>IF(AND(G857&lt;&gt;1,G856=1),MAX($L$50:L856)+1,"")</f>
        <v/>
      </c>
      <c r="M857" s="13" t="str">
        <f>IF(AND(G857=-1,G856&lt;&gt;-1),MAX($M$50:M856)+1,"")</f>
        <v/>
      </c>
      <c r="N857" s="13" t="str">
        <f>IF(AND(G857&lt;&gt;-1,G856=-1),MAX($N$50:N856)+1,"")</f>
        <v/>
      </c>
      <c r="T857" s="7">
        <f t="shared" si="115"/>
        <v>99.653825211479614</v>
      </c>
      <c r="U857" s="1">
        <f t="shared" si="116"/>
        <v>153.51733051715746</v>
      </c>
    </row>
    <row r="858" spans="1:21" x14ac:dyDescent="0.3">
      <c r="A858" s="2">
        <v>41422</v>
      </c>
      <c r="B858" s="1">
        <v>2940.45</v>
      </c>
      <c r="C858" s="2">
        <f t="shared" si="108"/>
        <v>41422</v>
      </c>
      <c r="D858" s="1">
        <f t="shared" si="109"/>
        <v>2940.45</v>
      </c>
      <c r="E858" s="4">
        <f t="shared" si="110"/>
        <v>2817.6426000000001</v>
      </c>
      <c r="F858" s="3">
        <f t="shared" si="111"/>
        <v>1.0435851587422762</v>
      </c>
      <c r="G858" s="18">
        <f t="shared" si="112"/>
        <v>1</v>
      </c>
      <c r="H858" s="3">
        <f t="shared" si="113"/>
        <v>6.3554971456731835E-3</v>
      </c>
      <c r="I858" s="3">
        <f t="shared" si="114"/>
        <v>6.3554971456731835E-3</v>
      </c>
      <c r="K858" s="12" t="str">
        <f>IF(AND(G858=1,G857&lt;&gt;1),MAX($K$50:K857)+1,"")</f>
        <v/>
      </c>
      <c r="L858" s="13" t="str">
        <f>IF(AND(G858&lt;&gt;1,G857=1),MAX($L$50:L857)+1,"")</f>
        <v/>
      </c>
      <c r="M858" s="13" t="str">
        <f>IF(AND(G858=-1,G857&lt;&gt;-1),MAX($M$50:M857)+1,"")</f>
        <v/>
      </c>
      <c r="N858" s="13" t="str">
        <f>IF(AND(G858&lt;&gt;-1,G857=-1),MAX($N$50:N857)+1,"")</f>
        <v/>
      </c>
      <c r="T858" s="7">
        <f t="shared" si="115"/>
        <v>100.28717481316659</v>
      </c>
      <c r="U858" s="1">
        <f t="shared" si="116"/>
        <v>154.49300947307063</v>
      </c>
    </row>
    <row r="859" spans="1:21" x14ac:dyDescent="0.3">
      <c r="A859" s="2">
        <v>41423</v>
      </c>
      <c r="B859" s="1">
        <v>2920.18</v>
      </c>
      <c r="C859" s="2">
        <f t="shared" si="108"/>
        <v>41423</v>
      </c>
      <c r="D859" s="1">
        <f t="shared" si="109"/>
        <v>2920.18</v>
      </c>
      <c r="E859" s="4">
        <f t="shared" si="110"/>
        <v>2821.2726000000002</v>
      </c>
      <c r="F859" s="3">
        <f t="shared" si="111"/>
        <v>1.035057725368332</v>
      </c>
      <c r="G859" s="18">
        <f t="shared" si="112"/>
        <v>1</v>
      </c>
      <c r="H859" s="3">
        <f t="shared" si="113"/>
        <v>-6.8935026951657541E-3</v>
      </c>
      <c r="I859" s="3">
        <f t="shared" si="114"/>
        <v>-6.8935026951657541E-3</v>
      </c>
      <c r="K859" s="12" t="str">
        <f>IF(AND(G859=1,G858&lt;&gt;1),MAX($K$50:K858)+1,"")</f>
        <v/>
      </c>
      <c r="L859" s="13" t="str">
        <f>IF(AND(G859&lt;&gt;1,G858=1),MAX($L$50:L858)+1,"")</f>
        <v/>
      </c>
      <c r="M859" s="13" t="str">
        <f>IF(AND(G859=-1,G858&lt;&gt;-1),MAX($M$50:M858)+1,"")</f>
        <v/>
      </c>
      <c r="N859" s="13" t="str">
        <f>IF(AND(G859&lt;&gt;-1,G858=-1),MAX($N$50:N858)+1,"")</f>
        <v/>
      </c>
      <c r="T859" s="7">
        <f t="shared" si="115"/>
        <v>99.595844903301469</v>
      </c>
      <c r="U859" s="1">
        <f t="shared" si="116"/>
        <v>153.42801149588377</v>
      </c>
    </row>
    <row r="860" spans="1:21" x14ac:dyDescent="0.3">
      <c r="A860" s="2">
        <v>41424</v>
      </c>
      <c r="B860" s="1">
        <v>2931.39</v>
      </c>
      <c r="C860" s="2">
        <f t="shared" si="108"/>
        <v>41424</v>
      </c>
      <c r="D860" s="1">
        <f t="shared" si="109"/>
        <v>2931.39</v>
      </c>
      <c r="E860" s="4">
        <f t="shared" si="110"/>
        <v>2825.2586000000006</v>
      </c>
      <c r="F860" s="3">
        <f t="shared" si="111"/>
        <v>1.0375651984565233</v>
      </c>
      <c r="G860" s="18">
        <f t="shared" si="112"/>
        <v>1</v>
      </c>
      <c r="H860" s="3">
        <f t="shared" si="113"/>
        <v>3.8388044572594815E-3</v>
      </c>
      <c r="I860" s="3">
        <f t="shared" si="114"/>
        <v>3.8388044572594815E-3</v>
      </c>
      <c r="K860" s="12" t="str">
        <f>IF(AND(G860=1,G859&lt;&gt;1),MAX($K$50:K859)+1,"")</f>
        <v/>
      </c>
      <c r="L860" s="13" t="str">
        <f>IF(AND(G860&lt;&gt;1,G859=1),MAX($L$50:L859)+1,"")</f>
        <v/>
      </c>
      <c r="M860" s="13" t="str">
        <f>IF(AND(G860=-1,G859&lt;&gt;-1),MAX($M$50:M859)+1,"")</f>
        <v/>
      </c>
      <c r="N860" s="13" t="str">
        <f>IF(AND(G860&lt;&gt;-1,G859=-1),MAX($N$50:N859)+1,"")</f>
        <v/>
      </c>
      <c r="T860" s="7">
        <f t="shared" si="115"/>
        <v>99.978173876640781</v>
      </c>
      <c r="U860" s="1">
        <f t="shared" si="116"/>
        <v>154.01699163028263</v>
      </c>
    </row>
    <row r="861" spans="1:21" x14ac:dyDescent="0.3">
      <c r="A861" s="2">
        <v>41425</v>
      </c>
      <c r="B861" s="1">
        <v>2889.46</v>
      </c>
      <c r="C861" s="2">
        <f t="shared" si="108"/>
        <v>41425</v>
      </c>
      <c r="D861" s="1">
        <f t="shared" si="109"/>
        <v>2889.46</v>
      </c>
      <c r="E861" s="4">
        <f t="shared" si="110"/>
        <v>2828.0394000000001</v>
      </c>
      <c r="F861" s="3">
        <f t="shared" si="111"/>
        <v>1.0217184385762093</v>
      </c>
      <c r="G861" s="18">
        <f t="shared" si="112"/>
        <v>1</v>
      </c>
      <c r="H861" s="3">
        <f t="shared" si="113"/>
        <v>-1.430379444563834E-2</v>
      </c>
      <c r="I861" s="3">
        <f t="shared" si="114"/>
        <v>-1.430379444563834E-2</v>
      </c>
      <c r="K861" s="12" t="str">
        <f>IF(AND(G861=1,G860&lt;&gt;1),MAX($K$50:K860)+1,"")</f>
        <v/>
      </c>
      <c r="L861" s="13" t="str">
        <f>IF(AND(G861&lt;&gt;1,G860=1),MAX($L$50:L860)+1,"")</f>
        <v/>
      </c>
      <c r="M861" s="13" t="str">
        <f>IF(AND(G861=-1,G860&lt;&gt;-1),MAX($M$50:M860)+1,"")</f>
        <v/>
      </c>
      <c r="N861" s="13" t="str">
        <f>IF(AND(G861&lt;&gt;-1,G860=-1),MAX($N$50:N860)+1,"")</f>
        <v/>
      </c>
      <c r="T861" s="7">
        <f t="shared" si="115"/>
        <v>98.548106628459024</v>
      </c>
      <c r="U861" s="1">
        <f t="shared" si="116"/>
        <v>151.81396424086745</v>
      </c>
    </row>
    <row r="862" spans="1:21" x14ac:dyDescent="0.3">
      <c r="A862" s="2">
        <v>41428</v>
      </c>
      <c r="B862" s="1">
        <v>2906.91</v>
      </c>
      <c r="C862" s="2">
        <f t="shared" si="108"/>
        <v>41428</v>
      </c>
      <c r="D862" s="1">
        <f t="shared" si="109"/>
        <v>2906.91</v>
      </c>
      <c r="E862" s="4">
        <f t="shared" si="110"/>
        <v>2831.6237999999998</v>
      </c>
      <c r="F862" s="3">
        <f t="shared" si="111"/>
        <v>1.0265876420448226</v>
      </c>
      <c r="G862" s="18">
        <f t="shared" si="112"/>
        <v>1</v>
      </c>
      <c r="H862" s="3">
        <f t="shared" si="113"/>
        <v>6.0391907138357404E-3</v>
      </c>
      <c r="I862" s="3">
        <f t="shared" si="114"/>
        <v>6.0391907138357404E-3</v>
      </c>
      <c r="K862" s="12" t="str">
        <f>IF(AND(G862=1,G861&lt;&gt;1),MAX($K$50:K861)+1,"")</f>
        <v/>
      </c>
      <c r="L862" s="13" t="str">
        <f>IF(AND(G862&lt;&gt;1,G861=1),MAX($L$50:L861)+1,"")</f>
        <v/>
      </c>
      <c r="M862" s="13" t="str">
        <f>IF(AND(G862=-1,G861&lt;&gt;-1),MAX($M$50:M861)+1,"")</f>
        <v/>
      </c>
      <c r="N862" s="13" t="str">
        <f>IF(AND(G862&lt;&gt;-1,G861=-1),MAX($N$50:N861)+1,"")</f>
        <v/>
      </c>
      <c r="T862" s="7">
        <f t="shared" si="115"/>
        <v>99.143257438875708</v>
      </c>
      <c r="U862" s="1">
        <f t="shared" si="116"/>
        <v>152.73079772394149</v>
      </c>
    </row>
    <row r="863" spans="1:21" x14ac:dyDescent="0.3">
      <c r="A863" s="2">
        <v>41429</v>
      </c>
      <c r="B863" s="1">
        <v>2891.02</v>
      </c>
      <c r="C863" s="2">
        <f t="shared" si="108"/>
        <v>41429</v>
      </c>
      <c r="D863" s="1">
        <f t="shared" si="109"/>
        <v>2891.02</v>
      </c>
      <c r="E863" s="4">
        <f t="shared" si="110"/>
        <v>2834.4991999999997</v>
      </c>
      <c r="F863" s="3">
        <f t="shared" si="111"/>
        <v>1.0199403125603281</v>
      </c>
      <c r="G863" s="18">
        <f t="shared" si="112"/>
        <v>1</v>
      </c>
      <c r="H863" s="3">
        <f t="shared" si="113"/>
        <v>-5.4662855059152138E-3</v>
      </c>
      <c r="I863" s="3">
        <f t="shared" si="114"/>
        <v>-5.4662855059152138E-3</v>
      </c>
      <c r="K863" s="12" t="str">
        <f>IF(AND(G863=1,G862&lt;&gt;1),MAX($K$50:K862)+1,"")</f>
        <v/>
      </c>
      <c r="L863" s="13" t="str">
        <f>IF(AND(G863&lt;&gt;1,G862=1),MAX($L$50:L862)+1,"")</f>
        <v/>
      </c>
      <c r="M863" s="13" t="str">
        <f>IF(AND(G863=-1,G862&lt;&gt;-1),MAX($M$50:M862)+1,"")</f>
        <v/>
      </c>
      <c r="N863" s="13" t="str">
        <f>IF(AND(G863&lt;&gt;-1,G862=-1),MAX($N$50:N862)+1,"")</f>
        <v/>
      </c>
      <c r="T863" s="7">
        <f t="shared" si="115"/>
        <v>98.60131208772836</v>
      </c>
      <c r="U863" s="1">
        <f t="shared" si="116"/>
        <v>151.89592757803624</v>
      </c>
    </row>
    <row r="864" spans="1:21" x14ac:dyDescent="0.3">
      <c r="A864" s="2">
        <v>41430</v>
      </c>
      <c r="B864" s="1">
        <v>2851.89</v>
      </c>
      <c r="C864" s="2">
        <f t="shared" si="108"/>
        <v>41430</v>
      </c>
      <c r="D864" s="1">
        <f t="shared" si="109"/>
        <v>2851.89</v>
      </c>
      <c r="E864" s="4">
        <f t="shared" si="110"/>
        <v>2836.7754</v>
      </c>
      <c r="F864" s="3">
        <f t="shared" si="111"/>
        <v>1.0053280918891216</v>
      </c>
      <c r="G864" s="18">
        <f t="shared" si="112"/>
        <v>1</v>
      </c>
      <c r="H864" s="3">
        <f t="shared" si="113"/>
        <v>-1.3535015323311583E-2</v>
      </c>
      <c r="I864" s="3">
        <f t="shared" si="114"/>
        <v>-1.3535015323311583E-2</v>
      </c>
      <c r="K864" s="12" t="str">
        <f>IF(AND(G864=1,G863&lt;&gt;1),MAX($K$50:K863)+1,"")</f>
        <v/>
      </c>
      <c r="L864" s="13" t="str">
        <f>IF(AND(G864&lt;&gt;1,G863=1),MAX($L$50:L863)+1,"")</f>
        <v/>
      </c>
      <c r="M864" s="13" t="str">
        <f>IF(AND(G864=-1,G863&lt;&gt;-1),MAX($M$50:M863)+1,"")</f>
        <v/>
      </c>
      <c r="N864" s="13" t="str">
        <f>IF(AND(G864&lt;&gt;-1,G863=-1),MAX($N$50:N863)+1,"")</f>
        <v/>
      </c>
      <c r="T864" s="7">
        <f t="shared" si="115"/>
        <v>97.266741817722334</v>
      </c>
      <c r="U864" s="1">
        <f t="shared" si="116"/>
        <v>149.84001387071891</v>
      </c>
    </row>
    <row r="865" spans="1:21" x14ac:dyDescent="0.3">
      <c r="A865" s="2">
        <v>41431</v>
      </c>
      <c r="B865" s="1">
        <v>2876.5</v>
      </c>
      <c r="C865" s="2">
        <f t="shared" si="108"/>
        <v>41431</v>
      </c>
      <c r="D865" s="1">
        <f t="shared" si="109"/>
        <v>2876.5</v>
      </c>
      <c r="E865" s="4">
        <f t="shared" si="110"/>
        <v>2839.0990000000002</v>
      </c>
      <c r="F865" s="3">
        <f t="shared" si="111"/>
        <v>1.0131735455508948</v>
      </c>
      <c r="G865" s="18">
        <f t="shared" si="112"/>
        <v>1</v>
      </c>
      <c r="H865" s="3">
        <f t="shared" si="113"/>
        <v>8.6293650877138361E-3</v>
      </c>
      <c r="I865" s="3">
        <f t="shared" si="114"/>
        <v>8.6293650877138361E-3</v>
      </c>
      <c r="K865" s="12" t="str">
        <f>IF(AND(G865=1,G864&lt;&gt;1),MAX($K$50:K864)+1,"")</f>
        <v/>
      </c>
      <c r="L865" s="13" t="str">
        <f>IF(AND(G865&lt;&gt;1,G864=1),MAX($L$50:L864)+1,"")</f>
        <v/>
      </c>
      <c r="M865" s="13" t="str">
        <f>IF(AND(G865=-1,G864&lt;&gt;-1),MAX($M$50:M864)+1,"")</f>
        <v/>
      </c>
      <c r="N865" s="13" t="str">
        <f>IF(AND(G865&lt;&gt;-1,G864=-1),MAX($N$50:N864)+1,"")</f>
        <v/>
      </c>
      <c r="T865" s="7">
        <f t="shared" si="115"/>
        <v>98.106092043759858</v>
      </c>
      <c r="U865" s="1">
        <f t="shared" si="116"/>
        <v>151.13303805515744</v>
      </c>
    </row>
    <row r="866" spans="1:21" x14ac:dyDescent="0.3">
      <c r="A866" s="2">
        <v>41432</v>
      </c>
      <c r="B866" s="1">
        <v>2913.46</v>
      </c>
      <c r="C866" s="2">
        <f t="shared" si="108"/>
        <v>41432</v>
      </c>
      <c r="D866" s="1">
        <f t="shared" si="109"/>
        <v>2913.46</v>
      </c>
      <c r="E866" s="4">
        <f t="shared" si="110"/>
        <v>2842.1911999999998</v>
      </c>
      <c r="F866" s="3">
        <f t="shared" si="111"/>
        <v>1.0250753010564526</v>
      </c>
      <c r="G866" s="18">
        <f t="shared" si="112"/>
        <v>1</v>
      </c>
      <c r="H866" s="3">
        <f t="shared" si="113"/>
        <v>1.2848948374760916E-2</v>
      </c>
      <c r="I866" s="3">
        <f t="shared" si="114"/>
        <v>1.2848948374760916E-2</v>
      </c>
      <c r="K866" s="12" t="str">
        <f>IF(AND(G866=1,G865&lt;&gt;1),MAX($K$50:K865)+1,"")</f>
        <v/>
      </c>
      <c r="L866" s="13" t="str">
        <f>IF(AND(G866&lt;&gt;1,G865=1),MAX($L$50:L865)+1,"")</f>
        <v/>
      </c>
      <c r="M866" s="13" t="str">
        <f>IF(AND(G866=-1,G865&lt;&gt;-1),MAX($M$50:M865)+1,"")</f>
        <v/>
      </c>
      <c r="N866" s="13" t="str">
        <f>IF(AND(G866&lt;&gt;-1,G865=-1),MAX($N$50:N865)+1,"")</f>
        <v/>
      </c>
      <c r="T866" s="7">
        <f t="shared" si="115"/>
        <v>99.366652155679674</v>
      </c>
      <c r="U866" s="1">
        <f t="shared" si="116"/>
        <v>153.07493865884896</v>
      </c>
    </row>
    <row r="867" spans="1:21" x14ac:dyDescent="0.3">
      <c r="A867" s="2">
        <v>41435</v>
      </c>
      <c r="B867" s="1">
        <v>2912.63</v>
      </c>
      <c r="C867" s="2">
        <f t="shared" si="108"/>
        <v>41435</v>
      </c>
      <c r="D867" s="1">
        <f t="shared" si="109"/>
        <v>2912.63</v>
      </c>
      <c r="E867" s="4">
        <f t="shared" si="110"/>
        <v>2845.0428000000002</v>
      </c>
      <c r="F867" s="3">
        <f t="shared" si="111"/>
        <v>1.0237561276758296</v>
      </c>
      <c r="G867" s="18">
        <f t="shared" si="112"/>
        <v>1</v>
      </c>
      <c r="H867" s="3">
        <f t="shared" si="113"/>
        <v>-2.8488463888298732E-4</v>
      </c>
      <c r="I867" s="3">
        <f t="shared" si="114"/>
        <v>-2.8488463888298732E-4</v>
      </c>
      <c r="K867" s="12" t="str">
        <f>IF(AND(G867=1,G866&lt;&gt;1),MAX($K$50:K866)+1,"")</f>
        <v/>
      </c>
      <c r="L867" s="13" t="str">
        <f>IF(AND(G867&lt;&gt;1,G866=1),MAX($L$50:L866)+1,"")</f>
        <v/>
      </c>
      <c r="M867" s="13" t="str">
        <f>IF(AND(G867=-1,G866&lt;&gt;-1),MAX($M$50:M866)+1,"")</f>
        <v/>
      </c>
      <c r="N867" s="13" t="str">
        <f>IF(AND(G867&lt;&gt;-1,G866=-1),MAX($N$50:N866)+1,"")</f>
        <v/>
      </c>
      <c r="T867" s="7">
        <f t="shared" si="115"/>
        <v>99.33834412286329</v>
      </c>
      <c r="U867" s="1">
        <f t="shared" si="116"/>
        <v>153.03132996022711</v>
      </c>
    </row>
    <row r="868" spans="1:21" x14ac:dyDescent="0.3">
      <c r="A868" s="2">
        <v>41436</v>
      </c>
      <c r="B868" s="1">
        <v>2883.07</v>
      </c>
      <c r="C868" s="2">
        <f t="shared" si="108"/>
        <v>41436</v>
      </c>
      <c r="D868" s="1">
        <f t="shared" si="109"/>
        <v>2883.07</v>
      </c>
      <c r="E868" s="4">
        <f t="shared" si="110"/>
        <v>2847.5475999999999</v>
      </c>
      <c r="F868" s="3">
        <f t="shared" si="111"/>
        <v>1.0124747343995233</v>
      </c>
      <c r="G868" s="18">
        <f t="shared" si="112"/>
        <v>1</v>
      </c>
      <c r="H868" s="3">
        <f t="shared" si="113"/>
        <v>-1.0148903224920458E-2</v>
      </c>
      <c r="I868" s="3">
        <f t="shared" si="114"/>
        <v>-1.0148903224920458E-2</v>
      </c>
      <c r="K868" s="12" t="str">
        <f>IF(AND(G868=1,G867&lt;&gt;1),MAX($K$50:K867)+1,"")</f>
        <v/>
      </c>
      <c r="L868" s="13" t="str">
        <f>IF(AND(G868&lt;&gt;1,G867=1),MAX($L$50:L867)+1,"")</f>
        <v/>
      </c>
      <c r="M868" s="13" t="str">
        <f>IF(AND(G868=-1,G867&lt;&gt;-1),MAX($M$50:M867)+1,"")</f>
        <v/>
      </c>
      <c r="N868" s="13" t="str">
        <f>IF(AND(G868&lt;&gt;-1,G867=-1),MAX($N$50:N867)+1,"")</f>
        <v/>
      </c>
      <c r="T868" s="7">
        <f t="shared" si="115"/>
        <v>98.330168881836499</v>
      </c>
      <c r="U868" s="1">
        <f t="shared" si="116"/>
        <v>151.47822980207991</v>
      </c>
    </row>
    <row r="869" spans="1:21" x14ac:dyDescent="0.3">
      <c r="A869" s="2">
        <v>41437</v>
      </c>
      <c r="B869" s="1">
        <v>2859.62</v>
      </c>
      <c r="C869" s="2">
        <f t="shared" si="108"/>
        <v>41437</v>
      </c>
      <c r="D869" s="1">
        <f t="shared" si="109"/>
        <v>2859.62</v>
      </c>
      <c r="E869" s="4">
        <f t="shared" si="110"/>
        <v>2849.2978000000003</v>
      </c>
      <c r="F869" s="3">
        <f t="shared" si="111"/>
        <v>1.0036227171480634</v>
      </c>
      <c r="G869" s="18">
        <f t="shared" si="112"/>
        <v>1</v>
      </c>
      <c r="H869" s="3">
        <f t="shared" si="113"/>
        <v>-8.1336908226301574E-3</v>
      </c>
      <c r="I869" s="3">
        <f t="shared" si="114"/>
        <v>-8.1336908226301574E-3</v>
      </c>
      <c r="K869" s="12" t="str">
        <f>IF(AND(G869=1,G868&lt;&gt;1),MAX($K$50:K868)+1,"")</f>
        <v/>
      </c>
      <c r="L869" s="13" t="str">
        <f>IF(AND(G869&lt;&gt;1,G868=1),MAX($L$50:L868)+1,"")</f>
        <v/>
      </c>
      <c r="M869" s="13" t="str">
        <f>IF(AND(G869=-1,G868&lt;&gt;-1),MAX($M$50:M868)+1,"")</f>
        <v/>
      </c>
      <c r="N869" s="13" t="str">
        <f>IF(AND(G869&lt;&gt;-1,G868=-1),MAX($N$50:N868)+1,"")</f>
        <v/>
      </c>
      <c r="T869" s="7">
        <f t="shared" si="115"/>
        <v>97.530381689614629</v>
      </c>
      <c r="U869" s="1">
        <f t="shared" si="116"/>
        <v>150.24615271451049</v>
      </c>
    </row>
    <row r="870" spans="1:21" x14ac:dyDescent="0.3">
      <c r="A870" s="2">
        <v>41438</v>
      </c>
      <c r="B870" s="1">
        <v>2902.32</v>
      </c>
      <c r="C870" s="2">
        <f t="shared" si="108"/>
        <v>41438</v>
      </c>
      <c r="D870" s="1">
        <f t="shared" si="109"/>
        <v>2902.32</v>
      </c>
      <c r="E870" s="4">
        <f t="shared" si="110"/>
        <v>2852.4766000000004</v>
      </c>
      <c r="F870" s="3">
        <f t="shared" si="111"/>
        <v>1.0174737279176977</v>
      </c>
      <c r="G870" s="18">
        <f t="shared" si="112"/>
        <v>1</v>
      </c>
      <c r="H870" s="3">
        <f t="shared" si="113"/>
        <v>1.4932053909260778E-2</v>
      </c>
      <c r="I870" s="3">
        <f t="shared" si="114"/>
        <v>1.4932053909260778E-2</v>
      </c>
      <c r="K870" s="12" t="str">
        <f>IF(AND(G870=1,G869&lt;&gt;1),MAX($K$50:K869)+1,"")</f>
        <v/>
      </c>
      <c r="L870" s="13" t="str">
        <f>IF(AND(G870&lt;&gt;1,G869=1),MAX($L$50:L869)+1,"")</f>
        <v/>
      </c>
      <c r="M870" s="13" t="str">
        <f>IF(AND(G870=-1,G869&lt;&gt;-1),MAX($M$50:M869)+1,"")</f>
        <v/>
      </c>
      <c r="N870" s="13" t="str">
        <f>IF(AND(G870&lt;&gt;-1,G869=-1),MAX($N$50:N869)+1,"")</f>
        <v/>
      </c>
      <c r="T870" s="7">
        <f t="shared" si="115"/>
        <v>98.98671060679473</v>
      </c>
      <c r="U870" s="1">
        <f t="shared" si="116"/>
        <v>152.48963636650259</v>
      </c>
    </row>
    <row r="871" spans="1:21" x14ac:dyDescent="0.3">
      <c r="A871" s="2">
        <v>41439</v>
      </c>
      <c r="B871" s="1">
        <v>2885.24</v>
      </c>
      <c r="C871" s="2">
        <f t="shared" si="108"/>
        <v>41439</v>
      </c>
      <c r="D871" s="1">
        <f t="shared" si="109"/>
        <v>2885.24</v>
      </c>
      <c r="E871" s="4">
        <f t="shared" si="110"/>
        <v>2855.0879999999993</v>
      </c>
      <c r="F871" s="3">
        <f t="shared" si="111"/>
        <v>1.0105607953239972</v>
      </c>
      <c r="G871" s="18">
        <f t="shared" si="112"/>
        <v>1</v>
      </c>
      <c r="H871" s="3">
        <f t="shared" si="113"/>
        <v>-5.8849472146421666E-3</v>
      </c>
      <c r="I871" s="3">
        <f t="shared" si="114"/>
        <v>-5.8849472146421666E-3</v>
      </c>
      <c r="K871" s="12" t="str">
        <f>IF(AND(G871=1,G870&lt;&gt;1),MAX($K$50:K870)+1,"")</f>
        <v/>
      </c>
      <c r="L871" s="13" t="str">
        <f>IF(AND(G871&lt;&gt;1,G870=1),MAX($L$50:L870)+1,"")</f>
        <v/>
      </c>
      <c r="M871" s="13" t="str">
        <f>IF(AND(G871=-1,G870&lt;&gt;-1),MAX($M$50:M870)+1,"")</f>
        <v/>
      </c>
      <c r="N871" s="13" t="str">
        <f>IF(AND(G871&lt;&gt;-1,G870=-1),MAX($N$50:N870)+1,"")</f>
        <v/>
      </c>
      <c r="T871" s="7">
        <f t="shared" si="115"/>
        <v>98.404179039922681</v>
      </c>
      <c r="U871" s="1">
        <f t="shared" si="116"/>
        <v>151.59224290570575</v>
      </c>
    </row>
    <row r="872" spans="1:21" x14ac:dyDescent="0.3">
      <c r="A872" s="2">
        <v>41442</v>
      </c>
      <c r="B872" s="1">
        <v>2907.12</v>
      </c>
      <c r="C872" s="2">
        <f t="shared" si="108"/>
        <v>41442</v>
      </c>
      <c r="D872" s="1">
        <f t="shared" si="109"/>
        <v>2907.12</v>
      </c>
      <c r="E872" s="4">
        <f t="shared" si="110"/>
        <v>2858.3731999999995</v>
      </c>
      <c r="F872" s="3">
        <f t="shared" si="111"/>
        <v>1.0170540361909355</v>
      </c>
      <c r="G872" s="18">
        <f t="shared" si="112"/>
        <v>1</v>
      </c>
      <c r="H872" s="3">
        <f t="shared" si="113"/>
        <v>7.583424602459532E-3</v>
      </c>
      <c r="I872" s="3">
        <f t="shared" si="114"/>
        <v>7.583424602459532E-3</v>
      </c>
      <c r="K872" s="12" t="str">
        <f>IF(AND(G872=1,G871&lt;&gt;1),MAX($K$50:K871)+1,"")</f>
        <v/>
      </c>
      <c r="L872" s="13" t="str">
        <f>IF(AND(G872&lt;&gt;1,G871=1),MAX($L$50:L871)+1,"")</f>
        <v/>
      </c>
      <c r="M872" s="13" t="str">
        <f>IF(AND(G872=-1,G871&lt;&gt;-1),MAX($M$50:M871)+1,"")</f>
        <v/>
      </c>
      <c r="N872" s="13" t="str">
        <f>IF(AND(G872&lt;&gt;-1,G871=-1),MAX($N$50:N871)+1,"")</f>
        <v/>
      </c>
      <c r="T872" s="7">
        <f t="shared" si="115"/>
        <v>99.150419712238858</v>
      </c>
      <c r="U872" s="1">
        <f t="shared" si="116"/>
        <v>152.74183125009887</v>
      </c>
    </row>
    <row r="873" spans="1:21" x14ac:dyDescent="0.3">
      <c r="A873" s="2">
        <v>41443</v>
      </c>
      <c r="B873" s="1">
        <v>2929.81</v>
      </c>
      <c r="C873" s="2">
        <f t="shared" si="108"/>
        <v>41443</v>
      </c>
      <c r="D873" s="1">
        <f t="shared" si="109"/>
        <v>2929.81</v>
      </c>
      <c r="E873" s="4">
        <f t="shared" si="110"/>
        <v>2861.7483999999995</v>
      </c>
      <c r="F873" s="3">
        <f t="shared" si="111"/>
        <v>1.0237832228717243</v>
      </c>
      <c r="G873" s="18">
        <f t="shared" si="112"/>
        <v>1</v>
      </c>
      <c r="H873" s="3">
        <f t="shared" si="113"/>
        <v>7.8049753708138159E-3</v>
      </c>
      <c r="I873" s="3">
        <f t="shared" si="114"/>
        <v>7.8049753708138159E-3</v>
      </c>
      <c r="K873" s="12" t="str">
        <f>IF(AND(G873=1,G872&lt;&gt;1),MAX($K$50:K872)+1,"")</f>
        <v/>
      </c>
      <c r="L873" s="13" t="str">
        <f>IF(AND(G873&lt;&gt;1,G872=1),MAX($L$50:L872)+1,"")</f>
        <v/>
      </c>
      <c r="M873" s="13" t="str">
        <f>IF(AND(G873=-1,G872&lt;&gt;-1),MAX($M$50:M872)+1,"")</f>
        <v/>
      </c>
      <c r="N873" s="13" t="str">
        <f>IF(AND(G873&lt;&gt;-1,G872=-1),MAX($N$50:N872)+1,"")</f>
        <v/>
      </c>
      <c r="T873" s="7">
        <f t="shared" si="115"/>
        <v>99.924286296098728</v>
      </c>
      <c r="U873" s="1">
        <f t="shared" si="116"/>
        <v>153.93397748109888</v>
      </c>
    </row>
    <row r="874" spans="1:21" x14ac:dyDescent="0.3">
      <c r="A874" s="2">
        <v>41444</v>
      </c>
      <c r="B874" s="1">
        <v>2889.25</v>
      </c>
      <c r="C874" s="2">
        <f t="shared" si="108"/>
        <v>41444</v>
      </c>
      <c r="D874" s="1">
        <f t="shared" si="109"/>
        <v>2889.25</v>
      </c>
      <c r="E874" s="4">
        <f t="shared" si="110"/>
        <v>2864.1165999999998</v>
      </c>
      <c r="F874" s="3">
        <f t="shared" si="111"/>
        <v>1.0087752712302287</v>
      </c>
      <c r="G874" s="18">
        <f t="shared" si="112"/>
        <v>1</v>
      </c>
      <c r="H874" s="3">
        <f t="shared" si="113"/>
        <v>-1.3843901140346948E-2</v>
      </c>
      <c r="I874" s="3">
        <f t="shared" si="114"/>
        <v>-1.3843901140346948E-2</v>
      </c>
      <c r="K874" s="12" t="str">
        <f>IF(AND(G874=1,G873&lt;&gt;1),MAX($K$50:K873)+1,"")</f>
        <v/>
      </c>
      <c r="L874" s="13" t="str">
        <f>IF(AND(G874&lt;&gt;1,G873=1),MAX($L$50:L873)+1,"")</f>
        <v/>
      </c>
      <c r="M874" s="13" t="str">
        <f>IF(AND(G874=-1,G873&lt;&gt;-1),MAX($M$50:M873)+1,"")</f>
        <v/>
      </c>
      <c r="N874" s="13" t="str">
        <f>IF(AND(G874&lt;&gt;-1,G873=-1),MAX($N$50:N873)+1,"")</f>
        <v/>
      </c>
      <c r="T874" s="7">
        <f t="shared" si="115"/>
        <v>98.540944355095817</v>
      </c>
      <c r="U874" s="1">
        <f t="shared" si="116"/>
        <v>151.80293071471016</v>
      </c>
    </row>
    <row r="875" spans="1:21" x14ac:dyDescent="0.3">
      <c r="A875" s="2">
        <v>41445</v>
      </c>
      <c r="B875" s="1">
        <v>2817.44</v>
      </c>
      <c r="C875" s="2">
        <f t="shared" si="108"/>
        <v>41445</v>
      </c>
      <c r="D875" s="1">
        <f t="shared" si="109"/>
        <v>2817.44</v>
      </c>
      <c r="E875" s="4">
        <f t="shared" si="110"/>
        <v>2864.3691999999996</v>
      </c>
      <c r="F875" s="3">
        <f t="shared" si="111"/>
        <v>0.9836162181886331</v>
      </c>
      <c r="G875" s="18">
        <f t="shared" si="112"/>
        <v>1</v>
      </c>
      <c r="H875" s="3">
        <f t="shared" si="113"/>
        <v>-2.4854200917193037E-2</v>
      </c>
      <c r="I875" s="3">
        <f t="shared" si="114"/>
        <v>-2.4854200917193037E-2</v>
      </c>
      <c r="K875" s="12" t="str">
        <f>IF(AND(G875=1,G874&lt;&gt;1),MAX($K$50:K874)+1,"")</f>
        <v/>
      </c>
      <c r="L875" s="13" t="str">
        <f>IF(AND(G875&lt;&gt;1,G874=1),MAX($L$50:L874)+1,"")</f>
        <v/>
      </c>
      <c r="M875" s="13" t="str">
        <f>IF(AND(G875=-1,G874&lt;&gt;-1),MAX($M$50:M874)+1,"")</f>
        <v/>
      </c>
      <c r="N875" s="13" t="str">
        <f>IF(AND(G875&lt;&gt;-1,G874=-1),MAX($N$50:N874)+1,"")</f>
        <v/>
      </c>
      <c r="T875" s="7">
        <f t="shared" si="115"/>
        <v>96.091787925524329</v>
      </c>
      <c r="U875" s="1">
        <f t="shared" si="116"/>
        <v>148.02999017490802</v>
      </c>
    </row>
    <row r="876" spans="1:21" x14ac:dyDescent="0.3">
      <c r="A876" s="2">
        <v>41446</v>
      </c>
      <c r="B876" s="1">
        <v>2824.97</v>
      </c>
      <c r="C876" s="2">
        <f t="shared" si="108"/>
        <v>41446</v>
      </c>
      <c r="D876" s="1">
        <f t="shared" si="109"/>
        <v>2824.97</v>
      </c>
      <c r="E876" s="4">
        <f t="shared" si="110"/>
        <v>2864.5682000000006</v>
      </c>
      <c r="F876" s="3">
        <f t="shared" si="111"/>
        <v>0.98617655533563464</v>
      </c>
      <c r="G876" s="18">
        <f t="shared" si="112"/>
        <v>1</v>
      </c>
      <c r="H876" s="3">
        <f t="shared" si="113"/>
        <v>2.6726389914246695E-3</v>
      </c>
      <c r="I876" s="3">
        <f t="shared" si="114"/>
        <v>2.6726389914246695E-3</v>
      </c>
      <c r="K876" s="12" t="str">
        <f>IF(AND(G876=1,G875&lt;&gt;1),MAX($K$50:K875)+1,"")</f>
        <v/>
      </c>
      <c r="L876" s="13" t="str">
        <f>IF(AND(G876&lt;&gt;1,G875=1),MAX($L$50:L875)+1,"")</f>
        <v/>
      </c>
      <c r="M876" s="13" t="str">
        <f>IF(AND(G876=-1,G875&lt;&gt;-1),MAX($M$50:M875)+1,"")</f>
        <v/>
      </c>
      <c r="N876" s="13" t="str">
        <f>IF(AND(G876&lt;&gt;-1,G875=-1),MAX($N$50:N875)+1,"")</f>
        <v/>
      </c>
      <c r="T876" s="7">
        <f t="shared" si="115"/>
        <v>96.34860658468979</v>
      </c>
      <c r="U876" s="1">
        <f t="shared" si="116"/>
        <v>148.42562089854968</v>
      </c>
    </row>
    <row r="877" spans="1:21" x14ac:dyDescent="0.3">
      <c r="A877" s="2">
        <v>41449</v>
      </c>
      <c r="B877" s="1">
        <v>2790.66</v>
      </c>
      <c r="C877" s="2">
        <f t="shared" si="108"/>
        <v>41449</v>
      </c>
      <c r="D877" s="1">
        <f t="shared" si="109"/>
        <v>2790.66</v>
      </c>
      <c r="E877" s="4">
        <f t="shared" si="110"/>
        <v>2864.2394000000004</v>
      </c>
      <c r="F877" s="3">
        <f t="shared" si="111"/>
        <v>0.97431101604146619</v>
      </c>
      <c r="G877" s="18">
        <f t="shared" si="112"/>
        <v>1</v>
      </c>
      <c r="H877" s="3">
        <f t="shared" si="113"/>
        <v>-1.2145261719593514E-2</v>
      </c>
      <c r="I877" s="3">
        <f t="shared" si="114"/>
        <v>-1.2145261719593514E-2</v>
      </c>
      <c r="K877" s="12" t="str">
        <f>IF(AND(G877=1,G876&lt;&gt;1),MAX($K$50:K876)+1,"")</f>
        <v/>
      </c>
      <c r="L877" s="13" t="str">
        <f>IF(AND(G877&lt;&gt;1,G876=1),MAX($L$50:L876)+1,"")</f>
        <v/>
      </c>
      <c r="M877" s="13" t="str">
        <f>IF(AND(G877=-1,G876&lt;&gt;-1),MAX($M$50:M876)+1,"")</f>
        <v/>
      </c>
      <c r="N877" s="13" t="str">
        <f>IF(AND(G877&lt;&gt;-1,G876=-1),MAX($N$50:N876)+1,"")</f>
        <v/>
      </c>
      <c r="T877" s="7">
        <f t="shared" si="115"/>
        <v>95.17842754140058</v>
      </c>
      <c r="U877" s="1">
        <f t="shared" si="116"/>
        <v>146.62295288684362</v>
      </c>
    </row>
    <row r="878" spans="1:21" x14ac:dyDescent="0.3">
      <c r="A878" s="2">
        <v>41450</v>
      </c>
      <c r="B878" s="1">
        <v>2817.44</v>
      </c>
      <c r="C878" s="2">
        <f t="shared" si="108"/>
        <v>41450</v>
      </c>
      <c r="D878" s="1">
        <f t="shared" si="109"/>
        <v>2817.44</v>
      </c>
      <c r="E878" s="4">
        <f t="shared" si="110"/>
        <v>2865.7356000000004</v>
      </c>
      <c r="F878" s="3">
        <f t="shared" si="111"/>
        <v>0.98314722404955979</v>
      </c>
      <c r="G878" s="18">
        <f t="shared" si="112"/>
        <v>1</v>
      </c>
      <c r="H878" s="3">
        <f t="shared" si="113"/>
        <v>9.5962962166655785E-3</v>
      </c>
      <c r="I878" s="3">
        <f t="shared" si="114"/>
        <v>9.5962962166655785E-3</v>
      </c>
      <c r="K878" s="12" t="str">
        <f>IF(AND(G878=1,G877&lt;&gt;1),MAX($K$50:K877)+1,"")</f>
        <v/>
      </c>
      <c r="L878" s="13" t="str">
        <f>IF(AND(G878&lt;&gt;1,G877=1),MAX($L$50:L877)+1,"")</f>
        <v/>
      </c>
      <c r="M878" s="13" t="str">
        <f>IF(AND(G878=-1,G877&lt;&gt;-1),MAX($M$50:M877)+1,"")</f>
        <v/>
      </c>
      <c r="N878" s="13" t="str">
        <f>IF(AND(G878&lt;&gt;-1,G877=-1),MAX($N$50:N877)+1,"")</f>
        <v/>
      </c>
      <c r="T878" s="7">
        <f t="shared" si="115"/>
        <v>96.091787925524301</v>
      </c>
      <c r="U878" s="1">
        <f t="shared" si="116"/>
        <v>148.02999017490799</v>
      </c>
    </row>
    <row r="879" spans="1:21" x14ac:dyDescent="0.3">
      <c r="A879" s="2">
        <v>41451</v>
      </c>
      <c r="B879" s="1">
        <v>2845.04</v>
      </c>
      <c r="C879" s="2">
        <f t="shared" si="108"/>
        <v>41451</v>
      </c>
      <c r="D879" s="1">
        <f t="shared" si="109"/>
        <v>2845.04</v>
      </c>
      <c r="E879" s="4">
        <f t="shared" si="110"/>
        <v>2866.9992000000002</v>
      </c>
      <c r="F879" s="3">
        <f t="shared" si="111"/>
        <v>0.99234070243200623</v>
      </c>
      <c r="G879" s="18">
        <f t="shared" si="112"/>
        <v>1</v>
      </c>
      <c r="H879" s="3">
        <f t="shared" si="113"/>
        <v>9.7961269805213469E-3</v>
      </c>
      <c r="I879" s="3">
        <f t="shared" si="114"/>
        <v>9.7961269805213469E-3</v>
      </c>
      <c r="K879" s="12" t="str">
        <f>IF(AND(G879=1,G878&lt;&gt;1),MAX($K$50:K878)+1,"")</f>
        <v/>
      </c>
      <c r="L879" s="13" t="str">
        <f>IF(AND(G879&lt;&gt;1,G878=1),MAX($L$50:L878)+1,"")</f>
        <v/>
      </c>
      <c r="M879" s="13" t="str">
        <f>IF(AND(G879=-1,G878&lt;&gt;-1),MAX($M$50:M878)+1,"")</f>
        <v/>
      </c>
      <c r="N879" s="13" t="str">
        <f>IF(AND(G879&lt;&gt;-1,G878=-1),MAX($N$50:N878)+1,"")</f>
        <v/>
      </c>
      <c r="T879" s="7">
        <f t="shared" si="115"/>
        <v>97.03311528182806</v>
      </c>
      <c r="U879" s="1">
        <f t="shared" si="116"/>
        <v>149.48011075558671</v>
      </c>
    </row>
    <row r="880" spans="1:21" x14ac:dyDescent="0.3">
      <c r="A880" s="2">
        <v>41452</v>
      </c>
      <c r="B880" s="1">
        <v>2862.92</v>
      </c>
      <c r="C880" s="2">
        <f t="shared" si="108"/>
        <v>41452</v>
      </c>
      <c r="D880" s="1">
        <f t="shared" si="109"/>
        <v>2862.92</v>
      </c>
      <c r="E880" s="4">
        <f t="shared" si="110"/>
        <v>2869.4174000000003</v>
      </c>
      <c r="F880" s="3">
        <f t="shared" si="111"/>
        <v>0.99773563790335973</v>
      </c>
      <c r="G880" s="18">
        <f t="shared" si="112"/>
        <v>1</v>
      </c>
      <c r="H880" s="3">
        <f t="shared" si="113"/>
        <v>6.2846216573404501E-3</v>
      </c>
      <c r="I880" s="3">
        <f t="shared" si="114"/>
        <v>6.2846216573404501E-3</v>
      </c>
      <c r="K880" s="12" t="str">
        <f>IF(AND(G880=1,G879&lt;&gt;1),MAX($K$50:K879)+1,"")</f>
        <v/>
      </c>
      <c r="L880" s="13" t="str">
        <f>IF(AND(G880&lt;&gt;1,G879=1),MAX($L$50:L879)+1,"")</f>
        <v/>
      </c>
      <c r="M880" s="13" t="str">
        <f>IF(AND(G880=-1,G879&lt;&gt;-1),MAX($M$50:M879)+1,"")</f>
        <v/>
      </c>
      <c r="N880" s="13" t="str">
        <f>IF(AND(G880&lt;&gt;-1,G879=-1),MAX($N$50:N879)+1,"")</f>
        <v/>
      </c>
      <c r="T880" s="7">
        <f t="shared" si="115"/>
        <v>97.642931699607445</v>
      </c>
      <c r="U880" s="1">
        <f t="shared" si="116"/>
        <v>150.41953669698293</v>
      </c>
    </row>
    <row r="881" spans="1:21" x14ac:dyDescent="0.3">
      <c r="A881" s="2">
        <v>41453</v>
      </c>
      <c r="B881" s="1">
        <v>2850.66</v>
      </c>
      <c r="C881" s="2">
        <f t="shared" si="108"/>
        <v>41453</v>
      </c>
      <c r="D881" s="1">
        <f t="shared" si="109"/>
        <v>2850.66</v>
      </c>
      <c r="E881" s="4">
        <f t="shared" si="110"/>
        <v>2871.956200000001</v>
      </c>
      <c r="F881" s="3">
        <f t="shared" si="111"/>
        <v>0.99258477549204926</v>
      </c>
      <c r="G881" s="18">
        <f t="shared" si="112"/>
        <v>1</v>
      </c>
      <c r="H881" s="3">
        <f t="shared" si="113"/>
        <v>-4.2823411062831163E-3</v>
      </c>
      <c r="I881" s="3">
        <f t="shared" si="114"/>
        <v>-4.2823411062831163E-3</v>
      </c>
      <c r="K881" s="12" t="str">
        <f>IF(AND(G881=1,G880&lt;&gt;1),MAX($K$50:K880)+1,"")</f>
        <v/>
      </c>
      <c r="L881" s="13" t="str">
        <f>IF(AND(G881&lt;&gt;1,G880=1),MAX($L$50:L880)+1,"")</f>
        <v/>
      </c>
      <c r="M881" s="13" t="str">
        <f>IF(AND(G881=-1,G880&lt;&gt;-1),MAX($M$50:M880)+1,"")</f>
        <v/>
      </c>
      <c r="N881" s="13" t="str">
        <f>IF(AND(G881&lt;&gt;-1,G880=-1),MAX($N$50:N880)+1,"")</f>
        <v/>
      </c>
      <c r="T881" s="7">
        <f t="shared" si="115"/>
        <v>97.224791359452226</v>
      </c>
      <c r="U881" s="1">
        <f t="shared" si="116"/>
        <v>149.77538893179738</v>
      </c>
    </row>
    <row r="882" spans="1:21" x14ac:dyDescent="0.3">
      <c r="A882" s="2">
        <v>41456</v>
      </c>
      <c r="B882" s="1">
        <v>2866.41</v>
      </c>
      <c r="C882" s="2">
        <f t="shared" si="108"/>
        <v>41456</v>
      </c>
      <c r="D882" s="1">
        <f t="shared" si="109"/>
        <v>2866.41</v>
      </c>
      <c r="E882" s="4">
        <f t="shared" si="110"/>
        <v>2874.325600000001</v>
      </c>
      <c r="F882" s="3">
        <f t="shared" si="111"/>
        <v>0.99724610183341744</v>
      </c>
      <c r="G882" s="18">
        <f t="shared" si="112"/>
        <v>1</v>
      </c>
      <c r="H882" s="3">
        <f t="shared" si="113"/>
        <v>5.5250363073815478E-3</v>
      </c>
      <c r="I882" s="3">
        <f t="shared" si="114"/>
        <v>5.5250363073815478E-3</v>
      </c>
      <c r="K882" s="12" t="str">
        <f>IF(AND(G882=1,G881&lt;&gt;1),MAX($K$50:K881)+1,"")</f>
        <v/>
      </c>
      <c r="L882" s="13" t="str">
        <f>IF(AND(G882&lt;&gt;1,G881=1),MAX($L$50:L881)+1,"")</f>
        <v/>
      </c>
      <c r="M882" s="13" t="str">
        <f>IF(AND(G882=-1,G881&lt;&gt;-1),MAX($M$50:M881)+1,"")</f>
        <v/>
      </c>
      <c r="N882" s="13" t="str">
        <f>IF(AND(G882&lt;&gt;-1,G881=-1),MAX($N$50:N881)+1,"")</f>
        <v/>
      </c>
      <c r="T882" s="7">
        <f t="shared" si="115"/>
        <v>97.761961861690793</v>
      </c>
      <c r="U882" s="1">
        <f t="shared" si="116"/>
        <v>150.60290339359776</v>
      </c>
    </row>
    <row r="883" spans="1:21" x14ac:dyDescent="0.3">
      <c r="A883" s="2">
        <v>41457</v>
      </c>
      <c r="B883" s="1">
        <v>2865.48</v>
      </c>
      <c r="C883" s="2">
        <f t="shared" si="108"/>
        <v>41457</v>
      </c>
      <c r="D883" s="1">
        <f t="shared" si="109"/>
        <v>2865.48</v>
      </c>
      <c r="E883" s="4">
        <f t="shared" si="110"/>
        <v>2876.4192000000016</v>
      </c>
      <c r="F883" s="3">
        <f t="shared" si="111"/>
        <v>0.99619693819315291</v>
      </c>
      <c r="G883" s="18">
        <f t="shared" si="112"/>
        <v>1</v>
      </c>
      <c r="H883" s="3">
        <f t="shared" si="113"/>
        <v>-3.2444765403405462E-4</v>
      </c>
      <c r="I883" s="3">
        <f t="shared" si="114"/>
        <v>-3.2444765403405462E-4</v>
      </c>
      <c r="K883" s="12" t="str">
        <f>IF(AND(G883=1,G882&lt;&gt;1),MAX($K$50:K882)+1,"")</f>
        <v/>
      </c>
      <c r="L883" s="13" t="str">
        <f>IF(AND(G883&lt;&gt;1,G882=1),MAX($L$50:L882)+1,"")</f>
        <v/>
      </c>
      <c r="M883" s="13" t="str">
        <f>IF(AND(G883=-1,G882&lt;&gt;-1),MAX($M$50:M882)+1,"")</f>
        <v/>
      </c>
      <c r="N883" s="13" t="str">
        <f>IF(AND(G883&lt;&gt;-1,G882=-1),MAX($N$50:N882)+1,"")</f>
        <v/>
      </c>
      <c r="T883" s="7">
        <f t="shared" si="115"/>
        <v>97.730243222511007</v>
      </c>
      <c r="U883" s="1">
        <f t="shared" si="116"/>
        <v>150.55404063490099</v>
      </c>
    </row>
    <row r="884" spans="1:21" x14ac:dyDescent="0.3">
      <c r="A884" s="2">
        <v>41458</v>
      </c>
      <c r="B884" s="1">
        <v>2867.85</v>
      </c>
      <c r="C884" s="2">
        <f t="shared" ref="C884:C947" si="117">A884</f>
        <v>41458</v>
      </c>
      <c r="D884" s="1">
        <f t="shared" ref="D884:D947" si="118">B884</f>
        <v>2867.85</v>
      </c>
      <c r="E884" s="4">
        <f t="shared" ref="E884:E947" si="119">AVERAGE(B835:B884)</f>
        <v>2877.985000000001</v>
      </c>
      <c r="F884" s="3">
        <f t="shared" ref="F884:F947" si="120">D884/E884</f>
        <v>0.9964784389077771</v>
      </c>
      <c r="G884" s="18">
        <f t="shared" ref="G884:G947" si="121">IF(F884&gt;=$Q$51,1,IF(F884&lt;=$Q$52,-1,0))</f>
        <v>1</v>
      </c>
      <c r="H884" s="3">
        <f t="shared" si="113"/>
        <v>8.2708656141372572E-4</v>
      </c>
      <c r="I884" s="3">
        <f t="shared" si="114"/>
        <v>8.2708656141372572E-4</v>
      </c>
      <c r="K884" s="12" t="str">
        <f>IF(AND(G884=1,G883&lt;&gt;1),MAX($K$50:K883)+1,"")</f>
        <v/>
      </c>
      <c r="L884" s="13" t="str">
        <f>IF(AND(G884&lt;&gt;1,G883=1),MAX($L$50:L883)+1,"")</f>
        <v/>
      </c>
      <c r="M884" s="13" t="str">
        <f>IF(AND(G884=-1,G883&lt;&gt;-1),MAX($M$50:M883)+1,"")</f>
        <v/>
      </c>
      <c r="N884" s="13" t="str">
        <f>IF(AND(G884&lt;&gt;-1,G883=-1),MAX($N$50:N883)+1,"")</f>
        <v/>
      </c>
      <c r="T884" s="7">
        <f t="shared" si="115"/>
        <v>97.811074593324037</v>
      </c>
      <c r="U884" s="1">
        <f t="shared" si="116"/>
        <v>150.67856185867666</v>
      </c>
    </row>
    <row r="885" spans="1:21" x14ac:dyDescent="0.3">
      <c r="A885" s="2">
        <v>41460</v>
      </c>
      <c r="B885" s="1">
        <v>2897.12</v>
      </c>
      <c r="C885" s="2">
        <f t="shared" si="117"/>
        <v>41460</v>
      </c>
      <c r="D885" s="1">
        <f t="shared" si="118"/>
        <v>2897.12</v>
      </c>
      <c r="E885" s="4">
        <f t="shared" si="119"/>
        <v>2880.1288000000004</v>
      </c>
      <c r="F885" s="3">
        <f t="shared" si="120"/>
        <v>1.0058994583853331</v>
      </c>
      <c r="G885" s="18">
        <f t="shared" si="121"/>
        <v>1</v>
      </c>
      <c r="H885" s="3">
        <f t="shared" ref="H885:H948" si="122">D885/D884-1</f>
        <v>1.0206252070366295E-2</v>
      </c>
      <c r="I885" s="3">
        <f t="shared" ref="I885:I948" si="123">G884*H885</f>
        <v>1.0206252070366295E-2</v>
      </c>
      <c r="K885" s="12" t="str">
        <f>IF(AND(G885=1,G884&lt;&gt;1),MAX($K$50:K884)+1,"")</f>
        <v/>
      </c>
      <c r="L885" s="13" t="str">
        <f>IF(AND(G885&lt;&gt;1,G884=1),MAX($L$50:L884)+1,"")</f>
        <v/>
      </c>
      <c r="M885" s="13" t="str">
        <f>IF(AND(G885=-1,G884&lt;&gt;-1),MAX($M$50:M884)+1,"")</f>
        <v/>
      </c>
      <c r="N885" s="13" t="str">
        <f>IF(AND(G885&lt;&gt;-1,G884=-1),MAX($N$50:N884)+1,"")</f>
        <v/>
      </c>
      <c r="T885" s="7">
        <f t="shared" ref="T885:T948" si="124">T884*(1+I885)</f>
        <v>98.809359075896907</v>
      </c>
      <c r="U885" s="1">
        <f t="shared" ref="U885:U948" si="125">U884*D885/D884</f>
        <v>152.21642524260659</v>
      </c>
    </row>
    <row r="886" spans="1:21" x14ac:dyDescent="0.3">
      <c r="A886" s="2">
        <v>41463</v>
      </c>
      <c r="B886" s="1">
        <v>2913.2</v>
      </c>
      <c r="C886" s="2">
        <f t="shared" si="117"/>
        <v>41463</v>
      </c>
      <c r="D886" s="1">
        <f t="shared" si="118"/>
        <v>2913.2</v>
      </c>
      <c r="E886" s="4">
        <f t="shared" si="119"/>
        <v>2882.367200000001</v>
      </c>
      <c r="F886" s="3">
        <f t="shared" si="120"/>
        <v>1.0106970409599438</v>
      </c>
      <c r="G886" s="18">
        <f t="shared" si="121"/>
        <v>1</v>
      </c>
      <c r="H886" s="3">
        <f t="shared" si="122"/>
        <v>5.5503396476499489E-3</v>
      </c>
      <c r="I886" s="3">
        <f t="shared" si="123"/>
        <v>5.5503396476499489E-3</v>
      </c>
      <c r="K886" s="12" t="str">
        <f>IF(AND(G886=1,G885&lt;&gt;1),MAX($K$50:K885)+1,"")</f>
        <v/>
      </c>
      <c r="L886" s="13" t="str">
        <f>IF(AND(G886&lt;&gt;1,G885=1),MAX($L$50:L885)+1,"")</f>
        <v/>
      </c>
      <c r="M886" s="13" t="str">
        <f>IF(AND(G886=-1,G885&lt;&gt;-1),MAX($M$50:M885)+1,"")</f>
        <v/>
      </c>
      <c r="N886" s="13" t="str">
        <f>IF(AND(G886&lt;&gt;-1,G885=-1),MAX($N$50:N885)+1,"")</f>
        <v/>
      </c>
      <c r="T886" s="7">
        <f t="shared" si="124"/>
        <v>99.357784579134744</v>
      </c>
      <c r="U886" s="1">
        <f t="shared" si="125"/>
        <v>153.0612781026542</v>
      </c>
    </row>
    <row r="887" spans="1:21" x14ac:dyDescent="0.3">
      <c r="A887" s="2">
        <v>41464</v>
      </c>
      <c r="B887" s="1">
        <v>2934.31</v>
      </c>
      <c r="C887" s="2">
        <f t="shared" si="117"/>
        <v>41464</v>
      </c>
      <c r="D887" s="1">
        <f t="shared" si="118"/>
        <v>2934.31</v>
      </c>
      <c r="E887" s="4">
        <f t="shared" si="119"/>
        <v>2885.1286000000009</v>
      </c>
      <c r="F887" s="3">
        <f t="shared" si="120"/>
        <v>1.0170465191742228</v>
      </c>
      <c r="G887" s="18">
        <f t="shared" si="121"/>
        <v>1</v>
      </c>
      <c r="H887" s="3">
        <f t="shared" si="122"/>
        <v>7.2463270630234167E-3</v>
      </c>
      <c r="I887" s="3">
        <f t="shared" si="123"/>
        <v>7.2463270630234167E-3</v>
      </c>
      <c r="K887" s="12" t="str">
        <f>IF(AND(G887=1,G886&lt;&gt;1),MAX($K$50:K886)+1,"")</f>
        <v/>
      </c>
      <c r="L887" s="13" t="str">
        <f>IF(AND(G887&lt;&gt;1,G886=1),MAX($L$50:L886)+1,"")</f>
        <v/>
      </c>
      <c r="M887" s="13" t="str">
        <f>IF(AND(G887=-1,G886&lt;&gt;-1),MAX($M$50:M886)+1,"")</f>
        <v/>
      </c>
      <c r="N887" s="13" t="str">
        <f>IF(AND(G887&lt;&gt;-1,G886=-1),MAX($N$50:N886)+1,"")</f>
        <v/>
      </c>
      <c r="T887" s="7">
        <f t="shared" si="124"/>
        <v>100.07776358245258</v>
      </c>
      <c r="U887" s="1">
        <f t="shared" si="125"/>
        <v>154.17041018447043</v>
      </c>
    </row>
    <row r="888" spans="1:21" x14ac:dyDescent="0.3">
      <c r="A888" s="2">
        <v>41465</v>
      </c>
      <c r="B888" s="1">
        <v>2934.97</v>
      </c>
      <c r="C888" s="2">
        <f t="shared" si="117"/>
        <v>41465</v>
      </c>
      <c r="D888" s="1">
        <f t="shared" si="118"/>
        <v>2934.97</v>
      </c>
      <c r="E888" s="4">
        <f t="shared" si="119"/>
        <v>2887.5002000000009</v>
      </c>
      <c r="F888" s="3">
        <f t="shared" si="120"/>
        <v>1.0164397564370728</v>
      </c>
      <c r="G888" s="18">
        <f t="shared" si="121"/>
        <v>1</v>
      </c>
      <c r="H888" s="3">
        <f t="shared" si="122"/>
        <v>2.2492511016203309E-4</v>
      </c>
      <c r="I888" s="3">
        <f t="shared" si="123"/>
        <v>2.2492511016203309E-4</v>
      </c>
      <c r="K888" s="12" t="str">
        <f>IF(AND(G888=1,G887&lt;&gt;1),MAX($K$50:K887)+1,"")</f>
        <v/>
      </c>
      <c r="L888" s="13" t="str">
        <f>IF(AND(G888&lt;&gt;1,G887=1),MAX($L$50:L887)+1,"")</f>
        <v/>
      </c>
      <c r="M888" s="13" t="str">
        <f>IF(AND(G888=-1,G887&lt;&gt;-1),MAX($M$50:M887)+1,"")</f>
        <v/>
      </c>
      <c r="N888" s="13" t="str">
        <f>IF(AND(G888&lt;&gt;-1,G887=-1),MAX($N$50:N887)+1,"")</f>
        <v/>
      </c>
      <c r="T888" s="7">
        <f t="shared" si="124"/>
        <v>100.10027358445113</v>
      </c>
      <c r="U888" s="1">
        <f t="shared" si="125"/>
        <v>154.20508698096489</v>
      </c>
    </row>
    <row r="889" spans="1:21" x14ac:dyDescent="0.3">
      <c r="A889" s="2">
        <v>41466</v>
      </c>
      <c r="B889" s="1">
        <v>2975.06</v>
      </c>
      <c r="C889" s="2">
        <f t="shared" si="117"/>
        <v>41466</v>
      </c>
      <c r="D889" s="1">
        <f t="shared" si="118"/>
        <v>2975.06</v>
      </c>
      <c r="E889" s="4">
        <f t="shared" si="119"/>
        <v>2890.5330000000004</v>
      </c>
      <c r="F889" s="3">
        <f t="shared" si="120"/>
        <v>1.0292427036812932</v>
      </c>
      <c r="G889" s="18">
        <f t="shared" si="121"/>
        <v>1</v>
      </c>
      <c r="H889" s="3">
        <f t="shared" si="122"/>
        <v>1.3659424116771346E-2</v>
      </c>
      <c r="I889" s="3">
        <f t="shared" si="123"/>
        <v>1.3659424116771346E-2</v>
      </c>
      <c r="K889" s="12" t="str">
        <f>IF(AND(G889=1,G888&lt;&gt;1),MAX($K$50:K888)+1,"")</f>
        <v/>
      </c>
      <c r="L889" s="13" t="str">
        <f>IF(AND(G889&lt;&gt;1,G888=1),MAX($L$50:L888)+1,"")</f>
        <v/>
      </c>
      <c r="M889" s="13" t="str">
        <f>IF(AND(G889=-1,G888&lt;&gt;-1),MAX($M$50:M888)+1,"")</f>
        <v/>
      </c>
      <c r="N889" s="13" t="str">
        <f>IF(AND(G889&lt;&gt;-1,G888=-1),MAX($N$50:N888)+1,"")</f>
        <v/>
      </c>
      <c r="T889" s="7">
        <f t="shared" si="124"/>
        <v>101.46758567554599</v>
      </c>
      <c r="U889" s="1">
        <f t="shared" si="125"/>
        <v>156.3114396650015</v>
      </c>
    </row>
    <row r="890" spans="1:21" x14ac:dyDescent="0.3">
      <c r="A890" s="2">
        <v>41467</v>
      </c>
      <c r="B890" s="1">
        <v>2984.24</v>
      </c>
      <c r="C890" s="2">
        <f t="shared" si="117"/>
        <v>41467</v>
      </c>
      <c r="D890" s="1">
        <f t="shared" si="118"/>
        <v>2984.24</v>
      </c>
      <c r="E890" s="4">
        <f t="shared" si="119"/>
        <v>2894.2722000000003</v>
      </c>
      <c r="F890" s="3">
        <f t="shared" si="120"/>
        <v>1.0310847749565502</v>
      </c>
      <c r="G890" s="18">
        <f t="shared" si="121"/>
        <v>1</v>
      </c>
      <c r="H890" s="3">
        <f t="shared" si="122"/>
        <v>3.0856520540760712E-3</v>
      </c>
      <c r="I890" s="3">
        <f t="shared" si="123"/>
        <v>3.0856520540760712E-3</v>
      </c>
      <c r="K890" s="12" t="str">
        <f>IF(AND(G890=1,G889&lt;&gt;1),MAX($K$50:K889)+1,"")</f>
        <v/>
      </c>
      <c r="L890" s="13" t="str">
        <f>IF(AND(G890&lt;&gt;1,G889=1),MAX($L$50:L889)+1,"")</f>
        <v/>
      </c>
      <c r="M890" s="13" t="str">
        <f>IF(AND(G890=-1,G889&lt;&gt;-1),MAX($M$50:M889)+1,"")</f>
        <v/>
      </c>
      <c r="N890" s="13" t="str">
        <f>IF(AND(G890&lt;&gt;-1,G889=-1),MAX($N$50:N889)+1,"")</f>
        <v/>
      </c>
      <c r="T890" s="7">
        <f t="shared" si="124"/>
        <v>101.78067933970787</v>
      </c>
      <c r="U890" s="1">
        <f t="shared" si="125"/>
        <v>156.79376237987941</v>
      </c>
    </row>
    <row r="891" spans="1:21" x14ac:dyDescent="0.3">
      <c r="A891" s="2">
        <v>41470</v>
      </c>
      <c r="B891" s="1">
        <v>2988.35</v>
      </c>
      <c r="C891" s="2">
        <f t="shared" si="117"/>
        <v>41470</v>
      </c>
      <c r="D891" s="1">
        <f t="shared" si="118"/>
        <v>2988.35</v>
      </c>
      <c r="E891" s="4">
        <f t="shared" si="119"/>
        <v>2897.5628000000002</v>
      </c>
      <c r="F891" s="3">
        <f t="shared" si="120"/>
        <v>1.0313322631005615</v>
      </c>
      <c r="G891" s="18">
        <f t="shared" si="121"/>
        <v>1</v>
      </c>
      <c r="H891" s="3">
        <f t="shared" si="122"/>
        <v>1.3772350749270412E-3</v>
      </c>
      <c r="I891" s="3">
        <f t="shared" si="123"/>
        <v>1.3772350749270412E-3</v>
      </c>
      <c r="K891" s="12" t="str">
        <f>IF(AND(G891=1,G890&lt;&gt;1),MAX($K$50:K890)+1,"")</f>
        <v/>
      </c>
      <c r="L891" s="13" t="str">
        <f>IF(AND(G891&lt;&gt;1,G890=1),MAX($L$50:L890)+1,"")</f>
        <v/>
      </c>
      <c r="M891" s="13" t="str">
        <f>IF(AND(G891=-1,G890&lt;&gt;-1),MAX($M$50:M890)+1,"")</f>
        <v/>
      </c>
      <c r="N891" s="13" t="str">
        <f>IF(AND(G891&lt;&gt;-1,G890=-1),MAX($N$50:N890)+1,"")</f>
        <v/>
      </c>
      <c r="T891" s="7">
        <f t="shared" si="124"/>
        <v>101.92085526124443</v>
      </c>
      <c r="U891" s="1">
        <f t="shared" si="125"/>
        <v>157.00970424895874</v>
      </c>
    </row>
    <row r="892" spans="1:21" x14ac:dyDescent="0.3">
      <c r="A892" s="2">
        <v>41471</v>
      </c>
      <c r="B892" s="1">
        <v>2977.26</v>
      </c>
      <c r="C892" s="2">
        <f t="shared" si="117"/>
        <v>41471</v>
      </c>
      <c r="D892" s="1">
        <f t="shared" si="118"/>
        <v>2977.26</v>
      </c>
      <c r="E892" s="4">
        <f t="shared" si="119"/>
        <v>2900.0304000000006</v>
      </c>
      <c r="F892" s="3">
        <f t="shared" si="120"/>
        <v>1.02663061738939</v>
      </c>
      <c r="G892" s="18">
        <f t="shared" si="121"/>
        <v>1</v>
      </c>
      <c r="H892" s="3">
        <f t="shared" si="122"/>
        <v>-3.7110780196428772E-3</v>
      </c>
      <c r="I892" s="3">
        <f t="shared" si="123"/>
        <v>-3.7110780196428772E-3</v>
      </c>
      <c r="K892" s="12" t="str">
        <f>IF(AND(G892=1,G891&lt;&gt;1),MAX($K$50:K891)+1,"")</f>
        <v/>
      </c>
      <c r="L892" s="13" t="str">
        <f>IF(AND(G892&lt;&gt;1,G891=1),MAX($L$50:L891)+1,"")</f>
        <v/>
      </c>
      <c r="M892" s="13" t="str">
        <f>IF(AND(G892=-1,G891&lt;&gt;-1),MAX($M$50:M891)+1,"")</f>
        <v/>
      </c>
      <c r="N892" s="13" t="str">
        <f>IF(AND(G892&lt;&gt;-1,G891=-1),MAX($N$50:N891)+1,"")</f>
        <v/>
      </c>
      <c r="T892" s="7">
        <f t="shared" si="124"/>
        <v>101.54261901554122</v>
      </c>
      <c r="U892" s="1">
        <f t="shared" si="125"/>
        <v>156.42702898664979</v>
      </c>
    </row>
    <row r="893" spans="1:21" x14ac:dyDescent="0.3">
      <c r="A893" s="2">
        <v>41472</v>
      </c>
      <c r="B893" s="1">
        <v>2985.85</v>
      </c>
      <c r="C893" s="2">
        <f t="shared" si="117"/>
        <v>41472</v>
      </c>
      <c r="D893" s="1">
        <f t="shared" si="118"/>
        <v>2985.85</v>
      </c>
      <c r="E893" s="4">
        <f t="shared" si="119"/>
        <v>2902.5606000000007</v>
      </c>
      <c r="F893" s="3">
        <f t="shared" si="120"/>
        <v>1.0286951459342482</v>
      </c>
      <c r="G893" s="18">
        <f t="shared" si="121"/>
        <v>1</v>
      </c>
      <c r="H893" s="3">
        <f t="shared" si="122"/>
        <v>2.8852031733874739E-3</v>
      </c>
      <c r="I893" s="3">
        <f t="shared" si="123"/>
        <v>2.8852031733874739E-3</v>
      </c>
      <c r="K893" s="12" t="str">
        <f>IF(AND(G893=1,G892&lt;&gt;1),MAX($K$50:K892)+1,"")</f>
        <v/>
      </c>
      <c r="L893" s="13" t="str">
        <f>IF(AND(G893&lt;&gt;1,G892=1),MAX($L$50:L892)+1,"")</f>
        <v/>
      </c>
      <c r="M893" s="13" t="str">
        <f>IF(AND(G893=-1,G892&lt;&gt;-1),MAX($M$50:M892)+1,"")</f>
        <v/>
      </c>
      <c r="N893" s="13" t="str">
        <f>IF(AND(G893&lt;&gt;-1,G892=-1),MAX($N$50:N892)+1,"")</f>
        <v/>
      </c>
      <c r="T893" s="7">
        <f t="shared" si="124"/>
        <v>101.83559010215893</v>
      </c>
      <c r="U893" s="1">
        <f t="shared" si="125"/>
        <v>156.87835274708564</v>
      </c>
    </row>
    <row r="894" spans="1:21" x14ac:dyDescent="0.3">
      <c r="A894" s="2">
        <v>41473</v>
      </c>
      <c r="B894" s="1">
        <v>3001.21</v>
      </c>
      <c r="C894" s="2">
        <f t="shared" si="117"/>
        <v>41473</v>
      </c>
      <c r="D894" s="1">
        <f t="shared" si="118"/>
        <v>3001.21</v>
      </c>
      <c r="E894" s="4">
        <f t="shared" si="119"/>
        <v>2905.0956000000001</v>
      </c>
      <c r="F894" s="3">
        <f t="shared" si="120"/>
        <v>1.0330847632002196</v>
      </c>
      <c r="G894" s="18">
        <f t="shared" si="121"/>
        <v>1</v>
      </c>
      <c r="H894" s="3">
        <f t="shared" si="122"/>
        <v>5.1442637774838929E-3</v>
      </c>
      <c r="I894" s="3">
        <f t="shared" si="123"/>
        <v>5.1442637774838929E-3</v>
      </c>
      <c r="K894" s="12" t="str">
        <f>IF(AND(G894=1,G893&lt;&gt;1),MAX($K$50:K893)+1,"")</f>
        <v/>
      </c>
      <c r="L894" s="13" t="str">
        <f>IF(AND(G894&lt;&gt;1,G893=1),MAX($L$50:L893)+1,"")</f>
        <v/>
      </c>
      <c r="M894" s="13" t="str">
        <f>IF(AND(G894=-1,G893&lt;&gt;-1),MAX($M$50:M893)+1,"")</f>
        <v/>
      </c>
      <c r="N894" s="13" t="str">
        <f>IF(AND(G894&lt;&gt;-1,G893=-1),MAX($N$50:N893)+1,"")</f>
        <v/>
      </c>
      <c r="T894" s="7">
        <f t="shared" si="124"/>
        <v>102.35945923958016</v>
      </c>
      <c r="U894" s="1">
        <f t="shared" si="125"/>
        <v>157.6853763745938</v>
      </c>
    </row>
    <row r="895" spans="1:21" x14ac:dyDescent="0.3">
      <c r="A895" s="2">
        <v>41474</v>
      </c>
      <c r="B895" s="1">
        <v>3006.13</v>
      </c>
      <c r="C895" s="2">
        <f t="shared" si="117"/>
        <v>41474</v>
      </c>
      <c r="D895" s="1">
        <f t="shared" si="118"/>
        <v>3006.13</v>
      </c>
      <c r="E895" s="4">
        <f t="shared" si="119"/>
        <v>2907.4659999999999</v>
      </c>
      <c r="F895" s="3">
        <f t="shared" si="120"/>
        <v>1.0339347046534682</v>
      </c>
      <c r="G895" s="18">
        <f t="shared" si="121"/>
        <v>1</v>
      </c>
      <c r="H895" s="3">
        <f t="shared" si="122"/>
        <v>1.6393388000173204E-3</v>
      </c>
      <c r="I895" s="3">
        <f t="shared" si="123"/>
        <v>1.6393388000173204E-3</v>
      </c>
      <c r="K895" s="12" t="str">
        <f>IF(AND(G895=1,G894&lt;&gt;1),MAX($K$50:K894)+1,"")</f>
        <v/>
      </c>
      <c r="L895" s="13" t="str">
        <f>IF(AND(G895&lt;&gt;1,G894=1),MAX($L$50:L894)+1,"")</f>
        <v/>
      </c>
      <c r="M895" s="13" t="str">
        <f>IF(AND(G895=-1,G894&lt;&gt;-1),MAX($M$50:M894)+1,"")</f>
        <v/>
      </c>
      <c r="N895" s="13" t="str">
        <f>IF(AND(G895&lt;&gt;-1,G894=-1),MAX($N$50:N894)+1,"")</f>
        <v/>
      </c>
      <c r="T895" s="7">
        <f t="shared" si="124"/>
        <v>102.52726107266039</v>
      </c>
      <c r="U895" s="1">
        <f t="shared" si="125"/>
        <v>157.94387613028002</v>
      </c>
    </row>
    <row r="896" spans="1:21" x14ac:dyDescent="0.3">
      <c r="A896" s="2">
        <v>41477</v>
      </c>
      <c r="B896" s="1">
        <v>3012.3</v>
      </c>
      <c r="C896" s="2">
        <f t="shared" si="117"/>
        <v>41477</v>
      </c>
      <c r="D896" s="1">
        <f t="shared" si="118"/>
        <v>3012.3</v>
      </c>
      <c r="E896" s="4">
        <f t="shared" si="119"/>
        <v>2910.1459999999997</v>
      </c>
      <c r="F896" s="3">
        <f t="shared" si="120"/>
        <v>1.03510270618725</v>
      </c>
      <c r="G896" s="18">
        <f t="shared" si="121"/>
        <v>1</v>
      </c>
      <c r="H896" s="3">
        <f t="shared" si="122"/>
        <v>2.0524727806183751E-3</v>
      </c>
      <c r="I896" s="3">
        <f t="shared" si="123"/>
        <v>2.0524727806183751E-3</v>
      </c>
      <c r="K896" s="12" t="str">
        <f>IF(AND(G896=1,G895&lt;&gt;1),MAX($K$50:K895)+1,"")</f>
        <v/>
      </c>
      <c r="L896" s="13" t="str">
        <f>IF(AND(G896&lt;&gt;1,G895=1),MAX($L$50:L895)+1,"")</f>
        <v/>
      </c>
      <c r="M896" s="13" t="str">
        <f>IF(AND(G896=-1,G895&lt;&gt;-1),MAX($M$50:M895)+1,"")</f>
        <v/>
      </c>
      <c r="N896" s="13" t="str">
        <f>IF(AND(G896&lt;&gt;-1,G895=-1),MAX($N$50:N895)+1,"")</f>
        <v/>
      </c>
      <c r="T896" s="7">
        <f t="shared" si="124"/>
        <v>102.73769548528338</v>
      </c>
      <c r="U896" s="1">
        <f t="shared" si="125"/>
        <v>158.26805163690275</v>
      </c>
    </row>
    <row r="897" spans="1:21" x14ac:dyDescent="0.3">
      <c r="A897" s="2">
        <v>41478</v>
      </c>
      <c r="B897" s="1">
        <v>3006.72</v>
      </c>
      <c r="C897" s="2">
        <f t="shared" si="117"/>
        <v>41478</v>
      </c>
      <c r="D897" s="1">
        <f t="shared" si="118"/>
        <v>3006.72</v>
      </c>
      <c r="E897" s="4">
        <f t="shared" si="119"/>
        <v>2912.4649999999992</v>
      </c>
      <c r="F897" s="3">
        <f t="shared" si="120"/>
        <v>1.0323626206666863</v>
      </c>
      <c r="G897" s="18">
        <f t="shared" si="121"/>
        <v>1</v>
      </c>
      <c r="H897" s="3">
        <f t="shared" si="122"/>
        <v>-1.8524051389304796E-3</v>
      </c>
      <c r="I897" s="3">
        <f t="shared" si="123"/>
        <v>-1.8524051389304796E-3</v>
      </c>
      <c r="K897" s="12" t="str">
        <f>IF(AND(G897=1,G896&lt;&gt;1),MAX($K$50:K896)+1,"")</f>
        <v/>
      </c>
      <c r="L897" s="13" t="str">
        <f>IF(AND(G897&lt;&gt;1,G896=1),MAX($L$50:L896)+1,"")</f>
        <v/>
      </c>
      <c r="M897" s="13" t="str">
        <f>IF(AND(G897=-1,G896&lt;&gt;-1),MAX($M$50:M896)+1,"")</f>
        <v/>
      </c>
      <c r="N897" s="13" t="str">
        <f>IF(AND(G897&lt;&gt;-1,G896=-1),MAX($N$50:N896)+1,"")</f>
        <v/>
      </c>
      <c r="T897" s="7">
        <f t="shared" si="124"/>
        <v>102.54738365020457</v>
      </c>
      <c r="U897" s="1">
        <f t="shared" si="125"/>
        <v>157.97487508472202</v>
      </c>
    </row>
    <row r="898" spans="1:21" x14ac:dyDescent="0.3">
      <c r="A898" s="2">
        <v>41479</v>
      </c>
      <c r="B898" s="1">
        <v>2995.3</v>
      </c>
      <c r="C898" s="2">
        <f t="shared" si="117"/>
        <v>41479</v>
      </c>
      <c r="D898" s="1">
        <f t="shared" si="118"/>
        <v>2995.3</v>
      </c>
      <c r="E898" s="4">
        <f t="shared" si="119"/>
        <v>2914.5475999999994</v>
      </c>
      <c r="F898" s="3">
        <f t="shared" si="120"/>
        <v>1.0277066670655854</v>
      </c>
      <c r="G898" s="18">
        <f t="shared" si="121"/>
        <v>1</v>
      </c>
      <c r="H898" s="3">
        <f t="shared" si="122"/>
        <v>-3.7981587909747816E-3</v>
      </c>
      <c r="I898" s="3">
        <f t="shared" si="123"/>
        <v>-3.7981587909747816E-3</v>
      </c>
      <c r="K898" s="12" t="str">
        <f>IF(AND(G898=1,G897&lt;&gt;1),MAX($K$50:K897)+1,"")</f>
        <v/>
      </c>
      <c r="L898" s="13" t="str">
        <f>IF(AND(G898&lt;&gt;1,G897=1),MAX($L$50:L897)+1,"")</f>
        <v/>
      </c>
      <c r="M898" s="13" t="str">
        <f>IF(AND(G898=-1,G897&lt;&gt;-1),MAX($M$50:M897)+1,"")</f>
        <v/>
      </c>
      <c r="N898" s="13" t="str">
        <f>IF(AND(G898&lt;&gt;-1,G897=-1),MAX($N$50:N897)+1,"")</f>
        <v/>
      </c>
      <c r="T898" s="7">
        <f t="shared" si="124"/>
        <v>102.15789240350207</v>
      </c>
      <c r="U898" s="1">
        <f t="shared" si="125"/>
        <v>157.37486142416583</v>
      </c>
    </row>
    <row r="899" spans="1:21" x14ac:dyDescent="0.3">
      <c r="A899" s="2">
        <v>41480</v>
      </c>
      <c r="B899" s="1">
        <v>3003.01</v>
      </c>
      <c r="C899" s="2">
        <f t="shared" si="117"/>
        <v>41480</v>
      </c>
      <c r="D899" s="1">
        <f t="shared" si="118"/>
        <v>3003.01</v>
      </c>
      <c r="E899" s="4">
        <f t="shared" si="119"/>
        <v>2916.1853999999998</v>
      </c>
      <c r="F899" s="3">
        <f t="shared" si="120"/>
        <v>1.0297733470581125</v>
      </c>
      <c r="G899" s="18">
        <f t="shared" si="121"/>
        <v>1</v>
      </c>
      <c r="H899" s="3">
        <f t="shared" si="122"/>
        <v>2.5740326511534128E-3</v>
      </c>
      <c r="I899" s="3">
        <f t="shared" si="123"/>
        <v>2.5740326511534128E-3</v>
      </c>
      <c r="K899" s="12" t="str">
        <f>IF(AND(G899=1,G898&lt;&gt;1),MAX($K$50:K898)+1,"")</f>
        <v/>
      </c>
      <c r="L899" s="13" t="str">
        <f>IF(AND(G899&lt;&gt;1,G898=1),MAX($L$50:L898)+1,"")</f>
        <v/>
      </c>
      <c r="M899" s="13" t="str">
        <f>IF(AND(G899=-1,G898&lt;&gt;-1),MAX($M$50:M898)+1,"")</f>
        <v/>
      </c>
      <c r="N899" s="13" t="str">
        <f>IF(AND(G899&lt;&gt;-1,G898=-1),MAX($N$50:N898)+1,"")</f>
        <v/>
      </c>
      <c r="T899" s="7">
        <f t="shared" si="124"/>
        <v>102.42085015412171</v>
      </c>
      <c r="U899" s="1">
        <f t="shared" si="125"/>
        <v>157.77994945594239</v>
      </c>
    </row>
    <row r="900" spans="1:21" x14ac:dyDescent="0.3">
      <c r="A900" s="2">
        <v>41481</v>
      </c>
      <c r="B900" s="1">
        <v>3005.51</v>
      </c>
      <c r="C900" s="2">
        <f t="shared" si="117"/>
        <v>41481</v>
      </c>
      <c r="D900" s="1">
        <f t="shared" si="118"/>
        <v>3005.51</v>
      </c>
      <c r="E900" s="4">
        <f t="shared" si="119"/>
        <v>2917.5560000000005</v>
      </c>
      <c r="F900" s="3">
        <f t="shared" si="120"/>
        <v>1.0301464650549981</v>
      </c>
      <c r="G900" s="18">
        <f t="shared" si="121"/>
        <v>1</v>
      </c>
      <c r="H900" s="3">
        <f t="shared" si="122"/>
        <v>8.3249806027962947E-4</v>
      </c>
      <c r="I900" s="3">
        <f t="shared" si="123"/>
        <v>8.3249806027962947E-4</v>
      </c>
      <c r="K900" s="12" t="str">
        <f>IF(AND(G900=1,G899&lt;&gt;1),MAX($K$50:K899)+1,"")</f>
        <v/>
      </c>
      <c r="L900" s="13" t="str">
        <f>IF(AND(G900&lt;&gt;1,G899=1),MAX($L$50:L899)+1,"")</f>
        <v/>
      </c>
      <c r="M900" s="13" t="str">
        <f>IF(AND(G900=-1,G899&lt;&gt;-1),MAX($M$50:M899)+1,"")</f>
        <v/>
      </c>
      <c r="N900" s="13" t="str">
        <f>IF(AND(G900&lt;&gt;-1,G899=-1),MAX($N$50:N899)+1,"")</f>
        <v/>
      </c>
      <c r="T900" s="7">
        <f t="shared" si="124"/>
        <v>102.5061153132072</v>
      </c>
      <c r="U900" s="1">
        <f t="shared" si="125"/>
        <v>157.91130095781546</v>
      </c>
    </row>
    <row r="901" spans="1:21" x14ac:dyDescent="0.3">
      <c r="A901" s="2">
        <v>41484</v>
      </c>
      <c r="B901" s="1">
        <v>2994.45</v>
      </c>
      <c r="C901" s="2">
        <f t="shared" si="117"/>
        <v>41484</v>
      </c>
      <c r="D901" s="1">
        <f t="shared" si="118"/>
        <v>2994.45</v>
      </c>
      <c r="E901" s="4">
        <f t="shared" si="119"/>
        <v>2918.9970000000008</v>
      </c>
      <c r="F901" s="3">
        <f t="shared" si="120"/>
        <v>1.0258489474295449</v>
      </c>
      <c r="G901" s="18">
        <f t="shared" si="121"/>
        <v>1</v>
      </c>
      <c r="H901" s="3">
        <f t="shared" si="122"/>
        <v>-3.6799079024858461E-3</v>
      </c>
      <c r="I901" s="3">
        <f t="shared" si="123"/>
        <v>-3.6799079024858461E-3</v>
      </c>
      <c r="K901" s="12" t="str">
        <f>IF(AND(G901=1,G900&lt;&gt;1),MAX($K$50:K900)+1,"")</f>
        <v/>
      </c>
      <c r="L901" s="13" t="str">
        <f>IF(AND(G901&lt;&gt;1,G900=1),MAX($L$50:L900)+1,"")</f>
        <v/>
      </c>
      <c r="M901" s="13" t="str">
        <f>IF(AND(G901=-1,G900&lt;&gt;-1),MAX($M$50:M900)+1,"")</f>
        <v/>
      </c>
      <c r="N901" s="13" t="str">
        <f>IF(AND(G901&lt;&gt;-1,G900=-1),MAX($N$50:N900)+1,"")</f>
        <v/>
      </c>
      <c r="T901" s="7">
        <f t="shared" si="124"/>
        <v>102.128902249413</v>
      </c>
      <c r="U901" s="1">
        <f t="shared" si="125"/>
        <v>157.33020191352895</v>
      </c>
    </row>
    <row r="902" spans="1:21" x14ac:dyDescent="0.3">
      <c r="A902" s="2">
        <v>41485</v>
      </c>
      <c r="B902" s="1">
        <v>2995.68</v>
      </c>
      <c r="C902" s="2">
        <f t="shared" si="117"/>
        <v>41485</v>
      </c>
      <c r="D902" s="1">
        <f t="shared" si="118"/>
        <v>2995.68</v>
      </c>
      <c r="E902" s="4">
        <f t="shared" si="119"/>
        <v>2919.8594000000007</v>
      </c>
      <c r="F902" s="3">
        <f t="shared" si="120"/>
        <v>1.0259672092430201</v>
      </c>
      <c r="G902" s="18">
        <f t="shared" si="121"/>
        <v>1</v>
      </c>
      <c r="H902" s="3">
        <f t="shared" si="122"/>
        <v>4.1075990582584154E-4</v>
      </c>
      <c r="I902" s="3">
        <f t="shared" si="123"/>
        <v>4.1075990582584154E-4</v>
      </c>
      <c r="K902" s="12" t="str">
        <f>IF(AND(G902=1,G901&lt;&gt;1),MAX($K$50:K901)+1,"")</f>
        <v/>
      </c>
      <c r="L902" s="13" t="str">
        <f>IF(AND(G902&lt;&gt;1,G901=1),MAX($L$50:L901)+1,"")</f>
        <v/>
      </c>
      <c r="M902" s="13" t="str">
        <f>IF(AND(G902=-1,G901&lt;&gt;-1),MAX($M$50:M901)+1,"")</f>
        <v/>
      </c>
      <c r="N902" s="13" t="str">
        <f>IF(AND(G902&lt;&gt;-1,G901=-1),MAX($N$50:N901)+1,"")</f>
        <v/>
      </c>
      <c r="T902" s="7">
        <f t="shared" si="124"/>
        <v>102.17085270768307</v>
      </c>
      <c r="U902" s="1">
        <f t="shared" si="125"/>
        <v>157.39482685245051</v>
      </c>
    </row>
    <row r="903" spans="1:21" x14ac:dyDescent="0.3">
      <c r="A903" s="2">
        <v>41486</v>
      </c>
      <c r="B903" s="1">
        <v>2995.72</v>
      </c>
      <c r="C903" s="2">
        <f t="shared" si="117"/>
        <v>41486</v>
      </c>
      <c r="D903" s="1">
        <f t="shared" si="118"/>
        <v>2995.72</v>
      </c>
      <c r="E903" s="4">
        <f t="shared" si="119"/>
        <v>2920.7632000000008</v>
      </c>
      <c r="F903" s="3">
        <f t="shared" si="120"/>
        <v>1.0256634293392901</v>
      </c>
      <c r="G903" s="18">
        <f t="shared" si="121"/>
        <v>1</v>
      </c>
      <c r="H903" s="3">
        <f t="shared" si="122"/>
        <v>1.3352561021084952E-5</v>
      </c>
      <c r="I903" s="3">
        <f t="shared" si="123"/>
        <v>1.3352561021084952E-5</v>
      </c>
      <c r="K903" s="12" t="str">
        <f>IF(AND(G903=1,G902&lt;&gt;1),MAX($K$50:K902)+1,"")</f>
        <v/>
      </c>
      <c r="L903" s="13" t="str">
        <f>IF(AND(G903&lt;&gt;1,G902=1),MAX($L$50:L902)+1,"")</f>
        <v/>
      </c>
      <c r="M903" s="13" t="str">
        <f>IF(AND(G903=-1,G902&lt;&gt;-1),MAX($M$50:M902)+1,"")</f>
        <v/>
      </c>
      <c r="N903" s="13" t="str">
        <f>IF(AND(G903&lt;&gt;-1,G902=-1),MAX($N$50:N902)+1,"")</f>
        <v/>
      </c>
      <c r="T903" s="7">
        <f t="shared" si="124"/>
        <v>102.17221695022842</v>
      </c>
      <c r="U903" s="1">
        <f t="shared" si="125"/>
        <v>157.3969284764805</v>
      </c>
    </row>
    <row r="904" spans="1:21" x14ac:dyDescent="0.3">
      <c r="A904" s="2">
        <v>41487</v>
      </c>
      <c r="B904" s="1">
        <v>3033.59</v>
      </c>
      <c r="C904" s="2">
        <f t="shared" si="117"/>
        <v>41487</v>
      </c>
      <c r="D904" s="1">
        <f t="shared" si="118"/>
        <v>3033.59</v>
      </c>
      <c r="E904" s="4">
        <f t="shared" si="119"/>
        <v>2922.3212000000003</v>
      </c>
      <c r="F904" s="3">
        <f t="shared" si="120"/>
        <v>1.0380754860211807</v>
      </c>
      <c r="G904" s="18">
        <f t="shared" si="121"/>
        <v>1</v>
      </c>
      <c r="H904" s="3">
        <f t="shared" si="122"/>
        <v>1.2641368352182658E-2</v>
      </c>
      <c r="I904" s="3">
        <f t="shared" si="123"/>
        <v>1.2641368352182658E-2</v>
      </c>
      <c r="K904" s="12" t="str">
        <f>IF(AND(G904=1,G903&lt;&gt;1),MAX($K$50:K903)+1,"")</f>
        <v/>
      </c>
      <c r="L904" s="13" t="str">
        <f>IF(AND(G904&lt;&gt;1,G903=1),MAX($L$50:L903)+1,"")</f>
        <v/>
      </c>
      <c r="M904" s="13" t="str">
        <f>IF(AND(G904=-1,G903&lt;&gt;-1),MAX($M$50:M903)+1,"")</f>
        <v/>
      </c>
      <c r="N904" s="13" t="str">
        <f>IF(AND(G904&lt;&gt;-1,G903=-1),MAX($N$50:N903)+1,"")</f>
        <v/>
      </c>
      <c r="T904" s="7">
        <f t="shared" si="124"/>
        <v>103.46381358005537</v>
      </c>
      <c r="U904" s="1">
        <f t="shared" si="125"/>
        <v>159.38664102685382</v>
      </c>
    </row>
    <row r="905" spans="1:21" x14ac:dyDescent="0.3">
      <c r="A905" s="2">
        <v>41488</v>
      </c>
      <c r="B905" s="1">
        <v>3038.63</v>
      </c>
      <c r="C905" s="2">
        <f t="shared" si="117"/>
        <v>41488</v>
      </c>
      <c r="D905" s="1">
        <f t="shared" si="118"/>
        <v>3038.63</v>
      </c>
      <c r="E905" s="4">
        <f t="shared" si="119"/>
        <v>2924.4622000000004</v>
      </c>
      <c r="F905" s="3">
        <f t="shared" si="120"/>
        <v>1.0390389043154669</v>
      </c>
      <c r="G905" s="18">
        <f t="shared" si="121"/>
        <v>1</v>
      </c>
      <c r="H905" s="3">
        <f t="shared" si="122"/>
        <v>1.6613978817177077E-3</v>
      </c>
      <c r="I905" s="3">
        <f t="shared" si="123"/>
        <v>1.6613978817177077E-3</v>
      </c>
      <c r="K905" s="12" t="str">
        <f>IF(AND(G905=1,G904&lt;&gt;1),MAX($K$50:K904)+1,"")</f>
        <v/>
      </c>
      <c r="L905" s="13" t="str">
        <f>IF(AND(G905&lt;&gt;1,G904=1),MAX($L$50:L904)+1,"")</f>
        <v/>
      </c>
      <c r="M905" s="13" t="str">
        <f>IF(AND(G905=-1,G904&lt;&gt;-1),MAX($M$50:M904)+1,"")</f>
        <v/>
      </c>
      <c r="N905" s="13" t="str">
        <f>IF(AND(G905&lt;&gt;-1,G904=-1),MAX($N$50:N904)+1,"")</f>
        <v/>
      </c>
      <c r="T905" s="7">
        <f t="shared" si="124"/>
        <v>103.63570814077171</v>
      </c>
      <c r="U905" s="1">
        <f t="shared" si="125"/>
        <v>159.65144565462992</v>
      </c>
    </row>
    <row r="906" spans="1:21" x14ac:dyDescent="0.3">
      <c r="A906" s="2">
        <v>41491</v>
      </c>
      <c r="B906" s="1">
        <v>3034.43</v>
      </c>
      <c r="C906" s="2">
        <f t="shared" si="117"/>
        <v>41491</v>
      </c>
      <c r="D906" s="1">
        <f t="shared" si="118"/>
        <v>3034.43</v>
      </c>
      <c r="E906" s="4">
        <f t="shared" si="119"/>
        <v>2926.6822000000002</v>
      </c>
      <c r="F906" s="3">
        <f t="shared" si="120"/>
        <v>1.0368156815933072</v>
      </c>
      <c r="G906" s="18">
        <f t="shared" si="121"/>
        <v>1</v>
      </c>
      <c r="H906" s="3">
        <f t="shared" si="122"/>
        <v>-1.3822018475432296E-3</v>
      </c>
      <c r="I906" s="3">
        <f t="shared" si="123"/>
        <v>-1.3822018475432296E-3</v>
      </c>
      <c r="K906" s="12" t="str">
        <f>IF(AND(G906=1,G905&lt;&gt;1),MAX($K$50:K905)+1,"")</f>
        <v/>
      </c>
      <c r="L906" s="13" t="str">
        <f>IF(AND(G906&lt;&gt;1,G905=1),MAX($L$50:L905)+1,"")</f>
        <v/>
      </c>
      <c r="M906" s="13" t="str">
        <f>IF(AND(G906=-1,G905&lt;&gt;-1),MAX($M$50:M905)+1,"")</f>
        <v/>
      </c>
      <c r="N906" s="13" t="str">
        <f>IF(AND(G906&lt;&gt;-1,G905=-1),MAX($N$50:N905)+1,"")</f>
        <v/>
      </c>
      <c r="T906" s="7">
        <f t="shared" si="124"/>
        <v>103.49246267350809</v>
      </c>
      <c r="U906" s="1">
        <f t="shared" si="125"/>
        <v>159.43077513148313</v>
      </c>
    </row>
    <row r="907" spans="1:21" x14ac:dyDescent="0.3">
      <c r="A907" s="2">
        <v>41492</v>
      </c>
      <c r="B907" s="1">
        <v>3017.16</v>
      </c>
      <c r="C907" s="2">
        <f t="shared" si="117"/>
        <v>41492</v>
      </c>
      <c r="D907" s="1">
        <f t="shared" si="118"/>
        <v>3017.16</v>
      </c>
      <c r="E907" s="4">
        <f t="shared" si="119"/>
        <v>2928.5878000000002</v>
      </c>
      <c r="F907" s="3">
        <f t="shared" si="120"/>
        <v>1.0302439967823398</v>
      </c>
      <c r="G907" s="18">
        <f t="shared" si="121"/>
        <v>1</v>
      </c>
      <c r="H907" s="3">
        <f t="shared" si="122"/>
        <v>-5.6913489518624072E-3</v>
      </c>
      <c r="I907" s="3">
        <f t="shared" si="123"/>
        <v>-5.6913489518624072E-3</v>
      </c>
      <c r="K907" s="12" t="str">
        <f>IF(AND(G907=1,G906&lt;&gt;1),MAX($K$50:K906)+1,"")</f>
        <v/>
      </c>
      <c r="L907" s="13" t="str">
        <f>IF(AND(G907&lt;&gt;1,G906=1),MAX($L$50:L906)+1,"")</f>
        <v/>
      </c>
      <c r="M907" s="13" t="str">
        <f>IF(AND(G907=-1,G906&lt;&gt;-1),MAX($M$50:M906)+1,"")</f>
        <v/>
      </c>
      <c r="N907" s="13" t="str">
        <f>IF(AND(G907&lt;&gt;-1,G906=-1),MAX($N$50:N906)+1,"")</f>
        <v/>
      </c>
      <c r="T907" s="7">
        <f t="shared" si="124"/>
        <v>102.90345095454556</v>
      </c>
      <c r="U907" s="1">
        <f t="shared" si="125"/>
        <v>158.52339895654396</v>
      </c>
    </row>
    <row r="908" spans="1:21" x14ac:dyDescent="0.3">
      <c r="A908" s="2">
        <v>41493</v>
      </c>
      <c r="B908" s="1">
        <v>3006.63</v>
      </c>
      <c r="C908" s="2">
        <f t="shared" si="117"/>
        <v>41493</v>
      </c>
      <c r="D908" s="1">
        <f t="shared" si="118"/>
        <v>3006.63</v>
      </c>
      <c r="E908" s="4">
        <f t="shared" si="119"/>
        <v>2929.9114</v>
      </c>
      <c r="F908" s="3">
        <f t="shared" si="120"/>
        <v>1.0261846143197368</v>
      </c>
      <c r="G908" s="18">
        <f t="shared" si="121"/>
        <v>1</v>
      </c>
      <c r="H908" s="3">
        <f t="shared" si="122"/>
        <v>-3.4900369884260929E-3</v>
      </c>
      <c r="I908" s="3">
        <f t="shared" si="123"/>
        <v>-3.4900369884260929E-3</v>
      </c>
      <c r="K908" s="12" t="str">
        <f>IF(AND(G908=1,G907&lt;&gt;1),MAX($K$50:K907)+1,"")</f>
        <v/>
      </c>
      <c r="L908" s="13" t="str">
        <f>IF(AND(G908&lt;&gt;1,G907=1),MAX($L$50:L907)+1,"")</f>
        <v/>
      </c>
      <c r="M908" s="13" t="str">
        <f>IF(AND(G908=-1,G907&lt;&gt;-1),MAX($M$50:M907)+1,"")</f>
        <v/>
      </c>
      <c r="N908" s="13" t="str">
        <f>IF(AND(G908&lt;&gt;-1,G907=-1),MAX($N$50:N907)+1,"")</f>
        <v/>
      </c>
      <c r="T908" s="7">
        <f t="shared" si="124"/>
        <v>102.54431410447751</v>
      </c>
      <c r="U908" s="1">
        <f t="shared" si="125"/>
        <v>157.97014643065458</v>
      </c>
    </row>
    <row r="909" spans="1:21" x14ac:dyDescent="0.3">
      <c r="A909" s="2">
        <v>41494</v>
      </c>
      <c r="B909" s="1">
        <v>3019</v>
      </c>
      <c r="C909" s="2">
        <f t="shared" si="117"/>
        <v>41494</v>
      </c>
      <c r="D909" s="1">
        <f t="shared" si="118"/>
        <v>3019</v>
      </c>
      <c r="E909" s="4">
        <f t="shared" si="119"/>
        <v>2931.8878000000004</v>
      </c>
      <c r="F909" s="3">
        <f t="shared" si="120"/>
        <v>1.0297119828391794</v>
      </c>
      <c r="G909" s="18">
        <f t="shared" si="121"/>
        <v>1</v>
      </c>
      <c r="H909" s="3">
        <f t="shared" si="122"/>
        <v>4.1142408610304049E-3</v>
      </c>
      <c r="I909" s="3">
        <f t="shared" si="123"/>
        <v>4.1142408610304049E-3</v>
      </c>
      <c r="K909" s="12" t="str">
        <f>IF(AND(G909=1,G908&lt;&gt;1),MAX($K$50:K908)+1,"")</f>
        <v/>
      </c>
      <c r="L909" s="13" t="str">
        <f>IF(AND(G909&lt;&gt;1,G908=1),MAX($L$50:L908)+1,"")</f>
        <v/>
      </c>
      <c r="M909" s="13" t="str">
        <f>IF(AND(G909=-1,G908&lt;&gt;-1),MAX($M$50:M908)+1,"")</f>
        <v/>
      </c>
      <c r="N909" s="13" t="str">
        <f>IF(AND(G909&lt;&gt;-1,G908=-1),MAX($N$50:N908)+1,"")</f>
        <v/>
      </c>
      <c r="T909" s="7">
        <f t="shared" si="124"/>
        <v>102.96620611163249</v>
      </c>
      <c r="U909" s="1">
        <f t="shared" si="125"/>
        <v>158.62007366192253</v>
      </c>
    </row>
    <row r="910" spans="1:21" x14ac:dyDescent="0.3">
      <c r="A910" s="2">
        <v>41495</v>
      </c>
      <c r="B910" s="1">
        <v>3008.79</v>
      </c>
      <c r="C910" s="2">
        <f t="shared" si="117"/>
        <v>41495</v>
      </c>
      <c r="D910" s="1">
        <f t="shared" si="118"/>
        <v>3008.79</v>
      </c>
      <c r="E910" s="4">
        <f t="shared" si="119"/>
        <v>2933.4358000000002</v>
      </c>
      <c r="F910" s="3">
        <f t="shared" si="120"/>
        <v>1.0256880344884316</v>
      </c>
      <c r="G910" s="18">
        <f t="shared" si="121"/>
        <v>1</v>
      </c>
      <c r="H910" s="3">
        <f t="shared" si="122"/>
        <v>-3.3819145412388174E-3</v>
      </c>
      <c r="I910" s="3">
        <f t="shared" si="123"/>
        <v>-3.3819145412388174E-3</v>
      </c>
      <c r="K910" s="12" t="str">
        <f>IF(AND(G910=1,G909&lt;&gt;1),MAX($K$50:K909)+1,"")</f>
        <v/>
      </c>
      <c r="L910" s="13" t="str">
        <f>IF(AND(G910&lt;&gt;1,G909=1),MAX($L$50:L909)+1,"")</f>
        <v/>
      </c>
      <c r="M910" s="13" t="str">
        <f>IF(AND(G910=-1,G909&lt;&gt;-1),MAX($M$50:M909)+1,"")</f>
        <v/>
      </c>
      <c r="N910" s="13" t="str">
        <f>IF(AND(G910&lt;&gt;-1,G909=-1),MAX($N$50:N909)+1,"")</f>
        <v/>
      </c>
      <c r="T910" s="7">
        <f t="shared" si="124"/>
        <v>102.61798320192736</v>
      </c>
      <c r="U910" s="1">
        <f t="shared" si="125"/>
        <v>158.08363412827291</v>
      </c>
    </row>
    <row r="911" spans="1:21" x14ac:dyDescent="0.3">
      <c r="A911" s="2">
        <v>41498</v>
      </c>
      <c r="B911" s="1">
        <v>3005.42</v>
      </c>
      <c r="C911" s="2">
        <f t="shared" si="117"/>
        <v>41498</v>
      </c>
      <c r="D911" s="1">
        <f t="shared" si="118"/>
        <v>3005.42</v>
      </c>
      <c r="E911" s="4">
        <f t="shared" si="119"/>
        <v>2935.7550000000006</v>
      </c>
      <c r="F911" s="3">
        <f t="shared" si="120"/>
        <v>1.0237298412163138</v>
      </c>
      <c r="G911" s="18">
        <f t="shared" si="121"/>
        <v>1</v>
      </c>
      <c r="H911" s="3">
        <f t="shared" si="122"/>
        <v>-1.1200515821974122E-3</v>
      </c>
      <c r="I911" s="3">
        <f t="shared" si="123"/>
        <v>-1.1200515821974122E-3</v>
      </c>
      <c r="K911" s="12" t="str">
        <f>IF(AND(G911=1,G910&lt;&gt;1),MAX($K$50:K910)+1,"")</f>
        <v/>
      </c>
      <c r="L911" s="13" t="str">
        <f>IF(AND(G911&lt;&gt;1,G910=1),MAX($L$50:L910)+1,"")</f>
        <v/>
      </c>
      <c r="M911" s="13" t="str">
        <f>IF(AND(G911=-1,G910&lt;&gt;-1),MAX($M$50:M910)+1,"")</f>
        <v/>
      </c>
      <c r="N911" s="13" t="str">
        <f>IF(AND(G911&lt;&gt;-1,G910=-1),MAX($N$50:N910)+1,"")</f>
        <v/>
      </c>
      <c r="T911" s="7">
        <f t="shared" si="124"/>
        <v>102.50304576748013</v>
      </c>
      <c r="U911" s="1">
        <f t="shared" si="125"/>
        <v>157.90657230374802</v>
      </c>
    </row>
    <row r="912" spans="1:21" x14ac:dyDescent="0.3">
      <c r="A912" s="2">
        <v>41499</v>
      </c>
      <c r="B912" s="1">
        <v>3014.43</v>
      </c>
      <c r="C912" s="2">
        <f t="shared" si="117"/>
        <v>41499</v>
      </c>
      <c r="D912" s="1">
        <f t="shared" si="118"/>
        <v>3014.43</v>
      </c>
      <c r="E912" s="4">
        <f t="shared" si="119"/>
        <v>2937.9054000000006</v>
      </c>
      <c r="F912" s="3">
        <f t="shared" si="120"/>
        <v>1.0260473329059538</v>
      </c>
      <c r="G912" s="18">
        <f t="shared" si="121"/>
        <v>1</v>
      </c>
      <c r="H912" s="3">
        <f t="shared" si="122"/>
        <v>2.9979170964455903E-3</v>
      </c>
      <c r="I912" s="3">
        <f t="shared" si="123"/>
        <v>2.9979170964455903E-3</v>
      </c>
      <c r="K912" s="12" t="str">
        <f>IF(AND(G912=1,G911&lt;&gt;1),MAX($K$50:K911)+1,"")</f>
        <v/>
      </c>
      <c r="L912" s="13" t="str">
        <f>IF(AND(G912&lt;&gt;1,G911=1),MAX($L$50:L911)+1,"")</f>
        <v/>
      </c>
      <c r="M912" s="13" t="str">
        <f>IF(AND(G912=-1,G911&lt;&gt;-1),MAX($M$50:M911)+1,"")</f>
        <v/>
      </c>
      <c r="N912" s="13" t="str">
        <f>IF(AND(G912&lt;&gt;-1,G911=-1),MAX($N$50:N911)+1,"")</f>
        <v/>
      </c>
      <c r="T912" s="7">
        <f t="shared" si="124"/>
        <v>102.8103414008242</v>
      </c>
      <c r="U912" s="1">
        <f t="shared" si="125"/>
        <v>158.37996311649854</v>
      </c>
    </row>
    <row r="913" spans="1:21" x14ac:dyDescent="0.3">
      <c r="A913" s="2">
        <v>41500</v>
      </c>
      <c r="B913" s="1">
        <v>2999.42</v>
      </c>
      <c r="C913" s="2">
        <f t="shared" si="117"/>
        <v>41500</v>
      </c>
      <c r="D913" s="1">
        <f t="shared" si="118"/>
        <v>2999.42</v>
      </c>
      <c r="E913" s="4">
        <f t="shared" si="119"/>
        <v>2940.0734000000007</v>
      </c>
      <c r="F913" s="3">
        <f t="shared" si="120"/>
        <v>1.0201854144185649</v>
      </c>
      <c r="G913" s="18">
        <f t="shared" si="121"/>
        <v>1</v>
      </c>
      <c r="H913" s="3">
        <f t="shared" si="122"/>
        <v>-4.9793825034915029E-3</v>
      </c>
      <c r="I913" s="3">
        <f t="shared" si="123"/>
        <v>-4.9793825034915029E-3</v>
      </c>
      <c r="K913" s="12" t="str">
        <f>IF(AND(G913=1,G912&lt;&gt;1),MAX($K$50:K912)+1,"")</f>
        <v/>
      </c>
      <c r="L913" s="13" t="str">
        <f>IF(AND(G913&lt;&gt;1,G912=1),MAX($L$50:L912)+1,"")</f>
        <v/>
      </c>
      <c r="M913" s="13" t="str">
        <f>IF(AND(G913=-1,G912&lt;&gt;-1),MAX($M$50:M912)+1,"")</f>
        <v/>
      </c>
      <c r="N913" s="13" t="str">
        <f>IF(AND(G913&lt;&gt;-1,G912=-1),MAX($N$50:N912)+1,"")</f>
        <v/>
      </c>
      <c r="T913" s="7">
        <f t="shared" si="124"/>
        <v>102.29840938567494</v>
      </c>
      <c r="U913" s="1">
        <f t="shared" si="125"/>
        <v>157.59132869925261</v>
      </c>
    </row>
    <row r="914" spans="1:21" x14ac:dyDescent="0.3">
      <c r="A914" s="2">
        <v>41501</v>
      </c>
      <c r="B914" s="1">
        <v>2957.08</v>
      </c>
      <c r="C914" s="2">
        <f t="shared" si="117"/>
        <v>41501</v>
      </c>
      <c r="D914" s="1">
        <f t="shared" si="118"/>
        <v>2957.08</v>
      </c>
      <c r="E914" s="4">
        <f t="shared" si="119"/>
        <v>2942.177200000001</v>
      </c>
      <c r="F914" s="3">
        <f t="shared" si="120"/>
        <v>1.0050652285661106</v>
      </c>
      <c r="G914" s="18">
        <f t="shared" si="121"/>
        <v>1</v>
      </c>
      <c r="H914" s="3">
        <f t="shared" si="122"/>
        <v>-1.4116062438738197E-2</v>
      </c>
      <c r="I914" s="3">
        <f t="shared" si="123"/>
        <v>-1.4116062438738197E-2</v>
      </c>
      <c r="K914" s="12" t="str">
        <f>IF(AND(G914=1,G913&lt;&gt;1),MAX($K$50:K913)+1,"")</f>
        <v/>
      </c>
      <c r="L914" s="13" t="str">
        <f>IF(AND(G914&lt;&gt;1,G913=1),MAX($L$50:L913)+1,"")</f>
        <v/>
      </c>
      <c r="M914" s="13" t="str">
        <f>IF(AND(G914=-1,G913&lt;&gt;-1),MAX($M$50:M913)+1,"")</f>
        <v/>
      </c>
      <c r="N914" s="13" t="str">
        <f>IF(AND(G914&lt;&gt;-1,G913=-1),MAX($N$50:N913)+1,"")</f>
        <v/>
      </c>
      <c r="T914" s="7">
        <f t="shared" si="124"/>
        <v>100.85435865140316</v>
      </c>
      <c r="U914" s="1">
        <f t="shared" si="125"/>
        <v>155.36675966353025</v>
      </c>
    </row>
    <row r="915" spans="1:21" x14ac:dyDescent="0.3">
      <c r="A915" s="2">
        <v>41502</v>
      </c>
      <c r="B915" s="1">
        <v>2947.46</v>
      </c>
      <c r="C915" s="2">
        <f t="shared" si="117"/>
        <v>41502</v>
      </c>
      <c r="D915" s="1">
        <f t="shared" si="118"/>
        <v>2947.46</v>
      </c>
      <c r="E915" s="4">
        <f t="shared" si="119"/>
        <v>2943.5964000000004</v>
      </c>
      <c r="F915" s="3">
        <f t="shared" si="120"/>
        <v>1.00131254407024</v>
      </c>
      <c r="G915" s="18">
        <f t="shared" si="121"/>
        <v>1</v>
      </c>
      <c r="H915" s="3">
        <f t="shared" si="122"/>
        <v>-3.2532092469598206E-3</v>
      </c>
      <c r="I915" s="3">
        <f t="shared" si="123"/>
        <v>-3.2532092469598206E-3</v>
      </c>
      <c r="K915" s="12" t="str">
        <f>IF(AND(G915=1,G914&lt;&gt;1),MAX($K$50:K914)+1,"")</f>
        <v/>
      </c>
      <c r="L915" s="13" t="str">
        <f>IF(AND(G915&lt;&gt;1,G914=1),MAX($L$50:L914)+1,"")</f>
        <v/>
      </c>
      <c r="M915" s="13" t="str">
        <f>IF(AND(G915=-1,G914&lt;&gt;-1),MAX($M$50:M914)+1,"")</f>
        <v/>
      </c>
      <c r="N915" s="13" t="str">
        <f>IF(AND(G915&lt;&gt;-1,G914=-1),MAX($N$50:N914)+1,"")</f>
        <v/>
      </c>
      <c r="T915" s="7">
        <f t="shared" si="124"/>
        <v>100.52625831924222</v>
      </c>
      <c r="U915" s="1">
        <f t="shared" si="125"/>
        <v>154.86131908432267</v>
      </c>
    </row>
    <row r="916" spans="1:21" x14ac:dyDescent="0.3">
      <c r="A916" s="2">
        <v>41505</v>
      </c>
      <c r="B916" s="1">
        <v>2930.27</v>
      </c>
      <c r="C916" s="2">
        <f t="shared" si="117"/>
        <v>41505</v>
      </c>
      <c r="D916" s="1">
        <f t="shared" si="118"/>
        <v>2930.27</v>
      </c>
      <c r="E916" s="4">
        <f t="shared" si="119"/>
        <v>2943.9326000000001</v>
      </c>
      <c r="F916" s="3">
        <f t="shared" si="120"/>
        <v>0.99535906494598414</v>
      </c>
      <c r="G916" s="18">
        <f t="shared" si="121"/>
        <v>1</v>
      </c>
      <c r="H916" s="3">
        <f t="shared" si="122"/>
        <v>-5.8321402156432667E-3</v>
      </c>
      <c r="I916" s="3">
        <f t="shared" si="123"/>
        <v>-5.8321402156432667E-3</v>
      </c>
      <c r="K916" s="12" t="str">
        <f>IF(AND(G916=1,G915&lt;&gt;1),MAX($K$50:K915)+1,"")</f>
        <v/>
      </c>
      <c r="L916" s="13" t="str">
        <f>IF(AND(G916&lt;&gt;1,G915=1),MAX($L$50:L915)+1,"")</f>
        <v/>
      </c>
      <c r="M916" s="13" t="str">
        <f>IF(AND(G916=-1,G915&lt;&gt;-1),MAX($M$50:M915)+1,"")</f>
        <v/>
      </c>
      <c r="N916" s="13" t="str">
        <f>IF(AND(G916&lt;&gt;-1,G915=-1),MAX($N$50:N915)+1,"")</f>
        <v/>
      </c>
      <c r="T916" s="7">
        <f t="shared" si="124"/>
        <v>99.939975085370421</v>
      </c>
      <c r="U916" s="1">
        <f t="shared" si="125"/>
        <v>153.95814615744342</v>
      </c>
    </row>
    <row r="917" spans="1:21" x14ac:dyDescent="0.3">
      <c r="A917" s="2">
        <v>41506</v>
      </c>
      <c r="B917" s="1">
        <v>2941.58</v>
      </c>
      <c r="C917" s="2">
        <f t="shared" si="117"/>
        <v>41506</v>
      </c>
      <c r="D917" s="1">
        <f t="shared" si="118"/>
        <v>2941.58</v>
      </c>
      <c r="E917" s="4">
        <f t="shared" si="119"/>
        <v>2944.5115999999994</v>
      </c>
      <c r="F917" s="3">
        <f t="shared" si="120"/>
        <v>0.99900438497168786</v>
      </c>
      <c r="G917" s="18">
        <f t="shared" si="121"/>
        <v>1</v>
      </c>
      <c r="H917" s="3">
        <f t="shared" si="122"/>
        <v>3.859712586212094E-3</v>
      </c>
      <c r="I917" s="3">
        <f t="shared" si="123"/>
        <v>3.859712586212094E-3</v>
      </c>
      <c r="K917" s="12" t="str">
        <f>IF(AND(G917=1,G916&lt;&gt;1),MAX($K$50:K916)+1,"")</f>
        <v/>
      </c>
      <c r="L917" s="13" t="str">
        <f>IF(AND(G917&lt;&gt;1,G916=1),MAX($L$50:L916)+1,"")</f>
        <v/>
      </c>
      <c r="M917" s="13" t="str">
        <f>IF(AND(G917=-1,G916&lt;&gt;-1),MAX($M$50:M916)+1,"")</f>
        <v/>
      </c>
      <c r="N917" s="13" t="str">
        <f>IF(AND(G917&lt;&gt;-1,G916=-1),MAX($N$50:N916)+1,"")</f>
        <v/>
      </c>
      <c r="T917" s="7">
        <f t="shared" si="124"/>
        <v>100.32571466507315</v>
      </c>
      <c r="U917" s="1">
        <f t="shared" si="125"/>
        <v>154.55238035191721</v>
      </c>
    </row>
    <row r="918" spans="1:21" x14ac:dyDescent="0.3">
      <c r="A918" s="2">
        <v>41507</v>
      </c>
      <c r="B918" s="1">
        <v>2924.73</v>
      </c>
      <c r="C918" s="2">
        <f t="shared" si="117"/>
        <v>41507</v>
      </c>
      <c r="D918" s="1">
        <f t="shared" si="118"/>
        <v>2924.73</v>
      </c>
      <c r="E918" s="4">
        <f t="shared" si="119"/>
        <v>2945.3447999999994</v>
      </c>
      <c r="F918" s="3">
        <f t="shared" si="120"/>
        <v>0.99300088736639613</v>
      </c>
      <c r="G918" s="18">
        <f t="shared" si="121"/>
        <v>1</v>
      </c>
      <c r="H918" s="3">
        <f t="shared" si="122"/>
        <v>-5.7282140890269062E-3</v>
      </c>
      <c r="I918" s="3">
        <f t="shared" si="123"/>
        <v>-5.7282140890269062E-3</v>
      </c>
      <c r="K918" s="12" t="str">
        <f>IF(AND(G918=1,G917&lt;&gt;1),MAX($K$50:K917)+1,"")</f>
        <v/>
      </c>
      <c r="L918" s="13" t="str">
        <f>IF(AND(G918&lt;&gt;1,G917=1),MAX($L$50:L917)+1,"")</f>
        <v/>
      </c>
      <c r="M918" s="13" t="str">
        <f>IF(AND(G918=-1,G917&lt;&gt;-1),MAX($M$50:M917)+1,"")</f>
        <v/>
      </c>
      <c r="N918" s="13" t="str">
        <f>IF(AND(G918&lt;&gt;-1,G917=-1),MAX($N$50:N917)+1,"")</f>
        <v/>
      </c>
      <c r="T918" s="7">
        <f t="shared" si="124"/>
        <v>99.751027492836982</v>
      </c>
      <c r="U918" s="1">
        <f t="shared" si="125"/>
        <v>153.6670712292927</v>
      </c>
    </row>
    <row r="919" spans="1:21" x14ac:dyDescent="0.3">
      <c r="A919" s="2">
        <v>41508</v>
      </c>
      <c r="B919" s="1">
        <v>2949.96</v>
      </c>
      <c r="C919" s="2">
        <f t="shared" si="117"/>
        <v>41508</v>
      </c>
      <c r="D919" s="1">
        <f t="shared" si="118"/>
        <v>2949.96</v>
      </c>
      <c r="E919" s="4">
        <f t="shared" si="119"/>
        <v>2947.1515999999992</v>
      </c>
      <c r="F919" s="3">
        <f t="shared" si="120"/>
        <v>1.0009529201008869</v>
      </c>
      <c r="G919" s="18">
        <f t="shared" si="121"/>
        <v>1</v>
      </c>
      <c r="H919" s="3">
        <f t="shared" si="122"/>
        <v>8.6264373121620608E-3</v>
      </c>
      <c r="I919" s="3">
        <f t="shared" si="123"/>
        <v>8.6264373121620608E-3</v>
      </c>
      <c r="K919" s="12" t="str">
        <f>IF(AND(G919=1,G918&lt;&gt;1),MAX($K$50:K918)+1,"")</f>
        <v/>
      </c>
      <c r="L919" s="13" t="str">
        <f>IF(AND(G919&lt;&gt;1,G918=1),MAX($L$50:L918)+1,"")</f>
        <v/>
      </c>
      <c r="M919" s="13" t="str">
        <f>IF(AND(G919=-1,G918&lt;&gt;-1),MAX($M$50:M918)+1,"")</f>
        <v/>
      </c>
      <c r="N919" s="13" t="str">
        <f>IF(AND(G919&lt;&gt;-1,G918=-1),MAX($N$50:N918)+1,"")</f>
        <v/>
      </c>
      <c r="T919" s="7">
        <f t="shared" si="124"/>
        <v>100.6115234783277</v>
      </c>
      <c r="U919" s="1">
        <f t="shared" si="125"/>
        <v>154.99267058619574</v>
      </c>
    </row>
    <row r="920" spans="1:21" x14ac:dyDescent="0.3">
      <c r="A920" s="2">
        <v>41509</v>
      </c>
      <c r="B920" s="1">
        <v>2962.06</v>
      </c>
      <c r="C920" s="2">
        <f t="shared" si="117"/>
        <v>41509</v>
      </c>
      <c r="D920" s="1">
        <f t="shared" si="118"/>
        <v>2962.06</v>
      </c>
      <c r="E920" s="4">
        <f t="shared" si="119"/>
        <v>2948.346399999999</v>
      </c>
      <c r="F920" s="3">
        <f t="shared" si="120"/>
        <v>1.0046512852085498</v>
      </c>
      <c r="G920" s="18">
        <f t="shared" si="121"/>
        <v>1</v>
      </c>
      <c r="H920" s="3">
        <f t="shared" si="122"/>
        <v>4.101750532210513E-3</v>
      </c>
      <c r="I920" s="3">
        <f t="shared" si="123"/>
        <v>4.101750532210513E-3</v>
      </c>
      <c r="K920" s="12" t="str">
        <f>IF(AND(G920=1,G919&lt;&gt;1),MAX($K$50:K919)+1,"")</f>
        <v/>
      </c>
      <c r="L920" s="13" t="str">
        <f>IF(AND(G920&lt;&gt;1,G919=1),MAX($L$50:L919)+1,"")</f>
        <v/>
      </c>
      <c r="M920" s="13" t="str">
        <f>IF(AND(G920=-1,G919&lt;&gt;-1),MAX($M$50:M919)+1,"")</f>
        <v/>
      </c>
      <c r="N920" s="13" t="str">
        <f>IF(AND(G920&lt;&gt;-1,G919=-1),MAX($N$50:N919)+1,"")</f>
        <v/>
      </c>
      <c r="T920" s="7">
        <f t="shared" si="124"/>
        <v>101.02420684830143</v>
      </c>
      <c r="U920" s="1">
        <f t="shared" si="125"/>
        <v>155.62841185526142</v>
      </c>
    </row>
    <row r="921" spans="1:21" x14ac:dyDescent="0.3">
      <c r="A921" s="2">
        <v>41512</v>
      </c>
      <c r="B921" s="1">
        <v>2950.13</v>
      </c>
      <c r="C921" s="2">
        <f t="shared" si="117"/>
        <v>41512</v>
      </c>
      <c r="D921" s="1">
        <f t="shared" si="118"/>
        <v>2950.13</v>
      </c>
      <c r="E921" s="4">
        <f t="shared" si="119"/>
        <v>2949.6441999999993</v>
      </c>
      <c r="F921" s="3">
        <f t="shared" si="120"/>
        <v>1.0001646978303351</v>
      </c>
      <c r="G921" s="18">
        <f t="shared" si="121"/>
        <v>1</v>
      </c>
      <c r="H921" s="3">
        <f t="shared" si="122"/>
        <v>-4.027602411834974E-3</v>
      </c>
      <c r="I921" s="3">
        <f t="shared" si="123"/>
        <v>-4.027602411834974E-3</v>
      </c>
      <c r="K921" s="12" t="str">
        <f>IF(AND(G921=1,G920&lt;&gt;1),MAX($K$50:K920)+1,"")</f>
        <v/>
      </c>
      <c r="L921" s="13" t="str">
        <f>IF(AND(G921&lt;&gt;1,G920=1),MAX($L$50:L920)+1,"")</f>
        <v/>
      </c>
      <c r="M921" s="13" t="str">
        <f>IF(AND(G921=-1,G920&lt;&gt;-1),MAX($M$50:M920)+1,"")</f>
        <v/>
      </c>
      <c r="N921" s="13" t="str">
        <f>IF(AND(G921&lt;&gt;-1,G920=-1),MAX($N$50:N920)+1,"")</f>
        <v/>
      </c>
      <c r="T921" s="7">
        <f t="shared" si="124"/>
        <v>100.6173215091455</v>
      </c>
      <c r="U921" s="1">
        <f t="shared" si="125"/>
        <v>155.00160248832313</v>
      </c>
    </row>
    <row r="922" spans="1:21" x14ac:dyDescent="0.3">
      <c r="A922" s="2">
        <v>41513</v>
      </c>
      <c r="B922" s="1">
        <v>2903.29</v>
      </c>
      <c r="C922" s="2">
        <f t="shared" si="117"/>
        <v>41513</v>
      </c>
      <c r="D922" s="1">
        <f t="shared" si="118"/>
        <v>2903.29</v>
      </c>
      <c r="E922" s="4">
        <f t="shared" si="119"/>
        <v>2949.5675999999994</v>
      </c>
      <c r="F922" s="3">
        <f t="shared" si="120"/>
        <v>0.98431037823984791</v>
      </c>
      <c r="G922" s="18">
        <f t="shared" si="121"/>
        <v>1</v>
      </c>
      <c r="H922" s="3">
        <f t="shared" si="122"/>
        <v>-1.5877266425547432E-2</v>
      </c>
      <c r="I922" s="3">
        <f t="shared" si="123"/>
        <v>-1.5877266425547432E-2</v>
      </c>
      <c r="K922" s="12" t="str">
        <f>IF(AND(G922=1,G921&lt;&gt;1),MAX($K$50:K921)+1,"")</f>
        <v/>
      </c>
      <c r="L922" s="13" t="str">
        <f>IF(AND(G922&lt;&gt;1,G921=1),MAX($L$50:L921)+1,"")</f>
        <v/>
      </c>
      <c r="M922" s="13" t="str">
        <f>IF(AND(G922=-1,G921&lt;&gt;-1),MAX($M$50:M921)+1,"")</f>
        <v/>
      </c>
      <c r="N922" s="13" t="str">
        <f>IF(AND(G922&lt;&gt;-1,G921=-1),MAX($N$50:N921)+1,"")</f>
        <v/>
      </c>
      <c r="T922" s="7">
        <f t="shared" si="124"/>
        <v>99.019793488519824</v>
      </c>
      <c r="U922" s="1">
        <f t="shared" si="125"/>
        <v>152.54060074922924</v>
      </c>
    </row>
    <row r="923" spans="1:21" x14ac:dyDescent="0.3">
      <c r="A923" s="2">
        <v>41514</v>
      </c>
      <c r="B923" s="1">
        <v>2911.83</v>
      </c>
      <c r="C923" s="2">
        <f t="shared" si="117"/>
        <v>41514</v>
      </c>
      <c r="D923" s="1">
        <f t="shared" si="118"/>
        <v>2911.83</v>
      </c>
      <c r="E923" s="4">
        <f t="shared" si="119"/>
        <v>2949.2079999999992</v>
      </c>
      <c r="F923" s="3">
        <f t="shared" si="120"/>
        <v>0.98732608890251239</v>
      </c>
      <c r="G923" s="18">
        <f t="shared" si="121"/>
        <v>1</v>
      </c>
      <c r="H923" s="3">
        <f t="shared" si="122"/>
        <v>2.9414905159319549E-3</v>
      </c>
      <c r="I923" s="3">
        <f t="shared" si="123"/>
        <v>2.9414905159319549E-3</v>
      </c>
      <c r="K923" s="12" t="str">
        <f>IF(AND(G923=1,G922&lt;&gt;1),MAX($K$50:K922)+1,"")</f>
        <v/>
      </c>
      <c r="L923" s="13" t="str">
        <f>IF(AND(G923&lt;&gt;1,G922=1),MAX($L$50:L922)+1,"")</f>
        <v/>
      </c>
      <c r="M923" s="13" t="str">
        <f>IF(AND(G923=-1,G922&lt;&gt;-1),MAX($M$50:M922)+1,"")</f>
        <v/>
      </c>
      <c r="N923" s="13" t="str">
        <f>IF(AND(G923&lt;&gt;-1,G922=-1),MAX($N$50:N922)+1,"")</f>
        <v/>
      </c>
      <c r="T923" s="7">
        <f t="shared" si="124"/>
        <v>99.311059271955841</v>
      </c>
      <c r="U923" s="1">
        <f t="shared" si="125"/>
        <v>152.98929747962765</v>
      </c>
    </row>
    <row r="924" spans="1:21" x14ac:dyDescent="0.3">
      <c r="A924" s="2">
        <v>41515</v>
      </c>
      <c r="B924" s="1">
        <v>2917.96</v>
      </c>
      <c r="C924" s="2">
        <f t="shared" si="117"/>
        <v>41515</v>
      </c>
      <c r="D924" s="1">
        <f t="shared" si="118"/>
        <v>2917.96</v>
      </c>
      <c r="E924" s="4">
        <f t="shared" si="119"/>
        <v>2949.7821999999992</v>
      </c>
      <c r="F924" s="3">
        <f t="shared" si="120"/>
        <v>0.98921201707705775</v>
      </c>
      <c r="G924" s="18">
        <f t="shared" si="121"/>
        <v>1</v>
      </c>
      <c r="H924" s="3">
        <f t="shared" si="122"/>
        <v>2.1052053176182639E-3</v>
      </c>
      <c r="I924" s="3">
        <f t="shared" si="123"/>
        <v>2.1052053176182639E-3</v>
      </c>
      <c r="K924" s="12" t="str">
        <f>IF(AND(G924=1,G923&lt;&gt;1),MAX($K$50:K923)+1,"")</f>
        <v/>
      </c>
      <c r="L924" s="13" t="str">
        <f>IF(AND(G924&lt;&gt;1,G923=1),MAX($L$50:L923)+1,"")</f>
        <v/>
      </c>
      <c r="M924" s="13" t="str">
        <f>IF(AND(G924=-1,G923&lt;&gt;-1),MAX($M$50:M923)+1,"")</f>
        <v/>
      </c>
      <c r="N924" s="13" t="str">
        <f>IF(AND(G924&lt;&gt;-1,G923=-1),MAX($N$50:N923)+1,"")</f>
        <v/>
      </c>
      <c r="T924" s="7">
        <f t="shared" si="124"/>
        <v>99.520129442033465</v>
      </c>
      <c r="U924" s="1">
        <f t="shared" si="125"/>
        <v>153.31137136222043</v>
      </c>
    </row>
    <row r="925" spans="1:21" x14ac:dyDescent="0.3">
      <c r="A925" s="2">
        <v>41516</v>
      </c>
      <c r="B925" s="1">
        <v>2908.96</v>
      </c>
      <c r="C925" s="2">
        <f t="shared" si="117"/>
        <v>41516</v>
      </c>
      <c r="D925" s="1">
        <f t="shared" si="118"/>
        <v>2908.96</v>
      </c>
      <c r="E925" s="4">
        <f t="shared" si="119"/>
        <v>2951.6125999999995</v>
      </c>
      <c r="F925" s="3">
        <f t="shared" si="120"/>
        <v>0.98554939086518356</v>
      </c>
      <c r="G925" s="18">
        <f t="shared" si="121"/>
        <v>1</v>
      </c>
      <c r="H925" s="3">
        <f t="shared" si="122"/>
        <v>-3.0843465983083629E-3</v>
      </c>
      <c r="I925" s="3">
        <f t="shared" si="123"/>
        <v>-3.0843465983083629E-3</v>
      </c>
      <c r="K925" s="12" t="str">
        <f>IF(AND(G925=1,G924&lt;&gt;1),MAX($K$50:K924)+1,"")</f>
        <v/>
      </c>
      <c r="L925" s="13" t="str">
        <f>IF(AND(G925&lt;&gt;1,G924=1),MAX($L$50:L924)+1,"")</f>
        <v/>
      </c>
      <c r="M925" s="13" t="str">
        <f>IF(AND(G925=-1,G924&lt;&gt;-1),MAX($M$50:M924)+1,"")</f>
        <v/>
      </c>
      <c r="N925" s="13" t="str">
        <f>IF(AND(G925&lt;&gt;-1,G924=-1),MAX($N$50:N924)+1,"")</f>
        <v/>
      </c>
      <c r="T925" s="7">
        <f t="shared" si="124"/>
        <v>99.213174869325726</v>
      </c>
      <c r="U925" s="1">
        <f t="shared" si="125"/>
        <v>152.83850595547736</v>
      </c>
    </row>
    <row r="926" spans="1:21" x14ac:dyDescent="0.3">
      <c r="A926" s="2">
        <v>41520</v>
      </c>
      <c r="B926" s="1">
        <v>2921.23</v>
      </c>
      <c r="C926" s="2">
        <f t="shared" si="117"/>
        <v>41520</v>
      </c>
      <c r="D926" s="1">
        <f t="shared" si="118"/>
        <v>2921.23</v>
      </c>
      <c r="E926" s="4">
        <f t="shared" si="119"/>
        <v>2953.5377999999992</v>
      </c>
      <c r="F926" s="3">
        <f t="shared" si="120"/>
        <v>0.98906132164619698</v>
      </c>
      <c r="G926" s="18">
        <f t="shared" si="121"/>
        <v>1</v>
      </c>
      <c r="H926" s="3">
        <f t="shared" si="122"/>
        <v>4.218002310103941E-3</v>
      </c>
      <c r="I926" s="3">
        <f t="shared" si="123"/>
        <v>4.218002310103941E-3</v>
      </c>
      <c r="K926" s="12" t="str">
        <f>IF(AND(G926=1,G925&lt;&gt;1),MAX($K$50:K925)+1,"")</f>
        <v/>
      </c>
      <c r="L926" s="13" t="str">
        <f>IF(AND(G926&lt;&gt;1,G925=1),MAX($L$50:L925)+1,"")</f>
        <v/>
      </c>
      <c r="M926" s="13" t="str">
        <f>IF(AND(G926=-1,G925&lt;&gt;-1),MAX($M$50:M925)+1,"")</f>
        <v/>
      </c>
      <c r="N926" s="13" t="str">
        <f>IF(AND(G926&lt;&gt;-1,G925=-1),MAX($N$50:N925)+1,"")</f>
        <v/>
      </c>
      <c r="T926" s="7">
        <f t="shared" si="124"/>
        <v>99.63165627011729</v>
      </c>
      <c r="U926" s="1">
        <f t="shared" si="125"/>
        <v>153.48317912667039</v>
      </c>
    </row>
    <row r="927" spans="1:21" x14ac:dyDescent="0.3">
      <c r="A927" s="2">
        <v>41521</v>
      </c>
      <c r="B927" s="1">
        <v>2945.62</v>
      </c>
      <c r="C927" s="2">
        <f t="shared" si="117"/>
        <v>41521</v>
      </c>
      <c r="D927" s="1">
        <f t="shared" si="118"/>
        <v>2945.62</v>
      </c>
      <c r="E927" s="4">
        <f t="shared" si="119"/>
        <v>2956.6369999999997</v>
      </c>
      <c r="F927" s="3">
        <f t="shared" si="120"/>
        <v>0.99627380703143475</v>
      </c>
      <c r="G927" s="18">
        <f t="shared" si="121"/>
        <v>1</v>
      </c>
      <c r="H927" s="3">
        <f t="shared" si="122"/>
        <v>8.3492227589063717E-3</v>
      </c>
      <c r="I927" s="3">
        <f t="shared" si="123"/>
        <v>8.3492227589063717E-3</v>
      </c>
      <c r="K927" s="12" t="str">
        <f>IF(AND(G927=1,G926&lt;&gt;1),MAX($K$50:K926)+1,"")</f>
        <v/>
      </c>
      <c r="L927" s="13" t="str">
        <f>IF(AND(G927&lt;&gt;1,G926=1),MAX($L$50:L926)+1,"")</f>
        <v/>
      </c>
      <c r="M927" s="13" t="str">
        <f>IF(AND(G927=-1,G926&lt;&gt;-1),MAX($M$50:M926)+1,"")</f>
        <v/>
      </c>
      <c r="N927" s="13" t="str">
        <f>IF(AND(G927&lt;&gt;-1,G926=-1),MAX($N$50:N926)+1,"")</f>
        <v/>
      </c>
      <c r="T927" s="7">
        <f t="shared" si="124"/>
        <v>100.46350316215529</v>
      </c>
      <c r="U927" s="1">
        <f t="shared" si="125"/>
        <v>154.76464437894407</v>
      </c>
    </row>
    <row r="928" spans="1:21" x14ac:dyDescent="0.3">
      <c r="A928" s="2">
        <v>41522</v>
      </c>
      <c r="B928" s="1">
        <v>2949.27</v>
      </c>
      <c r="C928" s="2">
        <f t="shared" si="117"/>
        <v>41522</v>
      </c>
      <c r="D928" s="1">
        <f t="shared" si="118"/>
        <v>2949.27</v>
      </c>
      <c r="E928" s="4">
        <f t="shared" si="119"/>
        <v>2959.2735999999991</v>
      </c>
      <c r="F928" s="3">
        <f t="shared" si="120"/>
        <v>0.9966195758310421</v>
      </c>
      <c r="G928" s="18">
        <f t="shared" si="121"/>
        <v>1</v>
      </c>
      <c r="H928" s="3">
        <f t="shared" si="122"/>
        <v>1.239127925530159E-3</v>
      </c>
      <c r="I928" s="3">
        <f t="shared" si="123"/>
        <v>1.239127925530159E-3</v>
      </c>
      <c r="K928" s="12" t="str">
        <f>IF(AND(G928=1,G927&lt;&gt;1),MAX($K$50:K927)+1,"")</f>
        <v/>
      </c>
      <c r="L928" s="13" t="str">
        <f>IF(AND(G928&lt;&gt;1,G927=1),MAX($L$50:L927)+1,"")</f>
        <v/>
      </c>
      <c r="M928" s="13" t="str">
        <f>IF(AND(G928=-1,G927&lt;&gt;-1),MAX($M$50:M927)+1,"")</f>
        <v/>
      </c>
      <c r="N928" s="13" t="str">
        <f>IF(AND(G928&lt;&gt;-1,G927=-1),MAX($N$50:N927)+1,"")</f>
        <v/>
      </c>
      <c r="T928" s="7">
        <f t="shared" si="124"/>
        <v>100.58799029442011</v>
      </c>
      <c r="U928" s="1">
        <f t="shared" si="125"/>
        <v>154.95641757167877</v>
      </c>
    </row>
    <row r="929" spans="1:21" x14ac:dyDescent="0.3">
      <c r="A929" s="2">
        <v>41523</v>
      </c>
      <c r="B929" s="1">
        <v>2949.8</v>
      </c>
      <c r="C929" s="2">
        <f t="shared" si="117"/>
        <v>41523</v>
      </c>
      <c r="D929" s="1">
        <f t="shared" si="118"/>
        <v>2949.8</v>
      </c>
      <c r="E929" s="4">
        <f t="shared" si="119"/>
        <v>2961.3687999999993</v>
      </c>
      <c r="F929" s="3">
        <f t="shared" si="120"/>
        <v>0.9960934281471463</v>
      </c>
      <c r="G929" s="18">
        <f t="shared" si="121"/>
        <v>1</v>
      </c>
      <c r="H929" s="3">
        <f t="shared" si="122"/>
        <v>1.7970548644252737E-4</v>
      </c>
      <c r="I929" s="3">
        <f t="shared" si="123"/>
        <v>1.7970548644252737E-4</v>
      </c>
      <c r="K929" s="12" t="str">
        <f>IF(AND(G929=1,G928&lt;&gt;1),MAX($K$50:K928)+1,"")</f>
        <v/>
      </c>
      <c r="L929" s="13" t="str">
        <f>IF(AND(G929&lt;&gt;1,G928=1),MAX($L$50:L928)+1,"")</f>
        <v/>
      </c>
      <c r="M929" s="13" t="str">
        <f>IF(AND(G929=-1,G928&lt;&gt;-1),MAX($M$50:M928)+1,"")</f>
        <v/>
      </c>
      <c r="N929" s="13" t="str">
        <f>IF(AND(G929&lt;&gt;-1,G928=-1),MAX($N$50:N928)+1,"")</f>
        <v/>
      </c>
      <c r="T929" s="7">
        <f t="shared" si="124"/>
        <v>100.60606650814624</v>
      </c>
      <c r="U929" s="1">
        <f t="shared" si="125"/>
        <v>154.98426409007587</v>
      </c>
    </row>
    <row r="930" spans="1:21" x14ac:dyDescent="0.3">
      <c r="A930" s="2">
        <v>41526</v>
      </c>
      <c r="B930" s="1">
        <v>2979.45</v>
      </c>
      <c r="C930" s="2">
        <f t="shared" si="117"/>
        <v>41526</v>
      </c>
      <c r="D930" s="1">
        <f t="shared" si="118"/>
        <v>2979.45</v>
      </c>
      <c r="E930" s="4">
        <f t="shared" si="119"/>
        <v>2963.6994</v>
      </c>
      <c r="F930" s="3">
        <f t="shared" si="120"/>
        <v>1.0053145065926725</v>
      </c>
      <c r="G930" s="18">
        <f t="shared" si="121"/>
        <v>1</v>
      </c>
      <c r="H930" s="3">
        <f t="shared" si="122"/>
        <v>1.0051528917214503E-2</v>
      </c>
      <c r="I930" s="3">
        <f t="shared" si="123"/>
        <v>1.0051528917214503E-2</v>
      </c>
      <c r="K930" s="12" t="str">
        <f>IF(AND(G930=1,G929&lt;&gt;1),MAX($K$50:K929)+1,"")</f>
        <v/>
      </c>
      <c r="L930" s="13" t="str">
        <f>IF(AND(G930&lt;&gt;1,G929=1),MAX($L$50:L929)+1,"")</f>
        <v/>
      </c>
      <c r="M930" s="13" t="str">
        <f>IF(AND(G930=-1,G929&lt;&gt;-1),MAX($M$50:M929)+1,"")</f>
        <v/>
      </c>
      <c r="N930" s="13" t="str">
        <f>IF(AND(G930&lt;&gt;-1,G929=-1),MAX($N$50:N929)+1,"")</f>
        <v/>
      </c>
      <c r="T930" s="7">
        <f t="shared" si="124"/>
        <v>101.61731129490008</v>
      </c>
      <c r="U930" s="1">
        <f t="shared" si="125"/>
        <v>156.54209290229051</v>
      </c>
    </row>
    <row r="931" spans="1:21" x14ac:dyDescent="0.3">
      <c r="A931" s="2">
        <v>41527</v>
      </c>
      <c r="B931" s="1">
        <v>3001.36</v>
      </c>
      <c r="C931" s="2">
        <f t="shared" si="117"/>
        <v>41527</v>
      </c>
      <c r="D931" s="1">
        <f t="shared" si="118"/>
        <v>3001.36</v>
      </c>
      <c r="E931" s="4">
        <f t="shared" si="119"/>
        <v>2966.7134000000001</v>
      </c>
      <c r="F931" s="3">
        <f t="shared" si="120"/>
        <v>1.0116784452451659</v>
      </c>
      <c r="G931" s="18">
        <f t="shared" si="121"/>
        <v>1</v>
      </c>
      <c r="H931" s="3">
        <f t="shared" si="122"/>
        <v>7.3537062209469983E-3</v>
      </c>
      <c r="I931" s="3">
        <f t="shared" si="123"/>
        <v>7.3537062209469983E-3</v>
      </c>
      <c r="K931" s="12" t="str">
        <f>IF(AND(G931=1,G930&lt;&gt;1),MAX($K$50:K930)+1,"")</f>
        <v/>
      </c>
      <c r="L931" s="13" t="str">
        <f>IF(AND(G931&lt;&gt;1,G930=1),MAX($L$50:L930)+1,"")</f>
        <v/>
      </c>
      <c r="M931" s="13" t="str">
        <f>IF(AND(G931=-1,G930&lt;&gt;-1),MAX($M$50:M930)+1,"")</f>
        <v/>
      </c>
      <c r="N931" s="13" t="str">
        <f>IF(AND(G931&lt;&gt;-1,G930=-1),MAX($N$50:N930)+1,"")</f>
        <v/>
      </c>
      <c r="T931" s="7">
        <f t="shared" si="124"/>
        <v>102.36457514912529</v>
      </c>
      <c r="U931" s="1">
        <f t="shared" si="125"/>
        <v>157.69325746470614</v>
      </c>
    </row>
    <row r="932" spans="1:21" x14ac:dyDescent="0.3">
      <c r="A932" s="2">
        <v>41528</v>
      </c>
      <c r="B932" s="1">
        <v>3010.94</v>
      </c>
      <c r="C932" s="2">
        <f t="shared" si="117"/>
        <v>41528</v>
      </c>
      <c r="D932" s="1">
        <f t="shared" si="118"/>
        <v>3010.94</v>
      </c>
      <c r="E932" s="4">
        <f t="shared" si="119"/>
        <v>2969.6040000000003</v>
      </c>
      <c r="F932" s="3">
        <f t="shared" si="120"/>
        <v>1.0139197010779888</v>
      </c>
      <c r="G932" s="18">
        <f t="shared" si="121"/>
        <v>1</v>
      </c>
      <c r="H932" s="3">
        <f t="shared" si="122"/>
        <v>3.191886344857009E-3</v>
      </c>
      <c r="I932" s="3">
        <f t="shared" si="123"/>
        <v>3.191886344857009E-3</v>
      </c>
      <c r="K932" s="12" t="str">
        <f>IF(AND(G932=1,G931&lt;&gt;1),MAX($K$50:K931)+1,"")</f>
        <v/>
      </c>
      <c r="L932" s="13" t="str">
        <f>IF(AND(G932&lt;&gt;1,G931=1),MAX($L$50:L931)+1,"")</f>
        <v/>
      </c>
      <c r="M932" s="13" t="str">
        <f>IF(AND(G932=-1,G931&lt;&gt;-1),MAX($M$50:M931)+1,"")</f>
        <v/>
      </c>
      <c r="N932" s="13" t="str">
        <f>IF(AND(G932&lt;&gt;-1,G931=-1),MAX($N$50:N931)+1,"")</f>
        <v/>
      </c>
      <c r="T932" s="7">
        <f t="shared" si="124"/>
        <v>102.69131123874087</v>
      </c>
      <c r="U932" s="1">
        <f t="shared" si="125"/>
        <v>158.19659641988375</v>
      </c>
    </row>
    <row r="933" spans="1:21" x14ac:dyDescent="0.3">
      <c r="A933" s="2">
        <v>41529</v>
      </c>
      <c r="B933" s="1">
        <v>3001.62</v>
      </c>
      <c r="C933" s="2">
        <f t="shared" si="117"/>
        <v>41529</v>
      </c>
      <c r="D933" s="1">
        <f t="shared" si="118"/>
        <v>3001.62</v>
      </c>
      <c r="E933" s="4">
        <f t="shared" si="119"/>
        <v>2972.3267999999998</v>
      </c>
      <c r="F933" s="3">
        <f t="shared" si="120"/>
        <v>1.0098553093152476</v>
      </c>
      <c r="G933" s="18">
        <f t="shared" si="121"/>
        <v>1</v>
      </c>
      <c r="H933" s="3">
        <f t="shared" si="122"/>
        <v>-3.0953788517872338E-3</v>
      </c>
      <c r="I933" s="3">
        <f t="shared" si="123"/>
        <v>-3.0953788517872338E-3</v>
      </c>
      <c r="K933" s="12" t="str">
        <f>IF(AND(G933=1,G932&lt;&gt;1),MAX($K$50:K932)+1,"")</f>
        <v/>
      </c>
      <c r="L933" s="13" t="str">
        <f>IF(AND(G933&lt;&gt;1,G932=1),MAX($L$50:L932)+1,"")</f>
        <v/>
      </c>
      <c r="M933" s="13" t="str">
        <f>IF(AND(G933=-1,G932&lt;&gt;-1),MAX($M$50:M932)+1,"")</f>
        <v/>
      </c>
      <c r="N933" s="13" t="str">
        <f>IF(AND(G933&lt;&gt;-1,G932=-1),MAX($N$50:N932)+1,"")</f>
        <v/>
      </c>
      <c r="T933" s="7">
        <f t="shared" si="124"/>
        <v>102.37344272567017</v>
      </c>
      <c r="U933" s="1">
        <f t="shared" si="125"/>
        <v>157.70691802090093</v>
      </c>
    </row>
    <row r="934" spans="1:21" x14ac:dyDescent="0.3">
      <c r="A934" s="2">
        <v>41530</v>
      </c>
      <c r="B934" s="1">
        <v>3009.79</v>
      </c>
      <c r="C934" s="2">
        <f t="shared" si="117"/>
        <v>41530</v>
      </c>
      <c r="D934" s="1">
        <f t="shared" si="118"/>
        <v>3009.79</v>
      </c>
      <c r="E934" s="4">
        <f t="shared" si="119"/>
        <v>2975.1655999999998</v>
      </c>
      <c r="F934" s="3">
        <f t="shared" si="120"/>
        <v>1.0116378059762456</v>
      </c>
      <c r="G934" s="18">
        <f t="shared" si="121"/>
        <v>1</v>
      </c>
      <c r="H934" s="3">
        <f t="shared" si="122"/>
        <v>2.721863527028745E-3</v>
      </c>
      <c r="I934" s="3">
        <f t="shared" si="123"/>
        <v>2.721863527028745E-3</v>
      </c>
      <c r="K934" s="12" t="str">
        <f>IF(AND(G934=1,G933&lt;&gt;1),MAX($K$50:K933)+1,"")</f>
        <v/>
      </c>
      <c r="L934" s="13" t="str">
        <f>IF(AND(G934&lt;&gt;1,G933=1),MAX($L$50:L933)+1,"")</f>
        <v/>
      </c>
      <c r="M934" s="13" t="str">
        <f>IF(AND(G934=-1,G933&lt;&gt;-1),MAX($M$50:M933)+1,"")</f>
        <v/>
      </c>
      <c r="N934" s="13" t="str">
        <f>IF(AND(G934&lt;&gt;-1,G933=-1),MAX($N$50:N933)+1,"")</f>
        <v/>
      </c>
      <c r="T934" s="7">
        <f t="shared" si="124"/>
        <v>102.65208926556154</v>
      </c>
      <c r="U934" s="1">
        <f t="shared" si="125"/>
        <v>158.13617472902214</v>
      </c>
    </row>
    <row r="935" spans="1:21" x14ac:dyDescent="0.3">
      <c r="A935" s="2">
        <v>41533</v>
      </c>
      <c r="B935" s="1">
        <v>3026.94</v>
      </c>
      <c r="C935" s="2">
        <f t="shared" si="117"/>
        <v>41533</v>
      </c>
      <c r="D935" s="1">
        <f t="shared" si="118"/>
        <v>3026.94</v>
      </c>
      <c r="E935" s="4">
        <f t="shared" si="119"/>
        <v>2977.7620000000002</v>
      </c>
      <c r="F935" s="3">
        <f t="shared" si="120"/>
        <v>1.0165150875053144</v>
      </c>
      <c r="G935" s="18">
        <f t="shared" si="121"/>
        <v>1</v>
      </c>
      <c r="H935" s="3">
        <f t="shared" si="122"/>
        <v>5.6980719585086881E-3</v>
      </c>
      <c r="I935" s="3">
        <f t="shared" si="123"/>
        <v>5.6980719585086881E-3</v>
      </c>
      <c r="K935" s="12" t="str">
        <f>IF(AND(G935=1,G934&lt;&gt;1),MAX($K$50:K934)+1,"")</f>
        <v/>
      </c>
      <c r="L935" s="13" t="str">
        <f>IF(AND(G935&lt;&gt;1,G934=1),MAX($L$50:L934)+1,"")</f>
        <v/>
      </c>
      <c r="M935" s="13" t="str">
        <f>IF(AND(G935=-1,G934&lt;&gt;-1),MAX($M$50:M934)+1,"")</f>
        <v/>
      </c>
      <c r="N935" s="13" t="str">
        <f>IF(AND(G935&lt;&gt;-1,G934=-1),MAX($N$50:N934)+1,"")</f>
        <v/>
      </c>
      <c r="T935" s="7">
        <f t="shared" si="124"/>
        <v>103.23700825688798</v>
      </c>
      <c r="U935" s="1">
        <f t="shared" si="125"/>
        <v>159.03724603187143</v>
      </c>
    </row>
    <row r="936" spans="1:21" x14ac:dyDescent="0.3">
      <c r="A936" s="2">
        <v>41534</v>
      </c>
      <c r="B936" s="1">
        <v>3039.75</v>
      </c>
      <c r="C936" s="2">
        <f t="shared" si="117"/>
        <v>41534</v>
      </c>
      <c r="D936" s="1">
        <f t="shared" si="118"/>
        <v>3039.75</v>
      </c>
      <c r="E936" s="4">
        <f t="shared" si="119"/>
        <v>2980.2930000000006</v>
      </c>
      <c r="F936" s="3">
        <f t="shared" si="120"/>
        <v>1.0199500518908708</v>
      </c>
      <c r="G936" s="18">
        <f t="shared" si="121"/>
        <v>1</v>
      </c>
      <c r="H936" s="3">
        <f t="shared" si="122"/>
        <v>4.2319966699042588E-3</v>
      </c>
      <c r="I936" s="3">
        <f t="shared" si="123"/>
        <v>4.2319966699042588E-3</v>
      </c>
      <c r="K936" s="12" t="str">
        <f>IF(AND(G936=1,G935&lt;&gt;1),MAX($K$50:K935)+1,"")</f>
        <v/>
      </c>
      <c r="L936" s="13" t="str">
        <f>IF(AND(G936&lt;&gt;1,G935=1),MAX($L$50:L935)+1,"")</f>
        <v/>
      </c>
      <c r="M936" s="13" t="str">
        <f>IF(AND(G936=-1,G935&lt;&gt;-1),MAX($M$50:M935)+1,"")</f>
        <v/>
      </c>
      <c r="N936" s="13" t="str">
        <f>IF(AND(G936&lt;&gt;-1,G935=-1),MAX($N$50:N935)+1,"")</f>
        <v/>
      </c>
      <c r="T936" s="7">
        <f t="shared" si="124"/>
        <v>103.673906932042</v>
      </c>
      <c r="U936" s="1">
        <f t="shared" si="125"/>
        <v>159.71029112746905</v>
      </c>
    </row>
    <row r="937" spans="1:21" x14ac:dyDescent="0.3">
      <c r="A937" s="2">
        <v>41535</v>
      </c>
      <c r="B937" s="1">
        <v>3076.81</v>
      </c>
      <c r="C937" s="2">
        <f t="shared" si="117"/>
        <v>41535</v>
      </c>
      <c r="D937" s="1">
        <f t="shared" si="118"/>
        <v>3076.81</v>
      </c>
      <c r="E937" s="4">
        <f t="shared" si="119"/>
        <v>2983.1430000000005</v>
      </c>
      <c r="F937" s="3">
        <f t="shared" si="120"/>
        <v>1.0313987629825321</v>
      </c>
      <c r="G937" s="18">
        <f t="shared" si="121"/>
        <v>1</v>
      </c>
      <c r="H937" s="3">
        <f t="shared" si="122"/>
        <v>1.2191792088165121E-2</v>
      </c>
      <c r="I937" s="3">
        <f t="shared" si="123"/>
        <v>1.2191792088165121E-2</v>
      </c>
      <c r="K937" s="12" t="str">
        <f>IF(AND(G937=1,G936&lt;&gt;1),MAX($K$50:K936)+1,"")</f>
        <v/>
      </c>
      <c r="L937" s="13" t="str">
        <f>IF(AND(G937&lt;&gt;1,G936=1),MAX($L$50:L936)+1,"")</f>
        <v/>
      </c>
      <c r="M937" s="13" t="str">
        <f>IF(AND(G937=-1,G936&lt;&gt;-1),MAX($M$50:M936)+1,"")</f>
        <v/>
      </c>
      <c r="N937" s="13" t="str">
        <f>IF(AND(G937&lt;&gt;-1,G936=-1),MAX($N$50:N936)+1,"")</f>
        <v/>
      </c>
      <c r="T937" s="7">
        <f t="shared" si="124"/>
        <v>104.93787765032523</v>
      </c>
      <c r="U937" s="1">
        <f t="shared" si="125"/>
        <v>161.65744579123546</v>
      </c>
    </row>
    <row r="938" spans="1:21" x14ac:dyDescent="0.3">
      <c r="A938" s="2">
        <v>41536</v>
      </c>
      <c r="B938" s="1">
        <v>3071.61</v>
      </c>
      <c r="C938" s="2">
        <f t="shared" si="117"/>
        <v>41536</v>
      </c>
      <c r="D938" s="1">
        <f t="shared" si="118"/>
        <v>3071.61</v>
      </c>
      <c r="E938" s="4">
        <f t="shared" si="119"/>
        <v>2985.8758000000003</v>
      </c>
      <c r="F938" s="3">
        <f t="shared" si="120"/>
        <v>1.0287132505645411</v>
      </c>
      <c r="G938" s="18">
        <f t="shared" si="121"/>
        <v>1</v>
      </c>
      <c r="H938" s="3">
        <f t="shared" si="122"/>
        <v>-1.6900621097825086E-3</v>
      </c>
      <c r="I938" s="3">
        <f t="shared" si="123"/>
        <v>-1.6900621097825086E-3</v>
      </c>
      <c r="K938" s="12" t="str">
        <f>IF(AND(G938=1,G937&lt;&gt;1),MAX($K$50:K937)+1,"")</f>
        <v/>
      </c>
      <c r="L938" s="13" t="str">
        <f>IF(AND(G938&lt;&gt;1,G937=1),MAX($L$50:L937)+1,"")</f>
        <v/>
      </c>
      <c r="M938" s="13" t="str">
        <f>IF(AND(G938=-1,G937&lt;&gt;-1),MAX($M$50:M937)+1,"")</f>
        <v/>
      </c>
      <c r="N938" s="13" t="str">
        <f>IF(AND(G938&lt;&gt;-1,G937=-1),MAX($N$50:N937)+1,"")</f>
        <v/>
      </c>
      <c r="T938" s="7">
        <f t="shared" si="124"/>
        <v>104.76052611942742</v>
      </c>
      <c r="U938" s="1">
        <f t="shared" si="125"/>
        <v>161.38423466733948</v>
      </c>
    </row>
    <row r="939" spans="1:21" x14ac:dyDescent="0.3">
      <c r="A939" s="2">
        <v>41537</v>
      </c>
      <c r="B939" s="1">
        <v>3049.47</v>
      </c>
      <c r="C939" s="2">
        <f t="shared" si="117"/>
        <v>41537</v>
      </c>
      <c r="D939" s="1">
        <f t="shared" si="118"/>
        <v>3049.47</v>
      </c>
      <c r="E939" s="4">
        <f t="shared" si="119"/>
        <v>2987.364</v>
      </c>
      <c r="F939" s="3">
        <f t="shared" si="120"/>
        <v>1.0207895656505199</v>
      </c>
      <c r="G939" s="18">
        <f t="shared" si="121"/>
        <v>1</v>
      </c>
      <c r="H939" s="3">
        <f t="shared" si="122"/>
        <v>-7.2079463213103878E-3</v>
      </c>
      <c r="I939" s="3">
        <f t="shared" si="123"/>
        <v>-7.2079463213103878E-3</v>
      </c>
      <c r="K939" s="12" t="str">
        <f>IF(AND(G939=1,G938&lt;&gt;1),MAX($K$50:K938)+1,"")</f>
        <v/>
      </c>
      <c r="L939" s="13" t="str">
        <f>IF(AND(G939&lt;&gt;1,G938=1),MAX($L$50:L938)+1,"")</f>
        <v/>
      </c>
      <c r="M939" s="13" t="str">
        <f>IF(AND(G939=-1,G938&lt;&gt;-1),MAX($M$50:M938)+1,"")</f>
        <v/>
      </c>
      <c r="N939" s="13" t="str">
        <f>IF(AND(G939&lt;&gt;-1,G938=-1),MAX($N$50:N938)+1,"")</f>
        <v/>
      </c>
      <c r="T939" s="7">
        <f t="shared" si="124"/>
        <v>104.00541787056636</v>
      </c>
      <c r="U939" s="1">
        <f t="shared" si="125"/>
        <v>160.22098576675154</v>
      </c>
    </row>
    <row r="940" spans="1:21" x14ac:dyDescent="0.3">
      <c r="A940" s="2">
        <v>41540</v>
      </c>
      <c r="B940" s="1">
        <v>3035.09</v>
      </c>
      <c r="C940" s="2">
        <f t="shared" si="117"/>
        <v>41540</v>
      </c>
      <c r="D940" s="1">
        <f t="shared" si="118"/>
        <v>3035.09</v>
      </c>
      <c r="E940" s="4">
        <f t="shared" si="119"/>
        <v>2988.3809999999999</v>
      </c>
      <c r="F940" s="3">
        <f t="shared" si="120"/>
        <v>1.0156302024407198</v>
      </c>
      <c r="G940" s="18">
        <f t="shared" si="121"/>
        <v>1</v>
      </c>
      <c r="H940" s="3">
        <f t="shared" si="122"/>
        <v>-4.7155735258912479E-3</v>
      </c>
      <c r="I940" s="3">
        <f t="shared" si="123"/>
        <v>-4.7155735258912479E-3</v>
      </c>
      <c r="K940" s="12" t="str">
        <f>IF(AND(G940=1,G939&lt;&gt;1),MAX($K$50:K939)+1,"")</f>
        <v/>
      </c>
      <c r="L940" s="13" t="str">
        <f>IF(AND(G940&lt;&gt;1,G939=1),MAX($L$50:L939)+1,"")</f>
        <v/>
      </c>
      <c r="M940" s="13" t="str">
        <f>IF(AND(G940=-1,G939&lt;&gt;-1),MAX($M$50:M939)+1,"")</f>
        <v/>
      </c>
      <c r="N940" s="13" t="str">
        <f>IF(AND(G940&lt;&gt;-1,G939=-1),MAX($N$50:N939)+1,"")</f>
        <v/>
      </c>
      <c r="T940" s="7">
        <f t="shared" si="124"/>
        <v>103.51497267550667</v>
      </c>
      <c r="U940" s="1">
        <f t="shared" si="125"/>
        <v>159.46545192797765</v>
      </c>
    </row>
    <row r="941" spans="1:21" x14ac:dyDescent="0.3">
      <c r="A941" s="2">
        <v>41541</v>
      </c>
      <c r="B941" s="1">
        <v>3027.52</v>
      </c>
      <c r="C941" s="2">
        <f t="shared" si="117"/>
        <v>41541</v>
      </c>
      <c r="D941" s="1">
        <f t="shared" si="118"/>
        <v>3027.52</v>
      </c>
      <c r="E941" s="4">
        <f t="shared" si="119"/>
        <v>2989.1643999999997</v>
      </c>
      <c r="F941" s="3">
        <f t="shared" si="120"/>
        <v>1.0128315458326749</v>
      </c>
      <c r="G941" s="18">
        <f t="shared" si="121"/>
        <v>1</v>
      </c>
      <c r="H941" s="3">
        <f t="shared" si="122"/>
        <v>-2.4941599754867427E-3</v>
      </c>
      <c r="I941" s="3">
        <f t="shared" si="123"/>
        <v>-2.4941599754867427E-3</v>
      </c>
      <c r="K941" s="12" t="str">
        <f>IF(AND(G941=1,G940&lt;&gt;1),MAX($K$50:K940)+1,"")</f>
        <v/>
      </c>
      <c r="L941" s="13" t="str">
        <f>IF(AND(G941&lt;&gt;1,G940=1),MAX($L$50:L940)+1,"")</f>
        <v/>
      </c>
      <c r="M941" s="13" t="str">
        <f>IF(AND(G941=-1,G940&lt;&gt;-1),MAX($M$50:M940)+1,"")</f>
        <v/>
      </c>
      <c r="N941" s="13" t="str">
        <f>IF(AND(G941&lt;&gt;-1,G940=-1),MAX($N$50:N940)+1,"")</f>
        <v/>
      </c>
      <c r="T941" s="7">
        <f t="shared" si="124"/>
        <v>103.25678977379582</v>
      </c>
      <c r="U941" s="1">
        <f t="shared" si="125"/>
        <v>159.06771958030598</v>
      </c>
    </row>
    <row r="942" spans="1:21" x14ac:dyDescent="0.3">
      <c r="A942" s="2">
        <v>41542</v>
      </c>
      <c r="B942" s="1">
        <v>3019.31</v>
      </c>
      <c r="C942" s="2">
        <f t="shared" si="117"/>
        <v>41542</v>
      </c>
      <c r="D942" s="1">
        <f t="shared" si="118"/>
        <v>3019.31</v>
      </c>
      <c r="E942" s="4">
        <f t="shared" si="119"/>
        <v>2990.0054</v>
      </c>
      <c r="F942" s="3">
        <f t="shared" si="120"/>
        <v>1.0098008518646822</v>
      </c>
      <c r="G942" s="18">
        <f t="shared" si="121"/>
        <v>1</v>
      </c>
      <c r="H942" s="3">
        <f t="shared" si="122"/>
        <v>-2.7117905084029781E-3</v>
      </c>
      <c r="I942" s="3">
        <f t="shared" si="123"/>
        <v>-2.7117905084029781E-3</v>
      </c>
      <c r="K942" s="12" t="str">
        <f>IF(AND(G942=1,G941&lt;&gt;1),MAX($K$50:K941)+1,"")</f>
        <v/>
      </c>
      <c r="L942" s="13" t="str">
        <f>IF(AND(G942&lt;&gt;1,G941=1),MAX($L$50:L941)+1,"")</f>
        <v/>
      </c>
      <c r="M942" s="13" t="str">
        <f>IF(AND(G942=-1,G941&lt;&gt;-1),MAX($M$50:M941)+1,"")</f>
        <v/>
      </c>
      <c r="N942" s="13" t="str">
        <f>IF(AND(G942&lt;&gt;-1,G941=-1),MAX($N$50:N941)+1,"")</f>
        <v/>
      </c>
      <c r="T942" s="7">
        <f t="shared" si="124"/>
        <v>102.97677899135907</v>
      </c>
      <c r="U942" s="1">
        <f t="shared" si="125"/>
        <v>158.6363612481548</v>
      </c>
    </row>
    <row r="943" spans="1:21" x14ac:dyDescent="0.3">
      <c r="A943" s="2">
        <v>41543</v>
      </c>
      <c r="B943" s="1">
        <v>3030.41</v>
      </c>
      <c r="C943" s="2">
        <f t="shared" si="117"/>
        <v>41543</v>
      </c>
      <c r="D943" s="1">
        <f t="shared" si="118"/>
        <v>3030.41</v>
      </c>
      <c r="E943" s="4">
        <f t="shared" si="119"/>
        <v>2990.8965999999996</v>
      </c>
      <c r="F943" s="3">
        <f t="shared" si="120"/>
        <v>1.0132112223471719</v>
      </c>
      <c r="G943" s="18">
        <f t="shared" si="121"/>
        <v>1</v>
      </c>
      <c r="H943" s="3">
        <f t="shared" si="122"/>
        <v>3.6763366464522829E-3</v>
      </c>
      <c r="I943" s="3">
        <f t="shared" si="123"/>
        <v>3.6763366464522829E-3</v>
      </c>
      <c r="K943" s="12" t="str">
        <f>IF(AND(G943=1,G942&lt;&gt;1),MAX($K$50:K942)+1,"")</f>
        <v/>
      </c>
      <c r="L943" s="13" t="str">
        <f>IF(AND(G943&lt;&gt;1,G942=1),MAX($L$50:L942)+1,"")</f>
        <v/>
      </c>
      <c r="M943" s="13" t="str">
        <f>IF(AND(G943=-1,G942&lt;&gt;-1),MAX($M$50:M942)+1,"")</f>
        <v/>
      </c>
      <c r="N943" s="13" t="str">
        <f>IF(AND(G943&lt;&gt;-1,G942=-1),MAX($N$50:N942)+1,"")</f>
        <v/>
      </c>
      <c r="T943" s="7">
        <f t="shared" si="124"/>
        <v>103.35535629769862</v>
      </c>
      <c r="U943" s="1">
        <f t="shared" si="125"/>
        <v>159.21956191647124</v>
      </c>
    </row>
    <row r="944" spans="1:21" x14ac:dyDescent="0.3">
      <c r="A944" s="2">
        <v>41544</v>
      </c>
      <c r="B944" s="1">
        <v>3018.24</v>
      </c>
      <c r="C944" s="2">
        <f t="shared" si="117"/>
        <v>41544</v>
      </c>
      <c r="D944" s="1">
        <f t="shared" si="118"/>
        <v>3018.24</v>
      </c>
      <c r="E944" s="4">
        <f t="shared" si="119"/>
        <v>2991.2371999999996</v>
      </c>
      <c r="F944" s="3">
        <f t="shared" si="120"/>
        <v>1.0090273014791338</v>
      </c>
      <c r="G944" s="18">
        <f t="shared" si="121"/>
        <v>1</v>
      </c>
      <c r="H944" s="3">
        <f t="shared" si="122"/>
        <v>-4.0159582366742219E-3</v>
      </c>
      <c r="I944" s="3">
        <f t="shared" si="123"/>
        <v>-4.0159582366742219E-3</v>
      </c>
      <c r="K944" s="12" t="str">
        <f>IF(AND(G944=1,G943&lt;&gt;1),MAX($K$50:K943)+1,"")</f>
        <v/>
      </c>
      <c r="L944" s="13" t="str">
        <f>IF(AND(G944&lt;&gt;1,G943=1),MAX($L$50:L943)+1,"")</f>
        <v/>
      </c>
      <c r="M944" s="13" t="str">
        <f>IF(AND(G944=-1,G943&lt;&gt;-1),MAX($M$50:M943)+1,"")</f>
        <v/>
      </c>
      <c r="N944" s="13" t="str">
        <f>IF(AND(G944&lt;&gt;-1,G943=-1),MAX($N$50:N943)+1,"")</f>
        <v/>
      </c>
      <c r="T944" s="7">
        <f t="shared" si="124"/>
        <v>102.94028550327047</v>
      </c>
      <c r="U944" s="1">
        <f t="shared" si="125"/>
        <v>158.58014280535312</v>
      </c>
    </row>
    <row r="945" spans="1:21" x14ac:dyDescent="0.3">
      <c r="A945" s="2">
        <v>41547</v>
      </c>
      <c r="B945" s="1">
        <v>3000.18</v>
      </c>
      <c r="C945" s="2">
        <f t="shared" si="117"/>
        <v>41547</v>
      </c>
      <c r="D945" s="1">
        <f t="shared" si="118"/>
        <v>3000.18</v>
      </c>
      <c r="E945" s="4">
        <f t="shared" si="119"/>
        <v>2991.118199999999</v>
      </c>
      <c r="F945" s="3">
        <f t="shared" si="120"/>
        <v>1.0030295693429971</v>
      </c>
      <c r="G945" s="18">
        <f t="shared" si="121"/>
        <v>1</v>
      </c>
      <c r="H945" s="3">
        <f t="shared" si="122"/>
        <v>-5.9836195928753E-3</v>
      </c>
      <c r="I945" s="3">
        <f t="shared" si="123"/>
        <v>-5.9836195928753E-3</v>
      </c>
      <c r="K945" s="12" t="str">
        <f>IF(AND(G945=1,G944&lt;&gt;1),MAX($K$50:K944)+1,"")</f>
        <v/>
      </c>
      <c r="L945" s="13" t="str">
        <f>IF(AND(G945&lt;&gt;1,G944=1),MAX($L$50:L944)+1,"")</f>
        <v/>
      </c>
      <c r="M945" s="13" t="str">
        <f>IF(AND(G945=-1,G944&lt;&gt;-1),MAX($M$50:M944)+1,"")</f>
        <v/>
      </c>
      <c r="N945" s="13" t="str">
        <f>IF(AND(G945&lt;&gt;-1,G944=-1),MAX($N$50:N944)+1,"")</f>
        <v/>
      </c>
      <c r="T945" s="7">
        <f t="shared" si="124"/>
        <v>102.32432999403693</v>
      </c>
      <c r="U945" s="1">
        <f t="shared" si="125"/>
        <v>157.63125955582203</v>
      </c>
    </row>
    <row r="946" spans="1:21" x14ac:dyDescent="0.3">
      <c r="A946" s="2">
        <v>41548</v>
      </c>
      <c r="B946" s="1">
        <v>3024.38</v>
      </c>
      <c r="C946" s="2">
        <f t="shared" si="117"/>
        <v>41548</v>
      </c>
      <c r="D946" s="1">
        <f t="shared" si="118"/>
        <v>3024.38</v>
      </c>
      <c r="E946" s="4">
        <f t="shared" si="119"/>
        <v>2991.3597999999997</v>
      </c>
      <c r="F946" s="3">
        <f t="shared" si="120"/>
        <v>1.0110385250212965</v>
      </c>
      <c r="G946" s="18">
        <f t="shared" si="121"/>
        <v>1</v>
      </c>
      <c r="H946" s="3">
        <f t="shared" si="122"/>
        <v>8.0661826957049154E-3</v>
      </c>
      <c r="I946" s="3">
        <f t="shared" si="123"/>
        <v>8.0661826957049154E-3</v>
      </c>
      <c r="K946" s="12" t="str">
        <f>IF(AND(G946=1,G945&lt;&gt;1),MAX($K$50:K945)+1,"")</f>
        <v/>
      </c>
      <c r="L946" s="13" t="str">
        <f>IF(AND(G946&lt;&gt;1,G945=1),MAX($L$50:L945)+1,"")</f>
        <v/>
      </c>
      <c r="M946" s="13" t="str">
        <f>IF(AND(G946=-1,G945&lt;&gt;-1),MAX($M$50:M945)+1,"")</f>
        <v/>
      </c>
      <c r="N946" s="13" t="str">
        <f>IF(AND(G946&lt;&gt;-1,G945=-1),MAX($N$50:N945)+1,"")</f>
        <v/>
      </c>
      <c r="T946" s="7">
        <f t="shared" si="124"/>
        <v>103.14969673398443</v>
      </c>
      <c r="U946" s="1">
        <f t="shared" si="125"/>
        <v>158.90274209395338</v>
      </c>
    </row>
    <row r="947" spans="1:21" x14ac:dyDescent="0.3">
      <c r="A947" s="2">
        <v>41549</v>
      </c>
      <c r="B947" s="1">
        <v>3022.95</v>
      </c>
      <c r="C947" s="2">
        <f t="shared" si="117"/>
        <v>41549</v>
      </c>
      <c r="D947" s="1">
        <f t="shared" si="118"/>
        <v>3022.95</v>
      </c>
      <c r="E947" s="4">
        <f t="shared" si="119"/>
        <v>2991.6844000000001</v>
      </c>
      <c r="F947" s="3">
        <f t="shared" si="120"/>
        <v>1.0104508349878081</v>
      </c>
      <c r="G947" s="18">
        <f t="shared" si="121"/>
        <v>1</v>
      </c>
      <c r="H947" s="3">
        <f t="shared" si="122"/>
        <v>-4.7282418214655841E-4</v>
      </c>
      <c r="I947" s="3">
        <f t="shared" si="123"/>
        <v>-4.7282418214655841E-4</v>
      </c>
      <c r="K947" s="12" t="str">
        <f>IF(AND(G947=1,G946&lt;&gt;1),MAX($K$50:K946)+1,"")</f>
        <v/>
      </c>
      <c r="L947" s="13" t="str">
        <f>IF(AND(G947&lt;&gt;1,G946=1),MAX($L$50:L946)+1,"")</f>
        <v/>
      </c>
      <c r="M947" s="13" t="str">
        <f>IF(AND(G947=-1,G946&lt;&gt;-1),MAX($M$50:M946)+1,"")</f>
        <v/>
      </c>
      <c r="N947" s="13" t="str">
        <f>IF(AND(G947&lt;&gt;-1,G946=-1),MAX($N$50:N946)+1,"")</f>
        <v/>
      </c>
      <c r="T947" s="7">
        <f t="shared" si="124"/>
        <v>103.10092506298751</v>
      </c>
      <c r="U947" s="1">
        <f t="shared" si="125"/>
        <v>158.82760903488196</v>
      </c>
    </row>
    <row r="948" spans="1:21" x14ac:dyDescent="0.3">
      <c r="A948" s="2">
        <v>41550</v>
      </c>
      <c r="B948" s="1">
        <v>2995.81</v>
      </c>
      <c r="C948" s="2">
        <f t="shared" ref="C948:C1011" si="126">A948</f>
        <v>41550</v>
      </c>
      <c r="D948" s="1">
        <f t="shared" ref="D948:D1011" si="127">B948</f>
        <v>2995.81</v>
      </c>
      <c r="E948" s="4">
        <f t="shared" ref="E948:E1011" si="128">AVERAGE(B899:B948)</f>
        <v>2991.6946000000003</v>
      </c>
      <c r="F948" s="3">
        <f t="shared" ref="F948:F1011" si="129">D948/E948</f>
        <v>1.0013756083257963</v>
      </c>
      <c r="G948" s="18">
        <f t="shared" ref="G948:G1011" si="130">IF(F948&gt;=$Q$51,1,IF(F948&lt;=$Q$52,-1,0))</f>
        <v>1</v>
      </c>
      <c r="H948" s="3">
        <f t="shared" si="122"/>
        <v>-8.9779850807985007E-3</v>
      </c>
      <c r="I948" s="3">
        <f t="shared" si="123"/>
        <v>-8.9779850807985007E-3</v>
      </c>
      <c r="K948" s="12" t="str">
        <f>IF(AND(G948=1,G947&lt;&gt;1),MAX($K$50:K947)+1,"")</f>
        <v/>
      </c>
      <c r="L948" s="13" t="str">
        <f>IF(AND(G948&lt;&gt;1,G947=1),MAX($L$50:L947)+1,"")</f>
        <v/>
      </c>
      <c r="M948" s="13" t="str">
        <f>IF(AND(G948=-1,G947&lt;&gt;-1),MAX($M$50:M947)+1,"")</f>
        <v/>
      </c>
      <c r="N948" s="13" t="str">
        <f>IF(AND(G948&lt;&gt;-1,G947=-1),MAX($N$50:N947)+1,"")</f>
        <v/>
      </c>
      <c r="T948" s="7">
        <f t="shared" si="124"/>
        <v>102.17528649595549</v>
      </c>
      <c r="U948" s="1">
        <f t="shared" si="125"/>
        <v>157.40165713054787</v>
      </c>
    </row>
    <row r="949" spans="1:21" x14ac:dyDescent="0.3">
      <c r="A949" s="2">
        <v>41551</v>
      </c>
      <c r="B949" s="1">
        <v>3017.05</v>
      </c>
      <c r="C949" s="2">
        <f t="shared" si="126"/>
        <v>41551</v>
      </c>
      <c r="D949" s="1">
        <f t="shared" si="127"/>
        <v>3017.05</v>
      </c>
      <c r="E949" s="4">
        <f t="shared" si="128"/>
        <v>2991.9753999999994</v>
      </c>
      <c r="F949" s="3">
        <f t="shared" si="129"/>
        <v>1.0083806170331484</v>
      </c>
      <c r="G949" s="18">
        <f t="shared" si="130"/>
        <v>1</v>
      </c>
      <c r="H949" s="3">
        <f t="shared" ref="H949:H1012" si="131">D949/D948-1</f>
        <v>7.0899022301147419E-3</v>
      </c>
      <c r="I949" s="3">
        <f t="shared" ref="I949:I1012" si="132">G948*H949</f>
        <v>7.0899022301147419E-3</v>
      </c>
      <c r="K949" s="12" t="str">
        <f>IF(AND(G949=1,G948&lt;&gt;1),MAX($K$50:K948)+1,"")</f>
        <v/>
      </c>
      <c r="L949" s="13" t="str">
        <f>IF(AND(G949&lt;&gt;1,G948=1),MAX($L$50:L948)+1,"")</f>
        <v/>
      </c>
      <c r="M949" s="13" t="str">
        <f>IF(AND(G949=-1,G948&lt;&gt;-1),MAX($M$50:M948)+1,"")</f>
        <v/>
      </c>
      <c r="N949" s="13" t="str">
        <f>IF(AND(G949&lt;&gt;-1,G948=-1),MAX($N$50:N948)+1,"")</f>
        <v/>
      </c>
      <c r="T949" s="7">
        <f t="shared" ref="T949:T1012" si="133">T948*(1+I949)</f>
        <v>102.89969928754577</v>
      </c>
      <c r="U949" s="1">
        <f t="shared" ref="U949:U1012" si="134">U948*D949/D948</f>
        <v>158.51761949046153</v>
      </c>
    </row>
    <row r="950" spans="1:21" x14ac:dyDescent="0.3">
      <c r="A950" s="2">
        <v>41554</v>
      </c>
      <c r="B950" s="1">
        <v>2991.39</v>
      </c>
      <c r="C950" s="2">
        <f t="shared" si="126"/>
        <v>41554</v>
      </c>
      <c r="D950" s="1">
        <f t="shared" si="127"/>
        <v>2991.39</v>
      </c>
      <c r="E950" s="4">
        <f t="shared" si="128"/>
        <v>2991.6929999999998</v>
      </c>
      <c r="F950" s="3">
        <f t="shared" si="129"/>
        <v>0.99989871955444631</v>
      </c>
      <c r="G950" s="18">
        <f t="shared" si="130"/>
        <v>1</v>
      </c>
      <c r="H950" s="3">
        <f t="shared" si="131"/>
        <v>-8.5049966026417012E-3</v>
      </c>
      <c r="I950" s="3">
        <f t="shared" si="132"/>
        <v>-8.5049966026417012E-3</v>
      </c>
      <c r="K950" s="12" t="str">
        <f>IF(AND(G950=1,G949&lt;&gt;1),MAX($K$50:K949)+1,"")</f>
        <v/>
      </c>
      <c r="L950" s="13" t="str">
        <f>IF(AND(G950&lt;&gt;1,G949=1),MAX($L$50:L949)+1,"")</f>
        <v/>
      </c>
      <c r="M950" s="13" t="str">
        <f>IF(AND(G950=-1,G949&lt;&gt;-1),MAX($M$50:M949)+1,"")</f>
        <v/>
      </c>
      <c r="N950" s="13" t="str">
        <f>IF(AND(G950&lt;&gt;-1,G949=-1),MAX($N$50:N949)+1,"")</f>
        <v/>
      </c>
      <c r="T950" s="7">
        <f t="shared" si="133"/>
        <v>102.02453769469234</v>
      </c>
      <c r="U950" s="1">
        <f t="shared" si="134"/>
        <v>157.16942767523631</v>
      </c>
    </row>
    <row r="951" spans="1:21" x14ac:dyDescent="0.3">
      <c r="A951" s="2">
        <v>41555</v>
      </c>
      <c r="B951" s="1">
        <v>2955.41</v>
      </c>
      <c r="C951" s="2">
        <f t="shared" si="126"/>
        <v>41555</v>
      </c>
      <c r="D951" s="1">
        <f t="shared" si="127"/>
        <v>2955.41</v>
      </c>
      <c r="E951" s="4">
        <f t="shared" si="128"/>
        <v>2990.9122000000002</v>
      </c>
      <c r="F951" s="3">
        <f t="shared" si="129"/>
        <v>0.98812997586488815</v>
      </c>
      <c r="G951" s="18">
        <f t="shared" si="130"/>
        <v>1</v>
      </c>
      <c r="H951" s="3">
        <f t="shared" si="131"/>
        <v>-1.2027853272224664E-2</v>
      </c>
      <c r="I951" s="3">
        <f t="shared" si="132"/>
        <v>-1.2027853272224664E-2</v>
      </c>
      <c r="K951" s="12" t="str">
        <f>IF(AND(G951=1,G950&lt;&gt;1),MAX($K$50:K950)+1,"")</f>
        <v/>
      </c>
      <c r="L951" s="13" t="str">
        <f>IF(AND(G951&lt;&gt;1,G950=1),MAX($L$50:L950)+1,"")</f>
        <v/>
      </c>
      <c r="M951" s="13" t="str">
        <f>IF(AND(G951=-1,G950&lt;&gt;-1),MAX($M$50:M950)+1,"")</f>
        <v/>
      </c>
      <c r="N951" s="13" t="str">
        <f>IF(AND(G951&lt;&gt;-1,G950=-1),MAX($N$50:N950)+1,"")</f>
        <v/>
      </c>
      <c r="T951" s="7">
        <f t="shared" si="133"/>
        <v>100.79740152513402</v>
      </c>
      <c r="U951" s="1">
        <f t="shared" si="134"/>
        <v>155.27901686027903</v>
      </c>
    </row>
    <row r="952" spans="1:21" x14ac:dyDescent="0.3">
      <c r="A952" s="2">
        <v>41556</v>
      </c>
      <c r="B952" s="1">
        <v>2957.4</v>
      </c>
      <c r="C952" s="2">
        <f t="shared" si="126"/>
        <v>41556</v>
      </c>
      <c r="D952" s="1">
        <f t="shared" si="127"/>
        <v>2957.4</v>
      </c>
      <c r="E952" s="4">
        <f t="shared" si="128"/>
        <v>2990.1465999999996</v>
      </c>
      <c r="F952" s="3">
        <f t="shared" si="129"/>
        <v>0.98904849681952067</v>
      </c>
      <c r="G952" s="18">
        <f t="shared" si="130"/>
        <v>1</v>
      </c>
      <c r="H952" s="3">
        <f t="shared" si="131"/>
        <v>6.7334143147657066E-4</v>
      </c>
      <c r="I952" s="3">
        <f t="shared" si="132"/>
        <v>6.7334143147657066E-4</v>
      </c>
      <c r="K952" s="12" t="str">
        <f>IF(AND(G952=1,G951&lt;&gt;1),MAX($K$50:K951)+1,"")</f>
        <v/>
      </c>
      <c r="L952" s="13" t="str">
        <f>IF(AND(G952&lt;&gt;1,G951=1),MAX($L$50:L951)+1,"")</f>
        <v/>
      </c>
      <c r="M952" s="13" t="str">
        <f>IF(AND(G952=-1,G951&lt;&gt;-1),MAX($M$50:M951)+1,"")</f>
        <v/>
      </c>
      <c r="N952" s="13" t="str">
        <f>IF(AND(G952&lt;&gt;-1,G951=-1),MAX($N$50:N951)+1,"")</f>
        <v/>
      </c>
      <c r="T952" s="7">
        <f t="shared" si="133"/>
        <v>100.86527259176607</v>
      </c>
      <c r="U952" s="1">
        <f t="shared" si="134"/>
        <v>155.38357265577</v>
      </c>
    </row>
    <row r="953" spans="1:21" x14ac:dyDescent="0.3">
      <c r="A953" s="2">
        <v>41557</v>
      </c>
      <c r="B953" s="1">
        <v>3022.43</v>
      </c>
      <c r="C953" s="2">
        <f t="shared" si="126"/>
        <v>41557</v>
      </c>
      <c r="D953" s="1">
        <f t="shared" si="127"/>
        <v>3022.43</v>
      </c>
      <c r="E953" s="4">
        <f t="shared" si="128"/>
        <v>2990.6807999999996</v>
      </c>
      <c r="F953" s="3">
        <f t="shared" si="129"/>
        <v>1.0106160443468257</v>
      </c>
      <c r="G953" s="18">
        <f t="shared" si="130"/>
        <v>1</v>
      </c>
      <c r="H953" s="3">
        <f t="shared" si="131"/>
        <v>2.1988909176979599E-2</v>
      </c>
      <c r="I953" s="3">
        <f t="shared" si="132"/>
        <v>2.1988909176979599E-2</v>
      </c>
      <c r="K953" s="12" t="str">
        <f>IF(AND(G953=1,G952&lt;&gt;1),MAX($K$50:K952)+1,"")</f>
        <v/>
      </c>
      <c r="L953" s="13" t="str">
        <f>IF(AND(G953&lt;&gt;1,G952=1),MAX($L$50:L952)+1,"")</f>
        <v/>
      </c>
      <c r="M953" s="13" t="str">
        <f>IF(AND(G953=-1,G952&lt;&gt;-1),MAX($M$50:M952)+1,"")</f>
        <v/>
      </c>
      <c r="N953" s="13" t="str">
        <f>IF(AND(G953&lt;&gt;-1,G952=-1),MAX($N$50:N952)+1,"")</f>
        <v/>
      </c>
      <c r="T953" s="7">
        <f t="shared" si="133"/>
        <v>103.08318990989771</v>
      </c>
      <c r="U953" s="1">
        <f t="shared" si="134"/>
        <v>158.80028792249234</v>
      </c>
    </row>
    <row r="954" spans="1:21" x14ac:dyDescent="0.3">
      <c r="A954" s="2">
        <v>41558</v>
      </c>
      <c r="B954" s="1">
        <v>3041.43</v>
      </c>
      <c r="C954" s="2">
        <f t="shared" si="126"/>
        <v>41558</v>
      </c>
      <c r="D954" s="1">
        <f t="shared" si="127"/>
        <v>3041.43</v>
      </c>
      <c r="E954" s="4">
        <f t="shared" si="128"/>
        <v>2990.8375999999994</v>
      </c>
      <c r="F954" s="3">
        <f t="shared" si="129"/>
        <v>1.0169157964310735</v>
      </c>
      <c r="G954" s="18">
        <f t="shared" si="130"/>
        <v>1</v>
      </c>
      <c r="H954" s="3">
        <f t="shared" si="131"/>
        <v>6.2863325205215759E-3</v>
      </c>
      <c r="I954" s="3">
        <f t="shared" si="132"/>
        <v>6.2863325205215759E-3</v>
      </c>
      <c r="K954" s="12" t="str">
        <f>IF(AND(G954=1,G953&lt;&gt;1),MAX($K$50:K953)+1,"")</f>
        <v/>
      </c>
      <c r="L954" s="13" t="str">
        <f>IF(AND(G954&lt;&gt;1,G953=1),MAX($L$50:L953)+1,"")</f>
        <v/>
      </c>
      <c r="M954" s="13" t="str">
        <f>IF(AND(G954=-1,G953&lt;&gt;-1),MAX($M$50:M953)+1,"")</f>
        <v/>
      </c>
      <c r="N954" s="13" t="str">
        <f>IF(AND(G954&lt;&gt;-1,G953=-1),MAX($N$50:N953)+1,"")</f>
        <v/>
      </c>
      <c r="T954" s="7">
        <f t="shared" si="133"/>
        <v>103.7312051189474</v>
      </c>
      <c r="U954" s="1">
        <f t="shared" si="134"/>
        <v>159.79855933672769</v>
      </c>
    </row>
    <row r="955" spans="1:21" x14ac:dyDescent="0.3">
      <c r="A955" s="2">
        <v>41561</v>
      </c>
      <c r="B955" s="1">
        <v>3053.84</v>
      </c>
      <c r="C955" s="2">
        <f t="shared" si="126"/>
        <v>41561</v>
      </c>
      <c r="D955" s="1">
        <f t="shared" si="127"/>
        <v>3053.84</v>
      </c>
      <c r="E955" s="4">
        <f t="shared" si="128"/>
        <v>2991.1417999999999</v>
      </c>
      <c r="F955" s="3">
        <f t="shared" si="129"/>
        <v>1.0209612931088725</v>
      </c>
      <c r="G955" s="18">
        <f t="shared" si="130"/>
        <v>1</v>
      </c>
      <c r="H955" s="3">
        <f t="shared" si="131"/>
        <v>4.0803174822370281E-3</v>
      </c>
      <c r="I955" s="3">
        <f t="shared" si="132"/>
        <v>4.0803174822370281E-3</v>
      </c>
      <c r="K955" s="12" t="str">
        <f>IF(AND(G955=1,G954&lt;&gt;1),MAX($K$50:K954)+1,"")</f>
        <v/>
      </c>
      <c r="L955" s="13" t="str">
        <f>IF(AND(G955&lt;&gt;1,G954=1),MAX($L$50:L954)+1,"")</f>
        <v/>
      </c>
      <c r="M955" s="13" t="str">
        <f>IF(AND(G955=-1,G954&lt;&gt;-1),MAX($M$50:M954)+1,"")</f>
        <v/>
      </c>
      <c r="N955" s="13" t="str">
        <f>IF(AND(G955&lt;&gt;-1,G954=-1),MAX($N$50:N954)+1,"")</f>
        <v/>
      </c>
      <c r="T955" s="7">
        <f t="shared" si="133"/>
        <v>104.15446136864776</v>
      </c>
      <c r="U955" s="1">
        <f t="shared" si="134"/>
        <v>160.45058819202563</v>
      </c>
    </row>
    <row r="956" spans="1:21" x14ac:dyDescent="0.3">
      <c r="A956" s="2">
        <v>41562</v>
      </c>
      <c r="B956" s="1">
        <v>3032.27</v>
      </c>
      <c r="C956" s="2">
        <f t="shared" si="126"/>
        <v>41562</v>
      </c>
      <c r="D956" s="1">
        <f t="shared" si="127"/>
        <v>3032.27</v>
      </c>
      <c r="E956" s="4">
        <f t="shared" si="128"/>
        <v>2991.0985999999994</v>
      </c>
      <c r="F956" s="3">
        <f t="shared" si="129"/>
        <v>1.0137646415266954</v>
      </c>
      <c r="G956" s="18">
        <f t="shared" si="130"/>
        <v>1</v>
      </c>
      <c r="H956" s="3">
        <f t="shared" si="131"/>
        <v>-7.0632384145862259E-3</v>
      </c>
      <c r="I956" s="3">
        <f t="shared" si="132"/>
        <v>-7.0632384145862259E-3</v>
      </c>
      <c r="K956" s="12" t="str">
        <f>IF(AND(G956=1,G955&lt;&gt;1),MAX($K$50:K955)+1,"")</f>
        <v/>
      </c>
      <c r="L956" s="13" t="str">
        <f>IF(AND(G956&lt;&gt;1,G955=1),MAX($L$50:L955)+1,"")</f>
        <v/>
      </c>
      <c r="M956" s="13" t="str">
        <f>IF(AND(G956=-1,G955&lt;&gt;-1),MAX($M$50:M955)+1,"")</f>
        <v/>
      </c>
      <c r="N956" s="13" t="str">
        <f>IF(AND(G956&lt;&gt;-1,G955=-1),MAX($N$50:N955)+1,"")</f>
        <v/>
      </c>
      <c r="T956" s="7">
        <f t="shared" si="133"/>
        <v>103.41879357605819</v>
      </c>
      <c r="U956" s="1">
        <f t="shared" si="134"/>
        <v>159.31728743386475</v>
      </c>
    </row>
    <row r="957" spans="1:21" x14ac:dyDescent="0.3">
      <c r="A957" s="2">
        <v>41563</v>
      </c>
      <c r="B957" s="1">
        <v>3074.54</v>
      </c>
      <c r="C957" s="2">
        <f t="shared" si="126"/>
        <v>41563</v>
      </c>
      <c r="D957" s="1">
        <f t="shared" si="127"/>
        <v>3074.54</v>
      </c>
      <c r="E957" s="4">
        <f t="shared" si="128"/>
        <v>2992.2461999999996</v>
      </c>
      <c r="F957" s="3">
        <f t="shared" si="129"/>
        <v>1.0275023492385087</v>
      </c>
      <c r="G957" s="18">
        <f t="shared" si="130"/>
        <v>1</v>
      </c>
      <c r="H957" s="3">
        <f t="shared" si="131"/>
        <v>1.3940051512563167E-2</v>
      </c>
      <c r="I957" s="3">
        <f t="shared" si="132"/>
        <v>1.3940051512563167E-2</v>
      </c>
      <c r="K957" s="12" t="str">
        <f>IF(AND(G957=1,G956&lt;&gt;1),MAX($K$50:K956)+1,"")</f>
        <v/>
      </c>
      <c r="L957" s="13" t="str">
        <f>IF(AND(G957&lt;&gt;1,G956=1),MAX($L$50:L956)+1,"")</f>
        <v/>
      </c>
      <c r="M957" s="13" t="str">
        <f>IF(AND(G957=-1,G956&lt;&gt;-1),MAX($M$50:M956)+1,"")</f>
        <v/>
      </c>
      <c r="N957" s="13" t="str">
        <f>IF(AND(G957&lt;&gt;-1,G956=-1),MAX($N$50:N956)+1,"")</f>
        <v/>
      </c>
      <c r="T957" s="7">
        <f t="shared" si="133"/>
        <v>104.86045688587558</v>
      </c>
      <c r="U957" s="1">
        <f t="shared" si="134"/>
        <v>161.53817862753465</v>
      </c>
    </row>
    <row r="958" spans="1:21" x14ac:dyDescent="0.3">
      <c r="A958" s="2">
        <v>41564</v>
      </c>
      <c r="B958" s="1">
        <v>3095.42</v>
      </c>
      <c r="C958" s="2">
        <f t="shared" si="126"/>
        <v>41564</v>
      </c>
      <c r="D958" s="1">
        <f t="shared" si="127"/>
        <v>3095.42</v>
      </c>
      <c r="E958" s="4">
        <f t="shared" si="128"/>
        <v>2994.0219999999995</v>
      </c>
      <c r="F958" s="3">
        <f t="shared" si="129"/>
        <v>1.0338668186138915</v>
      </c>
      <c r="G958" s="18">
        <f t="shared" si="130"/>
        <v>1</v>
      </c>
      <c r="H958" s="3">
        <f t="shared" si="131"/>
        <v>6.791259830738916E-3</v>
      </c>
      <c r="I958" s="3">
        <f t="shared" si="132"/>
        <v>6.791259830738916E-3</v>
      </c>
      <c r="K958" s="12" t="str">
        <f>IF(AND(G958=1,G957&lt;&gt;1),MAX($K$50:K957)+1,"")</f>
        <v/>
      </c>
      <c r="L958" s="13" t="str">
        <f>IF(AND(G958&lt;&gt;1,G957=1),MAX($L$50:L957)+1,"")</f>
        <v/>
      </c>
      <c r="M958" s="13" t="str">
        <f>IF(AND(G958=-1,G957&lt;&gt;-1),MAX($M$50:M957)+1,"")</f>
        <v/>
      </c>
      <c r="N958" s="13" t="str">
        <f>IF(AND(G958&lt;&gt;-1,G957=-1),MAX($N$50:N957)+1,"")</f>
        <v/>
      </c>
      <c r="T958" s="7">
        <f t="shared" si="133"/>
        <v>105.57259149455756</v>
      </c>
      <c r="U958" s="1">
        <f t="shared" si="134"/>
        <v>162.63522637117856</v>
      </c>
    </row>
    <row r="959" spans="1:21" x14ac:dyDescent="0.3">
      <c r="A959" s="2">
        <v>41565</v>
      </c>
      <c r="B959" s="1">
        <v>3115.77</v>
      </c>
      <c r="C959" s="2">
        <f t="shared" si="126"/>
        <v>41565</v>
      </c>
      <c r="D959" s="1">
        <f t="shared" si="127"/>
        <v>3115.77</v>
      </c>
      <c r="E959" s="4">
        <f t="shared" si="128"/>
        <v>2995.9573999999993</v>
      </c>
      <c r="F959" s="3">
        <f t="shared" si="129"/>
        <v>1.0399914231090204</v>
      </c>
      <c r="G959" s="18">
        <f t="shared" si="130"/>
        <v>1</v>
      </c>
      <c r="H959" s="3">
        <f t="shared" si="131"/>
        <v>6.5742290222328137E-3</v>
      </c>
      <c r="I959" s="3">
        <f t="shared" si="132"/>
        <v>6.5742290222328137E-3</v>
      </c>
      <c r="K959" s="12" t="str">
        <f>IF(AND(G959=1,G958&lt;&gt;1),MAX($K$50:K958)+1,"")</f>
        <v/>
      </c>
      <c r="L959" s="13" t="str">
        <f>IF(AND(G959&lt;&gt;1,G958=1),MAX($L$50:L958)+1,"")</f>
        <v/>
      </c>
      <c r="M959" s="13" t="str">
        <f>IF(AND(G959=-1,G958&lt;&gt;-1),MAX($M$50:M958)+1,"")</f>
        <v/>
      </c>
      <c r="N959" s="13" t="str">
        <f>IF(AND(G959&lt;&gt;-1,G958=-1),MAX($N$50:N958)+1,"")</f>
        <v/>
      </c>
      <c r="T959" s="7">
        <f t="shared" si="133"/>
        <v>106.2666498895134</v>
      </c>
      <c r="U959" s="1">
        <f t="shared" si="134"/>
        <v>163.70442759642535</v>
      </c>
    </row>
    <row r="960" spans="1:21" x14ac:dyDescent="0.3">
      <c r="A960" s="2">
        <v>41568</v>
      </c>
      <c r="B960" s="1">
        <v>3116.09</v>
      </c>
      <c r="C960" s="2">
        <f t="shared" si="126"/>
        <v>41568</v>
      </c>
      <c r="D960" s="1">
        <f t="shared" si="127"/>
        <v>3116.09</v>
      </c>
      <c r="E960" s="4">
        <f t="shared" si="128"/>
        <v>2998.1033999999995</v>
      </c>
      <c r="F960" s="3">
        <f t="shared" si="129"/>
        <v>1.0393537461049545</v>
      </c>
      <c r="G960" s="18">
        <f t="shared" si="130"/>
        <v>1</v>
      </c>
      <c r="H960" s="3">
        <f t="shared" si="131"/>
        <v>1.0270334459860919E-4</v>
      </c>
      <c r="I960" s="3">
        <f t="shared" si="132"/>
        <v>1.0270334459860919E-4</v>
      </c>
      <c r="K960" s="12" t="str">
        <f>IF(AND(G960=1,G959&lt;&gt;1),MAX($K$50:K959)+1,"")</f>
        <v/>
      </c>
      <c r="L960" s="13" t="str">
        <f>IF(AND(G960&lt;&gt;1,G959=1),MAX($L$50:L959)+1,"")</f>
        <v/>
      </c>
      <c r="M960" s="13" t="str">
        <f>IF(AND(G960=-1,G959&lt;&gt;-1),MAX($M$50:M959)+1,"")</f>
        <v/>
      </c>
      <c r="N960" s="13" t="str">
        <f>IF(AND(G960&lt;&gt;-1,G959=-1),MAX($N$50:N959)+1,"")</f>
        <v/>
      </c>
      <c r="T960" s="7">
        <f t="shared" si="133"/>
        <v>106.27756382987634</v>
      </c>
      <c r="U960" s="1">
        <f t="shared" si="134"/>
        <v>163.7212405886651</v>
      </c>
    </row>
    <row r="961" spans="1:21" x14ac:dyDescent="0.3">
      <c r="A961" s="2">
        <v>41569</v>
      </c>
      <c r="B961" s="1">
        <v>3133.98</v>
      </c>
      <c r="C961" s="2">
        <f t="shared" si="126"/>
        <v>41569</v>
      </c>
      <c r="D961" s="1">
        <f t="shared" si="127"/>
        <v>3133.98</v>
      </c>
      <c r="E961" s="4">
        <f t="shared" si="128"/>
        <v>3000.6746000000003</v>
      </c>
      <c r="F961" s="3">
        <f t="shared" si="129"/>
        <v>1.0444251435993759</v>
      </c>
      <c r="G961" s="18">
        <f t="shared" si="130"/>
        <v>1</v>
      </c>
      <c r="H961" s="3">
        <f t="shared" si="131"/>
        <v>5.7411692216848831E-3</v>
      </c>
      <c r="I961" s="3">
        <f t="shared" si="132"/>
        <v>5.7411692216848831E-3</v>
      </c>
      <c r="K961" s="12" t="str">
        <f>IF(AND(G961=1,G960&lt;&gt;1),MAX($K$50:K960)+1,"")</f>
        <v/>
      </c>
      <c r="L961" s="13" t="str">
        <f>IF(AND(G961&lt;&gt;1,G960=1),MAX($L$50:L960)+1,"")</f>
        <v/>
      </c>
      <c r="M961" s="13" t="str">
        <f>IF(AND(G961=-1,G960&lt;&gt;-1),MAX($M$50:M960)+1,"")</f>
        <v/>
      </c>
      <c r="N961" s="13" t="str">
        <f>IF(AND(G961&lt;&gt;-1,G960=-1),MAX($N$50:N960)+1,"")</f>
        <v/>
      </c>
      <c r="T961" s="7">
        <f t="shared" si="133"/>
        <v>106.88772130829209</v>
      </c>
      <c r="U961" s="1">
        <f t="shared" si="134"/>
        <v>164.6611919360688</v>
      </c>
    </row>
    <row r="962" spans="1:21" x14ac:dyDescent="0.3">
      <c r="A962" s="2">
        <v>41570</v>
      </c>
      <c r="B962" s="1">
        <v>3119.2</v>
      </c>
      <c r="C962" s="2">
        <f t="shared" si="126"/>
        <v>41570</v>
      </c>
      <c r="D962" s="1">
        <f t="shared" si="127"/>
        <v>3119.2</v>
      </c>
      <c r="E962" s="4">
        <f t="shared" si="128"/>
        <v>3002.7700000000004</v>
      </c>
      <c r="F962" s="3">
        <f t="shared" si="129"/>
        <v>1.0387741984900607</v>
      </c>
      <c r="G962" s="18">
        <f t="shared" si="130"/>
        <v>1</v>
      </c>
      <c r="H962" s="3">
        <f t="shared" si="131"/>
        <v>-4.7160479645690367E-3</v>
      </c>
      <c r="I962" s="3">
        <f t="shared" si="132"/>
        <v>-4.7160479645690367E-3</v>
      </c>
      <c r="K962" s="12" t="str">
        <f>IF(AND(G962=1,G961&lt;&gt;1),MAX($K$50:K961)+1,"")</f>
        <v/>
      </c>
      <c r="L962" s="13" t="str">
        <f>IF(AND(G962&lt;&gt;1,G961=1),MAX($L$50:L961)+1,"")</f>
        <v/>
      </c>
      <c r="M962" s="13" t="str">
        <f>IF(AND(G962=-1,G961&lt;&gt;-1),MAX($M$50:M961)+1,"")</f>
        <v/>
      </c>
      <c r="N962" s="13" t="str">
        <f>IF(AND(G962&lt;&gt;-1,G961=-1),MAX($N$50:N961)+1,"")</f>
        <v/>
      </c>
      <c r="T962" s="7">
        <f t="shared" si="133"/>
        <v>106.3836336877787</v>
      </c>
      <c r="U962" s="1">
        <f t="shared" si="134"/>
        <v>163.88464185699519</v>
      </c>
    </row>
    <row r="963" spans="1:21" x14ac:dyDescent="0.3">
      <c r="A963" s="2">
        <v>41571</v>
      </c>
      <c r="B963" s="1">
        <v>3129.41</v>
      </c>
      <c r="C963" s="2">
        <f t="shared" si="126"/>
        <v>41571</v>
      </c>
      <c r="D963" s="1">
        <f t="shared" si="127"/>
        <v>3129.41</v>
      </c>
      <c r="E963" s="4">
        <f t="shared" si="128"/>
        <v>3005.3698000000004</v>
      </c>
      <c r="F963" s="3">
        <f t="shared" si="129"/>
        <v>1.0412728576696284</v>
      </c>
      <c r="G963" s="18">
        <f t="shared" si="130"/>
        <v>1</v>
      </c>
      <c r="H963" s="3">
        <f t="shared" si="131"/>
        <v>3.2732751987689657E-3</v>
      </c>
      <c r="I963" s="3">
        <f t="shared" si="132"/>
        <v>3.2732751987689657E-3</v>
      </c>
      <c r="K963" s="12" t="str">
        <f>IF(AND(G963=1,G962&lt;&gt;1),MAX($K$50:K962)+1,"")</f>
        <v/>
      </c>
      <c r="L963" s="13" t="str">
        <f>IF(AND(G963&lt;&gt;1,G962=1),MAX($L$50:L962)+1,"")</f>
        <v/>
      </c>
      <c r="M963" s="13" t="str">
        <f>IF(AND(G963=-1,G962&lt;&gt;-1),MAX($M$50:M962)+1,"")</f>
        <v/>
      </c>
      <c r="N963" s="13" t="str">
        <f>IF(AND(G963&lt;&gt;-1,G962=-1),MAX($N$50:N962)+1,"")</f>
        <v/>
      </c>
      <c r="T963" s="7">
        <f t="shared" si="133"/>
        <v>106.73185659748383</v>
      </c>
      <c r="U963" s="1">
        <f t="shared" si="134"/>
        <v>164.42108139064482</v>
      </c>
    </row>
    <row r="964" spans="1:21" x14ac:dyDescent="0.3">
      <c r="A964" s="2">
        <v>41572</v>
      </c>
      <c r="B964" s="1">
        <v>3143.16</v>
      </c>
      <c r="C964" s="2">
        <f t="shared" si="126"/>
        <v>41572</v>
      </c>
      <c r="D964" s="1">
        <f t="shared" si="127"/>
        <v>3143.16</v>
      </c>
      <c r="E964" s="4">
        <f t="shared" si="128"/>
        <v>3009.0914000000002</v>
      </c>
      <c r="F964" s="3">
        <f t="shared" si="129"/>
        <v>1.0445545123687501</v>
      </c>
      <c r="G964" s="18">
        <f t="shared" si="130"/>
        <v>1</v>
      </c>
      <c r="H964" s="3">
        <f t="shared" si="131"/>
        <v>4.3937994701876981E-3</v>
      </c>
      <c r="I964" s="3">
        <f t="shared" si="132"/>
        <v>4.3937994701876981E-3</v>
      </c>
      <c r="K964" s="12" t="str">
        <f>IF(AND(G964=1,G963&lt;&gt;1),MAX($K$50:K963)+1,"")</f>
        <v/>
      </c>
      <c r="L964" s="13" t="str">
        <f>IF(AND(G964&lt;&gt;1,G963=1),MAX($L$50:L963)+1,"")</f>
        <v/>
      </c>
      <c r="M964" s="13" t="str">
        <f>IF(AND(G964=-1,G963&lt;&gt;-1),MAX($M$50:M963)+1,"")</f>
        <v/>
      </c>
      <c r="N964" s="13" t="str">
        <f>IF(AND(G964&lt;&gt;-1,G963=-1),MAX($N$50:N963)+1,"")</f>
        <v/>
      </c>
      <c r="T964" s="7">
        <f t="shared" si="133"/>
        <v>107.200814972454</v>
      </c>
      <c r="U964" s="1">
        <f t="shared" si="134"/>
        <v>165.14351465094671</v>
      </c>
    </row>
    <row r="965" spans="1:21" x14ac:dyDescent="0.3">
      <c r="A965" s="2">
        <v>41575</v>
      </c>
      <c r="B965" s="1">
        <v>3147.36</v>
      </c>
      <c r="C965" s="2">
        <f t="shared" si="126"/>
        <v>41575</v>
      </c>
      <c r="D965" s="1">
        <f t="shared" si="127"/>
        <v>3147.36</v>
      </c>
      <c r="E965" s="4">
        <f t="shared" si="128"/>
        <v>3013.0893999999994</v>
      </c>
      <c r="F965" s="3">
        <f t="shared" si="129"/>
        <v>1.0445624348218812</v>
      </c>
      <c r="G965" s="18">
        <f t="shared" si="130"/>
        <v>1</v>
      </c>
      <c r="H965" s="3">
        <f t="shared" si="131"/>
        <v>1.3362348719123673E-3</v>
      </c>
      <c r="I965" s="3">
        <f t="shared" si="132"/>
        <v>1.3362348719123673E-3</v>
      </c>
      <c r="K965" s="12" t="str">
        <f>IF(AND(G965=1,G964&lt;&gt;1),MAX($K$50:K964)+1,"")</f>
        <v/>
      </c>
      <c r="L965" s="13" t="str">
        <f>IF(AND(G965&lt;&gt;1,G964=1),MAX($L$50:L964)+1,"")</f>
        <v/>
      </c>
      <c r="M965" s="13" t="str">
        <f>IF(AND(G965=-1,G964&lt;&gt;-1),MAX($M$50:M964)+1,"")</f>
        <v/>
      </c>
      <c r="N965" s="13" t="str">
        <f>IF(AND(G965&lt;&gt;-1,G964=-1),MAX($N$50:N964)+1,"")</f>
        <v/>
      </c>
      <c r="T965" s="7">
        <f t="shared" si="133"/>
        <v>107.34406043971762</v>
      </c>
      <c r="U965" s="1">
        <f t="shared" si="134"/>
        <v>165.36418517409348</v>
      </c>
    </row>
    <row r="966" spans="1:21" x14ac:dyDescent="0.3">
      <c r="A966" s="2">
        <v>41576</v>
      </c>
      <c r="B966" s="1">
        <v>3165.11</v>
      </c>
      <c r="C966" s="2">
        <f t="shared" si="126"/>
        <v>41576</v>
      </c>
      <c r="D966" s="1">
        <f t="shared" si="127"/>
        <v>3165.11</v>
      </c>
      <c r="E966" s="4">
        <f t="shared" si="128"/>
        <v>3017.7862</v>
      </c>
      <c r="F966" s="3">
        <f t="shared" si="129"/>
        <v>1.048818501456465</v>
      </c>
      <c r="G966" s="18">
        <f t="shared" si="130"/>
        <v>1</v>
      </c>
      <c r="H966" s="3">
        <f t="shared" si="131"/>
        <v>5.6396471963804373E-3</v>
      </c>
      <c r="I966" s="3">
        <f t="shared" si="132"/>
        <v>5.6396471963804373E-3</v>
      </c>
      <c r="K966" s="12" t="str">
        <f>IF(AND(G966=1,G965&lt;&gt;1),MAX($K$50:K965)+1,"")</f>
        <v/>
      </c>
      <c r="L966" s="13" t="str">
        <f>IF(AND(G966&lt;&gt;1,G965=1),MAX($L$50:L965)+1,"")</f>
        <v/>
      </c>
      <c r="M966" s="13" t="str">
        <f>IF(AND(G966=-1,G965&lt;&gt;-1),MAX($M$50:M965)+1,"")</f>
        <v/>
      </c>
      <c r="N966" s="13" t="str">
        <f>IF(AND(G966&lt;&gt;-1,G965=-1),MAX($N$50:N965)+1,"")</f>
        <v/>
      </c>
      <c r="T966" s="7">
        <f t="shared" si="133"/>
        <v>107.94944306922457</v>
      </c>
      <c r="U966" s="1">
        <f t="shared" si="134"/>
        <v>166.2967808373923</v>
      </c>
    </row>
    <row r="967" spans="1:21" x14ac:dyDescent="0.3">
      <c r="A967" s="2">
        <v>41577</v>
      </c>
      <c r="B967" s="1">
        <v>3149.93</v>
      </c>
      <c r="C967" s="2">
        <f t="shared" si="126"/>
        <v>41577</v>
      </c>
      <c r="D967" s="1">
        <f t="shared" si="127"/>
        <v>3149.93</v>
      </c>
      <c r="E967" s="4">
        <f t="shared" si="128"/>
        <v>3021.9531999999995</v>
      </c>
      <c r="F967" s="3">
        <f t="shared" si="129"/>
        <v>1.0423490343927233</v>
      </c>
      <c r="G967" s="18">
        <f t="shared" si="130"/>
        <v>1</v>
      </c>
      <c r="H967" s="3">
        <f t="shared" si="131"/>
        <v>-4.7960418437275054E-3</v>
      </c>
      <c r="I967" s="3">
        <f t="shared" si="132"/>
        <v>-4.7960418437275054E-3</v>
      </c>
      <c r="K967" s="12" t="str">
        <f>IF(AND(G967=1,G966&lt;&gt;1),MAX($K$50:K966)+1,"")</f>
        <v/>
      </c>
      <c r="L967" s="13" t="str">
        <f>IF(AND(G967&lt;&gt;1,G966=1),MAX($L$50:L966)+1,"")</f>
        <v/>
      </c>
      <c r="M967" s="13" t="str">
        <f>IF(AND(G967=-1,G966&lt;&gt;-1),MAX($M$50:M966)+1,"")</f>
        <v/>
      </c>
      <c r="N967" s="13" t="str">
        <f>IF(AND(G967&lt;&gt;-1,G966=-1),MAX($N$50:N966)+1,"")</f>
        <v/>
      </c>
      <c r="T967" s="7">
        <f t="shared" si="133"/>
        <v>107.43171302325749</v>
      </c>
      <c r="U967" s="1">
        <f t="shared" si="134"/>
        <v>165.49921451801899</v>
      </c>
    </row>
    <row r="968" spans="1:21" x14ac:dyDescent="0.3">
      <c r="A968" s="2">
        <v>41578</v>
      </c>
      <c r="B968" s="1">
        <v>3138.09</v>
      </c>
      <c r="C968" s="2">
        <f t="shared" si="126"/>
        <v>41578</v>
      </c>
      <c r="D968" s="1">
        <f t="shared" si="127"/>
        <v>3138.09</v>
      </c>
      <c r="E968" s="4">
        <f t="shared" si="128"/>
        <v>3026.2203999999992</v>
      </c>
      <c r="F968" s="3">
        <f t="shared" si="129"/>
        <v>1.0369667721491802</v>
      </c>
      <c r="G968" s="18">
        <f t="shared" si="130"/>
        <v>1</v>
      </c>
      <c r="H968" s="3">
        <f t="shared" si="131"/>
        <v>-3.7588136879230793E-3</v>
      </c>
      <c r="I968" s="3">
        <f t="shared" si="132"/>
        <v>-3.7588136879230793E-3</v>
      </c>
      <c r="K968" s="12" t="str">
        <f>IF(AND(G968=1,G967&lt;&gt;1),MAX($K$50:K967)+1,"")</f>
        <v/>
      </c>
      <c r="L968" s="13" t="str">
        <f>IF(AND(G968&lt;&gt;1,G967=1),MAX($L$50:L967)+1,"")</f>
        <v/>
      </c>
      <c r="M968" s="13" t="str">
        <f>IF(AND(G968=-1,G967&lt;&gt;-1),MAX($M$50:M967)+1,"")</f>
        <v/>
      </c>
      <c r="N968" s="13" t="str">
        <f>IF(AND(G968&lt;&gt;-1,G967=-1),MAX($N$50:N967)+1,"")</f>
        <v/>
      </c>
      <c r="T968" s="7">
        <f t="shared" si="133"/>
        <v>107.02789722982864</v>
      </c>
      <c r="U968" s="1">
        <f t="shared" si="134"/>
        <v>164.87713380514813</v>
      </c>
    </row>
    <row r="969" spans="1:21" x14ac:dyDescent="0.3">
      <c r="A969" s="2">
        <v>41579</v>
      </c>
      <c r="B969" s="1">
        <v>3147.21</v>
      </c>
      <c r="C969" s="2">
        <f t="shared" si="126"/>
        <v>41579</v>
      </c>
      <c r="D969" s="1">
        <f t="shared" si="127"/>
        <v>3147.21</v>
      </c>
      <c r="E969" s="4">
        <f t="shared" si="128"/>
        <v>3030.1653999999985</v>
      </c>
      <c r="F969" s="3">
        <f t="shared" si="129"/>
        <v>1.0386264723371212</v>
      </c>
      <c r="G969" s="18">
        <f t="shared" si="130"/>
        <v>1</v>
      </c>
      <c r="H969" s="3">
        <f t="shared" si="131"/>
        <v>2.9062263988604009E-3</v>
      </c>
      <c r="I969" s="3">
        <f t="shared" si="132"/>
        <v>2.9062263988604009E-3</v>
      </c>
      <c r="K969" s="12" t="str">
        <f>IF(AND(G969=1,G968&lt;&gt;1),MAX($K$50:K968)+1,"")</f>
        <v/>
      </c>
      <c r="L969" s="13" t="str">
        <f>IF(AND(G969&lt;&gt;1,G968=1),MAX($L$50:L968)+1,"")</f>
        <v/>
      </c>
      <c r="M969" s="13" t="str">
        <f>IF(AND(G969=-1,G968&lt;&gt;-1),MAX($M$50:M968)+1,"")</f>
        <v/>
      </c>
      <c r="N969" s="13" t="str">
        <f>IF(AND(G969&lt;&gt;-1,G968=-1),MAX($N$50:N968)+1,"")</f>
        <v/>
      </c>
      <c r="T969" s="7">
        <f t="shared" si="133"/>
        <v>107.33894453017248</v>
      </c>
      <c r="U969" s="1">
        <f t="shared" si="134"/>
        <v>165.35630408398109</v>
      </c>
    </row>
    <row r="970" spans="1:21" x14ac:dyDescent="0.3">
      <c r="A970" s="2">
        <v>41582</v>
      </c>
      <c r="B970" s="1">
        <v>3158.47</v>
      </c>
      <c r="C970" s="2">
        <f t="shared" si="126"/>
        <v>41582</v>
      </c>
      <c r="D970" s="1">
        <f t="shared" si="127"/>
        <v>3158.47</v>
      </c>
      <c r="E970" s="4">
        <f t="shared" si="128"/>
        <v>3034.0935999999988</v>
      </c>
      <c r="F970" s="3">
        <f t="shared" si="129"/>
        <v>1.0409929344302369</v>
      </c>
      <c r="G970" s="18">
        <f t="shared" si="130"/>
        <v>1</v>
      </c>
      <c r="H970" s="3">
        <f t="shared" si="131"/>
        <v>3.5777720584262429E-3</v>
      </c>
      <c r="I970" s="3">
        <f t="shared" si="132"/>
        <v>3.5777720584262429E-3</v>
      </c>
      <c r="K970" s="12" t="str">
        <f>IF(AND(G970=1,G969&lt;&gt;1),MAX($K$50:K969)+1,"")</f>
        <v/>
      </c>
      <c r="L970" s="13" t="str">
        <f>IF(AND(G970&lt;&gt;1,G969=1),MAX($L$50:L969)+1,"")</f>
        <v/>
      </c>
      <c r="M970" s="13" t="str">
        <f>IF(AND(G970=-1,G969&lt;&gt;-1),MAX($M$50:M969)+1,"")</f>
        <v/>
      </c>
      <c r="N970" s="13" t="str">
        <f>IF(AND(G970&lt;&gt;-1,G969=-1),MAX($N$50:N969)+1,"")</f>
        <v/>
      </c>
      <c r="T970" s="7">
        <f t="shared" si="133"/>
        <v>107.7229788066935</v>
      </c>
      <c r="U970" s="1">
        <f t="shared" si="134"/>
        <v>165.9479112484174</v>
      </c>
    </row>
    <row r="971" spans="1:21" x14ac:dyDescent="0.3">
      <c r="A971" s="2">
        <v>41583</v>
      </c>
      <c r="B971" s="1">
        <v>3149.96</v>
      </c>
      <c r="C971" s="2">
        <f t="shared" si="126"/>
        <v>41583</v>
      </c>
      <c r="D971" s="1">
        <f t="shared" si="127"/>
        <v>3149.96</v>
      </c>
      <c r="E971" s="4">
        <f t="shared" si="128"/>
        <v>3038.0901999999983</v>
      </c>
      <c r="F971" s="3">
        <f t="shared" si="129"/>
        <v>1.0368224090252494</v>
      </c>
      <c r="G971" s="18">
        <f t="shared" si="130"/>
        <v>1</v>
      </c>
      <c r="H971" s="3">
        <f t="shared" si="131"/>
        <v>-2.6943425139386301E-3</v>
      </c>
      <c r="I971" s="3">
        <f t="shared" si="132"/>
        <v>-2.6943425139386301E-3</v>
      </c>
      <c r="K971" s="12" t="str">
        <f>IF(AND(G971=1,G970&lt;&gt;1),MAX($K$50:K970)+1,"")</f>
        <v/>
      </c>
      <c r="L971" s="13" t="str">
        <f>IF(AND(G971&lt;&gt;1,G970=1),MAX($L$50:L970)+1,"")</f>
        <v/>
      </c>
      <c r="M971" s="13" t="str">
        <f>IF(AND(G971=-1,G970&lt;&gt;-1),MAX($M$50:M970)+1,"")</f>
        <v/>
      </c>
      <c r="N971" s="13" t="str">
        <f>IF(AND(G971&lt;&gt;-1,G970=-1),MAX($N$50:N970)+1,"")</f>
        <v/>
      </c>
      <c r="T971" s="7">
        <f t="shared" si="133"/>
        <v>107.43273620516652</v>
      </c>
      <c r="U971" s="1">
        <f t="shared" si="134"/>
        <v>165.50079073604147</v>
      </c>
    </row>
    <row r="972" spans="1:21" x14ac:dyDescent="0.3">
      <c r="A972" s="2">
        <v>41584</v>
      </c>
      <c r="B972" s="1">
        <v>3165.13</v>
      </c>
      <c r="C972" s="2">
        <f t="shared" si="126"/>
        <v>41584</v>
      </c>
      <c r="D972" s="1">
        <f t="shared" si="127"/>
        <v>3165.13</v>
      </c>
      <c r="E972" s="4">
        <f t="shared" si="128"/>
        <v>3043.3269999999989</v>
      </c>
      <c r="F972" s="3">
        <f t="shared" si="129"/>
        <v>1.0400229748561365</v>
      </c>
      <c r="G972" s="18">
        <f t="shared" si="130"/>
        <v>1</v>
      </c>
      <c r="H972" s="3">
        <f t="shared" si="131"/>
        <v>4.8159341705926728E-3</v>
      </c>
      <c r="I972" s="3">
        <f t="shared" si="132"/>
        <v>4.8159341705926728E-3</v>
      </c>
      <c r="K972" s="12" t="str">
        <f>IF(AND(G972=1,G971&lt;&gt;1),MAX($K$50:K971)+1,"")</f>
        <v/>
      </c>
      <c r="L972" s="13" t="str">
        <f>IF(AND(G972&lt;&gt;1,G971=1),MAX($L$50:L971)+1,"")</f>
        <v/>
      </c>
      <c r="M972" s="13" t="str">
        <f>IF(AND(G972=-1,G971&lt;&gt;-1),MAX($M$50:M971)+1,"")</f>
        <v/>
      </c>
      <c r="N972" s="13" t="str">
        <f>IF(AND(G972&lt;&gt;-1,G971=-1),MAX($N$50:N971)+1,"")</f>
        <v/>
      </c>
      <c r="T972" s="7">
        <f t="shared" si="133"/>
        <v>107.95012519049725</v>
      </c>
      <c r="U972" s="1">
        <f t="shared" si="134"/>
        <v>166.29783164940727</v>
      </c>
    </row>
    <row r="973" spans="1:21" x14ac:dyDescent="0.3">
      <c r="A973" s="2">
        <v>41585</v>
      </c>
      <c r="B973" s="1">
        <v>3124.12</v>
      </c>
      <c r="C973" s="2">
        <f t="shared" si="126"/>
        <v>41585</v>
      </c>
      <c r="D973" s="1">
        <f t="shared" si="127"/>
        <v>3124.12</v>
      </c>
      <c r="E973" s="4">
        <f t="shared" si="128"/>
        <v>3047.572799999999</v>
      </c>
      <c r="F973" s="3">
        <f t="shared" si="129"/>
        <v>1.0251174311570181</v>
      </c>
      <c r="G973" s="18">
        <f t="shared" si="130"/>
        <v>1</v>
      </c>
      <c r="H973" s="3">
        <f t="shared" si="131"/>
        <v>-1.2956813780160781E-2</v>
      </c>
      <c r="I973" s="3">
        <f t="shared" si="132"/>
        <v>-1.2956813780160781E-2</v>
      </c>
      <c r="K973" s="12" t="str">
        <f>IF(AND(G973=1,G972&lt;&gt;1),MAX($K$50:K972)+1,"")</f>
        <v/>
      </c>
      <c r="L973" s="13" t="str">
        <f>IF(AND(G973&lt;&gt;1,G972=1),MAX($L$50:L972)+1,"")</f>
        <v/>
      </c>
      <c r="M973" s="13" t="str">
        <f>IF(AND(G973=-1,G972&lt;&gt;-1),MAX($M$50:M972)+1,"")</f>
        <v/>
      </c>
      <c r="N973" s="13" t="str">
        <f>IF(AND(G973&lt;&gt;-1,G972=-1),MAX($N$50:N972)+1,"")</f>
        <v/>
      </c>
      <c r="T973" s="7">
        <f t="shared" si="133"/>
        <v>106.55143552085893</v>
      </c>
      <c r="U973" s="1">
        <f t="shared" si="134"/>
        <v>164.14314161268138</v>
      </c>
    </row>
    <row r="974" spans="1:21" x14ac:dyDescent="0.3">
      <c r="A974" s="2">
        <v>41586</v>
      </c>
      <c r="B974" s="1">
        <v>3166.11</v>
      </c>
      <c r="C974" s="2">
        <f t="shared" si="126"/>
        <v>41586</v>
      </c>
      <c r="D974" s="1">
        <f t="shared" si="127"/>
        <v>3166.11</v>
      </c>
      <c r="E974" s="4">
        <f t="shared" si="128"/>
        <v>3052.5357999999983</v>
      </c>
      <c r="F974" s="3">
        <f t="shared" si="129"/>
        <v>1.0372065087655982</v>
      </c>
      <c r="G974" s="18">
        <f t="shared" si="130"/>
        <v>1</v>
      </c>
      <c r="H974" s="3">
        <f t="shared" si="131"/>
        <v>1.3440584868699146E-2</v>
      </c>
      <c r="I974" s="3">
        <f t="shared" si="132"/>
        <v>1.3440584868699146E-2</v>
      </c>
      <c r="K974" s="12" t="str">
        <f>IF(AND(G974=1,G973&lt;&gt;1),MAX($K$50:K973)+1,"")</f>
        <v/>
      </c>
      <c r="L974" s="13" t="str">
        <f>IF(AND(G974&lt;&gt;1,G973=1),MAX($L$50:L973)+1,"")</f>
        <v/>
      </c>
      <c r="M974" s="13" t="str">
        <f>IF(AND(G974=-1,G973&lt;&gt;-1),MAX($M$50:M973)+1,"")</f>
        <v/>
      </c>
      <c r="N974" s="13" t="str">
        <f>IF(AND(G974&lt;&gt;-1,G973=-1),MAX($N$50:N973)+1,"")</f>
        <v/>
      </c>
      <c r="T974" s="7">
        <f t="shared" si="133"/>
        <v>107.98354913285876</v>
      </c>
      <c r="U974" s="1">
        <f t="shared" si="134"/>
        <v>166.34932143814152</v>
      </c>
    </row>
    <row r="975" spans="1:21" x14ac:dyDescent="0.3">
      <c r="A975" s="2">
        <v>41589</v>
      </c>
      <c r="B975" s="1">
        <v>3168.41</v>
      </c>
      <c r="C975" s="2">
        <f t="shared" si="126"/>
        <v>41589</v>
      </c>
      <c r="D975" s="1">
        <f t="shared" si="127"/>
        <v>3168.41</v>
      </c>
      <c r="E975" s="4">
        <f t="shared" si="128"/>
        <v>3057.7247999999986</v>
      </c>
      <c r="F975" s="3">
        <f t="shared" si="129"/>
        <v>1.0361985486725298</v>
      </c>
      <c r="G975" s="18">
        <f t="shared" si="130"/>
        <v>1</v>
      </c>
      <c r="H975" s="3">
        <f t="shared" si="131"/>
        <v>7.2644349059247659E-4</v>
      </c>
      <c r="I975" s="3">
        <f t="shared" si="132"/>
        <v>7.2644349059247659E-4</v>
      </c>
      <c r="K975" s="12" t="str">
        <f>IF(AND(G975=1,G974&lt;&gt;1),MAX($K$50:K974)+1,"")</f>
        <v/>
      </c>
      <c r="L975" s="13" t="str">
        <f>IF(AND(G975&lt;&gt;1,G974=1),MAX($L$50:L974)+1,"")</f>
        <v/>
      </c>
      <c r="M975" s="13" t="str">
        <f>IF(AND(G975=-1,G974&lt;&gt;-1),MAX($M$50:M974)+1,"")</f>
        <v/>
      </c>
      <c r="N975" s="13" t="str">
        <f>IF(AND(G975&lt;&gt;-1,G974=-1),MAX($N$50:N974)+1,"")</f>
        <v/>
      </c>
      <c r="T975" s="7">
        <f t="shared" si="133"/>
        <v>108.06199307921739</v>
      </c>
      <c r="U975" s="1">
        <f t="shared" si="134"/>
        <v>166.47016481986472</v>
      </c>
    </row>
    <row r="976" spans="1:21" x14ac:dyDescent="0.3">
      <c r="A976" s="2">
        <v>41590</v>
      </c>
      <c r="B976" s="1">
        <v>3161.1</v>
      </c>
      <c r="C976" s="2">
        <f t="shared" si="126"/>
        <v>41590</v>
      </c>
      <c r="D976" s="1">
        <f t="shared" si="127"/>
        <v>3161.1</v>
      </c>
      <c r="E976" s="4">
        <f t="shared" si="128"/>
        <v>3062.522199999999</v>
      </c>
      <c r="F976" s="3">
        <f t="shared" si="129"/>
        <v>1.0321884360544393</v>
      </c>
      <c r="G976" s="18">
        <f t="shared" si="130"/>
        <v>1</v>
      </c>
      <c r="H976" s="3">
        <f t="shared" si="131"/>
        <v>-2.3071509053437245E-3</v>
      </c>
      <c r="I976" s="3">
        <f t="shared" si="132"/>
        <v>-2.3071509053437245E-3</v>
      </c>
      <c r="K976" s="12" t="str">
        <f>IF(AND(G976=1,G975&lt;&gt;1),MAX($K$50:K975)+1,"")</f>
        <v/>
      </c>
      <c r="L976" s="13" t="str">
        <f>IF(AND(G976&lt;&gt;1,G975=1),MAX($L$50:L975)+1,"")</f>
        <v/>
      </c>
      <c r="M976" s="13" t="str">
        <f>IF(AND(G976=-1,G975&lt;&gt;-1),MAX($M$50:M975)+1,"")</f>
        <v/>
      </c>
      <c r="N976" s="13" t="str">
        <f>IF(AND(G976&lt;&gt;-1,G975=-1),MAX($N$50:N975)+1,"")</f>
        <v/>
      </c>
      <c r="T976" s="7">
        <f t="shared" si="133"/>
        <v>107.81267775405142</v>
      </c>
      <c r="U976" s="1">
        <f t="shared" si="134"/>
        <v>166.08609302838786</v>
      </c>
    </row>
    <row r="977" spans="1:21" x14ac:dyDescent="0.3">
      <c r="A977" s="2">
        <v>41591</v>
      </c>
      <c r="B977" s="1">
        <v>3187.64</v>
      </c>
      <c r="C977" s="2">
        <f t="shared" si="126"/>
        <v>41591</v>
      </c>
      <c r="D977" s="1">
        <f t="shared" si="127"/>
        <v>3187.64</v>
      </c>
      <c r="E977" s="4">
        <f t="shared" si="128"/>
        <v>3067.362599999999</v>
      </c>
      <c r="F977" s="3">
        <f t="shared" si="129"/>
        <v>1.0392119927393002</v>
      </c>
      <c r="G977" s="18">
        <f t="shared" si="130"/>
        <v>1</v>
      </c>
      <c r="H977" s="3">
        <f t="shared" si="131"/>
        <v>8.3958115845750303E-3</v>
      </c>
      <c r="I977" s="3">
        <f t="shared" si="132"/>
        <v>8.3958115845750303E-3</v>
      </c>
      <c r="K977" s="12" t="str">
        <f>IF(AND(G977=1,G976&lt;&gt;1),MAX($K$50:K976)+1,"")</f>
        <v/>
      </c>
      <c r="L977" s="13" t="str">
        <f>IF(AND(G977&lt;&gt;1,G976=1),MAX($L$50:L976)+1,"")</f>
        <v/>
      </c>
      <c r="M977" s="13" t="str">
        <f>IF(AND(G977=-1,G976&lt;&gt;-1),MAX($M$50:M976)+1,"")</f>
        <v/>
      </c>
      <c r="N977" s="13" t="str">
        <f>IF(AND(G977&lt;&gt;-1,G976=-1),MAX($N$50:N976)+1,"")</f>
        <v/>
      </c>
      <c r="T977" s="7">
        <f t="shared" si="133"/>
        <v>108.71785268290294</v>
      </c>
      <c r="U977" s="1">
        <f t="shared" si="134"/>
        <v>167.48052057227241</v>
      </c>
    </row>
    <row r="978" spans="1:21" x14ac:dyDescent="0.3">
      <c r="A978" s="2">
        <v>41592</v>
      </c>
      <c r="B978" s="1">
        <v>3203.65</v>
      </c>
      <c r="C978" s="2">
        <f t="shared" si="126"/>
        <v>41592</v>
      </c>
      <c r="D978" s="1">
        <f t="shared" si="127"/>
        <v>3203.65</v>
      </c>
      <c r="E978" s="4">
        <f t="shared" si="128"/>
        <v>3072.4501999999998</v>
      </c>
      <c r="F978" s="3">
        <f t="shared" si="129"/>
        <v>1.0427020102718021</v>
      </c>
      <c r="G978" s="18">
        <f t="shared" si="130"/>
        <v>1</v>
      </c>
      <c r="H978" s="3">
        <f t="shared" si="131"/>
        <v>5.0225245008848063E-3</v>
      </c>
      <c r="I978" s="3">
        <f t="shared" si="132"/>
        <v>5.0225245008848063E-3</v>
      </c>
      <c r="K978" s="12" t="str">
        <f>IF(AND(G978=1,G977&lt;&gt;1),MAX($K$50:K977)+1,"")</f>
        <v/>
      </c>
      <c r="L978" s="13" t="str">
        <f>IF(AND(G978&lt;&gt;1,G977=1),MAX($L$50:L977)+1,"")</f>
        <v/>
      </c>
      <c r="M978" s="13" t="str">
        <f>IF(AND(G978=-1,G977&lt;&gt;-1),MAX($M$50:M977)+1,"")</f>
        <v/>
      </c>
      <c r="N978" s="13" t="str">
        <f>IF(AND(G978&lt;&gt;-1,G977=-1),MAX($N$50:N977)+1,"")</f>
        <v/>
      </c>
      <c r="T978" s="7">
        <f t="shared" si="133"/>
        <v>109.26389076168641</v>
      </c>
      <c r="U978" s="1">
        <f t="shared" si="134"/>
        <v>168.32169559026758</v>
      </c>
    </row>
    <row r="979" spans="1:21" x14ac:dyDescent="0.3">
      <c r="A979" s="2">
        <v>41593</v>
      </c>
      <c r="B979" s="1">
        <v>3217.2</v>
      </c>
      <c r="C979" s="2">
        <f t="shared" si="126"/>
        <v>41593</v>
      </c>
      <c r="D979" s="1">
        <f t="shared" si="127"/>
        <v>3217.2</v>
      </c>
      <c r="E979" s="4">
        <f t="shared" si="128"/>
        <v>3077.7981999999993</v>
      </c>
      <c r="F979" s="3">
        <f t="shared" si="129"/>
        <v>1.045292703075855</v>
      </c>
      <c r="G979" s="18">
        <f t="shared" si="130"/>
        <v>1</v>
      </c>
      <c r="H979" s="3">
        <f t="shared" si="131"/>
        <v>4.2295506687684004E-3</v>
      </c>
      <c r="I979" s="3">
        <f t="shared" si="132"/>
        <v>4.2295506687684004E-3</v>
      </c>
      <c r="K979" s="12" t="str">
        <f>IF(AND(G979=1,G978&lt;&gt;1),MAX($K$50:K978)+1,"")</f>
        <v/>
      </c>
      <c r="L979" s="13" t="str">
        <f>IF(AND(G979&lt;&gt;1,G978=1),MAX($L$50:L978)+1,"")</f>
        <v/>
      </c>
      <c r="M979" s="13" t="str">
        <f>IF(AND(G979=-1,G978&lt;&gt;-1),MAX($M$50:M978)+1,"")</f>
        <v/>
      </c>
      <c r="N979" s="13" t="str">
        <f>IF(AND(G979&lt;&gt;-1,G978=-1),MAX($N$50:N978)+1,"")</f>
        <v/>
      </c>
      <c r="T979" s="7">
        <f t="shared" si="133"/>
        <v>109.72602792392973</v>
      </c>
      <c r="U979" s="1">
        <f t="shared" si="134"/>
        <v>169.03362073041961</v>
      </c>
    </row>
    <row r="980" spans="1:21" x14ac:dyDescent="0.3">
      <c r="A980" s="2">
        <v>41596</v>
      </c>
      <c r="B980" s="1">
        <v>3205.46</v>
      </c>
      <c r="C980" s="2">
        <f t="shared" si="126"/>
        <v>41596</v>
      </c>
      <c r="D980" s="1">
        <f t="shared" si="127"/>
        <v>3205.46</v>
      </c>
      <c r="E980" s="4">
        <f t="shared" si="128"/>
        <v>3082.3183999999997</v>
      </c>
      <c r="F980" s="3">
        <f t="shared" si="129"/>
        <v>1.039950966778773</v>
      </c>
      <c r="G980" s="18">
        <f t="shared" si="130"/>
        <v>1</v>
      </c>
      <c r="H980" s="3">
        <f t="shared" si="131"/>
        <v>-3.649135894566613E-3</v>
      </c>
      <c r="I980" s="3">
        <f t="shared" si="132"/>
        <v>-3.649135894566613E-3</v>
      </c>
      <c r="K980" s="12" t="str">
        <f>IF(AND(G980=1,G979&lt;&gt;1),MAX($K$50:K979)+1,"")</f>
        <v/>
      </c>
      <c r="L980" s="13" t="str">
        <f>IF(AND(G980&lt;&gt;1,G979=1),MAX($L$50:L979)+1,"")</f>
        <v/>
      </c>
      <c r="M980" s="13" t="str">
        <f>IF(AND(G980=-1,G979&lt;&gt;-1),MAX($M$50:M979)+1,"")</f>
        <v/>
      </c>
      <c r="N980" s="13" t="str">
        <f>IF(AND(G980&lt;&gt;-1,G979=-1),MAX($N$50:N979)+1,"")</f>
        <v/>
      </c>
      <c r="T980" s="7">
        <f t="shared" si="133"/>
        <v>109.3256227368643</v>
      </c>
      <c r="U980" s="1">
        <f t="shared" si="134"/>
        <v>168.41679407762368</v>
      </c>
    </row>
    <row r="981" spans="1:21" x14ac:dyDescent="0.3">
      <c r="A981" s="2">
        <v>41597</v>
      </c>
      <c r="B981" s="1">
        <v>3199.51</v>
      </c>
      <c r="C981" s="2">
        <f t="shared" si="126"/>
        <v>41597</v>
      </c>
      <c r="D981" s="1">
        <f t="shared" si="127"/>
        <v>3199.51</v>
      </c>
      <c r="E981" s="4">
        <f t="shared" si="128"/>
        <v>3086.2814000000003</v>
      </c>
      <c r="F981" s="3">
        <f t="shared" si="129"/>
        <v>1.0366877109780073</v>
      </c>
      <c r="G981" s="18">
        <f t="shared" si="130"/>
        <v>1</v>
      </c>
      <c r="H981" s="3">
        <f t="shared" si="131"/>
        <v>-1.8562078453637776E-3</v>
      </c>
      <c r="I981" s="3">
        <f t="shared" si="132"/>
        <v>-1.8562078453637776E-3</v>
      </c>
      <c r="K981" s="12" t="str">
        <f>IF(AND(G981=1,G980&lt;&gt;1),MAX($K$50:K980)+1,"")</f>
        <v/>
      </c>
      <c r="L981" s="13" t="str">
        <f>IF(AND(G981&lt;&gt;1,G980=1),MAX($L$50:L980)+1,"")</f>
        <v/>
      </c>
      <c r="M981" s="13" t="str">
        <f>IF(AND(G981=-1,G980&lt;&gt;-1),MAX($M$50:M980)+1,"")</f>
        <v/>
      </c>
      <c r="N981" s="13" t="str">
        <f>IF(AND(G981&lt;&gt;-1,G980=-1),MAX($N$50:N980)+1,"")</f>
        <v/>
      </c>
      <c r="T981" s="7">
        <f t="shared" si="133"/>
        <v>109.12269165824085</v>
      </c>
      <c r="U981" s="1">
        <f t="shared" si="134"/>
        <v>168.10417750316577</v>
      </c>
    </row>
    <row r="982" spans="1:21" x14ac:dyDescent="0.3">
      <c r="A982" s="2">
        <v>41598</v>
      </c>
      <c r="B982" s="1">
        <v>3188.04</v>
      </c>
      <c r="C982" s="2">
        <f t="shared" si="126"/>
        <v>41598</v>
      </c>
      <c r="D982" s="1">
        <f t="shared" si="127"/>
        <v>3188.04</v>
      </c>
      <c r="E982" s="4">
        <f t="shared" si="128"/>
        <v>3089.8234000000002</v>
      </c>
      <c r="F982" s="3">
        <f t="shared" si="129"/>
        <v>1.0317871241443766</v>
      </c>
      <c r="G982" s="18">
        <f t="shared" si="130"/>
        <v>1</v>
      </c>
      <c r="H982" s="3">
        <f t="shared" si="131"/>
        <v>-3.5849239414785794E-3</v>
      </c>
      <c r="I982" s="3">
        <f t="shared" si="132"/>
        <v>-3.5849239414785794E-3</v>
      </c>
      <c r="K982" s="12" t="str">
        <f>IF(AND(G982=1,G981&lt;&gt;1),MAX($K$50:K981)+1,"")</f>
        <v/>
      </c>
      <c r="L982" s="13" t="str">
        <f>IF(AND(G982&lt;&gt;1,G981=1),MAX($L$50:L981)+1,"")</f>
        <v/>
      </c>
      <c r="M982" s="13" t="str">
        <f>IF(AND(G982=-1,G981&lt;&gt;-1),MAX($M$50:M981)+1,"")</f>
        <v/>
      </c>
      <c r="N982" s="13" t="str">
        <f>IF(AND(G982&lt;&gt;-1,G981=-1),MAX($N$50:N981)+1,"")</f>
        <v/>
      </c>
      <c r="T982" s="7">
        <f t="shared" si="133"/>
        <v>108.73149510835664</v>
      </c>
      <c r="U982" s="1">
        <f t="shared" si="134"/>
        <v>167.50153681257211</v>
      </c>
    </row>
    <row r="983" spans="1:21" x14ac:dyDescent="0.3">
      <c r="A983" s="2">
        <v>41599</v>
      </c>
      <c r="B983" s="1">
        <v>3214.16</v>
      </c>
      <c r="C983" s="2">
        <f t="shared" si="126"/>
        <v>41599</v>
      </c>
      <c r="D983" s="1">
        <f t="shared" si="127"/>
        <v>3214.16</v>
      </c>
      <c r="E983" s="4">
        <f t="shared" si="128"/>
        <v>3094.0742000000009</v>
      </c>
      <c r="F983" s="3">
        <f t="shared" si="129"/>
        <v>1.038811544984926</v>
      </c>
      <c r="G983" s="18">
        <f t="shared" si="130"/>
        <v>1</v>
      </c>
      <c r="H983" s="3">
        <f t="shared" si="131"/>
        <v>8.1931217927002642E-3</v>
      </c>
      <c r="I983" s="3">
        <f t="shared" si="132"/>
        <v>8.1931217927002642E-3</v>
      </c>
      <c r="K983" s="12" t="str">
        <f>IF(AND(G983=1,G982&lt;&gt;1),MAX($K$50:K982)+1,"")</f>
        <v/>
      </c>
      <c r="L983" s="13" t="str">
        <f>IF(AND(G983&lt;&gt;1,G982=1),MAX($L$50:L982)+1,"")</f>
        <v/>
      </c>
      <c r="M983" s="13" t="str">
        <f>IF(AND(G983=-1,G982&lt;&gt;-1),MAX($M$50:M982)+1,"")</f>
        <v/>
      </c>
      <c r="N983" s="13" t="str">
        <f>IF(AND(G983&lt;&gt;-1,G982=-1),MAX($N$50:N982)+1,"")</f>
        <v/>
      </c>
      <c r="T983" s="7">
        <f t="shared" si="133"/>
        <v>109.62234549048181</v>
      </c>
      <c r="U983" s="1">
        <f t="shared" si="134"/>
        <v>168.87389730414196</v>
      </c>
    </row>
    <row r="984" spans="1:21" x14ac:dyDescent="0.3">
      <c r="A984" s="2">
        <v>41600</v>
      </c>
      <c r="B984" s="1">
        <v>3230.54</v>
      </c>
      <c r="C984" s="2">
        <f t="shared" si="126"/>
        <v>41600</v>
      </c>
      <c r="D984" s="1">
        <f t="shared" si="127"/>
        <v>3230.54</v>
      </c>
      <c r="E984" s="4">
        <f t="shared" si="128"/>
        <v>3098.4892000000009</v>
      </c>
      <c r="F984" s="3">
        <f t="shared" si="129"/>
        <v>1.0426178022502059</v>
      </c>
      <c r="G984" s="18">
        <f t="shared" si="130"/>
        <v>1</v>
      </c>
      <c r="H984" s="3">
        <f t="shared" si="131"/>
        <v>5.0961993180178577E-3</v>
      </c>
      <c r="I984" s="3">
        <f t="shared" si="132"/>
        <v>5.0961993180178577E-3</v>
      </c>
      <c r="K984" s="12" t="str">
        <f>IF(AND(G984=1,G983&lt;&gt;1),MAX($K$50:K983)+1,"")</f>
        <v/>
      </c>
      <c r="L984" s="13" t="str">
        <f>IF(AND(G984&lt;&gt;1,G983=1),MAX($L$50:L983)+1,"")</f>
        <v/>
      </c>
      <c r="M984" s="13" t="str">
        <f>IF(AND(G984=-1,G983&lt;&gt;-1),MAX($M$50:M983)+1,"")</f>
        <v/>
      </c>
      <c r="N984" s="13" t="str">
        <f>IF(AND(G984&lt;&gt;-1,G983=-1),MAX($N$50:N983)+1,"")</f>
        <v/>
      </c>
      <c r="T984" s="7">
        <f t="shared" si="133"/>
        <v>110.18100281280992</v>
      </c>
      <c r="U984" s="1">
        <f t="shared" si="134"/>
        <v>169.73451234441436</v>
      </c>
    </row>
    <row r="985" spans="1:21" x14ac:dyDescent="0.3">
      <c r="A985" s="2">
        <v>41603</v>
      </c>
      <c r="B985" s="1">
        <v>3226.53</v>
      </c>
      <c r="C985" s="2">
        <f t="shared" si="126"/>
        <v>41603</v>
      </c>
      <c r="D985" s="1">
        <f t="shared" si="127"/>
        <v>3226.53</v>
      </c>
      <c r="E985" s="4">
        <f t="shared" si="128"/>
        <v>3102.4810000000011</v>
      </c>
      <c r="F985" s="3">
        <f t="shared" si="129"/>
        <v>1.0399838065084037</v>
      </c>
      <c r="G985" s="18">
        <f t="shared" si="130"/>
        <v>1</v>
      </c>
      <c r="H985" s="3">
        <f t="shared" si="131"/>
        <v>-1.2412785478588262E-3</v>
      </c>
      <c r="I985" s="3">
        <f t="shared" si="132"/>
        <v>-1.2412785478588262E-3</v>
      </c>
      <c r="K985" s="12" t="str">
        <f>IF(AND(G985=1,G984&lt;&gt;1),MAX($K$50:K984)+1,"")</f>
        <v/>
      </c>
      <c r="L985" s="13" t="str">
        <f>IF(AND(G985&lt;&gt;1,G984=1),MAX($L$50:L984)+1,"")</f>
        <v/>
      </c>
      <c r="M985" s="13" t="str">
        <f>IF(AND(G985=-1,G984&lt;&gt;-1),MAX($M$50:M984)+1,"")</f>
        <v/>
      </c>
      <c r="N985" s="13" t="str">
        <f>IF(AND(G985&lt;&gt;-1,G984=-1),MAX($N$50:N984)+1,"")</f>
        <v/>
      </c>
      <c r="T985" s="7">
        <f t="shared" si="133"/>
        <v>110.04423749763681</v>
      </c>
      <c r="U985" s="1">
        <f t="shared" si="134"/>
        <v>169.52382453540994</v>
      </c>
    </row>
    <row r="986" spans="1:21" x14ac:dyDescent="0.3">
      <c r="A986" s="2">
        <v>41604</v>
      </c>
      <c r="B986" s="1">
        <v>3227.36</v>
      </c>
      <c r="C986" s="2">
        <f t="shared" si="126"/>
        <v>41604</v>
      </c>
      <c r="D986" s="1">
        <f t="shared" si="127"/>
        <v>3227.36</v>
      </c>
      <c r="E986" s="4">
        <f t="shared" si="128"/>
        <v>3106.2332000000006</v>
      </c>
      <c r="F986" s="3">
        <f t="shared" si="129"/>
        <v>1.0389947541607627</v>
      </c>
      <c r="G986" s="18">
        <f t="shared" si="130"/>
        <v>1</v>
      </c>
      <c r="H986" s="3">
        <f t="shared" si="131"/>
        <v>2.5724230055201858E-4</v>
      </c>
      <c r="I986" s="3">
        <f t="shared" si="132"/>
        <v>2.5724230055201858E-4</v>
      </c>
      <c r="K986" s="12" t="str">
        <f>IF(AND(G986=1,G985&lt;&gt;1),MAX($K$50:K985)+1,"")</f>
        <v/>
      </c>
      <c r="L986" s="13" t="str">
        <f>IF(AND(G986&lt;&gt;1,G985=1),MAX($L$50:L985)+1,"")</f>
        <v/>
      </c>
      <c r="M986" s="13" t="str">
        <f>IF(AND(G986=-1,G985&lt;&gt;-1),MAX($M$50:M985)+1,"")</f>
        <v/>
      </c>
      <c r="N986" s="13" t="str">
        <f>IF(AND(G986&lt;&gt;-1,G985=-1),MAX($N$50:N985)+1,"")</f>
        <v/>
      </c>
      <c r="T986" s="7">
        <f t="shared" si="133"/>
        <v>110.0725455304532</v>
      </c>
      <c r="U986" s="1">
        <f t="shared" si="134"/>
        <v>169.5674332340318</v>
      </c>
    </row>
    <row r="987" spans="1:21" x14ac:dyDescent="0.3">
      <c r="A987" s="2">
        <v>41605</v>
      </c>
      <c r="B987" s="1">
        <v>3236.14</v>
      </c>
      <c r="C987" s="2">
        <f t="shared" si="126"/>
        <v>41605</v>
      </c>
      <c r="D987" s="1">
        <f t="shared" si="127"/>
        <v>3236.14</v>
      </c>
      <c r="E987" s="4">
        <f t="shared" si="128"/>
        <v>3109.419800000001</v>
      </c>
      <c r="F987" s="3">
        <f t="shared" si="129"/>
        <v>1.0407536479956803</v>
      </c>
      <c r="G987" s="18">
        <f t="shared" si="130"/>
        <v>1</v>
      </c>
      <c r="H987" s="3">
        <f t="shared" si="131"/>
        <v>2.7204898121064858E-3</v>
      </c>
      <c r="I987" s="3">
        <f t="shared" si="132"/>
        <v>2.7204898121064858E-3</v>
      </c>
      <c r="K987" s="12" t="str">
        <f>IF(AND(G987=1,G986&lt;&gt;1),MAX($K$50:K986)+1,"")</f>
        <v/>
      </c>
      <c r="L987" s="13" t="str">
        <f>IF(AND(G987&lt;&gt;1,G986=1),MAX($L$50:L986)+1,"")</f>
        <v/>
      </c>
      <c r="M987" s="13" t="str">
        <f>IF(AND(G987=-1,G986&lt;&gt;-1),MAX($M$50:M986)+1,"")</f>
        <v/>
      </c>
      <c r="N987" s="13" t="str">
        <f>IF(AND(G987&lt;&gt;-1,G986=-1),MAX($N$50:N986)+1,"")</f>
        <v/>
      </c>
      <c r="T987" s="7">
        <f t="shared" si="133"/>
        <v>110.37199676916143</v>
      </c>
      <c r="U987" s="1">
        <f t="shared" si="134"/>
        <v>170.02873970861</v>
      </c>
    </row>
    <row r="988" spans="1:21" x14ac:dyDescent="0.3">
      <c r="A988" s="2">
        <v>41607</v>
      </c>
      <c r="B988" s="1">
        <v>3233.72</v>
      </c>
      <c r="C988" s="2">
        <f t="shared" si="126"/>
        <v>41607</v>
      </c>
      <c r="D988" s="1">
        <f t="shared" si="127"/>
        <v>3233.72</v>
      </c>
      <c r="E988" s="4">
        <f t="shared" si="128"/>
        <v>3112.6620000000007</v>
      </c>
      <c r="F988" s="3">
        <f t="shared" si="129"/>
        <v>1.0388921122820272</v>
      </c>
      <c r="G988" s="18">
        <f t="shared" si="130"/>
        <v>1</v>
      </c>
      <c r="H988" s="3">
        <f t="shared" si="131"/>
        <v>-7.4780448311884129E-4</v>
      </c>
      <c r="I988" s="3">
        <f t="shared" si="132"/>
        <v>-7.4780448311884129E-4</v>
      </c>
      <c r="K988" s="12" t="str">
        <f>IF(AND(G988=1,G987&lt;&gt;1),MAX($K$50:K987)+1,"")</f>
        <v/>
      </c>
      <c r="L988" s="13" t="str">
        <f>IF(AND(G988&lt;&gt;1,G987=1),MAX($L$50:L987)+1,"")</f>
        <v/>
      </c>
      <c r="M988" s="13" t="str">
        <f>IF(AND(G988=-1,G987&lt;&gt;-1),MAX($M$50:M987)+1,"")</f>
        <v/>
      </c>
      <c r="N988" s="13" t="str">
        <f>IF(AND(G988&lt;&gt;-1,G987=-1),MAX($N$50:N987)+1,"")</f>
        <v/>
      </c>
      <c r="T988" s="7">
        <f t="shared" si="133"/>
        <v>110.28946009516667</v>
      </c>
      <c r="U988" s="1">
        <f t="shared" si="134"/>
        <v>169.90159145479689</v>
      </c>
    </row>
    <row r="989" spans="1:21" x14ac:dyDescent="0.3">
      <c r="A989" s="2">
        <v>41610</v>
      </c>
      <c r="B989" s="1">
        <v>3225.06</v>
      </c>
      <c r="C989" s="2">
        <f t="shared" si="126"/>
        <v>41610</v>
      </c>
      <c r="D989" s="1">
        <f t="shared" si="127"/>
        <v>3225.06</v>
      </c>
      <c r="E989" s="4">
        <f t="shared" si="128"/>
        <v>3116.1738000000005</v>
      </c>
      <c r="F989" s="3">
        <f t="shared" si="129"/>
        <v>1.0349422744007408</v>
      </c>
      <c r="G989" s="18">
        <f t="shared" si="130"/>
        <v>1</v>
      </c>
      <c r="H989" s="3">
        <f t="shared" si="131"/>
        <v>-2.6780302561755231E-3</v>
      </c>
      <c r="I989" s="3">
        <f t="shared" si="132"/>
        <v>-2.6780302561755231E-3</v>
      </c>
      <c r="K989" s="12" t="str">
        <f>IF(AND(G989=1,G988&lt;&gt;1),MAX($K$50:K988)+1,"")</f>
        <v/>
      </c>
      <c r="L989" s="13" t="str">
        <f>IF(AND(G989&lt;&gt;1,G988=1),MAX($L$50:L988)+1,"")</f>
        <v/>
      </c>
      <c r="M989" s="13" t="str">
        <f>IF(AND(G989=-1,G988&lt;&gt;-1),MAX($M$50:M988)+1,"")</f>
        <v/>
      </c>
      <c r="N989" s="13" t="str">
        <f>IF(AND(G989&lt;&gt;-1,G988=-1),MAX($N$50:N988)+1,"")</f>
        <v/>
      </c>
      <c r="T989" s="7">
        <f t="shared" si="133"/>
        <v>109.99410158409455</v>
      </c>
      <c r="U989" s="1">
        <f t="shared" si="134"/>
        <v>169.44658985230856</v>
      </c>
    </row>
    <row r="990" spans="1:21" x14ac:dyDescent="0.3">
      <c r="A990" s="2">
        <v>41611</v>
      </c>
      <c r="B990" s="1">
        <v>3214.95</v>
      </c>
      <c r="C990" s="2">
        <f t="shared" si="126"/>
        <v>41611</v>
      </c>
      <c r="D990" s="1">
        <f t="shared" si="127"/>
        <v>3214.95</v>
      </c>
      <c r="E990" s="4">
        <f t="shared" si="128"/>
        <v>3119.7710000000002</v>
      </c>
      <c r="F990" s="3">
        <f t="shared" si="129"/>
        <v>1.0305083289767101</v>
      </c>
      <c r="G990" s="18">
        <f t="shared" si="130"/>
        <v>1</v>
      </c>
      <c r="H990" s="3">
        <f t="shared" si="131"/>
        <v>-3.1348253985973296E-3</v>
      </c>
      <c r="I990" s="3">
        <f t="shared" si="132"/>
        <v>-3.1348253985973296E-3</v>
      </c>
      <c r="K990" s="12" t="str">
        <f>IF(AND(G990=1,G989&lt;&gt;1),MAX($K$50:K989)+1,"")</f>
        <v/>
      </c>
      <c r="L990" s="13" t="str">
        <f>IF(AND(G990&lt;&gt;1,G989=1),MAX($L$50:L989)+1,"")</f>
        <v/>
      </c>
      <c r="M990" s="13" t="str">
        <f>IF(AND(G990=-1,G989&lt;&gt;-1),MAX($M$50:M989)+1,"")</f>
        <v/>
      </c>
      <c r="N990" s="13" t="str">
        <f>IF(AND(G990&lt;&gt;-1,G989=-1),MAX($N$50:N989)+1,"")</f>
        <v/>
      </c>
      <c r="T990" s="7">
        <f t="shared" si="133"/>
        <v>109.64928928075284</v>
      </c>
      <c r="U990" s="1">
        <f t="shared" si="134"/>
        <v>168.91540437873385</v>
      </c>
    </row>
    <row r="991" spans="1:21" x14ac:dyDescent="0.3">
      <c r="A991" s="2">
        <v>41612</v>
      </c>
      <c r="B991" s="1">
        <v>3211.59</v>
      </c>
      <c r="C991" s="2">
        <f t="shared" si="126"/>
        <v>41612</v>
      </c>
      <c r="D991" s="1">
        <f t="shared" si="127"/>
        <v>3211.59</v>
      </c>
      <c r="E991" s="4">
        <f t="shared" si="128"/>
        <v>3123.4524000000001</v>
      </c>
      <c r="F991" s="3">
        <f t="shared" si="129"/>
        <v>1.028218006459775</v>
      </c>
      <c r="G991" s="18">
        <f t="shared" si="130"/>
        <v>1</v>
      </c>
      <c r="H991" s="3">
        <f t="shared" si="131"/>
        <v>-1.0451173424157467E-3</v>
      </c>
      <c r="I991" s="3">
        <f t="shared" si="132"/>
        <v>-1.0451173424157467E-3</v>
      </c>
      <c r="K991" s="12" t="str">
        <f>IF(AND(G991=1,G990&lt;&gt;1),MAX($K$50:K990)+1,"")</f>
        <v/>
      </c>
      <c r="L991" s="13" t="str">
        <f>IF(AND(G991&lt;&gt;1,G990=1),MAX($L$50:L990)+1,"")</f>
        <v/>
      </c>
      <c r="M991" s="13" t="str">
        <f>IF(AND(G991=-1,G990&lt;&gt;-1),MAX($M$50:M990)+1,"")</f>
        <v/>
      </c>
      <c r="N991" s="13" t="str">
        <f>IF(AND(G991&lt;&gt;-1,G990=-1),MAX($N$50:N990)+1,"")</f>
        <v/>
      </c>
      <c r="T991" s="7">
        <f t="shared" si="133"/>
        <v>109.53469290694197</v>
      </c>
      <c r="U991" s="1">
        <f t="shared" si="134"/>
        <v>168.73886796021648</v>
      </c>
    </row>
    <row r="992" spans="1:21" x14ac:dyDescent="0.3">
      <c r="A992" s="2">
        <v>41613</v>
      </c>
      <c r="B992" s="1">
        <v>3197.76</v>
      </c>
      <c r="C992" s="2">
        <f t="shared" si="126"/>
        <v>41613</v>
      </c>
      <c r="D992" s="1">
        <f t="shared" si="127"/>
        <v>3197.76</v>
      </c>
      <c r="E992" s="4">
        <f t="shared" si="128"/>
        <v>3127.0214000000001</v>
      </c>
      <c r="F992" s="3">
        <f t="shared" si="129"/>
        <v>1.0226217191861879</v>
      </c>
      <c r="G992" s="18">
        <f t="shared" si="130"/>
        <v>1</v>
      </c>
      <c r="H992" s="3">
        <f t="shared" si="131"/>
        <v>-4.3062781986492604E-3</v>
      </c>
      <c r="I992" s="3">
        <f t="shared" si="132"/>
        <v>-4.3062781986492604E-3</v>
      </c>
      <c r="K992" s="12" t="str">
        <f>IF(AND(G992=1,G991&lt;&gt;1),MAX($K$50:K991)+1,"")</f>
        <v/>
      </c>
      <c r="L992" s="13" t="str">
        <f>IF(AND(G992&lt;&gt;1,G991=1),MAX($L$50:L991)+1,"")</f>
        <v/>
      </c>
      <c r="M992" s="13" t="str">
        <f>IF(AND(G992=-1,G991&lt;&gt;-1),MAX($M$50:M991)+1,"")</f>
        <v/>
      </c>
      <c r="N992" s="13" t="str">
        <f>IF(AND(G992&lt;&gt;-1,G991=-1),MAX($N$50:N991)+1,"")</f>
        <v/>
      </c>
      <c r="T992" s="7">
        <f t="shared" si="133"/>
        <v>109.06300604688107</v>
      </c>
      <c r="U992" s="1">
        <f t="shared" si="134"/>
        <v>168.01223145185466</v>
      </c>
    </row>
    <row r="993" spans="1:21" x14ac:dyDescent="0.3">
      <c r="A993" s="2">
        <v>41614</v>
      </c>
      <c r="B993" s="1">
        <v>3233.99</v>
      </c>
      <c r="C993" s="2">
        <f t="shared" si="126"/>
        <v>41614</v>
      </c>
      <c r="D993" s="1">
        <f t="shared" si="127"/>
        <v>3233.99</v>
      </c>
      <c r="E993" s="4">
        <f t="shared" si="128"/>
        <v>3131.0929999999998</v>
      </c>
      <c r="F993" s="3">
        <f t="shared" si="129"/>
        <v>1.0328629651051566</v>
      </c>
      <c r="G993" s="18">
        <f t="shared" si="130"/>
        <v>1</v>
      </c>
      <c r="H993" s="3">
        <f t="shared" si="131"/>
        <v>1.1329805864104703E-2</v>
      </c>
      <c r="I993" s="3">
        <f t="shared" si="132"/>
        <v>1.1329805864104703E-2</v>
      </c>
      <c r="K993" s="12" t="str">
        <f>IF(AND(G993=1,G992&lt;&gt;1),MAX($K$50:K992)+1,"")</f>
        <v/>
      </c>
      <c r="L993" s="13" t="str">
        <f>IF(AND(G993&lt;&gt;1,G992=1),MAX($L$50:L992)+1,"")</f>
        <v/>
      </c>
      <c r="M993" s="13" t="str">
        <f>IF(AND(G993=-1,G992&lt;&gt;-1),MAX($M$50:M992)+1,"")</f>
        <v/>
      </c>
      <c r="N993" s="13" t="str">
        <f>IF(AND(G993&lt;&gt;-1,G992=-1),MAX($N$50:N992)+1,"")</f>
        <v/>
      </c>
      <c r="T993" s="7">
        <f t="shared" si="133"/>
        <v>110.29866873234791</v>
      </c>
      <c r="U993" s="1">
        <f t="shared" si="134"/>
        <v>169.91577741699919</v>
      </c>
    </row>
    <row r="994" spans="1:21" x14ac:dyDescent="0.3">
      <c r="A994" s="2">
        <v>41617</v>
      </c>
      <c r="B994" s="1">
        <v>3239.99</v>
      </c>
      <c r="C994" s="2">
        <f t="shared" si="126"/>
        <v>41617</v>
      </c>
      <c r="D994" s="1">
        <f t="shared" si="127"/>
        <v>3239.99</v>
      </c>
      <c r="E994" s="4">
        <f t="shared" si="128"/>
        <v>3135.5279999999998</v>
      </c>
      <c r="F994" s="3">
        <f t="shared" si="129"/>
        <v>1.0333156010726103</v>
      </c>
      <c r="G994" s="18">
        <f t="shared" si="130"/>
        <v>1</v>
      </c>
      <c r="H994" s="3">
        <f t="shared" si="131"/>
        <v>1.8552933064108768E-3</v>
      </c>
      <c r="I994" s="3">
        <f t="shared" si="132"/>
        <v>1.8552933064108768E-3</v>
      </c>
      <c r="K994" s="12" t="str">
        <f>IF(AND(G994=1,G993&lt;&gt;1),MAX($K$50:K993)+1,"")</f>
        <v/>
      </c>
      <c r="L994" s="13" t="str">
        <f>IF(AND(G994&lt;&gt;1,G993=1),MAX($L$50:L993)+1,"")</f>
        <v/>
      </c>
      <c r="M994" s="13" t="str">
        <f>IF(AND(G994=-1,G993&lt;&gt;-1),MAX($M$50:M993)+1,"")</f>
        <v/>
      </c>
      <c r="N994" s="13" t="str">
        <f>IF(AND(G994&lt;&gt;-1,G993=-1),MAX($N$50:N993)+1,"")</f>
        <v/>
      </c>
      <c r="T994" s="7">
        <f t="shared" si="133"/>
        <v>110.50330511415306</v>
      </c>
      <c r="U994" s="1">
        <f t="shared" si="134"/>
        <v>170.23102102149457</v>
      </c>
    </row>
    <row r="995" spans="1:21" x14ac:dyDescent="0.3">
      <c r="A995" s="2">
        <v>41618</v>
      </c>
      <c r="B995" s="1">
        <v>3229.72</v>
      </c>
      <c r="C995" s="2">
        <f t="shared" si="126"/>
        <v>41618</v>
      </c>
      <c r="D995" s="1">
        <f t="shared" si="127"/>
        <v>3229.72</v>
      </c>
      <c r="E995" s="4">
        <f t="shared" si="128"/>
        <v>3140.1188000000002</v>
      </c>
      <c r="F995" s="3">
        <f t="shared" si="129"/>
        <v>1.0285343344334614</v>
      </c>
      <c r="G995" s="18">
        <f t="shared" si="130"/>
        <v>1</v>
      </c>
      <c r="H995" s="3">
        <f t="shared" si="131"/>
        <v>-3.1697628696384372E-3</v>
      </c>
      <c r="I995" s="3">
        <f t="shared" si="132"/>
        <v>-3.1697628696384372E-3</v>
      </c>
      <c r="K995" s="12" t="str">
        <f>IF(AND(G995=1,G994&lt;&gt;1),MAX($K$50:K994)+1,"")</f>
        <v/>
      </c>
      <c r="L995" s="13" t="str">
        <f>IF(AND(G995&lt;&gt;1,G994=1),MAX($L$50:L994)+1,"")</f>
        <v/>
      </c>
      <c r="M995" s="13" t="str">
        <f>IF(AND(G995=-1,G994&lt;&gt;-1),MAX($M$50:M994)+1,"")</f>
        <v/>
      </c>
      <c r="N995" s="13" t="str">
        <f>IF(AND(G995&lt;&gt;-1,G994=-1),MAX($N$50:N994)+1,"")</f>
        <v/>
      </c>
      <c r="T995" s="7">
        <f t="shared" si="133"/>
        <v>110.1530358406299</v>
      </c>
      <c r="U995" s="1">
        <f t="shared" si="134"/>
        <v>169.69142905179999</v>
      </c>
    </row>
    <row r="996" spans="1:21" x14ac:dyDescent="0.3">
      <c r="A996" s="2">
        <v>41619</v>
      </c>
      <c r="B996" s="1">
        <v>3193.52</v>
      </c>
      <c r="C996" s="2">
        <f t="shared" si="126"/>
        <v>41619</v>
      </c>
      <c r="D996" s="1">
        <f t="shared" si="127"/>
        <v>3193.52</v>
      </c>
      <c r="E996" s="4">
        <f t="shared" si="128"/>
        <v>3143.5015999999996</v>
      </c>
      <c r="F996" s="3">
        <f t="shared" si="129"/>
        <v>1.0159116826916839</v>
      </c>
      <c r="G996" s="18">
        <f t="shared" si="130"/>
        <v>1</v>
      </c>
      <c r="H996" s="3">
        <f t="shared" si="131"/>
        <v>-1.1208401966733894E-2</v>
      </c>
      <c r="I996" s="3">
        <f t="shared" si="132"/>
        <v>-1.1208401966733894E-2</v>
      </c>
      <c r="K996" s="12" t="str">
        <f>IF(AND(G996=1,G995&lt;&gt;1),MAX($K$50:K995)+1,"")</f>
        <v/>
      </c>
      <c r="L996" s="13" t="str">
        <f>IF(AND(G996&lt;&gt;1,G995=1),MAX($L$50:L995)+1,"")</f>
        <v/>
      </c>
      <c r="M996" s="13" t="str">
        <f>IF(AND(G996=-1,G995&lt;&gt;-1),MAX($M$50:M995)+1,"")</f>
        <v/>
      </c>
      <c r="N996" s="13" t="str">
        <f>IF(AND(G996&lt;&gt;-1,G995=-1),MAX($N$50:N995)+1,"")</f>
        <v/>
      </c>
      <c r="T996" s="7">
        <f t="shared" si="133"/>
        <v>108.91839633707207</v>
      </c>
      <c r="U996" s="1">
        <f t="shared" si="134"/>
        <v>167.78945930467791</v>
      </c>
    </row>
    <row r="997" spans="1:21" x14ac:dyDescent="0.3">
      <c r="A997" s="2">
        <v>41620</v>
      </c>
      <c r="B997" s="1">
        <v>3182.33</v>
      </c>
      <c r="C997" s="2">
        <f t="shared" si="126"/>
        <v>41620</v>
      </c>
      <c r="D997" s="1">
        <f t="shared" si="127"/>
        <v>3182.33</v>
      </c>
      <c r="E997" s="4">
        <f t="shared" si="128"/>
        <v>3146.6891999999998</v>
      </c>
      <c r="F997" s="3">
        <f t="shared" si="129"/>
        <v>1.0113264443148691</v>
      </c>
      <c r="G997" s="18">
        <f t="shared" si="130"/>
        <v>1</v>
      </c>
      <c r="H997" s="3">
        <f t="shared" si="131"/>
        <v>-3.5039705403442367E-3</v>
      </c>
      <c r="I997" s="3">
        <f t="shared" si="132"/>
        <v>-3.5039705403442367E-3</v>
      </c>
      <c r="K997" s="12" t="str">
        <f>IF(AND(G997=1,G996&lt;&gt;1),MAX($K$50:K996)+1,"")</f>
        <v/>
      </c>
      <c r="L997" s="13" t="str">
        <f>IF(AND(G997&lt;&gt;1,G996=1),MAX($L$50:L996)+1,"")</f>
        <v/>
      </c>
      <c r="M997" s="13" t="str">
        <f>IF(AND(G997=-1,G996&lt;&gt;-1),MAX($M$50:M996)+1,"")</f>
        <v/>
      </c>
      <c r="N997" s="13" t="str">
        <f>IF(AND(G997&lt;&gt;-1,G996=-1),MAX($N$50:N996)+1,"")</f>
        <v/>
      </c>
      <c r="T997" s="7">
        <f t="shared" si="133"/>
        <v>108.53674948500543</v>
      </c>
      <c r="U997" s="1">
        <f t="shared" si="134"/>
        <v>167.20152998229401</v>
      </c>
    </row>
    <row r="998" spans="1:21" x14ac:dyDescent="0.3">
      <c r="A998" s="2">
        <v>41621</v>
      </c>
      <c r="B998" s="1">
        <v>3182.07</v>
      </c>
      <c r="C998" s="2">
        <f t="shared" si="126"/>
        <v>41621</v>
      </c>
      <c r="D998" s="1">
        <f t="shared" si="127"/>
        <v>3182.07</v>
      </c>
      <c r="E998" s="4">
        <f t="shared" si="128"/>
        <v>3150.4143999999997</v>
      </c>
      <c r="F998" s="3">
        <f t="shared" si="129"/>
        <v>1.0100480749453153</v>
      </c>
      <c r="G998" s="18">
        <f t="shared" si="130"/>
        <v>1</v>
      </c>
      <c r="H998" s="3">
        <f t="shared" si="131"/>
        <v>-8.1701143501700102E-5</v>
      </c>
      <c r="I998" s="3">
        <f t="shared" si="132"/>
        <v>-8.1701143501700102E-5</v>
      </c>
      <c r="K998" s="12" t="str">
        <f>IF(AND(G998=1,G997&lt;&gt;1),MAX($K$50:K997)+1,"")</f>
        <v/>
      </c>
      <c r="L998" s="13" t="str">
        <f>IF(AND(G998&lt;&gt;1,G997=1),MAX($L$50:L997)+1,"")</f>
        <v/>
      </c>
      <c r="M998" s="13" t="str">
        <f>IF(AND(G998=-1,G997&lt;&gt;-1),MAX($M$50:M997)+1,"")</f>
        <v/>
      </c>
      <c r="N998" s="13" t="str">
        <f>IF(AND(G998&lt;&gt;-1,G997=-1),MAX($N$50:N997)+1,"")</f>
        <v/>
      </c>
      <c r="T998" s="7">
        <f t="shared" si="133"/>
        <v>108.52788190846054</v>
      </c>
      <c r="U998" s="1">
        <f t="shared" si="134"/>
        <v>167.18786942609921</v>
      </c>
    </row>
    <row r="999" spans="1:21" x14ac:dyDescent="0.3">
      <c r="A999" s="2">
        <v>41624</v>
      </c>
      <c r="B999" s="1">
        <v>3202.22</v>
      </c>
      <c r="C999" s="2">
        <f t="shared" si="126"/>
        <v>41624</v>
      </c>
      <c r="D999" s="1">
        <f t="shared" si="127"/>
        <v>3202.22</v>
      </c>
      <c r="E999" s="4">
        <f t="shared" si="128"/>
        <v>3154.1177999999995</v>
      </c>
      <c r="F999" s="3">
        <f t="shared" si="129"/>
        <v>1.0152506035126527</v>
      </c>
      <c r="G999" s="18">
        <f t="shared" si="130"/>
        <v>1</v>
      </c>
      <c r="H999" s="3">
        <f t="shared" si="131"/>
        <v>6.3323559821122366E-3</v>
      </c>
      <c r="I999" s="3">
        <f t="shared" si="132"/>
        <v>6.3323559821122366E-3</v>
      </c>
      <c r="K999" s="12" t="str">
        <f>IF(AND(G999=1,G998&lt;&gt;1),MAX($K$50:K998)+1,"")</f>
        <v/>
      </c>
      <c r="L999" s="13" t="str">
        <f>IF(AND(G999&lt;&gt;1,G998=1),MAX($L$50:L998)+1,"")</f>
        <v/>
      </c>
      <c r="M999" s="13" t="str">
        <f>IF(AND(G999=-1,G998&lt;&gt;-1),MAX($M$50:M998)+1,"")</f>
        <v/>
      </c>
      <c r="N999" s="13" t="str">
        <f>IF(AND(G999&lt;&gt;-1,G998=-1),MAX($N$50:N998)+1,"")</f>
        <v/>
      </c>
      <c r="T999" s="7">
        <f t="shared" si="133"/>
        <v>109.21511909068956</v>
      </c>
      <c r="U999" s="1">
        <f t="shared" si="134"/>
        <v>168.24656253119616</v>
      </c>
    </row>
    <row r="1000" spans="1:21" x14ac:dyDescent="0.3">
      <c r="A1000" s="2">
        <v>41625</v>
      </c>
      <c r="B1000" s="1">
        <v>3192.33</v>
      </c>
      <c r="C1000" s="2">
        <f t="shared" si="126"/>
        <v>41625</v>
      </c>
      <c r="D1000" s="1">
        <f t="shared" si="127"/>
        <v>3192.33</v>
      </c>
      <c r="E1000" s="4">
        <f t="shared" si="128"/>
        <v>3158.1365999999994</v>
      </c>
      <c r="F1000" s="3">
        <f t="shared" si="129"/>
        <v>1.0108270807538853</v>
      </c>
      <c r="G1000" s="18">
        <f t="shared" si="130"/>
        <v>1</v>
      </c>
      <c r="H1000" s="3">
        <f t="shared" si="131"/>
        <v>-3.0884823653589688E-3</v>
      </c>
      <c r="I1000" s="3">
        <f t="shared" si="132"/>
        <v>-3.0884823653589688E-3</v>
      </c>
      <c r="K1000" s="12" t="str">
        <f>IF(AND(G1000=1,G999&lt;&gt;1),MAX($K$50:K999)+1,"")</f>
        <v/>
      </c>
      <c r="L1000" s="13" t="str">
        <f>IF(AND(G1000&lt;&gt;1,G999=1),MAX($L$50:L999)+1,"")</f>
        <v/>
      </c>
      <c r="M1000" s="13" t="str">
        <f>IF(AND(G1000=-1,G999&lt;&gt;-1),MAX($M$50:M999)+1,"")</f>
        <v/>
      </c>
      <c r="N1000" s="13" t="str">
        <f>IF(AND(G1000&lt;&gt;-1,G999=-1),MAX($N$50:N999)+1,"")</f>
        <v/>
      </c>
      <c r="T1000" s="7">
        <f t="shared" si="133"/>
        <v>108.87781012134738</v>
      </c>
      <c r="U1000" s="1">
        <f t="shared" si="134"/>
        <v>167.72693598978631</v>
      </c>
    </row>
    <row r="1001" spans="1:21" x14ac:dyDescent="0.3">
      <c r="A1001" s="2">
        <v>41626</v>
      </c>
      <c r="B1001" s="1">
        <v>3245.59</v>
      </c>
      <c r="C1001" s="2">
        <f t="shared" si="126"/>
        <v>41626</v>
      </c>
      <c r="D1001" s="1">
        <f t="shared" si="127"/>
        <v>3245.59</v>
      </c>
      <c r="E1001" s="4">
        <f t="shared" si="128"/>
        <v>3163.9401999999991</v>
      </c>
      <c r="F1001" s="3">
        <f t="shared" si="129"/>
        <v>1.0258063663782271</v>
      </c>
      <c r="G1001" s="18">
        <f t="shared" si="130"/>
        <v>1</v>
      </c>
      <c r="H1001" s="3">
        <f t="shared" si="131"/>
        <v>1.6683738836523965E-2</v>
      </c>
      <c r="I1001" s="3">
        <f t="shared" si="132"/>
        <v>1.6683738836523965E-2</v>
      </c>
      <c r="K1001" s="12" t="str">
        <f>IF(AND(G1001=1,G1000&lt;&gt;1),MAX($K$50:K1000)+1,"")</f>
        <v/>
      </c>
      <c r="L1001" s="13" t="str">
        <f>IF(AND(G1001&lt;&gt;1,G1000=1),MAX($L$50:L1000)+1,"")</f>
        <v/>
      </c>
      <c r="M1001" s="13" t="str">
        <f>IF(AND(G1001=-1,G1000&lt;&gt;-1),MAX($M$50:M1000)+1,"")</f>
        <v/>
      </c>
      <c r="N1001" s="13" t="str">
        <f>IF(AND(G1001&lt;&gt;-1,G1000=-1),MAX($N$50:N1000)+1,"")</f>
        <v/>
      </c>
      <c r="T1001" s="7">
        <f t="shared" si="133"/>
        <v>110.69429907050458</v>
      </c>
      <c r="U1001" s="1">
        <f t="shared" si="134"/>
        <v>170.52524838569025</v>
      </c>
    </row>
    <row r="1002" spans="1:21" x14ac:dyDescent="0.3">
      <c r="A1002" s="2">
        <v>41627</v>
      </c>
      <c r="B1002" s="1">
        <v>3244.15</v>
      </c>
      <c r="C1002" s="2">
        <f t="shared" si="126"/>
        <v>41627</v>
      </c>
      <c r="D1002" s="1">
        <f t="shared" si="127"/>
        <v>3244.15</v>
      </c>
      <c r="E1002" s="4">
        <f t="shared" si="128"/>
        <v>3169.6751999999992</v>
      </c>
      <c r="F1002" s="3">
        <f t="shared" si="129"/>
        <v>1.0234960351773585</v>
      </c>
      <c r="G1002" s="18">
        <f t="shared" si="130"/>
        <v>1</v>
      </c>
      <c r="H1002" s="3">
        <f t="shared" si="131"/>
        <v>-4.4367896129826612E-4</v>
      </c>
      <c r="I1002" s="3">
        <f t="shared" si="132"/>
        <v>-4.4367896129826612E-4</v>
      </c>
      <c r="K1002" s="12" t="str">
        <f>IF(AND(G1002=1,G1001&lt;&gt;1),MAX($K$50:K1001)+1,"")</f>
        <v/>
      </c>
      <c r="L1002" s="13" t="str">
        <f>IF(AND(G1002&lt;&gt;1,G1001=1),MAX($L$50:L1001)+1,"")</f>
        <v/>
      </c>
      <c r="M1002" s="13" t="str">
        <f>IF(AND(G1002=-1,G1001&lt;&gt;-1),MAX($M$50:M1001)+1,"")</f>
        <v/>
      </c>
      <c r="N1002" s="13" t="str">
        <f>IF(AND(G1002&lt;&gt;-1,G1001=-1),MAX($N$50:N1001)+1,"")</f>
        <v/>
      </c>
      <c r="T1002" s="7">
        <f t="shared" si="133"/>
        <v>110.64518633887134</v>
      </c>
      <c r="U1002" s="1">
        <f t="shared" si="134"/>
        <v>170.44958992061137</v>
      </c>
    </row>
    <row r="1003" spans="1:21" x14ac:dyDescent="0.3">
      <c r="A1003" s="2">
        <v>41628</v>
      </c>
      <c r="B1003" s="1">
        <v>3259.79</v>
      </c>
      <c r="C1003" s="2">
        <f t="shared" si="126"/>
        <v>41628</v>
      </c>
      <c r="D1003" s="1">
        <f t="shared" si="127"/>
        <v>3259.79</v>
      </c>
      <c r="E1003" s="4">
        <f t="shared" si="128"/>
        <v>3174.4223999999995</v>
      </c>
      <c r="F1003" s="3">
        <f t="shared" si="129"/>
        <v>1.0268923253565754</v>
      </c>
      <c r="G1003" s="18">
        <f t="shared" si="130"/>
        <v>1</v>
      </c>
      <c r="H1003" s="3">
        <f t="shared" si="131"/>
        <v>4.8209854661467322E-3</v>
      </c>
      <c r="I1003" s="3">
        <f t="shared" si="132"/>
        <v>4.8209854661467322E-3</v>
      </c>
      <c r="K1003" s="12" t="str">
        <f>IF(AND(G1003=1,G1002&lt;&gt;1),MAX($K$50:K1002)+1,"")</f>
        <v/>
      </c>
      <c r="L1003" s="13" t="str">
        <f>IF(AND(G1003&lt;&gt;1,G1002=1),MAX($L$50:L1002)+1,"")</f>
        <v/>
      </c>
      <c r="M1003" s="13" t="str">
        <f>IF(AND(G1003=-1,G1002&lt;&gt;-1),MAX($M$50:M1002)+1,"")</f>
        <v/>
      </c>
      <c r="N1003" s="13" t="str">
        <f>IF(AND(G1003&lt;&gt;-1,G1002=-1),MAX($N$50:N1002)+1,"")</f>
        <v/>
      </c>
      <c r="T1003" s="7">
        <f t="shared" si="133"/>
        <v>111.17860517411013</v>
      </c>
      <c r="U1003" s="1">
        <f t="shared" si="134"/>
        <v>171.27132491632932</v>
      </c>
    </row>
    <row r="1004" spans="1:21" x14ac:dyDescent="0.3">
      <c r="A1004" s="2">
        <v>41631</v>
      </c>
      <c r="B1004" s="1">
        <v>3277.62</v>
      </c>
      <c r="C1004" s="2">
        <f t="shared" si="126"/>
        <v>41631</v>
      </c>
      <c r="D1004" s="1">
        <f t="shared" si="127"/>
        <v>3277.62</v>
      </c>
      <c r="E1004" s="4">
        <f t="shared" si="128"/>
        <v>3179.1461999999992</v>
      </c>
      <c r="F1004" s="3">
        <f t="shared" si="129"/>
        <v>1.0309749202474554</v>
      </c>
      <c r="G1004" s="18">
        <f t="shared" si="130"/>
        <v>1</v>
      </c>
      <c r="H1004" s="3">
        <f t="shared" si="131"/>
        <v>5.4696774945626192E-3</v>
      </c>
      <c r="I1004" s="3">
        <f t="shared" si="132"/>
        <v>5.4696774945626192E-3</v>
      </c>
      <c r="K1004" s="12" t="str">
        <f>IF(AND(G1004=1,G1003&lt;&gt;1),MAX($K$50:K1003)+1,"")</f>
        <v/>
      </c>
      <c r="L1004" s="13" t="str">
        <f>IF(AND(G1004&lt;&gt;1,G1003=1),MAX($L$50:L1003)+1,"")</f>
        <v/>
      </c>
      <c r="M1004" s="13" t="str">
        <f>IF(AND(G1004=-1,G1003&lt;&gt;-1),MAX($M$50:M1003)+1,"")</f>
        <v/>
      </c>
      <c r="N1004" s="13" t="str">
        <f>IF(AND(G1004&lt;&gt;-1,G1003=-1),MAX($N$50:N1003)+1,"")</f>
        <v/>
      </c>
      <c r="T1004" s="7">
        <f t="shared" si="133"/>
        <v>111.78671628870782</v>
      </c>
      <c r="U1004" s="1">
        <f t="shared" si="134"/>
        <v>172.2081238276881</v>
      </c>
    </row>
    <row r="1005" spans="1:21" x14ac:dyDescent="0.3">
      <c r="A1005" s="2">
        <v>41632</v>
      </c>
      <c r="B1005" s="1">
        <v>3287.55</v>
      </c>
      <c r="C1005" s="2">
        <f t="shared" si="126"/>
        <v>41632</v>
      </c>
      <c r="D1005" s="1">
        <f t="shared" si="127"/>
        <v>3287.55</v>
      </c>
      <c r="E1005" s="4">
        <f t="shared" si="128"/>
        <v>3183.8203999999992</v>
      </c>
      <c r="F1005" s="3">
        <f t="shared" si="129"/>
        <v>1.0325802297139628</v>
      </c>
      <c r="G1005" s="18">
        <f t="shared" si="130"/>
        <v>1</v>
      </c>
      <c r="H1005" s="3">
        <f t="shared" si="131"/>
        <v>3.0296373588152292E-3</v>
      </c>
      <c r="I1005" s="3">
        <f t="shared" si="132"/>
        <v>3.0296373588152292E-3</v>
      </c>
      <c r="K1005" s="12" t="str">
        <f>IF(AND(G1005=1,G1004&lt;&gt;1),MAX($K$50:K1004)+1,"")</f>
        <v/>
      </c>
      <c r="L1005" s="13" t="str">
        <f>IF(AND(G1005&lt;&gt;1,G1004=1),MAX($L$50:L1004)+1,"")</f>
        <v/>
      </c>
      <c r="M1005" s="13" t="str">
        <f>IF(AND(G1005=-1,G1004&lt;&gt;-1),MAX($M$50:M1004)+1,"")</f>
        <v/>
      </c>
      <c r="N1005" s="13" t="str">
        <f>IF(AND(G1005&lt;&gt;-1,G1004=-1),MAX($N$50:N1004)+1,"")</f>
        <v/>
      </c>
      <c r="T1005" s="7">
        <f t="shared" si="133"/>
        <v>112.12538950059538</v>
      </c>
      <c r="U1005" s="1">
        <f t="shared" si="134"/>
        <v>172.72985199312794</v>
      </c>
    </row>
    <row r="1006" spans="1:21" x14ac:dyDescent="0.3">
      <c r="A1006" s="2">
        <v>41634</v>
      </c>
      <c r="B1006" s="1">
        <v>3303.15</v>
      </c>
      <c r="C1006" s="2">
        <f t="shared" si="126"/>
        <v>41634</v>
      </c>
      <c r="D1006" s="1">
        <f t="shared" si="127"/>
        <v>3303.15</v>
      </c>
      <c r="E1006" s="4">
        <f t="shared" si="128"/>
        <v>3189.2379999999994</v>
      </c>
      <c r="F1006" s="3">
        <f t="shared" si="129"/>
        <v>1.0357176228302813</v>
      </c>
      <c r="G1006" s="18">
        <f t="shared" si="130"/>
        <v>1</v>
      </c>
      <c r="H1006" s="3">
        <f t="shared" si="131"/>
        <v>4.7451749783273822E-3</v>
      </c>
      <c r="I1006" s="3">
        <f t="shared" si="132"/>
        <v>4.7451749783273822E-3</v>
      </c>
      <c r="K1006" s="12" t="str">
        <f>IF(AND(G1006=1,G1005&lt;&gt;1),MAX($K$50:K1005)+1,"")</f>
        <v/>
      </c>
      <c r="L1006" s="13" t="str">
        <f>IF(AND(G1006&lt;&gt;1,G1005=1),MAX($L$50:L1005)+1,"")</f>
        <v/>
      </c>
      <c r="M1006" s="13" t="str">
        <f>IF(AND(G1006=-1,G1005&lt;&gt;-1),MAX($M$50:M1005)+1,"")</f>
        <v/>
      </c>
      <c r="N1006" s="13" t="str">
        <f>IF(AND(G1006&lt;&gt;-1,G1005=-1),MAX($N$50:N1005)+1,"")</f>
        <v/>
      </c>
      <c r="T1006" s="7">
        <f t="shared" si="133"/>
        <v>112.65744409328882</v>
      </c>
      <c r="U1006" s="1">
        <f t="shared" si="134"/>
        <v>173.54948536481589</v>
      </c>
    </row>
    <row r="1007" spans="1:21" x14ac:dyDescent="0.3">
      <c r="A1007" s="2">
        <v>41635</v>
      </c>
      <c r="B1007" s="1">
        <v>3302.66</v>
      </c>
      <c r="C1007" s="2">
        <f t="shared" si="126"/>
        <v>41635</v>
      </c>
      <c r="D1007" s="1">
        <f t="shared" si="127"/>
        <v>3302.66</v>
      </c>
      <c r="E1007" s="4">
        <f t="shared" si="128"/>
        <v>3193.8003999999992</v>
      </c>
      <c r="F1007" s="3">
        <f t="shared" si="129"/>
        <v>1.0340846597677178</v>
      </c>
      <c r="G1007" s="18">
        <f t="shared" si="130"/>
        <v>1</v>
      </c>
      <c r="H1007" s="3">
        <f t="shared" si="131"/>
        <v>-1.4834324811174859E-4</v>
      </c>
      <c r="I1007" s="3">
        <f t="shared" si="132"/>
        <v>-1.4834324811174859E-4</v>
      </c>
      <c r="K1007" s="12" t="str">
        <f>IF(AND(G1007=1,G1006&lt;&gt;1),MAX($K$50:K1006)+1,"")</f>
        <v/>
      </c>
      <c r="L1007" s="13" t="str">
        <f>IF(AND(G1007&lt;&gt;1,G1006=1),MAX($L$50:L1006)+1,"")</f>
        <v/>
      </c>
      <c r="M1007" s="13" t="str">
        <f>IF(AND(G1007=-1,G1006&lt;&gt;-1),MAX($M$50:M1006)+1,"")</f>
        <v/>
      </c>
      <c r="N1007" s="13" t="str">
        <f>IF(AND(G1007&lt;&gt;-1,G1006=-1),MAX($N$50:N1006)+1,"")</f>
        <v/>
      </c>
      <c r="T1007" s="7">
        <f t="shared" si="133"/>
        <v>112.64073212210805</v>
      </c>
      <c r="U1007" s="1">
        <f t="shared" si="134"/>
        <v>173.52374047044876</v>
      </c>
    </row>
    <row r="1008" spans="1:21" x14ac:dyDescent="0.3">
      <c r="A1008" s="2">
        <v>41638</v>
      </c>
      <c r="B1008" s="1">
        <v>3302.3</v>
      </c>
      <c r="C1008" s="2">
        <f t="shared" si="126"/>
        <v>41638</v>
      </c>
      <c r="D1008" s="1">
        <f t="shared" si="127"/>
        <v>3302.3</v>
      </c>
      <c r="E1008" s="4">
        <f t="shared" si="128"/>
        <v>3197.9379999999992</v>
      </c>
      <c r="F1008" s="3">
        <f t="shared" si="129"/>
        <v>1.0326341536327475</v>
      </c>
      <c r="G1008" s="18">
        <f t="shared" si="130"/>
        <v>1</v>
      </c>
      <c r="H1008" s="3">
        <f t="shared" si="131"/>
        <v>-1.0900304602945443E-4</v>
      </c>
      <c r="I1008" s="3">
        <f t="shared" si="132"/>
        <v>-1.0900304602945443E-4</v>
      </c>
      <c r="K1008" s="12" t="str">
        <f>IF(AND(G1008=1,G1007&lt;&gt;1),MAX($K$50:K1007)+1,"")</f>
        <v/>
      </c>
      <c r="L1008" s="13" t="str">
        <f>IF(AND(G1008&lt;&gt;1,G1007=1),MAX($L$50:L1007)+1,"")</f>
        <v/>
      </c>
      <c r="M1008" s="13" t="str">
        <f>IF(AND(G1008=-1,G1007&lt;&gt;-1),MAX($M$50:M1007)+1,"")</f>
        <v/>
      </c>
      <c r="N1008" s="13" t="str">
        <f>IF(AND(G1008&lt;&gt;-1,G1007=-1),MAX($N$50:N1007)+1,"")</f>
        <v/>
      </c>
      <c r="T1008" s="7">
        <f t="shared" si="133"/>
        <v>112.62845393919974</v>
      </c>
      <c r="U1008" s="1">
        <f t="shared" si="134"/>
        <v>173.50482585417905</v>
      </c>
    </row>
    <row r="1009" spans="1:21" x14ac:dyDescent="0.3">
      <c r="A1009" s="2">
        <v>41639</v>
      </c>
      <c r="B1009" s="1">
        <v>3315.59</v>
      </c>
      <c r="C1009" s="2">
        <f t="shared" si="126"/>
        <v>41639</v>
      </c>
      <c r="D1009" s="1">
        <f t="shared" si="127"/>
        <v>3315.59</v>
      </c>
      <c r="E1009" s="4">
        <f t="shared" si="128"/>
        <v>3201.9343999999996</v>
      </c>
      <c r="F1009" s="3">
        <f t="shared" si="129"/>
        <v>1.0354959177177399</v>
      </c>
      <c r="G1009" s="18">
        <f t="shared" si="130"/>
        <v>1</v>
      </c>
      <c r="H1009" s="3">
        <f t="shared" si="131"/>
        <v>4.0244677951730701E-3</v>
      </c>
      <c r="I1009" s="3">
        <f t="shared" si="132"/>
        <v>4.0244677951730701E-3</v>
      </c>
      <c r="K1009" s="12" t="str">
        <f>IF(AND(G1009=1,G1008&lt;&gt;1),MAX($K$50:K1008)+1,"")</f>
        <v/>
      </c>
      <c r="L1009" s="13" t="str">
        <f>IF(AND(G1009&lt;&gt;1,G1008=1),MAX($L$50:L1008)+1,"")</f>
        <v/>
      </c>
      <c r="M1009" s="13" t="str">
        <f>IF(AND(G1009=-1,G1008&lt;&gt;-1),MAX($M$50:M1008)+1,"")</f>
        <v/>
      </c>
      <c r="N1009" s="13" t="str">
        <f>IF(AND(G1009&lt;&gt;-1,G1008=-1),MAX($N$50:N1008)+1,"")</f>
        <v/>
      </c>
      <c r="T1009" s="7">
        <f t="shared" si="133"/>
        <v>113.08172352489818</v>
      </c>
      <c r="U1009" s="1">
        <f t="shared" si="134"/>
        <v>174.20309043813629</v>
      </c>
    </row>
    <row r="1010" spans="1:21" x14ac:dyDescent="0.3">
      <c r="A1010" s="2">
        <v>41641</v>
      </c>
      <c r="B1010" s="1">
        <v>3286.69</v>
      </c>
      <c r="C1010" s="2">
        <f t="shared" si="126"/>
        <v>41641</v>
      </c>
      <c r="D1010" s="1">
        <f t="shared" si="127"/>
        <v>3286.69</v>
      </c>
      <c r="E1010" s="4">
        <f t="shared" si="128"/>
        <v>3205.3463999999994</v>
      </c>
      <c r="F1010" s="3">
        <f t="shared" si="129"/>
        <v>1.0253774755826703</v>
      </c>
      <c r="G1010" s="18">
        <f t="shared" si="130"/>
        <v>1</v>
      </c>
      <c r="H1010" s="3">
        <f t="shared" si="131"/>
        <v>-8.7163973832711239E-3</v>
      </c>
      <c r="I1010" s="3">
        <f t="shared" si="132"/>
        <v>-8.7163973832711239E-3</v>
      </c>
      <c r="K1010" s="12" t="str">
        <f>IF(AND(G1010=1,G1009&lt;&gt;1),MAX($K$50:K1009)+1,"")</f>
        <v/>
      </c>
      <c r="L1010" s="13" t="str">
        <f>IF(AND(G1010&lt;&gt;1,G1009=1),MAX($L$50:L1009)+1,"")</f>
        <v/>
      </c>
      <c r="M1010" s="13" t="str">
        <f>IF(AND(G1010=-1,G1009&lt;&gt;-1),MAX($M$50:M1009)+1,"")</f>
        <v/>
      </c>
      <c r="N1010" s="13" t="str">
        <f>IF(AND(G1010&lt;&gt;-1,G1009=-1),MAX($N$50:N1009)+1,"")</f>
        <v/>
      </c>
      <c r="T1010" s="7">
        <f t="shared" si="133"/>
        <v>112.09605828586997</v>
      </c>
      <c r="U1010" s="1">
        <f t="shared" si="134"/>
        <v>172.68466707648355</v>
      </c>
    </row>
    <row r="1011" spans="1:21" x14ac:dyDescent="0.3">
      <c r="A1011" s="2">
        <v>41642</v>
      </c>
      <c r="B1011" s="1">
        <v>3285.68</v>
      </c>
      <c r="C1011" s="2">
        <f t="shared" si="126"/>
        <v>41642</v>
      </c>
      <c r="D1011" s="1">
        <f t="shared" si="127"/>
        <v>3285.68</v>
      </c>
      <c r="E1011" s="4">
        <f t="shared" si="128"/>
        <v>3208.3803999999991</v>
      </c>
      <c r="F1011" s="3">
        <f t="shared" si="129"/>
        <v>1.0240930283703269</v>
      </c>
      <c r="G1011" s="18">
        <f t="shared" si="130"/>
        <v>1</v>
      </c>
      <c r="H1011" s="3">
        <f t="shared" si="131"/>
        <v>-3.0730004959400592E-4</v>
      </c>
      <c r="I1011" s="3">
        <f t="shared" si="132"/>
        <v>-3.0730004959400592E-4</v>
      </c>
      <c r="K1011" s="12" t="str">
        <f>IF(AND(G1011=1,G1010&lt;&gt;1),MAX($K$50:K1010)+1,"")</f>
        <v/>
      </c>
      <c r="L1011" s="13" t="str">
        <f>IF(AND(G1011&lt;&gt;1,G1010=1),MAX($L$50:L1010)+1,"")</f>
        <v/>
      </c>
      <c r="M1011" s="13" t="str">
        <f>IF(AND(G1011=-1,G1010&lt;&gt;-1),MAX($M$50:M1010)+1,"")</f>
        <v/>
      </c>
      <c r="N1011" s="13" t="str">
        <f>IF(AND(G1011&lt;&gt;-1,G1010=-1),MAX($N$50:N1010)+1,"")</f>
        <v/>
      </c>
      <c r="T1011" s="7">
        <f t="shared" si="133"/>
        <v>112.06161116159943</v>
      </c>
      <c r="U1011" s="1">
        <f t="shared" si="134"/>
        <v>172.6316010697268</v>
      </c>
    </row>
    <row r="1012" spans="1:21" x14ac:dyDescent="0.3">
      <c r="A1012" s="2">
        <v>41645</v>
      </c>
      <c r="B1012" s="1">
        <v>3277.48</v>
      </c>
      <c r="C1012" s="2">
        <f t="shared" ref="C1012:C1075" si="135">A1012</f>
        <v>41645</v>
      </c>
      <c r="D1012" s="1">
        <f t="shared" ref="D1012:D1075" si="136">B1012</f>
        <v>3277.48</v>
      </c>
      <c r="E1012" s="4">
        <f t="shared" ref="E1012:E1075" si="137">AVERAGE(B963:B1012)</f>
        <v>3211.5459999999994</v>
      </c>
      <c r="F1012" s="3">
        <f t="shared" ref="F1012:F1075" si="138">D1012/E1012</f>
        <v>1.0205302991145078</v>
      </c>
      <c r="G1012" s="18">
        <f t="shared" ref="G1012:G1075" si="139">IF(F1012&gt;=$Q$51,1,IF(F1012&lt;=$Q$52,-1,0))</f>
        <v>1</v>
      </c>
      <c r="H1012" s="3">
        <f t="shared" si="131"/>
        <v>-2.4956782157726787E-3</v>
      </c>
      <c r="I1012" s="3">
        <f t="shared" si="132"/>
        <v>-2.4956782157726787E-3</v>
      </c>
      <c r="K1012" s="12" t="str">
        <f>IF(AND(G1012=1,G1011&lt;&gt;1),MAX($K$50:K1011)+1,"")</f>
        <v/>
      </c>
      <c r="L1012" s="13" t="str">
        <f>IF(AND(G1012&lt;&gt;1,G1011=1),MAX($L$50:L1011)+1,"")</f>
        <v/>
      </c>
      <c r="M1012" s="13" t="str">
        <f>IF(AND(G1012=-1,G1011&lt;&gt;-1),MAX($M$50:M1011)+1,"")</f>
        <v/>
      </c>
      <c r="N1012" s="13" t="str">
        <f>IF(AND(G1012&lt;&gt;-1,G1011=-1),MAX($N$50:N1011)+1,"")</f>
        <v/>
      </c>
      <c r="T1012" s="7">
        <f t="shared" si="133"/>
        <v>111.78194143979904</v>
      </c>
      <c r="U1012" s="1">
        <f t="shared" si="134"/>
        <v>172.20076814358313</v>
      </c>
    </row>
    <row r="1013" spans="1:21" x14ac:dyDescent="0.3">
      <c r="A1013" s="2">
        <v>41646</v>
      </c>
      <c r="B1013" s="1">
        <v>3297.45</v>
      </c>
      <c r="C1013" s="2">
        <f t="shared" si="135"/>
        <v>41646</v>
      </c>
      <c r="D1013" s="1">
        <f t="shared" si="136"/>
        <v>3297.45</v>
      </c>
      <c r="E1013" s="4">
        <f t="shared" si="137"/>
        <v>3214.9067999999993</v>
      </c>
      <c r="F1013" s="3">
        <f t="shared" si="138"/>
        <v>1.0256751455438773</v>
      </c>
      <c r="G1013" s="18">
        <f t="shared" si="139"/>
        <v>1</v>
      </c>
      <c r="H1013" s="3">
        <f t="shared" ref="H1013:H1076" si="140">D1013/D1012-1</f>
        <v>6.0930959151541675E-3</v>
      </c>
      <c r="I1013" s="3">
        <f t="shared" ref="I1013:I1076" si="141">G1012*H1013</f>
        <v>6.0930959151541675E-3</v>
      </c>
      <c r="K1013" s="12" t="str">
        <f>IF(AND(G1013=1,G1012&lt;&gt;1),MAX($K$50:K1012)+1,"")</f>
        <v/>
      </c>
      <c r="L1013" s="13" t="str">
        <f>IF(AND(G1013&lt;&gt;1,G1012=1),MAX($L$50:L1012)+1,"")</f>
        <v/>
      </c>
      <c r="M1013" s="13" t="str">
        <f>IF(AND(G1013=-1,G1012&lt;&gt;-1),MAX($M$50:M1012)+1,"")</f>
        <v/>
      </c>
      <c r="N1013" s="13" t="str">
        <f>IF(AND(G1013&lt;&gt;-1,G1012=-1),MAX($N$50:N1012)+1,"")</f>
        <v/>
      </c>
      <c r="T1013" s="7">
        <f t="shared" ref="T1013:T1076" si="142">T1012*(1+I1013)</f>
        <v>112.46303953057388</v>
      </c>
      <c r="U1013" s="1">
        <f t="shared" ref="U1013:U1076" si="143">U1012*D1013/D1012</f>
        <v>173.25000394054524</v>
      </c>
    </row>
    <row r="1014" spans="1:21" x14ac:dyDescent="0.3">
      <c r="A1014" s="2">
        <v>41647</v>
      </c>
      <c r="B1014" s="1">
        <v>3297.74</v>
      </c>
      <c r="C1014" s="2">
        <f t="shared" si="135"/>
        <v>41647</v>
      </c>
      <c r="D1014" s="1">
        <f t="shared" si="136"/>
        <v>3297.74</v>
      </c>
      <c r="E1014" s="4">
        <f t="shared" si="137"/>
        <v>3217.9983999999995</v>
      </c>
      <c r="F1014" s="3">
        <f t="shared" si="138"/>
        <v>1.0247798755897455</v>
      </c>
      <c r="G1014" s="18">
        <f t="shared" si="139"/>
        <v>1</v>
      </c>
      <c r="H1014" s="3">
        <f t="shared" si="140"/>
        <v>8.7946746728517766E-5</v>
      </c>
      <c r="I1014" s="3">
        <f t="shared" si="141"/>
        <v>8.7946746728517766E-5</v>
      </c>
      <c r="K1014" s="12" t="str">
        <f>IF(AND(G1014=1,G1013&lt;&gt;1),MAX($K$50:K1013)+1,"")</f>
        <v/>
      </c>
      <c r="L1014" s="13" t="str">
        <f>IF(AND(G1014&lt;&gt;1,G1013=1),MAX($L$50:L1013)+1,"")</f>
        <v/>
      </c>
      <c r="M1014" s="13" t="str">
        <f>IF(AND(G1014=-1,G1013&lt;&gt;-1),MAX($M$50:M1013)+1,"")</f>
        <v/>
      </c>
      <c r="N1014" s="13" t="str">
        <f>IF(AND(G1014&lt;&gt;-1,G1013=-1),MAX($N$50:N1013)+1,"")</f>
        <v/>
      </c>
      <c r="T1014" s="7">
        <f t="shared" si="142"/>
        <v>112.4729302890278</v>
      </c>
      <c r="U1014" s="1">
        <f t="shared" si="143"/>
        <v>173.26524071476254</v>
      </c>
    </row>
    <row r="1015" spans="1:21" x14ac:dyDescent="0.3">
      <c r="A1015" s="2">
        <v>41648</v>
      </c>
      <c r="B1015" s="1">
        <v>3298.87</v>
      </c>
      <c r="C1015" s="2">
        <f t="shared" si="135"/>
        <v>41648</v>
      </c>
      <c r="D1015" s="1">
        <f t="shared" si="136"/>
        <v>3298.87</v>
      </c>
      <c r="E1015" s="4">
        <f t="shared" si="137"/>
        <v>3221.0285999999996</v>
      </c>
      <c r="F1015" s="3">
        <f t="shared" si="138"/>
        <v>1.0241666280144175</v>
      </c>
      <c r="G1015" s="18">
        <f t="shared" si="139"/>
        <v>1</v>
      </c>
      <c r="H1015" s="3">
        <f t="shared" si="140"/>
        <v>3.4265891186091579E-4</v>
      </c>
      <c r="I1015" s="3">
        <f t="shared" si="141"/>
        <v>3.4265891186091579E-4</v>
      </c>
      <c r="K1015" s="12" t="str">
        <f>IF(AND(G1015=1,G1014&lt;&gt;1),MAX($K$50:K1014)+1,"")</f>
        <v/>
      </c>
      <c r="L1015" s="13" t="str">
        <f>IF(AND(G1015&lt;&gt;1,G1014=1),MAX($L$50:L1014)+1,"")</f>
        <v/>
      </c>
      <c r="M1015" s="13" t="str">
        <f>IF(AND(G1015=-1,G1014&lt;&gt;-1),MAX($M$50:M1014)+1,"")</f>
        <v/>
      </c>
      <c r="N1015" s="13" t="str">
        <f>IF(AND(G1015&lt;&gt;-1,G1014=-1),MAX($N$50:N1014)+1,"")</f>
        <v/>
      </c>
      <c r="T1015" s="7">
        <f t="shared" si="142"/>
        <v>112.51147014093445</v>
      </c>
      <c r="U1015" s="1">
        <f t="shared" si="143"/>
        <v>173.32461159360918</v>
      </c>
    </row>
    <row r="1016" spans="1:21" x14ac:dyDescent="0.3">
      <c r="A1016" s="2">
        <v>41649</v>
      </c>
      <c r="B1016" s="1">
        <v>3306.49</v>
      </c>
      <c r="C1016" s="2">
        <f t="shared" si="135"/>
        <v>41649</v>
      </c>
      <c r="D1016" s="1">
        <f t="shared" si="136"/>
        <v>3306.49</v>
      </c>
      <c r="E1016" s="4">
        <f t="shared" si="137"/>
        <v>3223.8561999999993</v>
      </c>
      <c r="F1016" s="3">
        <f t="shared" si="138"/>
        <v>1.0256319745278963</v>
      </c>
      <c r="G1016" s="18">
        <f t="shared" si="139"/>
        <v>1</v>
      </c>
      <c r="H1016" s="3">
        <f t="shared" si="140"/>
        <v>2.3098818686397848E-3</v>
      </c>
      <c r="I1016" s="3">
        <f t="shared" si="141"/>
        <v>2.3098818686397848E-3</v>
      </c>
      <c r="K1016" s="12" t="str">
        <f>IF(AND(G1016=1,G1015&lt;&gt;1),MAX($K$50:K1015)+1,"")</f>
        <v/>
      </c>
      <c r="L1016" s="13" t="str">
        <f>IF(AND(G1016&lt;&gt;1,G1015=1),MAX($L$50:L1015)+1,"")</f>
        <v/>
      </c>
      <c r="M1016" s="13" t="str">
        <f>IF(AND(G1016=-1,G1015&lt;&gt;-1),MAX($M$50:M1015)+1,"")</f>
        <v/>
      </c>
      <c r="N1016" s="13" t="str">
        <f>IF(AND(G1016&lt;&gt;-1,G1015=-1),MAX($N$50:N1015)+1,"")</f>
        <v/>
      </c>
      <c r="T1016" s="7">
        <f t="shared" si="142"/>
        <v>112.771358345827</v>
      </c>
      <c r="U1016" s="1">
        <f t="shared" si="143"/>
        <v>173.7249709713183</v>
      </c>
    </row>
    <row r="1017" spans="1:21" x14ac:dyDescent="0.3">
      <c r="A1017" s="2">
        <v>41652</v>
      </c>
      <c r="B1017" s="1">
        <v>3265.27</v>
      </c>
      <c r="C1017" s="2">
        <f t="shared" si="135"/>
        <v>41652</v>
      </c>
      <c r="D1017" s="1">
        <f t="shared" si="136"/>
        <v>3265.27</v>
      </c>
      <c r="E1017" s="4">
        <f t="shared" si="137"/>
        <v>3226.1629999999991</v>
      </c>
      <c r="F1017" s="3">
        <f t="shared" si="138"/>
        <v>1.0121218301741111</v>
      </c>
      <c r="G1017" s="18">
        <f t="shared" si="139"/>
        <v>1</v>
      </c>
      <c r="H1017" s="3">
        <f t="shared" si="140"/>
        <v>-1.2466391853596992E-2</v>
      </c>
      <c r="I1017" s="3">
        <f t="shared" si="141"/>
        <v>-1.2466391853596992E-2</v>
      </c>
      <c r="K1017" s="12" t="str">
        <f>IF(AND(G1017=1,G1016&lt;&gt;1),MAX($K$50:K1016)+1,"")</f>
        <v/>
      </c>
      <c r="L1017" s="13" t="str">
        <f>IF(AND(G1017&lt;&gt;1,G1016=1),MAX($L$50:L1016)+1,"")</f>
        <v/>
      </c>
      <c r="M1017" s="13" t="str">
        <f>IF(AND(G1017=-1,G1016&lt;&gt;-1),MAX($M$50:M1016)+1,"")</f>
        <v/>
      </c>
      <c r="N1017" s="13" t="str">
        <f>IF(AND(G1017&lt;&gt;-1,G1016=-1),MAX($N$50:N1016)+1,"")</f>
        <v/>
      </c>
      <c r="T1017" s="7">
        <f t="shared" si="142"/>
        <v>111.36550640282552</v>
      </c>
      <c r="U1017" s="1">
        <f t="shared" si="143"/>
        <v>171.55924740843508</v>
      </c>
    </row>
    <row r="1018" spans="1:21" x14ac:dyDescent="0.3">
      <c r="A1018" s="2">
        <v>41653</v>
      </c>
      <c r="B1018" s="1">
        <v>3300.61</v>
      </c>
      <c r="C1018" s="2">
        <f t="shared" si="135"/>
        <v>41653</v>
      </c>
      <c r="D1018" s="1">
        <f t="shared" si="136"/>
        <v>3300.61</v>
      </c>
      <c r="E1018" s="4">
        <f t="shared" si="137"/>
        <v>3229.4133999999995</v>
      </c>
      <c r="F1018" s="3">
        <f t="shared" si="138"/>
        <v>1.0220462948472315</v>
      </c>
      <c r="G1018" s="18">
        <f t="shared" si="139"/>
        <v>1</v>
      </c>
      <c r="H1018" s="3">
        <f t="shared" si="140"/>
        <v>1.0822994729379198E-2</v>
      </c>
      <c r="I1018" s="3">
        <f t="shared" si="141"/>
        <v>1.0822994729379198E-2</v>
      </c>
      <c r="K1018" s="12" t="str">
        <f>IF(AND(G1018=1,G1017&lt;&gt;1),MAX($K$50:K1017)+1,"")</f>
        <v/>
      </c>
      <c r="L1018" s="13" t="str">
        <f>IF(AND(G1018&lt;&gt;1,G1017=1),MAX($L$50:L1017)+1,"")</f>
        <v/>
      </c>
      <c r="M1018" s="13" t="str">
        <f>IF(AND(G1018=-1,G1017&lt;&gt;-1),MAX($M$50:M1017)+1,"")</f>
        <v/>
      </c>
      <c r="N1018" s="13" t="str">
        <f>IF(AND(G1018&lt;&gt;-1,G1017=-1),MAX($N$50:N1017)+1,"")</f>
        <v/>
      </c>
      <c r="T1018" s="7">
        <f t="shared" si="142"/>
        <v>112.57081469165794</v>
      </c>
      <c r="U1018" s="1">
        <f t="shared" si="143"/>
        <v>173.41603223891283</v>
      </c>
    </row>
    <row r="1019" spans="1:21" x14ac:dyDescent="0.3">
      <c r="A1019" s="2">
        <v>41654</v>
      </c>
      <c r="B1019" s="1">
        <v>3317.75</v>
      </c>
      <c r="C1019" s="2">
        <f t="shared" si="135"/>
        <v>41654</v>
      </c>
      <c r="D1019" s="1">
        <f t="shared" si="136"/>
        <v>3317.75</v>
      </c>
      <c r="E1019" s="4">
        <f t="shared" si="137"/>
        <v>3232.8241999999991</v>
      </c>
      <c r="F1019" s="3">
        <f t="shared" si="138"/>
        <v>1.0262698478933685</v>
      </c>
      <c r="G1019" s="18">
        <f t="shared" si="139"/>
        <v>1</v>
      </c>
      <c r="H1019" s="3">
        <f t="shared" si="140"/>
        <v>5.1929794795506634E-3</v>
      </c>
      <c r="I1019" s="3">
        <f t="shared" si="141"/>
        <v>5.1929794795506634E-3</v>
      </c>
      <c r="K1019" s="12" t="str">
        <f>IF(AND(G1019=1,G1018&lt;&gt;1),MAX($K$50:K1018)+1,"")</f>
        <v/>
      </c>
      <c r="L1019" s="13" t="str">
        <f>IF(AND(G1019&lt;&gt;1,G1018=1),MAX($L$50:L1018)+1,"")</f>
        <v/>
      </c>
      <c r="M1019" s="13" t="str">
        <f>IF(AND(G1019=-1,G1018&lt;&gt;-1),MAX($M$50:M1018)+1,"")</f>
        <v/>
      </c>
      <c r="N1019" s="13" t="str">
        <f>IF(AND(G1019&lt;&gt;-1,G1018=-1),MAX($N$50:N1018)+1,"")</f>
        <v/>
      </c>
      <c r="T1019" s="7">
        <f t="shared" si="142"/>
        <v>113.15539262234802</v>
      </c>
      <c r="U1019" s="1">
        <f t="shared" si="143"/>
        <v>174.31657813575464</v>
      </c>
    </row>
    <row r="1020" spans="1:21" x14ac:dyDescent="0.3">
      <c r="A1020" s="2">
        <v>41655</v>
      </c>
      <c r="B1020" s="1">
        <v>3313.36</v>
      </c>
      <c r="C1020" s="2">
        <f t="shared" si="135"/>
        <v>41655</v>
      </c>
      <c r="D1020" s="1">
        <f t="shared" si="136"/>
        <v>3313.36</v>
      </c>
      <c r="E1020" s="4">
        <f t="shared" si="137"/>
        <v>3235.9219999999996</v>
      </c>
      <c r="F1020" s="3">
        <f t="shared" si="138"/>
        <v>1.0239307375146869</v>
      </c>
      <c r="G1020" s="18">
        <f t="shared" si="139"/>
        <v>1</v>
      </c>
      <c r="H1020" s="3">
        <f t="shared" si="140"/>
        <v>-1.3231858940546681E-3</v>
      </c>
      <c r="I1020" s="3">
        <f t="shared" si="141"/>
        <v>-1.3231858940546681E-3</v>
      </c>
      <c r="K1020" s="12" t="str">
        <f>IF(AND(G1020=1,G1019&lt;&gt;1),MAX($K$50:K1019)+1,"")</f>
        <v/>
      </c>
      <c r="L1020" s="13" t="str">
        <f>IF(AND(G1020&lt;&gt;1,G1019=1),MAX($L$50:L1019)+1,"")</f>
        <v/>
      </c>
      <c r="M1020" s="13" t="str">
        <f>IF(AND(G1020=-1,G1019&lt;&gt;-1),MAX($M$50:M1019)+1,"")</f>
        <v/>
      </c>
      <c r="N1020" s="13" t="str">
        <f>IF(AND(G1020&lt;&gt;-1,G1019=-1),MAX($N$50:N1019)+1,"")</f>
        <v/>
      </c>
      <c r="T1020" s="7">
        <f t="shared" si="142"/>
        <v>113.0056670029939</v>
      </c>
      <c r="U1020" s="1">
        <f t="shared" si="143"/>
        <v>174.08592489846555</v>
      </c>
    </row>
    <row r="1021" spans="1:21" x14ac:dyDescent="0.3">
      <c r="A1021" s="2">
        <v>41656</v>
      </c>
      <c r="B1021" s="1">
        <v>3300.51</v>
      </c>
      <c r="C1021" s="2">
        <f t="shared" si="135"/>
        <v>41656</v>
      </c>
      <c r="D1021" s="1">
        <f t="shared" si="136"/>
        <v>3300.51</v>
      </c>
      <c r="E1021" s="4">
        <f t="shared" si="137"/>
        <v>3238.9329999999991</v>
      </c>
      <c r="F1021" s="3">
        <f t="shared" si="138"/>
        <v>1.0190115078021067</v>
      </c>
      <c r="G1021" s="18">
        <f t="shared" si="139"/>
        <v>1</v>
      </c>
      <c r="H1021" s="3">
        <f t="shared" si="140"/>
        <v>-3.8782384045198404E-3</v>
      </c>
      <c r="I1021" s="3">
        <f t="shared" si="141"/>
        <v>-3.8782384045198404E-3</v>
      </c>
      <c r="K1021" s="12" t="str">
        <f>IF(AND(G1021=1,G1020&lt;&gt;1),MAX($K$50:K1020)+1,"")</f>
        <v/>
      </c>
      <c r="L1021" s="13" t="str">
        <f>IF(AND(G1021&lt;&gt;1,G1020=1),MAX($L$50:L1020)+1,"")</f>
        <v/>
      </c>
      <c r="M1021" s="13" t="str">
        <f>IF(AND(G1021=-1,G1020&lt;&gt;-1),MAX($M$50:M1020)+1,"")</f>
        <v/>
      </c>
      <c r="N1021" s="13" t="str">
        <f>IF(AND(G1021&lt;&gt;-1,G1020=-1),MAX($N$50:N1020)+1,"")</f>
        <v/>
      </c>
      <c r="T1021" s="7">
        <f t="shared" si="142"/>
        <v>112.56740408529451</v>
      </c>
      <c r="U1021" s="1">
        <f t="shared" si="143"/>
        <v>173.41077817883797</v>
      </c>
    </row>
    <row r="1022" spans="1:21" x14ac:dyDescent="0.3">
      <c r="A1022" s="2">
        <v>41660</v>
      </c>
      <c r="B1022" s="1">
        <v>3309.74</v>
      </c>
      <c r="C1022" s="2">
        <f t="shared" si="135"/>
        <v>41660</v>
      </c>
      <c r="D1022" s="1">
        <f t="shared" si="136"/>
        <v>3309.74</v>
      </c>
      <c r="E1022" s="4">
        <f t="shared" si="137"/>
        <v>3241.8251999999984</v>
      </c>
      <c r="F1022" s="3">
        <f t="shared" si="138"/>
        <v>1.0209495564412299</v>
      </c>
      <c r="G1022" s="18">
        <f t="shared" si="139"/>
        <v>1</v>
      </c>
      <c r="H1022" s="3">
        <f t="shared" si="140"/>
        <v>2.7965375048097929E-3</v>
      </c>
      <c r="I1022" s="3">
        <f t="shared" si="141"/>
        <v>2.7965375048097929E-3</v>
      </c>
      <c r="K1022" s="12" t="str">
        <f>IF(AND(G1022=1,G1021&lt;&gt;1),MAX($K$50:K1021)+1,"")</f>
        <v/>
      </c>
      <c r="L1022" s="13" t="str">
        <f>IF(AND(G1022&lt;&gt;1,G1021=1),MAX($L$50:L1021)+1,"")</f>
        <v/>
      </c>
      <c r="M1022" s="13" t="str">
        <f>IF(AND(G1022=-1,G1021&lt;&gt;-1),MAX($M$50:M1021)+1,"")</f>
        <v/>
      </c>
      <c r="N1022" s="13" t="str">
        <f>IF(AND(G1022&lt;&gt;-1,G1021=-1),MAX($N$50:N1021)+1,"")</f>
        <v/>
      </c>
      <c r="T1022" s="7">
        <f t="shared" si="142"/>
        <v>112.88220305263812</v>
      </c>
      <c r="U1022" s="1">
        <f t="shared" si="143"/>
        <v>173.89572792375333</v>
      </c>
    </row>
    <row r="1023" spans="1:21" x14ac:dyDescent="0.3">
      <c r="A1023" s="2">
        <v>41661</v>
      </c>
      <c r="B1023" s="1">
        <v>3312.04</v>
      </c>
      <c r="C1023" s="2">
        <f t="shared" si="135"/>
        <v>41661</v>
      </c>
      <c r="D1023" s="1">
        <f t="shared" si="136"/>
        <v>3312.04</v>
      </c>
      <c r="E1023" s="4">
        <f t="shared" si="137"/>
        <v>3245.5835999999986</v>
      </c>
      <c r="F1023" s="3">
        <f t="shared" si="138"/>
        <v>1.0204759476847249</v>
      </c>
      <c r="G1023" s="18">
        <f t="shared" si="139"/>
        <v>1</v>
      </c>
      <c r="H1023" s="3">
        <f t="shared" si="140"/>
        <v>6.9491863409210097E-4</v>
      </c>
      <c r="I1023" s="3">
        <f t="shared" si="141"/>
        <v>6.9491863409210097E-4</v>
      </c>
      <c r="K1023" s="12" t="str">
        <f>IF(AND(G1023=1,G1022&lt;&gt;1),MAX($K$50:K1022)+1,"")</f>
        <v/>
      </c>
      <c r="L1023" s="13" t="str">
        <f>IF(AND(G1023&lt;&gt;1,G1022=1),MAX($L$50:L1022)+1,"")</f>
        <v/>
      </c>
      <c r="M1023" s="13" t="str">
        <f>IF(AND(G1023=-1,G1022&lt;&gt;-1),MAX($M$50:M1022)+1,"")</f>
        <v/>
      </c>
      <c r="N1023" s="13" t="str">
        <f>IF(AND(G1023&lt;&gt;-1,G1022=-1),MAX($N$50:N1022)+1,"")</f>
        <v/>
      </c>
      <c r="T1023" s="7">
        <f t="shared" si="142"/>
        <v>112.96064699899676</v>
      </c>
      <c r="U1023" s="1">
        <f t="shared" si="143"/>
        <v>174.01657130547656</v>
      </c>
    </row>
    <row r="1024" spans="1:21" x14ac:dyDescent="0.3">
      <c r="A1024" s="2">
        <v>41662</v>
      </c>
      <c r="B1024" s="1">
        <v>3282.64</v>
      </c>
      <c r="C1024" s="2">
        <f t="shared" si="135"/>
        <v>41662</v>
      </c>
      <c r="D1024" s="1">
        <f t="shared" si="136"/>
        <v>3282.64</v>
      </c>
      <c r="E1024" s="4">
        <f t="shared" si="137"/>
        <v>3247.9141999999993</v>
      </c>
      <c r="F1024" s="3">
        <f t="shared" si="138"/>
        <v>1.0106917233220016</v>
      </c>
      <c r="G1024" s="18">
        <f t="shared" si="139"/>
        <v>1</v>
      </c>
      <c r="H1024" s="3">
        <f t="shared" si="140"/>
        <v>-8.8767043876282203E-3</v>
      </c>
      <c r="I1024" s="3">
        <f t="shared" si="141"/>
        <v>-8.8767043876282203E-3</v>
      </c>
      <c r="K1024" s="12" t="str">
        <f>IF(AND(G1024=1,G1023&lt;&gt;1),MAX($K$50:K1023)+1,"")</f>
        <v/>
      </c>
      <c r="L1024" s="13" t="str">
        <f>IF(AND(G1024&lt;&gt;1,G1023=1),MAX($L$50:L1023)+1,"")</f>
        <v/>
      </c>
      <c r="M1024" s="13" t="str">
        <f>IF(AND(G1024=-1,G1023&lt;&gt;-1),MAX($M$50:M1023)+1,"")</f>
        <v/>
      </c>
      <c r="N1024" s="13" t="str">
        <f>IF(AND(G1024&lt;&gt;-1,G1023=-1),MAX($N$50:N1023)+1,"")</f>
        <v/>
      </c>
      <c r="T1024" s="7">
        <f t="shared" si="142"/>
        <v>111.95792872815144</v>
      </c>
      <c r="U1024" s="1">
        <f t="shared" si="143"/>
        <v>172.47187764344923</v>
      </c>
    </row>
    <row r="1025" spans="1:21" x14ac:dyDescent="0.3">
      <c r="A1025" s="2">
        <v>41663</v>
      </c>
      <c r="B1025" s="1">
        <v>3214.13</v>
      </c>
      <c r="C1025" s="2">
        <f t="shared" si="135"/>
        <v>41663</v>
      </c>
      <c r="D1025" s="1">
        <f t="shared" si="136"/>
        <v>3214.13</v>
      </c>
      <c r="E1025" s="4">
        <f t="shared" si="137"/>
        <v>3248.8285999999994</v>
      </c>
      <c r="F1025" s="3">
        <f t="shared" si="138"/>
        <v>0.98931965816848588</v>
      </c>
      <c r="G1025" s="18">
        <f t="shared" si="139"/>
        <v>1</v>
      </c>
      <c r="H1025" s="3">
        <f t="shared" si="140"/>
        <v>-2.0870396997538454E-2</v>
      </c>
      <c r="I1025" s="3">
        <f t="shared" si="141"/>
        <v>-2.0870396997538454E-2</v>
      </c>
      <c r="K1025" s="12" t="str">
        <f>IF(AND(G1025=1,G1024&lt;&gt;1),MAX($K$50:K1024)+1,"")</f>
        <v/>
      </c>
      <c r="L1025" s="13" t="str">
        <f>IF(AND(G1025&lt;&gt;1,G1024=1),MAX($L$50:L1024)+1,"")</f>
        <v/>
      </c>
      <c r="M1025" s="13" t="str">
        <f>IF(AND(G1025=-1,G1024&lt;&gt;-1),MAX($M$50:M1024)+1,"")</f>
        <v/>
      </c>
      <c r="N1025" s="13" t="str">
        <f>IF(AND(G1025&lt;&gt;-1,G1024=-1),MAX($N$50:N1024)+1,"")</f>
        <v/>
      </c>
      <c r="T1025" s="7">
        <f t="shared" si="142"/>
        <v>109.62132230857281</v>
      </c>
      <c r="U1025" s="1">
        <f t="shared" si="143"/>
        <v>168.87232108611957</v>
      </c>
    </row>
    <row r="1026" spans="1:21" x14ac:dyDescent="0.3">
      <c r="A1026" s="2">
        <v>41666</v>
      </c>
      <c r="B1026" s="1">
        <v>3198.57</v>
      </c>
      <c r="C1026" s="2">
        <f t="shared" si="135"/>
        <v>41666</v>
      </c>
      <c r="D1026" s="1">
        <f t="shared" si="136"/>
        <v>3198.57</v>
      </c>
      <c r="E1026" s="4">
        <f t="shared" si="137"/>
        <v>3249.578</v>
      </c>
      <c r="F1026" s="3">
        <f t="shared" si="138"/>
        <v>0.98430319259916221</v>
      </c>
      <c r="G1026" s="18">
        <f t="shared" si="139"/>
        <v>1</v>
      </c>
      <c r="H1026" s="3">
        <f t="shared" si="140"/>
        <v>-4.8411234144232207E-3</v>
      </c>
      <c r="I1026" s="3">
        <f t="shared" si="141"/>
        <v>-4.8411234144232207E-3</v>
      </c>
      <c r="K1026" s="12" t="str">
        <f>IF(AND(G1026=1,G1025&lt;&gt;1),MAX($K$50:K1025)+1,"")</f>
        <v/>
      </c>
      <c r="L1026" s="13" t="str">
        <f>IF(AND(G1026&lt;&gt;1,G1025=1),MAX($L$50:L1025)+1,"")</f>
        <v/>
      </c>
      <c r="M1026" s="13" t="str">
        <f>IF(AND(G1026=-1,G1025&lt;&gt;-1),MAX($M$50:M1025)+1,"")</f>
        <v/>
      </c>
      <c r="N1026" s="13" t="str">
        <f>IF(AND(G1026&lt;&gt;-1,G1025=-1),MAX($N$50:N1025)+1,"")</f>
        <v/>
      </c>
      <c r="T1026" s="7">
        <f t="shared" si="142"/>
        <v>109.09063195842475</v>
      </c>
      <c r="U1026" s="1">
        <f t="shared" si="143"/>
        <v>168.05478933846157</v>
      </c>
    </row>
    <row r="1027" spans="1:21" x14ac:dyDescent="0.3">
      <c r="A1027" s="2">
        <v>41667</v>
      </c>
      <c r="B1027" s="1">
        <v>3218.21</v>
      </c>
      <c r="C1027" s="2">
        <f t="shared" si="135"/>
        <v>41667</v>
      </c>
      <c r="D1027" s="1">
        <f t="shared" si="136"/>
        <v>3218.21</v>
      </c>
      <c r="E1027" s="4">
        <f t="shared" si="137"/>
        <v>3250.1893999999993</v>
      </c>
      <c r="F1027" s="3">
        <f t="shared" si="138"/>
        <v>0.99016075801613312</v>
      </c>
      <c r="G1027" s="18">
        <f t="shared" si="139"/>
        <v>1</v>
      </c>
      <c r="H1027" s="3">
        <f t="shared" si="140"/>
        <v>6.1402439215023641E-3</v>
      </c>
      <c r="I1027" s="3">
        <f t="shared" si="141"/>
        <v>6.1402439215023641E-3</v>
      </c>
      <c r="K1027" s="12" t="str">
        <f>IF(AND(G1027=1,G1026&lt;&gt;1),MAX($K$50:K1026)+1,"")</f>
        <v/>
      </c>
      <c r="L1027" s="13" t="str">
        <f>IF(AND(G1027&lt;&gt;1,G1026=1),MAX($L$50:L1026)+1,"")</f>
        <v/>
      </c>
      <c r="M1027" s="13" t="str">
        <f>IF(AND(G1027=-1,G1026&lt;&gt;-1),MAX($M$50:M1026)+1,"")</f>
        <v/>
      </c>
      <c r="N1027" s="13" t="str">
        <f>IF(AND(G1027&lt;&gt;-1,G1026=-1),MAX($N$50:N1026)+1,"")</f>
        <v/>
      </c>
      <c r="T1027" s="7">
        <f t="shared" si="142"/>
        <v>109.76047504820032</v>
      </c>
      <c r="U1027" s="1">
        <f t="shared" si="143"/>
        <v>169.08668673717642</v>
      </c>
    </row>
    <row r="1028" spans="1:21" x14ac:dyDescent="0.3">
      <c r="A1028" s="2">
        <v>41668</v>
      </c>
      <c r="B1028" s="1">
        <v>3185.7</v>
      </c>
      <c r="C1028" s="2">
        <f t="shared" si="135"/>
        <v>41668</v>
      </c>
      <c r="D1028" s="1">
        <f t="shared" si="136"/>
        <v>3185.7</v>
      </c>
      <c r="E1028" s="4">
        <f t="shared" si="137"/>
        <v>3249.8303999999998</v>
      </c>
      <c r="F1028" s="3">
        <f t="shared" si="138"/>
        <v>0.98026653944772013</v>
      </c>
      <c r="G1028" s="18">
        <f t="shared" si="139"/>
        <v>1</v>
      </c>
      <c r="H1028" s="3">
        <f t="shared" si="140"/>
        <v>-1.0101888938260806E-2</v>
      </c>
      <c r="I1028" s="3">
        <f t="shared" si="141"/>
        <v>-1.0101888938260806E-2</v>
      </c>
      <c r="K1028" s="12" t="str">
        <f>IF(AND(G1028=1,G1027&lt;&gt;1),MAX($K$50:K1027)+1,"")</f>
        <v/>
      </c>
      <c r="L1028" s="13" t="str">
        <f>IF(AND(G1028&lt;&gt;1,G1027=1),MAX($L$50:L1027)+1,"")</f>
        <v/>
      </c>
      <c r="M1028" s="13" t="str">
        <f>IF(AND(G1028=-1,G1027&lt;&gt;-1),MAX($M$50:M1027)+1,"")</f>
        <v/>
      </c>
      <c r="N1028" s="13" t="str">
        <f>IF(AND(G1028&lt;&gt;-1,G1027=-1),MAX($N$50:N1027)+1,"")</f>
        <v/>
      </c>
      <c r="T1028" s="7">
        <f t="shared" si="142"/>
        <v>108.65168691945266</v>
      </c>
      <c r="U1028" s="1">
        <f t="shared" si="143"/>
        <v>167.37859180681897</v>
      </c>
    </row>
    <row r="1029" spans="1:21" x14ac:dyDescent="0.3">
      <c r="A1029" s="2">
        <v>41669</v>
      </c>
      <c r="B1029" s="1">
        <v>3221.78</v>
      </c>
      <c r="C1029" s="2">
        <f t="shared" si="135"/>
        <v>41669</v>
      </c>
      <c r="D1029" s="1">
        <f t="shared" si="136"/>
        <v>3221.78</v>
      </c>
      <c r="E1029" s="4">
        <f t="shared" si="137"/>
        <v>3249.922</v>
      </c>
      <c r="F1029" s="3">
        <f t="shared" si="138"/>
        <v>0.99134071525408918</v>
      </c>
      <c r="G1029" s="18">
        <f t="shared" si="139"/>
        <v>1</v>
      </c>
      <c r="H1029" s="3">
        <f t="shared" si="140"/>
        <v>1.1325611325611495E-2</v>
      </c>
      <c r="I1029" s="3">
        <f t="shared" si="141"/>
        <v>1.1325611325611495E-2</v>
      </c>
      <c r="K1029" s="12" t="str">
        <f>IF(AND(G1029=1,G1028&lt;&gt;1),MAX($K$50:K1028)+1,"")</f>
        <v/>
      </c>
      <c r="L1029" s="13" t="str">
        <f>IF(AND(G1029&lt;&gt;1,G1028=1),MAX($L$50:L1028)+1,"")</f>
        <v/>
      </c>
      <c r="M1029" s="13" t="str">
        <f>IF(AND(G1029=-1,G1028&lt;&gt;-1),MAX($M$50:M1028)+1,"")</f>
        <v/>
      </c>
      <c r="N1029" s="13" t="str">
        <f>IF(AND(G1029&lt;&gt;-1,G1028=-1),MAX($N$50:N1028)+1,"")</f>
        <v/>
      </c>
      <c r="T1029" s="7">
        <f t="shared" si="142"/>
        <v>109.88223369537441</v>
      </c>
      <c r="U1029" s="1">
        <f t="shared" si="143"/>
        <v>169.27425668185117</v>
      </c>
    </row>
    <row r="1030" spans="1:21" x14ac:dyDescent="0.3">
      <c r="A1030" s="2">
        <v>41670</v>
      </c>
      <c r="B1030" s="1">
        <v>3200.95</v>
      </c>
      <c r="C1030" s="2">
        <f t="shared" si="135"/>
        <v>41670</v>
      </c>
      <c r="D1030" s="1">
        <f t="shared" si="136"/>
        <v>3200.95</v>
      </c>
      <c r="E1030" s="4">
        <f t="shared" si="137"/>
        <v>3249.8318000000004</v>
      </c>
      <c r="F1030" s="3">
        <f t="shared" si="138"/>
        <v>0.98495866770704854</v>
      </c>
      <c r="G1030" s="18">
        <f t="shared" si="139"/>
        <v>1</v>
      </c>
      <c r="H1030" s="3">
        <f t="shared" si="140"/>
        <v>-6.4653700749276455E-3</v>
      </c>
      <c r="I1030" s="3">
        <f t="shared" si="141"/>
        <v>-6.4653700749276455E-3</v>
      </c>
      <c r="K1030" s="12" t="str">
        <f>IF(AND(G1030=1,G1029&lt;&gt;1),MAX($K$50:K1029)+1,"")</f>
        <v/>
      </c>
      <c r="L1030" s="13" t="str">
        <f>IF(AND(G1030&lt;&gt;1,G1029=1),MAX($L$50:L1029)+1,"")</f>
        <v/>
      </c>
      <c r="M1030" s="13" t="str">
        <f>IF(AND(G1030=-1,G1029&lt;&gt;-1),MAX($M$50:M1029)+1,"")</f>
        <v/>
      </c>
      <c r="N1030" s="13" t="str">
        <f>IF(AND(G1030&lt;&gt;-1,G1029=-1),MAX($N$50:N1029)+1,"")</f>
        <v/>
      </c>
      <c r="T1030" s="7">
        <f t="shared" si="142"/>
        <v>109.17180438987413</v>
      </c>
      <c r="U1030" s="1">
        <f t="shared" si="143"/>
        <v>168.17983596824473</v>
      </c>
    </row>
    <row r="1031" spans="1:21" x14ac:dyDescent="0.3">
      <c r="A1031" s="2">
        <v>41673</v>
      </c>
      <c r="B1031" s="1">
        <v>3127.87</v>
      </c>
      <c r="C1031" s="2">
        <f t="shared" si="135"/>
        <v>41673</v>
      </c>
      <c r="D1031" s="1">
        <f t="shared" si="136"/>
        <v>3127.87</v>
      </c>
      <c r="E1031" s="4">
        <f t="shared" si="137"/>
        <v>3248.3990000000003</v>
      </c>
      <c r="F1031" s="3">
        <f t="shared" si="138"/>
        <v>0.96289587578373215</v>
      </c>
      <c r="G1031" s="18">
        <f t="shared" si="139"/>
        <v>1</v>
      </c>
      <c r="H1031" s="3">
        <f t="shared" si="140"/>
        <v>-2.2830722129367875E-2</v>
      </c>
      <c r="I1031" s="3">
        <f t="shared" si="141"/>
        <v>-2.2830722129367875E-2</v>
      </c>
      <c r="K1031" s="12" t="str">
        <f>IF(AND(G1031=1,G1030&lt;&gt;1),MAX($K$50:K1030)+1,"")</f>
        <v/>
      </c>
      <c r="L1031" s="13" t="str">
        <f>IF(AND(G1031&lt;&gt;1,G1030=1),MAX($L$50:L1030)+1,"")</f>
        <v/>
      </c>
      <c r="M1031" s="13" t="str">
        <f>IF(AND(G1031=-1,G1030&lt;&gt;-1),MAX($M$50:M1030)+1,"")</f>
        <v/>
      </c>
      <c r="N1031" s="13" t="str">
        <f>IF(AND(G1031&lt;&gt;-1,G1030=-1),MAX($N$50:N1030)+1,"")</f>
        <v/>
      </c>
      <c r="T1031" s="7">
        <f t="shared" si="142"/>
        <v>106.67933325948721</v>
      </c>
      <c r="U1031" s="1">
        <f t="shared" si="143"/>
        <v>164.34016886549108</v>
      </c>
    </row>
    <row r="1032" spans="1:21" x14ac:dyDescent="0.3">
      <c r="A1032" s="2">
        <v>41674</v>
      </c>
      <c r="B1032" s="1">
        <v>3151.94</v>
      </c>
      <c r="C1032" s="2">
        <f t="shared" si="135"/>
        <v>41674</v>
      </c>
      <c r="D1032" s="1">
        <f t="shared" si="136"/>
        <v>3151.94</v>
      </c>
      <c r="E1032" s="4">
        <f t="shared" si="137"/>
        <v>3247.6770000000006</v>
      </c>
      <c r="F1032" s="3">
        <f t="shared" si="138"/>
        <v>0.97052139113587943</v>
      </c>
      <c r="G1032" s="18">
        <f t="shared" si="139"/>
        <v>1</v>
      </c>
      <c r="H1032" s="3">
        <f t="shared" si="140"/>
        <v>7.6953326065343219E-3</v>
      </c>
      <c r="I1032" s="3">
        <f t="shared" si="141"/>
        <v>7.6953326065343219E-3</v>
      </c>
      <c r="K1032" s="12" t="str">
        <f>IF(AND(G1032=1,G1031&lt;&gt;1),MAX($K$50:K1031)+1,"")</f>
        <v/>
      </c>
      <c r="L1032" s="13" t="str">
        <f>IF(AND(G1032&lt;&gt;1,G1031=1),MAX($L$50:L1031)+1,"")</f>
        <v/>
      </c>
      <c r="M1032" s="13" t="str">
        <f>IF(AND(G1032=-1,G1031&lt;&gt;-1),MAX($M$50:M1031)+1,"")</f>
        <v/>
      </c>
      <c r="N1032" s="13" t="str">
        <f>IF(AND(G1032&lt;&gt;-1,G1031=-1),MAX($N$50:N1031)+1,"")</f>
        <v/>
      </c>
      <c r="T1032" s="7">
        <f t="shared" si="142"/>
        <v>107.50026621116228</v>
      </c>
      <c r="U1032" s="1">
        <f t="shared" si="143"/>
        <v>165.60482112552504</v>
      </c>
    </row>
    <row r="1033" spans="1:21" x14ac:dyDescent="0.3">
      <c r="A1033" s="2">
        <v>41675</v>
      </c>
      <c r="B1033" s="1">
        <v>3146.49</v>
      </c>
      <c r="C1033" s="2">
        <f t="shared" si="135"/>
        <v>41675</v>
      </c>
      <c r="D1033" s="1">
        <f t="shared" si="136"/>
        <v>3146.49</v>
      </c>
      <c r="E1033" s="4">
        <f t="shared" si="137"/>
        <v>3246.3236000000006</v>
      </c>
      <c r="F1033" s="3">
        <f t="shared" si="138"/>
        <v>0.96924718164264312</v>
      </c>
      <c r="G1033" s="18">
        <f t="shared" si="139"/>
        <v>1</v>
      </c>
      <c r="H1033" s="3">
        <f t="shared" si="140"/>
        <v>-1.7290938279282964E-3</v>
      </c>
      <c r="I1033" s="3">
        <f t="shared" si="141"/>
        <v>-1.7290938279282964E-3</v>
      </c>
      <c r="K1033" s="12" t="str">
        <f>IF(AND(G1033=1,G1032&lt;&gt;1),MAX($K$50:K1032)+1,"")</f>
        <v/>
      </c>
      <c r="L1033" s="13" t="str">
        <f>IF(AND(G1033&lt;&gt;1,G1032=1),MAX($L$50:L1032)+1,"")</f>
        <v/>
      </c>
      <c r="M1033" s="13" t="str">
        <f>IF(AND(G1033=-1,G1032&lt;&gt;-1),MAX($M$50:M1032)+1,"")</f>
        <v/>
      </c>
      <c r="N1033" s="13" t="str">
        <f>IF(AND(G1033&lt;&gt;-1,G1032=-1),MAX($N$50:N1032)+1,"")</f>
        <v/>
      </c>
      <c r="T1033" s="7">
        <f t="shared" si="142"/>
        <v>107.31438816435592</v>
      </c>
      <c r="U1033" s="1">
        <f t="shared" si="143"/>
        <v>165.31847485144172</v>
      </c>
    </row>
    <row r="1034" spans="1:21" x14ac:dyDescent="0.3">
      <c r="A1034" s="2">
        <v>41676</v>
      </c>
      <c r="B1034" s="1">
        <v>3187.25</v>
      </c>
      <c r="C1034" s="2">
        <f t="shared" si="135"/>
        <v>41676</v>
      </c>
      <c r="D1034" s="1">
        <f t="shared" si="136"/>
        <v>3187.25</v>
      </c>
      <c r="E1034" s="4">
        <f t="shared" si="137"/>
        <v>3245.4577999999997</v>
      </c>
      <c r="F1034" s="3">
        <f t="shared" si="138"/>
        <v>0.98206484151480888</v>
      </c>
      <c r="G1034" s="18">
        <f t="shared" si="139"/>
        <v>1</v>
      </c>
      <c r="H1034" s="3">
        <f t="shared" si="140"/>
        <v>1.2954117127338849E-2</v>
      </c>
      <c r="I1034" s="3">
        <f t="shared" si="141"/>
        <v>1.2954117127338849E-2</v>
      </c>
      <c r="K1034" s="12" t="str">
        <f>IF(AND(G1034=1,G1033&lt;&gt;1),MAX($K$50:K1033)+1,"")</f>
        <v/>
      </c>
      <c r="L1034" s="13" t="str">
        <f>IF(AND(G1034&lt;&gt;1,G1033=1),MAX($L$50:L1033)+1,"")</f>
        <v/>
      </c>
      <c r="M1034" s="13" t="str">
        <f>IF(AND(G1034=-1,G1033&lt;&gt;-1),MAX($M$50:M1033)+1,"")</f>
        <v/>
      </c>
      <c r="N1034" s="13" t="str">
        <f>IF(AND(G1034&lt;&gt;-1,G1033=-1),MAX($N$50:N1033)+1,"")</f>
        <v/>
      </c>
      <c r="T1034" s="7">
        <f t="shared" si="142"/>
        <v>108.70455131808569</v>
      </c>
      <c r="U1034" s="1">
        <f t="shared" si="143"/>
        <v>167.46002973798031</v>
      </c>
    </row>
    <row r="1035" spans="1:21" x14ac:dyDescent="0.3">
      <c r="A1035" s="2">
        <v>41677</v>
      </c>
      <c r="B1035" s="1">
        <v>3229.64</v>
      </c>
      <c r="C1035" s="2">
        <f t="shared" si="135"/>
        <v>41677</v>
      </c>
      <c r="D1035" s="1">
        <f t="shared" si="136"/>
        <v>3229.64</v>
      </c>
      <c r="E1035" s="4">
        <f t="shared" si="137"/>
        <v>3245.5200000000004</v>
      </c>
      <c r="F1035" s="3">
        <f t="shared" si="138"/>
        <v>0.99510710148142656</v>
      </c>
      <c r="G1035" s="18">
        <f t="shared" si="139"/>
        <v>1</v>
      </c>
      <c r="H1035" s="3">
        <f t="shared" si="140"/>
        <v>1.3299866656208303E-2</v>
      </c>
      <c r="I1035" s="3">
        <f t="shared" si="141"/>
        <v>1.3299866656208303E-2</v>
      </c>
      <c r="K1035" s="12" t="str">
        <f>IF(AND(G1035=1,G1034&lt;&gt;1),MAX($K$50:K1034)+1,"")</f>
        <v/>
      </c>
      <c r="L1035" s="13" t="str">
        <f>IF(AND(G1035&lt;&gt;1,G1034=1),MAX($L$50:L1034)+1,"")</f>
        <v/>
      </c>
      <c r="M1035" s="13" t="str">
        <f>IF(AND(G1035=-1,G1034&lt;&gt;-1),MAX($M$50:M1034)+1,"")</f>
        <v/>
      </c>
      <c r="N1035" s="13" t="str">
        <f>IF(AND(G1035&lt;&gt;-1,G1034=-1),MAX($N$50:N1034)+1,"")</f>
        <v/>
      </c>
      <c r="T1035" s="7">
        <f t="shared" si="142"/>
        <v>110.15030735553918</v>
      </c>
      <c r="U1035" s="1">
        <f t="shared" si="143"/>
        <v>169.68722580374009</v>
      </c>
    </row>
    <row r="1036" spans="1:21" x14ac:dyDescent="0.3">
      <c r="A1036" s="2">
        <v>41680</v>
      </c>
      <c r="B1036" s="1">
        <v>3234.79</v>
      </c>
      <c r="C1036" s="2">
        <f t="shared" si="135"/>
        <v>41680</v>
      </c>
      <c r="D1036" s="1">
        <f t="shared" si="136"/>
        <v>3234.79</v>
      </c>
      <c r="E1036" s="4">
        <f t="shared" si="137"/>
        <v>3245.6686000000009</v>
      </c>
      <c r="F1036" s="3">
        <f t="shared" si="138"/>
        <v>0.99664827148403234</v>
      </c>
      <c r="G1036" s="18">
        <f t="shared" si="139"/>
        <v>1</v>
      </c>
      <c r="H1036" s="3">
        <f t="shared" si="140"/>
        <v>1.5946049714519184E-3</v>
      </c>
      <c r="I1036" s="3">
        <f t="shared" si="141"/>
        <v>1.5946049714519184E-3</v>
      </c>
      <c r="K1036" s="12" t="str">
        <f>IF(AND(G1036=1,G1035&lt;&gt;1),MAX($K$50:K1035)+1,"")</f>
        <v/>
      </c>
      <c r="L1036" s="13" t="str">
        <f>IF(AND(G1036&lt;&gt;1,G1035=1),MAX($L$50:L1035)+1,"")</f>
        <v/>
      </c>
      <c r="M1036" s="13" t="str">
        <f>IF(AND(G1036=-1,G1035&lt;&gt;-1),MAX($M$50:M1035)+1,"")</f>
        <v/>
      </c>
      <c r="N1036" s="13" t="str">
        <f>IF(AND(G1036&lt;&gt;-1,G1035=-1),MAX($N$50:N1035)+1,"")</f>
        <v/>
      </c>
      <c r="T1036" s="7">
        <f t="shared" si="142"/>
        <v>110.32595358325528</v>
      </c>
      <c r="U1036" s="1">
        <f t="shared" si="143"/>
        <v>169.95780989759865</v>
      </c>
    </row>
    <row r="1037" spans="1:21" x14ac:dyDescent="0.3">
      <c r="A1037" s="2">
        <v>41681</v>
      </c>
      <c r="B1037" s="1">
        <v>3270.74</v>
      </c>
      <c r="C1037" s="2">
        <f t="shared" si="135"/>
        <v>41681</v>
      </c>
      <c r="D1037" s="1">
        <f t="shared" si="136"/>
        <v>3270.74</v>
      </c>
      <c r="E1037" s="4">
        <f t="shared" si="137"/>
        <v>3246.3606000000004</v>
      </c>
      <c r="F1037" s="3">
        <f t="shared" si="138"/>
        <v>1.0075097633947379</v>
      </c>
      <c r="G1037" s="18">
        <f t="shared" si="139"/>
        <v>1</v>
      </c>
      <c r="H1037" s="3">
        <f t="shared" si="140"/>
        <v>1.1113549874953277E-2</v>
      </c>
      <c r="I1037" s="3">
        <f t="shared" si="141"/>
        <v>1.1113549874953277E-2</v>
      </c>
      <c r="K1037" s="12" t="str">
        <f>IF(AND(G1037=1,G1036&lt;&gt;1),MAX($K$50:K1036)+1,"")</f>
        <v/>
      </c>
      <c r="L1037" s="13" t="str">
        <f>IF(AND(G1037&lt;&gt;1,G1036=1),MAX($L$50:L1036)+1,"")</f>
        <v/>
      </c>
      <c r="M1037" s="13" t="str">
        <f>IF(AND(G1037=-1,G1036&lt;&gt;-1),MAX($M$50:M1036)+1,"")</f>
        <v/>
      </c>
      <c r="N1037" s="13" t="str">
        <f>IF(AND(G1037&lt;&gt;-1,G1036=-1),MAX($N$50:N1036)+1,"")</f>
        <v/>
      </c>
      <c r="T1037" s="7">
        <f t="shared" si="142"/>
        <v>111.55206657090457</v>
      </c>
      <c r="U1037" s="1">
        <f t="shared" si="143"/>
        <v>171.84664449453342</v>
      </c>
    </row>
    <row r="1038" spans="1:21" x14ac:dyDescent="0.3">
      <c r="A1038" s="2">
        <v>41682</v>
      </c>
      <c r="B1038" s="1">
        <v>3271.47</v>
      </c>
      <c r="C1038" s="2">
        <f t="shared" si="135"/>
        <v>41682</v>
      </c>
      <c r="D1038" s="1">
        <f t="shared" si="136"/>
        <v>3271.47</v>
      </c>
      <c r="E1038" s="4">
        <f t="shared" si="137"/>
        <v>3247.115600000001</v>
      </c>
      <c r="F1038" s="3">
        <f t="shared" si="138"/>
        <v>1.0075003181284949</v>
      </c>
      <c r="G1038" s="18">
        <f t="shared" si="139"/>
        <v>1</v>
      </c>
      <c r="H1038" s="3">
        <f t="shared" si="140"/>
        <v>2.2319108214041705E-4</v>
      </c>
      <c r="I1038" s="3">
        <f t="shared" si="141"/>
        <v>2.2319108214041705E-4</v>
      </c>
      <c r="K1038" s="12" t="str">
        <f>IF(AND(G1038=1,G1037&lt;&gt;1),MAX($K$50:K1037)+1,"")</f>
        <v/>
      </c>
      <c r="L1038" s="13" t="str">
        <f>IF(AND(G1038&lt;&gt;1,G1037=1),MAX($L$50:L1037)+1,"")</f>
        <v/>
      </c>
      <c r="M1038" s="13" t="str">
        <f>IF(AND(G1038=-1,G1037&lt;&gt;-1),MAX($M$50:M1037)+1,"")</f>
        <v/>
      </c>
      <c r="N1038" s="13" t="str">
        <f>IF(AND(G1038&lt;&gt;-1,G1037=-1),MAX($N$50:N1037)+1,"")</f>
        <v/>
      </c>
      <c r="T1038" s="7">
        <f t="shared" si="142"/>
        <v>111.57696399735754</v>
      </c>
      <c r="U1038" s="1">
        <f t="shared" si="143"/>
        <v>171.88499913308036</v>
      </c>
    </row>
    <row r="1039" spans="1:21" x14ac:dyDescent="0.3">
      <c r="A1039" s="2">
        <v>41683</v>
      </c>
      <c r="B1039" s="1">
        <v>3290.82</v>
      </c>
      <c r="C1039" s="2">
        <f t="shared" si="135"/>
        <v>41683</v>
      </c>
      <c r="D1039" s="1">
        <f t="shared" si="136"/>
        <v>3290.82</v>
      </c>
      <c r="E1039" s="4">
        <f t="shared" si="137"/>
        <v>3248.4308000000005</v>
      </c>
      <c r="F1039" s="3">
        <f t="shared" si="138"/>
        <v>1.0130491312913299</v>
      </c>
      <c r="G1039" s="18">
        <f t="shared" si="139"/>
        <v>1</v>
      </c>
      <c r="H1039" s="3">
        <f t="shared" si="140"/>
        <v>5.9147722583425821E-3</v>
      </c>
      <c r="I1039" s="3">
        <f t="shared" si="141"/>
        <v>5.9147722583425821E-3</v>
      </c>
      <c r="K1039" s="12" t="str">
        <f>IF(AND(G1039=1,G1038&lt;&gt;1),MAX($K$50:K1038)+1,"")</f>
        <v/>
      </c>
      <c r="L1039" s="13" t="str">
        <f>IF(AND(G1039&lt;&gt;1,G1038=1),MAX($L$50:L1038)+1,"")</f>
        <v/>
      </c>
      <c r="M1039" s="13" t="str">
        <f>IF(AND(G1039=-1,G1038&lt;&gt;-1),MAX($M$50:M1038)+1,"")</f>
        <v/>
      </c>
      <c r="N1039" s="13" t="str">
        <f>IF(AND(G1039&lt;&gt;-1,G1038=-1),MAX($N$50:N1038)+1,"")</f>
        <v/>
      </c>
      <c r="T1039" s="7">
        <f t="shared" si="142"/>
        <v>112.2369163286792</v>
      </c>
      <c r="U1039" s="1">
        <f t="shared" si="143"/>
        <v>172.90165975757796</v>
      </c>
    </row>
    <row r="1040" spans="1:21" x14ac:dyDescent="0.3">
      <c r="A1040" s="2">
        <v>41684</v>
      </c>
      <c r="B1040" s="1">
        <v>3306.92</v>
      </c>
      <c r="C1040" s="2">
        <f t="shared" si="135"/>
        <v>41684</v>
      </c>
      <c r="D1040" s="1">
        <f t="shared" si="136"/>
        <v>3306.92</v>
      </c>
      <c r="E1040" s="4">
        <f t="shared" si="137"/>
        <v>3250.2702000000008</v>
      </c>
      <c r="F1040" s="3">
        <f t="shared" si="138"/>
        <v>1.0174292586505576</v>
      </c>
      <c r="G1040" s="18">
        <f t="shared" si="139"/>
        <v>1</v>
      </c>
      <c r="H1040" s="3">
        <f t="shared" si="140"/>
        <v>4.8923976394941171E-3</v>
      </c>
      <c r="I1040" s="3">
        <f t="shared" si="141"/>
        <v>4.8923976394941171E-3</v>
      </c>
      <c r="K1040" s="12" t="str">
        <f>IF(AND(G1040=1,G1039&lt;&gt;1),MAX($K$50:K1039)+1,"")</f>
        <v/>
      </c>
      <c r="L1040" s="13" t="str">
        <f>IF(AND(G1040&lt;&gt;1,G1039=1),MAX($L$50:L1039)+1,"")</f>
        <v/>
      </c>
      <c r="M1040" s="13" t="str">
        <f>IF(AND(G1040=-1,G1039&lt;&gt;-1),MAX($M$50:M1039)+1,"")</f>
        <v/>
      </c>
      <c r="N1040" s="13" t="str">
        <f>IF(AND(G1040&lt;&gt;-1,G1039=-1),MAX($N$50:N1039)+1,"")</f>
        <v/>
      </c>
      <c r="T1040" s="7">
        <f t="shared" si="142"/>
        <v>112.78602395318973</v>
      </c>
      <c r="U1040" s="1">
        <f t="shared" si="143"/>
        <v>173.74756342964054</v>
      </c>
    </row>
    <row r="1041" spans="1:21" x14ac:dyDescent="0.3">
      <c r="A1041" s="2">
        <v>41688</v>
      </c>
      <c r="B1041" s="1">
        <v>3311.27</v>
      </c>
      <c r="C1041" s="2">
        <f t="shared" si="135"/>
        <v>41688</v>
      </c>
      <c r="D1041" s="1">
        <f t="shared" si="136"/>
        <v>3311.27</v>
      </c>
      <c r="E1041" s="4">
        <f t="shared" si="137"/>
        <v>3252.2638000000006</v>
      </c>
      <c r="F1041" s="3">
        <f t="shared" si="138"/>
        <v>1.0181431161887911</v>
      </c>
      <c r="G1041" s="18">
        <f t="shared" si="139"/>
        <v>1</v>
      </c>
      <c r="H1041" s="3">
        <f t="shared" si="140"/>
        <v>1.31542341514157E-3</v>
      </c>
      <c r="I1041" s="3">
        <f t="shared" si="141"/>
        <v>1.31542341514157E-3</v>
      </c>
      <c r="K1041" s="12" t="str">
        <f>IF(AND(G1041=1,G1040&lt;&gt;1),MAX($K$50:K1040)+1,"")</f>
        <v/>
      </c>
      <c r="L1041" s="13" t="str">
        <f>IF(AND(G1041&lt;&gt;1,G1040=1),MAX($L$50:L1040)+1,"")</f>
        <v/>
      </c>
      <c r="M1041" s="13" t="str">
        <f>IF(AND(G1041=-1,G1040&lt;&gt;-1),MAX($M$50:M1040)+1,"")</f>
        <v/>
      </c>
      <c r="N1041" s="13" t="str">
        <f>IF(AND(G1041&lt;&gt;-1,G1040=-1),MAX($N$50:N1040)+1,"")</f>
        <v/>
      </c>
      <c r="T1041" s="7">
        <f t="shared" si="142"/>
        <v>112.93438532999848</v>
      </c>
      <c r="U1041" s="1">
        <f t="shared" si="143"/>
        <v>173.97611504289969</v>
      </c>
    </row>
    <row r="1042" spans="1:21" x14ac:dyDescent="0.3">
      <c r="A1042" s="2">
        <v>41689</v>
      </c>
      <c r="B1042" s="1">
        <v>3289.83</v>
      </c>
      <c r="C1042" s="2">
        <f t="shared" si="135"/>
        <v>41689</v>
      </c>
      <c r="D1042" s="1">
        <f t="shared" si="136"/>
        <v>3289.83</v>
      </c>
      <c r="E1042" s="4">
        <f t="shared" si="137"/>
        <v>3254.1052000000009</v>
      </c>
      <c r="F1042" s="3">
        <f t="shared" si="138"/>
        <v>1.0109783789411599</v>
      </c>
      <c r="G1042" s="18">
        <f t="shared" si="139"/>
        <v>1</v>
      </c>
      <c r="H1042" s="3">
        <f t="shared" si="140"/>
        <v>-6.474857079005969E-3</v>
      </c>
      <c r="I1042" s="3">
        <f t="shared" si="141"/>
        <v>-6.474857079005969E-3</v>
      </c>
      <c r="K1042" s="12" t="str">
        <f>IF(AND(G1042=1,G1041&lt;&gt;1),MAX($K$50:K1041)+1,"")</f>
        <v/>
      </c>
      <c r="L1042" s="13" t="str">
        <f>IF(AND(G1042&lt;&gt;1,G1041=1),MAX($L$50:L1041)+1,"")</f>
        <v/>
      </c>
      <c r="M1042" s="13" t="str">
        <f>IF(AND(G1042=-1,G1041&lt;&gt;-1),MAX($M$50:M1041)+1,"")</f>
        <v/>
      </c>
      <c r="N1042" s="13" t="str">
        <f>IF(AND(G1042&lt;&gt;-1,G1041=-1),MAX($N$50:N1041)+1,"")</f>
        <v/>
      </c>
      <c r="T1042" s="7">
        <f t="shared" si="142"/>
        <v>112.20315132568135</v>
      </c>
      <c r="U1042" s="1">
        <f t="shared" si="143"/>
        <v>172.84964456283623</v>
      </c>
    </row>
    <row r="1043" spans="1:21" x14ac:dyDescent="0.3">
      <c r="A1043" s="2">
        <v>41690</v>
      </c>
      <c r="B1043" s="1">
        <v>3310.27</v>
      </c>
      <c r="C1043" s="2">
        <f t="shared" si="135"/>
        <v>41690</v>
      </c>
      <c r="D1043" s="1">
        <f t="shared" si="136"/>
        <v>3310.27</v>
      </c>
      <c r="E1043" s="4">
        <f t="shared" si="137"/>
        <v>3255.6308000000008</v>
      </c>
      <c r="F1043" s="3">
        <f t="shared" si="138"/>
        <v>1.0167829841147833</v>
      </c>
      <c r="G1043" s="18">
        <f t="shared" si="139"/>
        <v>1</v>
      </c>
      <c r="H1043" s="3">
        <f t="shared" si="140"/>
        <v>6.2130869984162729E-3</v>
      </c>
      <c r="I1043" s="3">
        <f t="shared" si="141"/>
        <v>6.2130869984162729E-3</v>
      </c>
      <c r="K1043" s="12" t="str">
        <f>IF(AND(G1043=1,G1042&lt;&gt;1),MAX($K$50:K1042)+1,"")</f>
        <v/>
      </c>
      <c r="L1043" s="13" t="str">
        <f>IF(AND(G1043&lt;&gt;1,G1042=1),MAX($L$50:L1042)+1,"")</f>
        <v/>
      </c>
      <c r="M1043" s="13" t="str">
        <f>IF(AND(G1043=-1,G1042&lt;&gt;-1),MAX($M$50:M1042)+1,"")</f>
        <v/>
      </c>
      <c r="N1043" s="13" t="str">
        <f>IF(AND(G1043&lt;&gt;-1,G1042=-1),MAX($N$50:N1042)+1,"")</f>
        <v/>
      </c>
      <c r="T1043" s="7">
        <f t="shared" si="142"/>
        <v>112.90027926636427</v>
      </c>
      <c r="U1043" s="1">
        <f t="shared" si="143"/>
        <v>173.92357444215048</v>
      </c>
    </row>
    <row r="1044" spans="1:21" x14ac:dyDescent="0.3">
      <c r="A1044" s="2">
        <v>41691</v>
      </c>
      <c r="B1044" s="1">
        <v>3304.36</v>
      </c>
      <c r="C1044" s="2">
        <f t="shared" si="135"/>
        <v>41691</v>
      </c>
      <c r="D1044" s="1">
        <f t="shared" si="136"/>
        <v>3304.36</v>
      </c>
      <c r="E1044" s="4">
        <f t="shared" si="137"/>
        <v>3256.9182000000001</v>
      </c>
      <c r="F1044" s="3">
        <f t="shared" si="138"/>
        <v>1.014566469615356</v>
      </c>
      <c r="G1044" s="18">
        <f t="shared" si="139"/>
        <v>1</v>
      </c>
      <c r="H1044" s="3">
        <f t="shared" si="140"/>
        <v>-1.785352856413458E-3</v>
      </c>
      <c r="I1044" s="3">
        <f t="shared" si="141"/>
        <v>-1.785352856413458E-3</v>
      </c>
      <c r="K1044" s="12" t="str">
        <f>IF(AND(G1044=1,G1043&lt;&gt;1),MAX($K$50:K1043)+1,"")</f>
        <v/>
      </c>
      <c r="L1044" s="13" t="str">
        <f>IF(AND(G1044&lt;&gt;1,G1043=1),MAX($L$50:L1043)+1,"")</f>
        <v/>
      </c>
      <c r="M1044" s="13" t="str">
        <f>IF(AND(G1044=-1,G1043&lt;&gt;-1),MAX($M$50:M1043)+1,"")</f>
        <v/>
      </c>
      <c r="N1044" s="13" t="str">
        <f>IF(AND(G1044&lt;&gt;-1,G1043=-1),MAX($N$50:N1043)+1,"")</f>
        <v/>
      </c>
      <c r="T1044" s="7">
        <f t="shared" si="142"/>
        <v>112.69871243028618</v>
      </c>
      <c r="U1044" s="1">
        <f t="shared" si="143"/>
        <v>173.61305949172254</v>
      </c>
    </row>
    <row r="1045" spans="1:21" x14ac:dyDescent="0.3">
      <c r="A1045" s="2">
        <v>41694</v>
      </c>
      <c r="B1045" s="1">
        <v>3324.84</v>
      </c>
      <c r="C1045" s="2">
        <f t="shared" si="135"/>
        <v>41694</v>
      </c>
      <c r="D1045" s="1">
        <f t="shared" si="136"/>
        <v>3324.84</v>
      </c>
      <c r="E1045" s="4">
        <f t="shared" si="137"/>
        <v>3258.8205999999996</v>
      </c>
      <c r="F1045" s="3">
        <f t="shared" si="138"/>
        <v>1.0202586788606898</v>
      </c>
      <c r="G1045" s="18">
        <f t="shared" si="139"/>
        <v>1</v>
      </c>
      <c r="H1045" s="3">
        <f t="shared" si="140"/>
        <v>6.1978719025772566E-3</v>
      </c>
      <c r="I1045" s="3">
        <f t="shared" si="141"/>
        <v>6.1978719025772566E-3</v>
      </c>
      <c r="K1045" s="12" t="str">
        <f>IF(AND(G1045=1,G1044&lt;&gt;1),MAX($K$50:K1044)+1,"")</f>
        <v/>
      </c>
      <c r="L1045" s="13" t="str">
        <f>IF(AND(G1045&lt;&gt;1,G1044=1),MAX($L$50:L1044)+1,"")</f>
        <v/>
      </c>
      <c r="M1045" s="13" t="str">
        <f>IF(AND(G1045=-1,G1044&lt;&gt;-1),MAX($M$50:M1044)+1,"")</f>
        <v/>
      </c>
      <c r="N1045" s="13" t="str">
        <f>IF(AND(G1045&lt;&gt;-1,G1044=-1),MAX($N$50:N1044)+1,"")</f>
        <v/>
      </c>
      <c r="T1045" s="7">
        <f t="shared" si="142"/>
        <v>113.39720461351449</v>
      </c>
      <c r="U1045" s="1">
        <f t="shared" si="143"/>
        <v>174.68909099506675</v>
      </c>
    </row>
    <row r="1046" spans="1:21" x14ac:dyDescent="0.3">
      <c r="A1046" s="2">
        <v>41695</v>
      </c>
      <c r="B1046" s="1">
        <v>3320.43</v>
      </c>
      <c r="C1046" s="2">
        <f t="shared" si="135"/>
        <v>41695</v>
      </c>
      <c r="D1046" s="1">
        <f t="shared" si="136"/>
        <v>3320.43</v>
      </c>
      <c r="E1046" s="4">
        <f t="shared" si="137"/>
        <v>3261.3587999999995</v>
      </c>
      <c r="F1046" s="3">
        <f t="shared" si="138"/>
        <v>1.0181124505528187</v>
      </c>
      <c r="G1046" s="18">
        <f t="shared" si="139"/>
        <v>1</v>
      </c>
      <c r="H1046" s="3">
        <f t="shared" si="140"/>
        <v>-1.3263796152597207E-3</v>
      </c>
      <c r="I1046" s="3">
        <f t="shared" si="141"/>
        <v>-1.3263796152597207E-3</v>
      </c>
      <c r="K1046" s="12" t="str">
        <f>IF(AND(G1046=1,G1045&lt;&gt;1),MAX($K$50:K1045)+1,"")</f>
        <v/>
      </c>
      <c r="L1046" s="13" t="str">
        <f>IF(AND(G1046&lt;&gt;1,G1045=1),MAX($L$50:L1045)+1,"")</f>
        <v/>
      </c>
      <c r="M1046" s="13" t="str">
        <f>IF(AND(G1046=-1,G1045&lt;&gt;-1),MAX($M$50:M1045)+1,"")</f>
        <v/>
      </c>
      <c r="N1046" s="13" t="str">
        <f>IF(AND(G1046&lt;&gt;-1,G1045=-1),MAX($N$50:N1045)+1,"")</f>
        <v/>
      </c>
      <c r="T1046" s="7">
        <f t="shared" si="142"/>
        <v>113.24679687288769</v>
      </c>
      <c r="U1046" s="1">
        <f t="shared" si="143"/>
        <v>174.45738694576261</v>
      </c>
    </row>
    <row r="1047" spans="1:21" x14ac:dyDescent="0.3">
      <c r="A1047" s="2">
        <v>41696</v>
      </c>
      <c r="B1047" s="1">
        <v>3321.15</v>
      </c>
      <c r="C1047" s="2">
        <f t="shared" si="135"/>
        <v>41696</v>
      </c>
      <c r="D1047" s="1">
        <f t="shared" si="136"/>
        <v>3321.15</v>
      </c>
      <c r="E1047" s="4">
        <f t="shared" si="137"/>
        <v>3264.1351999999988</v>
      </c>
      <c r="F1047" s="3">
        <f t="shared" si="138"/>
        <v>1.017467046095395</v>
      </c>
      <c r="G1047" s="18">
        <f t="shared" si="139"/>
        <v>1</v>
      </c>
      <c r="H1047" s="3">
        <f t="shared" si="140"/>
        <v>2.1683938526040336E-4</v>
      </c>
      <c r="I1047" s="3">
        <f t="shared" si="141"/>
        <v>2.1683938526040336E-4</v>
      </c>
      <c r="K1047" s="12" t="str">
        <f>IF(AND(G1047=1,G1046&lt;&gt;1),MAX($K$50:K1046)+1,"")</f>
        <v/>
      </c>
      <c r="L1047" s="13" t="str">
        <f>IF(AND(G1047&lt;&gt;1,G1046=1),MAX($L$50:L1046)+1,"")</f>
        <v/>
      </c>
      <c r="M1047" s="13" t="str">
        <f>IF(AND(G1047=-1,G1046&lt;&gt;-1),MAX($M$50:M1046)+1,"")</f>
        <v/>
      </c>
      <c r="N1047" s="13" t="str">
        <f>IF(AND(G1047&lt;&gt;-1,G1046=-1),MAX($N$50:N1046)+1,"")</f>
        <v/>
      </c>
      <c r="T1047" s="7">
        <f t="shared" si="142"/>
        <v>113.27135323870431</v>
      </c>
      <c r="U1047" s="1">
        <f t="shared" si="143"/>
        <v>174.49521617830206</v>
      </c>
    </row>
    <row r="1048" spans="1:21" x14ac:dyDescent="0.3">
      <c r="A1048" s="2">
        <v>41697</v>
      </c>
      <c r="B1048" s="1">
        <v>3338.05</v>
      </c>
      <c r="C1048" s="2">
        <f t="shared" si="135"/>
        <v>41697</v>
      </c>
      <c r="D1048" s="1">
        <f t="shared" si="136"/>
        <v>3338.05</v>
      </c>
      <c r="E1048" s="4">
        <f t="shared" si="137"/>
        <v>3267.2547999999988</v>
      </c>
      <c r="F1048" s="3">
        <f t="shared" si="138"/>
        <v>1.0216680988577937</v>
      </c>
      <c r="G1048" s="18">
        <f t="shared" si="139"/>
        <v>1</v>
      </c>
      <c r="H1048" s="3">
        <f t="shared" si="140"/>
        <v>5.0885988287190376E-3</v>
      </c>
      <c r="I1048" s="3">
        <f t="shared" si="141"/>
        <v>5.0885988287190376E-3</v>
      </c>
      <c r="K1048" s="12" t="str">
        <f>IF(AND(G1048=1,G1047&lt;&gt;1),MAX($K$50:K1047)+1,"")</f>
        <v/>
      </c>
      <c r="L1048" s="13" t="str">
        <f>IF(AND(G1048&lt;&gt;1,G1047=1),MAX($L$50:L1047)+1,"")</f>
        <v/>
      </c>
      <c r="M1048" s="13" t="str">
        <f>IF(AND(G1048=-1,G1047&lt;&gt;-1),MAX($M$50:M1047)+1,"")</f>
        <v/>
      </c>
      <c r="N1048" s="13" t="str">
        <f>IF(AND(G1048&lt;&gt;-1,G1047=-1),MAX($N$50:N1047)+1,"")</f>
        <v/>
      </c>
      <c r="T1048" s="7">
        <f t="shared" si="142"/>
        <v>113.8477457141222</v>
      </c>
      <c r="U1048" s="1">
        <f t="shared" si="143"/>
        <v>175.38315233096401</v>
      </c>
    </row>
    <row r="1049" spans="1:21" x14ac:dyDescent="0.3">
      <c r="A1049" s="2">
        <v>41698</v>
      </c>
      <c r="B1049" s="1">
        <v>3347.38</v>
      </c>
      <c r="C1049" s="2">
        <f t="shared" si="135"/>
        <v>41698</v>
      </c>
      <c r="D1049" s="1">
        <f t="shared" si="136"/>
        <v>3347.38</v>
      </c>
      <c r="E1049" s="4">
        <f t="shared" si="137"/>
        <v>3270.1579999999985</v>
      </c>
      <c r="F1049" s="3">
        <f t="shared" si="138"/>
        <v>1.0236141495303901</v>
      </c>
      <c r="G1049" s="18">
        <f t="shared" si="139"/>
        <v>1</v>
      </c>
      <c r="H1049" s="3">
        <f t="shared" si="140"/>
        <v>2.7950450113090053E-3</v>
      </c>
      <c r="I1049" s="3">
        <f t="shared" si="141"/>
        <v>2.7950450113090053E-3</v>
      </c>
      <c r="K1049" s="12" t="str">
        <f>IF(AND(G1049=1,G1048&lt;&gt;1),MAX($K$50:K1048)+1,"")</f>
        <v/>
      </c>
      <c r="L1049" s="13" t="str">
        <f>IF(AND(G1049&lt;&gt;1,G1048=1),MAX($L$50:L1048)+1,"")</f>
        <v/>
      </c>
      <c r="M1049" s="13" t="str">
        <f>IF(AND(G1049=-1,G1048&lt;&gt;-1),MAX($M$50:M1048)+1,"")</f>
        <v/>
      </c>
      <c r="N1049" s="13" t="str">
        <f>IF(AND(G1049&lt;&gt;-1,G1048=-1),MAX($N$50:N1048)+1,"")</f>
        <v/>
      </c>
      <c r="T1049" s="7">
        <f t="shared" si="142"/>
        <v>114.16595528782923</v>
      </c>
      <c r="U1049" s="1">
        <f t="shared" si="143"/>
        <v>175.87335613595434</v>
      </c>
    </row>
    <row r="1050" spans="1:21" x14ac:dyDescent="0.3">
      <c r="A1050" s="2">
        <v>41701</v>
      </c>
      <c r="B1050" s="1">
        <v>3322.85</v>
      </c>
      <c r="C1050" s="2">
        <f t="shared" si="135"/>
        <v>41701</v>
      </c>
      <c r="D1050" s="1">
        <f t="shared" si="136"/>
        <v>3322.85</v>
      </c>
      <c r="E1050" s="4">
        <f t="shared" si="137"/>
        <v>3272.768399999999</v>
      </c>
      <c r="F1050" s="3">
        <f t="shared" si="138"/>
        <v>1.0153025188094584</v>
      </c>
      <c r="G1050" s="18">
        <f t="shared" si="139"/>
        <v>1</v>
      </c>
      <c r="H1050" s="3">
        <f t="shared" si="140"/>
        <v>-7.3281193052477933E-3</v>
      </c>
      <c r="I1050" s="3">
        <f t="shared" si="141"/>
        <v>-7.3281193052477933E-3</v>
      </c>
      <c r="K1050" s="12" t="str">
        <f>IF(AND(G1050=1,G1049&lt;&gt;1),MAX($K$50:K1049)+1,"")</f>
        <v/>
      </c>
      <c r="L1050" s="13" t="str">
        <f>IF(AND(G1050&lt;&gt;1,G1049=1),MAX($L$50:L1049)+1,"")</f>
        <v/>
      </c>
      <c r="M1050" s="13" t="str">
        <f>IF(AND(G1050=-1,G1049&lt;&gt;-1),MAX($M$50:M1049)+1,"")</f>
        <v/>
      </c>
      <c r="N1050" s="13" t="str">
        <f>IF(AND(G1050&lt;&gt;-1,G1049=-1),MAX($N$50:N1049)+1,"")</f>
        <v/>
      </c>
      <c r="T1050" s="7">
        <f t="shared" si="142"/>
        <v>113.32933354688244</v>
      </c>
      <c r="U1050" s="1">
        <f t="shared" si="143"/>
        <v>174.58453519957575</v>
      </c>
    </row>
    <row r="1051" spans="1:21" x14ac:dyDescent="0.3">
      <c r="A1051" s="2">
        <v>41702</v>
      </c>
      <c r="B1051" s="1">
        <v>3373.64</v>
      </c>
      <c r="C1051" s="2">
        <f t="shared" si="135"/>
        <v>41702</v>
      </c>
      <c r="D1051" s="1">
        <f t="shared" si="136"/>
        <v>3373.64</v>
      </c>
      <c r="E1051" s="4">
        <f t="shared" si="137"/>
        <v>3275.3293999999996</v>
      </c>
      <c r="F1051" s="3">
        <f t="shared" si="138"/>
        <v>1.0300154848547447</v>
      </c>
      <c r="G1051" s="18">
        <f t="shared" si="139"/>
        <v>1</v>
      </c>
      <c r="H1051" s="3">
        <f t="shared" si="140"/>
        <v>1.5285071550024787E-2</v>
      </c>
      <c r="I1051" s="3">
        <f t="shared" si="141"/>
        <v>1.5285071550024787E-2</v>
      </c>
      <c r="K1051" s="12" t="str">
        <f>IF(AND(G1051=1,G1050&lt;&gt;1),MAX($K$50:K1050)+1,"")</f>
        <v/>
      </c>
      <c r="L1051" s="13" t="str">
        <f>IF(AND(G1051&lt;&gt;1,G1050=1),MAX($L$50:L1050)+1,"")</f>
        <v/>
      </c>
      <c r="M1051" s="13" t="str">
        <f>IF(AND(G1051=-1,G1050&lt;&gt;-1),MAX($M$50:M1050)+1,"")</f>
        <v/>
      </c>
      <c r="N1051" s="13" t="str">
        <f>IF(AND(G1051&lt;&gt;-1,G1050=-1),MAX($N$50:N1050)+1,"")</f>
        <v/>
      </c>
      <c r="T1051" s="7">
        <f t="shared" si="142"/>
        <v>115.06158051886317</v>
      </c>
      <c r="U1051" s="1">
        <f t="shared" si="143"/>
        <v>177.2530723116291</v>
      </c>
    </row>
    <row r="1052" spans="1:21" x14ac:dyDescent="0.3">
      <c r="A1052" s="2">
        <v>41703</v>
      </c>
      <c r="B1052" s="1">
        <v>3374.1</v>
      </c>
      <c r="C1052" s="2">
        <f t="shared" si="135"/>
        <v>41703</v>
      </c>
      <c r="D1052" s="1">
        <f t="shared" si="136"/>
        <v>3374.1</v>
      </c>
      <c r="E1052" s="4">
        <f t="shared" si="137"/>
        <v>3277.9283999999998</v>
      </c>
      <c r="F1052" s="3">
        <f t="shared" si="138"/>
        <v>1.0293391399275225</v>
      </c>
      <c r="G1052" s="18">
        <f t="shared" si="139"/>
        <v>1</v>
      </c>
      <c r="H1052" s="3">
        <f t="shared" si="140"/>
        <v>1.3635124079636185E-4</v>
      </c>
      <c r="I1052" s="3">
        <f t="shared" si="141"/>
        <v>1.3635124079636185E-4</v>
      </c>
      <c r="K1052" s="12" t="str">
        <f>IF(AND(G1052=1,G1051&lt;&gt;1),MAX($K$50:K1051)+1,"")</f>
        <v/>
      </c>
      <c r="L1052" s="13" t="str">
        <f>IF(AND(G1052&lt;&gt;1,G1051=1),MAX($L$50:L1051)+1,"")</f>
        <v/>
      </c>
      <c r="M1052" s="13" t="str">
        <f>IF(AND(G1052=-1,G1051&lt;&gt;-1),MAX($M$50:M1051)+1,"")</f>
        <v/>
      </c>
      <c r="N1052" s="13" t="str">
        <f>IF(AND(G1052&lt;&gt;-1,G1051=-1),MAX($N$50:N1051)+1,"")</f>
        <v/>
      </c>
      <c r="T1052" s="7">
        <f t="shared" si="142"/>
        <v>115.0772693081349</v>
      </c>
      <c r="U1052" s="1">
        <f t="shared" si="143"/>
        <v>177.27724098797376</v>
      </c>
    </row>
    <row r="1053" spans="1:21" x14ac:dyDescent="0.3">
      <c r="A1053" s="2">
        <v>41704</v>
      </c>
      <c r="B1053" s="1">
        <v>3380.49</v>
      </c>
      <c r="C1053" s="2">
        <f t="shared" si="135"/>
        <v>41704</v>
      </c>
      <c r="D1053" s="1">
        <f t="shared" si="136"/>
        <v>3380.49</v>
      </c>
      <c r="E1053" s="4">
        <f t="shared" si="137"/>
        <v>3280.3424</v>
      </c>
      <c r="F1053" s="3">
        <f t="shared" si="138"/>
        <v>1.0305296178837915</v>
      </c>
      <c r="G1053" s="18">
        <f t="shared" si="139"/>
        <v>1</v>
      </c>
      <c r="H1053" s="3">
        <f t="shared" si="140"/>
        <v>1.8938383568951611E-3</v>
      </c>
      <c r="I1053" s="3">
        <f t="shared" si="141"/>
        <v>1.8938383568951611E-3</v>
      </c>
      <c r="K1053" s="12" t="str">
        <f>IF(AND(G1053=1,G1052&lt;&gt;1),MAX($K$50:K1052)+1,"")</f>
        <v/>
      </c>
      <c r="L1053" s="13" t="str">
        <f>IF(AND(G1053&lt;&gt;1,G1052=1),MAX($L$50:L1052)+1,"")</f>
        <v/>
      </c>
      <c r="M1053" s="13" t="str">
        <f>IF(AND(G1053=-1,G1052&lt;&gt;-1),MAX($M$50:M1052)+1,"")</f>
        <v/>
      </c>
      <c r="N1053" s="13" t="str">
        <f>IF(AND(G1053&lt;&gt;-1,G1052=-1),MAX($N$50:N1052)+1,"")</f>
        <v/>
      </c>
      <c r="T1053" s="7">
        <f t="shared" si="142"/>
        <v>115.2952070547574</v>
      </c>
      <c r="U1053" s="1">
        <f t="shared" si="143"/>
        <v>177.61297542676132</v>
      </c>
    </row>
    <row r="1054" spans="1:21" x14ac:dyDescent="0.3">
      <c r="A1054" s="2">
        <v>41705</v>
      </c>
      <c r="B1054" s="1">
        <v>3382.57</v>
      </c>
      <c r="C1054" s="2">
        <f t="shared" si="135"/>
        <v>41705</v>
      </c>
      <c r="D1054" s="1">
        <f t="shared" si="136"/>
        <v>3382.57</v>
      </c>
      <c r="E1054" s="4">
        <f t="shared" si="137"/>
        <v>3282.4414000000006</v>
      </c>
      <c r="F1054" s="3">
        <f t="shared" si="138"/>
        <v>1.0305043069466524</v>
      </c>
      <c r="G1054" s="18">
        <f t="shared" si="139"/>
        <v>1</v>
      </c>
      <c r="H1054" s="3">
        <f t="shared" si="140"/>
        <v>6.1529541575344737E-4</v>
      </c>
      <c r="I1054" s="3">
        <f t="shared" si="141"/>
        <v>6.1529541575344737E-4</v>
      </c>
      <c r="K1054" s="12" t="str">
        <f>IF(AND(G1054=1,G1053&lt;&gt;1),MAX($K$50:K1053)+1,"")</f>
        <v/>
      </c>
      <c r="L1054" s="13" t="str">
        <f>IF(AND(G1054&lt;&gt;1,G1053=1),MAX($L$50:L1053)+1,"")</f>
        <v/>
      </c>
      <c r="M1054" s="13" t="str">
        <f>IF(AND(G1054=-1,G1053&lt;&gt;-1),MAX($M$50:M1053)+1,"")</f>
        <v/>
      </c>
      <c r="N1054" s="13" t="str">
        <f>IF(AND(G1054&lt;&gt;-1,G1053=-1),MAX($N$50:N1053)+1,"")</f>
        <v/>
      </c>
      <c r="T1054" s="7">
        <f t="shared" si="142"/>
        <v>115.36614766711654</v>
      </c>
      <c r="U1054" s="1">
        <f t="shared" si="143"/>
        <v>177.72225987631973</v>
      </c>
    </row>
    <row r="1055" spans="1:21" x14ac:dyDescent="0.3">
      <c r="A1055" s="2">
        <v>41708</v>
      </c>
      <c r="B1055" s="1">
        <v>3381.22</v>
      </c>
      <c r="C1055" s="2">
        <f t="shared" si="135"/>
        <v>41708</v>
      </c>
      <c r="D1055" s="1">
        <f t="shared" si="136"/>
        <v>3381.22</v>
      </c>
      <c r="E1055" s="4">
        <f t="shared" si="137"/>
        <v>3284.3148000000006</v>
      </c>
      <c r="F1055" s="3">
        <f t="shared" si="138"/>
        <v>1.0295054542274691</v>
      </c>
      <c r="G1055" s="18">
        <f t="shared" si="139"/>
        <v>1</v>
      </c>
      <c r="H1055" s="3">
        <f t="shared" si="140"/>
        <v>-3.9910482266458658E-4</v>
      </c>
      <c r="I1055" s="3">
        <f t="shared" si="141"/>
        <v>-3.9910482266458658E-4</v>
      </c>
      <c r="K1055" s="12" t="str">
        <f>IF(AND(G1055=1,G1054&lt;&gt;1),MAX($K$50:K1054)+1,"")</f>
        <v/>
      </c>
      <c r="L1055" s="13" t="str">
        <f>IF(AND(G1055&lt;&gt;1,G1054=1),MAX($L$50:L1054)+1,"")</f>
        <v/>
      </c>
      <c r="M1055" s="13" t="str">
        <f>IF(AND(G1055=-1,G1054&lt;&gt;-1),MAX($M$50:M1054)+1,"")</f>
        <v/>
      </c>
      <c r="N1055" s="13" t="str">
        <f>IF(AND(G1055&lt;&gt;-1,G1054=-1),MAX($N$50:N1054)+1,"")</f>
        <v/>
      </c>
      <c r="T1055" s="7">
        <f t="shared" si="142"/>
        <v>115.32010448121035</v>
      </c>
      <c r="U1055" s="1">
        <f t="shared" si="143"/>
        <v>177.65133006530823</v>
      </c>
    </row>
    <row r="1056" spans="1:21" x14ac:dyDescent="0.3">
      <c r="A1056" s="2">
        <v>41709</v>
      </c>
      <c r="B1056" s="1">
        <v>3364.17</v>
      </c>
      <c r="C1056" s="2">
        <f t="shared" si="135"/>
        <v>41709</v>
      </c>
      <c r="D1056" s="1">
        <f t="shared" si="136"/>
        <v>3364.17</v>
      </c>
      <c r="E1056" s="4">
        <f t="shared" si="137"/>
        <v>3285.5352000000007</v>
      </c>
      <c r="F1056" s="3">
        <f t="shared" si="138"/>
        <v>1.023933634921945</v>
      </c>
      <c r="G1056" s="18">
        <f t="shared" si="139"/>
        <v>1</v>
      </c>
      <c r="H1056" s="3">
        <f t="shared" si="140"/>
        <v>-5.0425586031076497E-3</v>
      </c>
      <c r="I1056" s="3">
        <f t="shared" si="141"/>
        <v>-5.0425586031076497E-3</v>
      </c>
      <c r="K1056" s="12" t="str">
        <f>IF(AND(G1056=1,G1055&lt;&gt;1),MAX($K$50:K1055)+1,"")</f>
        <v/>
      </c>
      <c r="L1056" s="13" t="str">
        <f>IF(AND(G1056&lt;&gt;1,G1055=1),MAX($L$50:L1055)+1,"")</f>
        <v/>
      </c>
      <c r="M1056" s="13" t="str">
        <f>IF(AND(G1056=-1,G1055&lt;&gt;-1),MAX($M$50:M1055)+1,"")</f>
        <v/>
      </c>
      <c r="N1056" s="13" t="str">
        <f>IF(AND(G1056&lt;&gt;-1,G1055=-1),MAX($N$50:N1055)+1,"")</f>
        <v/>
      </c>
      <c r="T1056" s="7">
        <f t="shared" si="142"/>
        <v>114.73859609624735</v>
      </c>
      <c r="U1056" s="1">
        <f t="shared" si="143"/>
        <v>176.75551282253389</v>
      </c>
    </row>
    <row r="1057" spans="1:21" x14ac:dyDescent="0.3">
      <c r="A1057" s="2">
        <v>41710</v>
      </c>
      <c r="B1057" s="1">
        <v>3366.07</v>
      </c>
      <c r="C1057" s="2">
        <f t="shared" si="135"/>
        <v>41710</v>
      </c>
      <c r="D1057" s="1">
        <f t="shared" si="136"/>
        <v>3366.07</v>
      </c>
      <c r="E1057" s="4">
        <f t="shared" si="137"/>
        <v>3286.8034000000007</v>
      </c>
      <c r="F1057" s="3">
        <f t="shared" si="138"/>
        <v>1.02411662346461</v>
      </c>
      <c r="G1057" s="18">
        <f t="shared" si="139"/>
        <v>1</v>
      </c>
      <c r="H1057" s="3">
        <f t="shared" si="140"/>
        <v>5.6477526403253542E-4</v>
      </c>
      <c r="I1057" s="3">
        <f t="shared" si="141"/>
        <v>5.6477526403253542E-4</v>
      </c>
      <c r="K1057" s="12" t="str">
        <f>IF(AND(G1057=1,G1056&lt;&gt;1),MAX($K$50:K1056)+1,"")</f>
        <v/>
      </c>
      <c r="L1057" s="13" t="str">
        <f>IF(AND(G1057&lt;&gt;1,G1056=1),MAX($L$50:L1056)+1,"")</f>
        <v/>
      </c>
      <c r="M1057" s="13" t="str">
        <f>IF(AND(G1057=-1,G1056&lt;&gt;-1),MAX($M$50:M1056)+1,"")</f>
        <v/>
      </c>
      <c r="N1057" s="13" t="str">
        <f>IF(AND(G1057&lt;&gt;-1,G1056=-1),MAX($N$50:N1056)+1,"")</f>
        <v/>
      </c>
      <c r="T1057" s="7">
        <f t="shared" si="142"/>
        <v>114.80339761715233</v>
      </c>
      <c r="U1057" s="1">
        <f t="shared" si="143"/>
        <v>176.85533996395742</v>
      </c>
    </row>
    <row r="1058" spans="1:21" x14ac:dyDescent="0.3">
      <c r="A1058" s="2">
        <v>41711</v>
      </c>
      <c r="B1058" s="1">
        <v>3327.11</v>
      </c>
      <c r="C1058" s="2">
        <f t="shared" si="135"/>
        <v>41711</v>
      </c>
      <c r="D1058" s="1">
        <f t="shared" si="136"/>
        <v>3327.11</v>
      </c>
      <c r="E1058" s="4">
        <f t="shared" si="137"/>
        <v>3287.2996000000003</v>
      </c>
      <c r="F1058" s="3">
        <f t="shared" si="138"/>
        <v>1.0121103656022103</v>
      </c>
      <c r="G1058" s="18">
        <f t="shared" si="139"/>
        <v>1</v>
      </c>
      <c r="H1058" s="3">
        <f t="shared" si="140"/>
        <v>-1.1574328519608934E-2</v>
      </c>
      <c r="I1058" s="3">
        <f t="shared" si="141"/>
        <v>-1.1574328519608934E-2</v>
      </c>
      <c r="K1058" s="12" t="str">
        <f>IF(AND(G1058=1,G1057&lt;&gt;1),MAX($K$50:K1057)+1,"")</f>
        <v/>
      </c>
      <c r="L1058" s="13" t="str">
        <f>IF(AND(G1058&lt;&gt;1,G1057=1),MAX($L$50:L1057)+1,"")</f>
        <v/>
      </c>
      <c r="M1058" s="13" t="str">
        <f>IF(AND(G1058=-1,G1057&lt;&gt;-1),MAX($M$50:M1057)+1,"")</f>
        <v/>
      </c>
      <c r="N1058" s="13" t="str">
        <f>IF(AND(G1058&lt;&gt;-1,G1057=-1),MAX($N$50:N1057)+1,"")</f>
        <v/>
      </c>
      <c r="T1058" s="7">
        <f t="shared" si="142"/>
        <v>113.47462537796412</v>
      </c>
      <c r="U1058" s="1">
        <f t="shared" si="143"/>
        <v>174.80835815876748</v>
      </c>
    </row>
    <row r="1059" spans="1:21" x14ac:dyDescent="0.3">
      <c r="A1059" s="2">
        <v>41712</v>
      </c>
      <c r="B1059" s="1">
        <v>3317.81</v>
      </c>
      <c r="C1059" s="2">
        <f t="shared" si="135"/>
        <v>41712</v>
      </c>
      <c r="D1059" s="1">
        <f t="shared" si="136"/>
        <v>3317.81</v>
      </c>
      <c r="E1059" s="4">
        <f t="shared" si="137"/>
        <v>3287.3440000000001</v>
      </c>
      <c r="F1059" s="3">
        <f t="shared" si="138"/>
        <v>1.0092676641081675</v>
      </c>
      <c r="G1059" s="18">
        <f t="shared" si="139"/>
        <v>1</v>
      </c>
      <c r="H1059" s="3">
        <f t="shared" si="140"/>
        <v>-2.7952186732630446E-3</v>
      </c>
      <c r="I1059" s="3">
        <f t="shared" si="141"/>
        <v>-2.7952186732630446E-3</v>
      </c>
      <c r="K1059" s="12" t="str">
        <f>IF(AND(G1059=1,G1058&lt;&gt;1),MAX($K$50:K1058)+1,"")</f>
        <v/>
      </c>
      <c r="L1059" s="13" t="str">
        <f>IF(AND(G1059&lt;&gt;1,G1058=1),MAX($L$50:L1058)+1,"")</f>
        <v/>
      </c>
      <c r="M1059" s="13" t="str">
        <f>IF(AND(G1059=-1,G1058&lt;&gt;-1),MAX($M$50:M1058)+1,"")</f>
        <v/>
      </c>
      <c r="N1059" s="13" t="str">
        <f>IF(AND(G1059&lt;&gt;-1,G1058=-1),MAX($N$50:N1058)+1,"")</f>
        <v/>
      </c>
      <c r="T1059" s="7">
        <f t="shared" si="142"/>
        <v>113.1574389861661</v>
      </c>
      <c r="U1059" s="1">
        <f t="shared" si="143"/>
        <v>174.31973057179965</v>
      </c>
    </row>
    <row r="1060" spans="1:21" x14ac:dyDescent="0.3">
      <c r="A1060" s="2">
        <v>41715</v>
      </c>
      <c r="B1060" s="1">
        <v>3349.71</v>
      </c>
      <c r="C1060" s="2">
        <f t="shared" si="135"/>
        <v>41715</v>
      </c>
      <c r="D1060" s="1">
        <f t="shared" si="136"/>
        <v>3349.71</v>
      </c>
      <c r="E1060" s="4">
        <f t="shared" si="137"/>
        <v>3288.6044000000002</v>
      </c>
      <c r="F1060" s="3">
        <f t="shared" si="138"/>
        <v>1.0185810126630006</v>
      </c>
      <c r="G1060" s="18">
        <f t="shared" si="139"/>
        <v>1</v>
      </c>
      <c r="H1060" s="3">
        <f t="shared" si="140"/>
        <v>9.614776011887427E-3</v>
      </c>
      <c r="I1060" s="3">
        <f t="shared" si="141"/>
        <v>9.614776011887427E-3</v>
      </c>
      <c r="K1060" s="12" t="str">
        <f>IF(AND(G1060=1,G1059&lt;&gt;1),MAX($K$50:K1059)+1,"")</f>
        <v/>
      </c>
      <c r="L1060" s="13" t="str">
        <f>IF(AND(G1060&lt;&gt;1,G1059=1),MAX($L$50:L1059)+1,"")</f>
        <v/>
      </c>
      <c r="M1060" s="13" t="str">
        <f>IF(AND(G1060=-1,G1059&lt;&gt;-1),MAX($M$50:M1059)+1,"")</f>
        <v/>
      </c>
      <c r="N1060" s="13" t="str">
        <f>IF(AND(G1060&lt;&gt;-1,G1059=-1),MAX($N$50:N1059)+1,"")</f>
        <v/>
      </c>
      <c r="T1060" s="7">
        <f t="shared" si="142"/>
        <v>114.2454224160969</v>
      </c>
      <c r="U1060" s="1">
        <f t="shared" si="143"/>
        <v>175.99577573570005</v>
      </c>
    </row>
    <row r="1061" spans="1:21" x14ac:dyDescent="0.3">
      <c r="A1061" s="2">
        <v>41716</v>
      </c>
      <c r="B1061" s="1">
        <v>3373.98</v>
      </c>
      <c r="C1061" s="2">
        <f t="shared" si="135"/>
        <v>41716</v>
      </c>
      <c r="D1061" s="1">
        <f t="shared" si="136"/>
        <v>3373.98</v>
      </c>
      <c r="E1061" s="4">
        <f t="shared" si="137"/>
        <v>3290.3704000000002</v>
      </c>
      <c r="F1061" s="3">
        <f t="shared" si="138"/>
        <v>1.0254103914866239</v>
      </c>
      <c r="G1061" s="18">
        <f t="shared" si="139"/>
        <v>1</v>
      </c>
      <c r="H1061" s="3">
        <f t="shared" si="140"/>
        <v>7.2454033334228285E-3</v>
      </c>
      <c r="I1061" s="3">
        <f t="shared" si="141"/>
        <v>7.2454033334228285E-3</v>
      </c>
      <c r="K1061" s="12" t="str">
        <f>IF(AND(G1061=1,G1060&lt;&gt;1),MAX($K$50:K1060)+1,"")</f>
        <v/>
      </c>
      <c r="L1061" s="13" t="str">
        <f>IF(AND(G1061&lt;&gt;1,G1060=1),MAX($L$50:L1060)+1,"")</f>
        <v/>
      </c>
      <c r="M1061" s="13" t="str">
        <f>IF(AND(G1061=-1,G1060&lt;&gt;-1),MAX($M$50:M1060)+1,"")</f>
        <v/>
      </c>
      <c r="N1061" s="13" t="str">
        <f>IF(AND(G1061&lt;&gt;-1,G1060=-1),MAX($N$50:N1060)+1,"")</f>
        <v/>
      </c>
      <c r="T1061" s="7">
        <f t="shared" si="142"/>
        <v>115.07317658049878</v>
      </c>
      <c r="U1061" s="1">
        <f t="shared" si="143"/>
        <v>177.27093611588384</v>
      </c>
    </row>
    <row r="1062" spans="1:21" x14ac:dyDescent="0.3">
      <c r="A1062" s="2">
        <v>41717</v>
      </c>
      <c r="B1062" s="1">
        <v>3353.29</v>
      </c>
      <c r="C1062" s="2">
        <f t="shared" si="135"/>
        <v>41717</v>
      </c>
      <c r="D1062" s="1">
        <f t="shared" si="136"/>
        <v>3353.29</v>
      </c>
      <c r="E1062" s="4">
        <f t="shared" si="137"/>
        <v>3291.8866000000007</v>
      </c>
      <c r="F1062" s="3">
        <f t="shared" si="138"/>
        <v>1.0186529511678801</v>
      </c>
      <c r="G1062" s="18">
        <f t="shared" si="139"/>
        <v>1</v>
      </c>
      <c r="H1062" s="3">
        <f t="shared" si="140"/>
        <v>-6.1322236646335071E-3</v>
      </c>
      <c r="I1062" s="3">
        <f t="shared" si="141"/>
        <v>-6.1322236646335071E-3</v>
      </c>
      <c r="K1062" s="12" t="str">
        <f>IF(AND(G1062=1,G1061&lt;&gt;1),MAX($K$50:K1061)+1,"")</f>
        <v/>
      </c>
      <c r="L1062" s="13" t="str">
        <f>IF(AND(G1062&lt;&gt;1,G1061=1),MAX($L$50:L1061)+1,"")</f>
        <v/>
      </c>
      <c r="M1062" s="13" t="str">
        <f>IF(AND(G1062=-1,G1061&lt;&gt;-1),MAX($M$50:M1061)+1,"")</f>
        <v/>
      </c>
      <c r="N1062" s="13" t="str">
        <f>IF(AND(G1062&lt;&gt;-1,G1061=-1),MAX($N$50:N1061)+1,"")</f>
        <v/>
      </c>
      <c r="T1062" s="7">
        <f t="shared" si="142"/>
        <v>114.36752212390729</v>
      </c>
      <c r="U1062" s="1">
        <f t="shared" si="143"/>
        <v>176.18387108638228</v>
      </c>
    </row>
    <row r="1063" spans="1:21" x14ac:dyDescent="0.3">
      <c r="A1063" s="2">
        <v>41718</v>
      </c>
      <c r="B1063" s="1">
        <v>3373.6</v>
      </c>
      <c r="C1063" s="2">
        <f t="shared" si="135"/>
        <v>41718</v>
      </c>
      <c r="D1063" s="1">
        <f t="shared" si="136"/>
        <v>3373.6</v>
      </c>
      <c r="E1063" s="4">
        <f t="shared" si="137"/>
        <v>3293.4096000000009</v>
      </c>
      <c r="F1063" s="3">
        <f t="shared" si="138"/>
        <v>1.0243487478751501</v>
      </c>
      <c r="G1063" s="18">
        <f t="shared" si="139"/>
        <v>1</v>
      </c>
      <c r="H1063" s="3">
        <f t="shared" si="140"/>
        <v>6.0567383077514414E-3</v>
      </c>
      <c r="I1063" s="3">
        <f t="shared" si="141"/>
        <v>6.0567383077514414E-3</v>
      </c>
      <c r="K1063" s="12" t="str">
        <f>IF(AND(G1063=1,G1062&lt;&gt;1),MAX($K$50:K1062)+1,"")</f>
        <v/>
      </c>
      <c r="L1063" s="13" t="str">
        <f>IF(AND(G1063&lt;&gt;1,G1062=1),MAX($L$50:L1062)+1,"")</f>
        <v/>
      </c>
      <c r="M1063" s="13" t="str">
        <f>IF(AND(G1063=-1,G1062&lt;&gt;-1),MAX($M$50:M1062)+1,"")</f>
        <v/>
      </c>
      <c r="N1063" s="13" t="str">
        <f>IF(AND(G1063&lt;&gt;-1,G1062=-1),MAX($N$50:N1062)+1,"")</f>
        <v/>
      </c>
      <c r="T1063" s="7">
        <f t="shared" si="142"/>
        <v>115.06021627631777</v>
      </c>
      <c r="U1063" s="1">
        <f t="shared" si="143"/>
        <v>177.25097068759914</v>
      </c>
    </row>
    <row r="1064" spans="1:21" x14ac:dyDescent="0.3">
      <c r="A1064" s="2">
        <v>41719</v>
      </c>
      <c r="B1064" s="1">
        <v>3363.72</v>
      </c>
      <c r="C1064" s="2">
        <f t="shared" si="135"/>
        <v>41719</v>
      </c>
      <c r="D1064" s="1">
        <f t="shared" si="136"/>
        <v>3363.72</v>
      </c>
      <c r="E1064" s="4">
        <f t="shared" si="137"/>
        <v>3294.7292000000011</v>
      </c>
      <c r="F1064" s="3">
        <f t="shared" si="138"/>
        <v>1.0209397482500226</v>
      </c>
      <c r="G1064" s="18">
        <f t="shared" si="139"/>
        <v>1</v>
      </c>
      <c r="H1064" s="3">
        <f t="shared" si="140"/>
        <v>-2.9286222433009268E-3</v>
      </c>
      <c r="I1064" s="3">
        <f t="shared" si="141"/>
        <v>-2.9286222433009268E-3</v>
      </c>
      <c r="K1064" s="12" t="str">
        <f>IF(AND(G1064=1,G1063&lt;&gt;1),MAX($K$50:K1063)+1,"")</f>
        <v/>
      </c>
      <c r="L1064" s="13" t="str">
        <f>IF(AND(G1064&lt;&gt;1,G1063=1),MAX($L$50:L1063)+1,"")</f>
        <v/>
      </c>
      <c r="M1064" s="13" t="str">
        <f>IF(AND(G1064=-1,G1063&lt;&gt;-1),MAX($M$50:M1063)+1,"")</f>
        <v/>
      </c>
      <c r="N1064" s="13" t="str">
        <f>IF(AND(G1064&lt;&gt;-1,G1063=-1),MAX($N$50:N1063)+1,"")</f>
        <v/>
      </c>
      <c r="T1064" s="7">
        <f t="shared" si="142"/>
        <v>114.72324836761193</v>
      </c>
      <c r="U1064" s="1">
        <f t="shared" si="143"/>
        <v>176.73186955219674</v>
      </c>
    </row>
    <row r="1065" spans="1:21" x14ac:dyDescent="0.3">
      <c r="A1065" s="2">
        <v>41722</v>
      </c>
      <c r="B1065" s="1">
        <v>3347.36</v>
      </c>
      <c r="C1065" s="2">
        <f t="shared" si="135"/>
        <v>41722</v>
      </c>
      <c r="D1065" s="1">
        <f t="shared" si="136"/>
        <v>3347.36</v>
      </c>
      <c r="E1065" s="4">
        <f t="shared" si="137"/>
        <v>3295.6990000000001</v>
      </c>
      <c r="F1065" s="3">
        <f t="shared" si="138"/>
        <v>1.0156752785979546</v>
      </c>
      <c r="G1065" s="18">
        <f t="shared" si="139"/>
        <v>1</v>
      </c>
      <c r="H1065" s="3">
        <f t="shared" si="140"/>
        <v>-4.8636628494641565E-3</v>
      </c>
      <c r="I1065" s="3">
        <f t="shared" si="141"/>
        <v>-4.8636628494641565E-3</v>
      </c>
      <c r="K1065" s="12" t="str">
        <f>IF(AND(G1065=1,G1064&lt;&gt;1),MAX($K$50:K1064)+1,"")</f>
        <v/>
      </c>
      <c r="L1065" s="13" t="str">
        <f>IF(AND(G1065&lt;&gt;1,G1064=1),MAX($L$50:L1064)+1,"")</f>
        <v/>
      </c>
      <c r="M1065" s="13" t="str">
        <f>IF(AND(G1065=-1,G1064&lt;&gt;-1),MAX($M$50:M1064)+1,"")</f>
        <v/>
      </c>
      <c r="N1065" s="13" t="str">
        <f>IF(AND(G1065&lt;&gt;-1,G1064=-1),MAX($N$50:N1064)+1,"")</f>
        <v/>
      </c>
      <c r="T1065" s="7">
        <f t="shared" si="142"/>
        <v>114.16527316655653</v>
      </c>
      <c r="U1065" s="1">
        <f t="shared" si="143"/>
        <v>175.87230532393937</v>
      </c>
    </row>
    <row r="1066" spans="1:21" x14ac:dyDescent="0.3">
      <c r="A1066" s="2">
        <v>41723</v>
      </c>
      <c r="B1066" s="1">
        <v>3362.44</v>
      </c>
      <c r="C1066" s="2">
        <f t="shared" si="135"/>
        <v>41723</v>
      </c>
      <c r="D1066" s="1">
        <f t="shared" si="136"/>
        <v>3362.44</v>
      </c>
      <c r="E1066" s="4">
        <f t="shared" si="137"/>
        <v>3296.8180000000007</v>
      </c>
      <c r="F1066" s="3">
        <f t="shared" si="138"/>
        <v>1.0199046474509661</v>
      </c>
      <c r="G1066" s="18">
        <f t="shared" si="139"/>
        <v>1</v>
      </c>
      <c r="H1066" s="3">
        <f t="shared" si="140"/>
        <v>4.5050427799817605E-3</v>
      </c>
      <c r="I1066" s="3">
        <f t="shared" si="141"/>
        <v>4.5050427799817605E-3</v>
      </c>
      <c r="K1066" s="12" t="str">
        <f>IF(AND(G1066=1,G1065&lt;&gt;1),MAX($K$50:K1065)+1,"")</f>
        <v/>
      </c>
      <c r="L1066" s="13" t="str">
        <f>IF(AND(G1066&lt;&gt;1,G1065=1),MAX($L$50:L1065)+1,"")</f>
        <v/>
      </c>
      <c r="M1066" s="13" t="str">
        <f>IF(AND(G1066=-1,G1065&lt;&gt;-1),MAX($M$50:M1065)+1,"")</f>
        <v/>
      </c>
      <c r="N1066" s="13" t="str">
        <f>IF(AND(G1066&lt;&gt;-1,G1065=-1),MAX($N$50:N1065)+1,"")</f>
        <v/>
      </c>
      <c r="T1066" s="7">
        <f t="shared" si="142"/>
        <v>114.67959260616017</v>
      </c>
      <c r="U1066" s="1">
        <f t="shared" si="143"/>
        <v>176.66461758323774</v>
      </c>
    </row>
    <row r="1067" spans="1:21" x14ac:dyDescent="0.3">
      <c r="A1067" s="2">
        <v>41724</v>
      </c>
      <c r="B1067" s="1">
        <v>3339</v>
      </c>
      <c r="C1067" s="2">
        <f t="shared" si="135"/>
        <v>41724</v>
      </c>
      <c r="D1067" s="1">
        <f t="shared" si="136"/>
        <v>3339</v>
      </c>
      <c r="E1067" s="4">
        <f t="shared" si="137"/>
        <v>3298.2926000000002</v>
      </c>
      <c r="F1067" s="3">
        <f t="shared" si="138"/>
        <v>1.0123419614136113</v>
      </c>
      <c r="G1067" s="18">
        <f t="shared" si="139"/>
        <v>1</v>
      </c>
      <c r="H1067" s="3">
        <f t="shared" si="140"/>
        <v>-6.9711281093491895E-3</v>
      </c>
      <c r="I1067" s="3">
        <f t="shared" si="141"/>
        <v>-6.9711281093491895E-3</v>
      </c>
      <c r="K1067" s="12" t="str">
        <f>IF(AND(G1067=1,G1066&lt;&gt;1),MAX($K$50:K1066)+1,"")</f>
        <v/>
      </c>
      <c r="L1067" s="13" t="str">
        <f>IF(AND(G1067&lt;&gt;1,G1066=1),MAX($L$50:L1066)+1,"")</f>
        <v/>
      </c>
      <c r="M1067" s="13" t="str">
        <f>IF(AND(G1067=-1,G1066&lt;&gt;-1),MAX($M$50:M1066)+1,"")</f>
        <v/>
      </c>
      <c r="N1067" s="13" t="str">
        <f>IF(AND(G1067&lt;&gt;-1,G1066=-1),MAX($N$50:N1066)+1,"")</f>
        <v/>
      </c>
      <c r="T1067" s="7">
        <f t="shared" si="142"/>
        <v>113.88014647457466</v>
      </c>
      <c r="U1067" s="1">
        <f t="shared" si="143"/>
        <v>175.4330659016758</v>
      </c>
    </row>
    <row r="1068" spans="1:21" x14ac:dyDescent="0.3">
      <c r="A1068" s="2">
        <v>41725</v>
      </c>
      <c r="B1068" s="1">
        <v>3333.23</v>
      </c>
      <c r="C1068" s="2">
        <f t="shared" si="135"/>
        <v>41725</v>
      </c>
      <c r="D1068" s="1">
        <f t="shared" si="136"/>
        <v>3333.23</v>
      </c>
      <c r="E1068" s="4">
        <f t="shared" si="137"/>
        <v>3298.9450000000006</v>
      </c>
      <c r="F1068" s="3">
        <f t="shared" si="138"/>
        <v>1.0103927164593527</v>
      </c>
      <c r="G1068" s="18">
        <f t="shared" si="139"/>
        <v>1</v>
      </c>
      <c r="H1068" s="3">
        <f t="shared" si="140"/>
        <v>-1.7280622941000523E-3</v>
      </c>
      <c r="I1068" s="3">
        <f t="shared" si="141"/>
        <v>-1.7280622941000523E-3</v>
      </c>
      <c r="K1068" s="12" t="str">
        <f>IF(AND(G1068=1,G1067&lt;&gt;1),MAX($K$50:K1067)+1,"")</f>
        <v/>
      </c>
      <c r="L1068" s="13" t="str">
        <f>IF(AND(G1068&lt;&gt;1,G1067=1),MAX($L$50:L1067)+1,"")</f>
        <v/>
      </c>
      <c r="M1068" s="13" t="str">
        <f>IF(AND(G1068=-1,G1067&lt;&gt;-1),MAX($M$50:M1067)+1,"")</f>
        <v/>
      </c>
      <c r="N1068" s="13" t="str">
        <f>IF(AND(G1068&lt;&gt;-1,G1067=-1),MAX($N$50:N1067)+1,"")</f>
        <v/>
      </c>
      <c r="T1068" s="7">
        <f t="shared" si="142"/>
        <v>113.68335448740535</v>
      </c>
      <c r="U1068" s="1">
        <f t="shared" si="143"/>
        <v>175.12990663535274</v>
      </c>
    </row>
    <row r="1069" spans="1:21" x14ac:dyDescent="0.3">
      <c r="A1069" s="2">
        <v>41726</v>
      </c>
      <c r="B1069" s="1">
        <v>3348.83</v>
      </c>
      <c r="C1069" s="2">
        <f t="shared" si="135"/>
        <v>41726</v>
      </c>
      <c r="D1069" s="1">
        <f t="shared" si="136"/>
        <v>3348.83</v>
      </c>
      <c r="E1069" s="4">
        <f t="shared" si="137"/>
        <v>3299.566600000001</v>
      </c>
      <c r="F1069" s="3">
        <f t="shared" si="138"/>
        <v>1.0149302638716244</v>
      </c>
      <c r="G1069" s="18">
        <f t="shared" si="139"/>
        <v>1</v>
      </c>
      <c r="H1069" s="3">
        <f t="shared" si="140"/>
        <v>4.6801450844975445E-3</v>
      </c>
      <c r="I1069" s="3">
        <f t="shared" si="141"/>
        <v>4.6801450844975445E-3</v>
      </c>
      <c r="K1069" s="12" t="str">
        <f>IF(AND(G1069=1,G1068&lt;&gt;1),MAX($K$50:K1068)+1,"")</f>
        <v/>
      </c>
      <c r="L1069" s="13" t="str">
        <f>IF(AND(G1069&lt;&gt;1,G1068=1),MAX($L$50:L1068)+1,"")</f>
        <v/>
      </c>
      <c r="M1069" s="13" t="str">
        <f>IF(AND(G1069=-1,G1068&lt;&gt;-1),MAX($M$50:M1068)+1,"")</f>
        <v/>
      </c>
      <c r="N1069" s="13" t="str">
        <f>IF(AND(G1069&lt;&gt;-1,G1068=-1),MAX($N$50:N1068)+1,"")</f>
        <v/>
      </c>
      <c r="T1069" s="7">
        <f t="shared" si="142"/>
        <v>114.21540908009878</v>
      </c>
      <c r="U1069" s="1">
        <f t="shared" si="143"/>
        <v>175.94954000704072</v>
      </c>
    </row>
    <row r="1070" spans="1:21" x14ac:dyDescent="0.3">
      <c r="A1070" s="2">
        <v>41729</v>
      </c>
      <c r="B1070" s="1">
        <v>3375.51</v>
      </c>
      <c r="C1070" s="2">
        <f t="shared" si="135"/>
        <v>41729</v>
      </c>
      <c r="D1070" s="1">
        <f t="shared" si="136"/>
        <v>3375.51</v>
      </c>
      <c r="E1070" s="4">
        <f t="shared" si="137"/>
        <v>3300.809600000001</v>
      </c>
      <c r="F1070" s="3">
        <f t="shared" si="138"/>
        <v>1.0226309327263223</v>
      </c>
      <c r="G1070" s="18">
        <f t="shared" si="139"/>
        <v>1</v>
      </c>
      <c r="H1070" s="3">
        <f t="shared" si="140"/>
        <v>7.9669615955424433E-3</v>
      </c>
      <c r="I1070" s="3">
        <f t="shared" si="141"/>
        <v>7.9669615955424433E-3</v>
      </c>
      <c r="K1070" s="12" t="str">
        <f>IF(AND(G1070=1,G1069&lt;&gt;1),MAX($K$50:K1069)+1,"")</f>
        <v/>
      </c>
      <c r="L1070" s="13" t="str">
        <f>IF(AND(G1070&lt;&gt;1,G1069=1),MAX($L$50:L1069)+1,"")</f>
        <v/>
      </c>
      <c r="M1070" s="13" t="str">
        <f>IF(AND(G1070=-1,G1069&lt;&gt;-1),MAX($M$50:M1069)+1,"")</f>
        <v/>
      </c>
      <c r="N1070" s="13" t="str">
        <f>IF(AND(G1070&lt;&gt;-1,G1069=-1),MAX($N$50:N1069)+1,"")</f>
        <v/>
      </c>
      <c r="T1070" s="7">
        <f t="shared" si="142"/>
        <v>115.1253588578591</v>
      </c>
      <c r="U1070" s="1">
        <f t="shared" si="143"/>
        <v>177.35132323503018</v>
      </c>
    </row>
    <row r="1071" spans="1:21" x14ac:dyDescent="0.3">
      <c r="A1071" s="2">
        <v>41730</v>
      </c>
      <c r="B1071" s="1">
        <v>3399.51</v>
      </c>
      <c r="C1071" s="2">
        <f t="shared" si="135"/>
        <v>41730</v>
      </c>
      <c r="D1071" s="1">
        <f t="shared" si="136"/>
        <v>3399.51</v>
      </c>
      <c r="E1071" s="4">
        <f t="shared" si="137"/>
        <v>3302.789600000001</v>
      </c>
      <c r="F1071" s="3">
        <f t="shared" si="138"/>
        <v>1.0292844569935666</v>
      </c>
      <c r="G1071" s="18">
        <f t="shared" si="139"/>
        <v>1</v>
      </c>
      <c r="H1071" s="3">
        <f t="shared" si="140"/>
        <v>7.1100367055645375E-3</v>
      </c>
      <c r="I1071" s="3">
        <f t="shared" si="141"/>
        <v>7.1100367055645375E-3</v>
      </c>
      <c r="K1071" s="12" t="str">
        <f>IF(AND(G1071=1,G1070&lt;&gt;1),MAX($K$50:K1070)+1,"")</f>
        <v/>
      </c>
      <c r="L1071" s="13" t="str">
        <f>IF(AND(G1071&lt;&gt;1,G1070=1),MAX($L$50:L1070)+1,"")</f>
        <v/>
      </c>
      <c r="M1071" s="13" t="str">
        <f>IF(AND(G1071=-1,G1070&lt;&gt;-1),MAX($M$50:M1070)+1,"")</f>
        <v/>
      </c>
      <c r="N1071" s="13" t="str">
        <f>IF(AND(G1071&lt;&gt;-1,G1070=-1),MAX($N$50:N1070)+1,"")</f>
        <v/>
      </c>
      <c r="T1071" s="7">
        <f t="shared" si="142"/>
        <v>115.94390438507976</v>
      </c>
      <c r="U1071" s="1">
        <f t="shared" si="143"/>
        <v>178.61229765301167</v>
      </c>
    </row>
    <row r="1072" spans="1:21" x14ac:dyDescent="0.3">
      <c r="A1072" s="2">
        <v>41731</v>
      </c>
      <c r="B1072" s="1">
        <v>3409.8</v>
      </c>
      <c r="C1072" s="2">
        <f t="shared" si="135"/>
        <v>41731</v>
      </c>
      <c r="D1072" s="1">
        <f t="shared" si="136"/>
        <v>3409.8</v>
      </c>
      <c r="E1072" s="4">
        <f t="shared" si="137"/>
        <v>3304.7908000000002</v>
      </c>
      <c r="F1072" s="3">
        <f t="shared" si="138"/>
        <v>1.0317748403317994</v>
      </c>
      <c r="G1072" s="18">
        <f t="shared" si="139"/>
        <v>1</v>
      </c>
      <c r="H1072" s="3">
        <f t="shared" si="140"/>
        <v>3.0269068189239245E-3</v>
      </c>
      <c r="I1072" s="3">
        <f t="shared" si="141"/>
        <v>3.0269068189239245E-3</v>
      </c>
      <c r="K1072" s="12" t="str">
        <f>IF(AND(G1072=1,G1071&lt;&gt;1),MAX($K$50:K1071)+1,"")</f>
        <v/>
      </c>
      <c r="L1072" s="13" t="str">
        <f>IF(AND(G1072&lt;&gt;1,G1071=1),MAX($L$50:L1071)+1,"")</f>
        <v/>
      </c>
      <c r="M1072" s="13" t="str">
        <f>IF(AND(G1072=-1,G1071&lt;&gt;-1),MAX($M$50:M1071)+1,"")</f>
        <v/>
      </c>
      <c r="N1072" s="13" t="str">
        <f>IF(AND(G1072&lt;&gt;-1,G1071=-1),MAX($N$50:N1071)+1,"")</f>
        <v/>
      </c>
      <c r="T1072" s="7">
        <f t="shared" si="142"/>
        <v>116.29485577987562</v>
      </c>
      <c r="U1072" s="1">
        <f t="shared" si="143"/>
        <v>179.15294043472122</v>
      </c>
    </row>
    <row r="1073" spans="1:21" x14ac:dyDescent="0.3">
      <c r="A1073" s="2">
        <v>41732</v>
      </c>
      <c r="B1073" s="1">
        <v>3406</v>
      </c>
      <c r="C1073" s="2">
        <f t="shared" si="135"/>
        <v>41732</v>
      </c>
      <c r="D1073" s="1">
        <f t="shared" si="136"/>
        <v>3406</v>
      </c>
      <c r="E1073" s="4">
        <f t="shared" si="137"/>
        <v>3306.67</v>
      </c>
      <c r="F1073" s="3">
        <f t="shared" si="138"/>
        <v>1.0300392842345925</v>
      </c>
      <c r="G1073" s="18">
        <f t="shared" si="139"/>
        <v>1</v>
      </c>
      <c r="H1073" s="3">
        <f t="shared" si="140"/>
        <v>-1.1144348642149193E-3</v>
      </c>
      <c r="I1073" s="3">
        <f t="shared" si="141"/>
        <v>-1.1144348642149193E-3</v>
      </c>
      <c r="K1073" s="12" t="str">
        <f>IF(AND(G1073=1,G1072&lt;&gt;1),MAX($K$50:K1072)+1,"")</f>
        <v/>
      </c>
      <c r="L1073" s="13" t="str">
        <f>IF(AND(G1073&lt;&gt;1,G1072=1),MAX($L$50:L1072)+1,"")</f>
        <v/>
      </c>
      <c r="M1073" s="13" t="str">
        <f>IF(AND(G1073=-1,G1072&lt;&gt;-1),MAX($M$50:M1072)+1,"")</f>
        <v/>
      </c>
      <c r="N1073" s="13" t="str">
        <f>IF(AND(G1073&lt;&gt;-1,G1072=-1),MAX($N$50:N1072)+1,"")</f>
        <v/>
      </c>
      <c r="T1073" s="7">
        <f t="shared" si="142"/>
        <v>116.16525273806567</v>
      </c>
      <c r="U1073" s="1">
        <f t="shared" si="143"/>
        <v>178.95328615187412</v>
      </c>
    </row>
    <row r="1074" spans="1:21" x14ac:dyDescent="0.3">
      <c r="A1074" s="2">
        <v>41733</v>
      </c>
      <c r="B1074" s="1">
        <v>3363.41</v>
      </c>
      <c r="C1074" s="2">
        <f t="shared" si="135"/>
        <v>41733</v>
      </c>
      <c r="D1074" s="1">
        <f t="shared" si="136"/>
        <v>3363.41</v>
      </c>
      <c r="E1074" s="4">
        <f t="shared" si="137"/>
        <v>3308.2854000000002</v>
      </c>
      <c r="F1074" s="3">
        <f t="shared" si="138"/>
        <v>1.016662589025723</v>
      </c>
      <c r="G1074" s="18">
        <f t="shared" si="139"/>
        <v>1</v>
      </c>
      <c r="H1074" s="3">
        <f t="shared" si="140"/>
        <v>-1.2504403992953605E-2</v>
      </c>
      <c r="I1074" s="3">
        <f t="shared" si="141"/>
        <v>-1.2504403992953605E-2</v>
      </c>
      <c r="K1074" s="12" t="str">
        <f>IF(AND(G1074=1,G1073&lt;&gt;1),MAX($K$50:K1073)+1,"")</f>
        <v/>
      </c>
      <c r="L1074" s="13" t="str">
        <f>IF(AND(G1074&lt;&gt;1,G1073=1),MAX($L$50:L1073)+1,"")</f>
        <v/>
      </c>
      <c r="M1074" s="13" t="str">
        <f>IF(AND(G1074=-1,G1073&lt;&gt;-1),MAX($M$50:M1073)+1,"")</f>
        <v/>
      </c>
      <c r="N1074" s="13" t="str">
        <f>IF(AND(G1074&lt;&gt;-1,G1073=-1),MAX($N$50:N1073)+1,"")</f>
        <v/>
      </c>
      <c r="T1074" s="7">
        <f t="shared" si="142"/>
        <v>114.71267548788533</v>
      </c>
      <c r="U1074" s="1">
        <f t="shared" si="143"/>
        <v>176.71558196596445</v>
      </c>
    </row>
    <row r="1075" spans="1:21" x14ac:dyDescent="0.3">
      <c r="A1075" s="2">
        <v>41736</v>
      </c>
      <c r="B1075" s="1">
        <v>3327.27</v>
      </c>
      <c r="C1075" s="2">
        <f t="shared" si="135"/>
        <v>41736</v>
      </c>
      <c r="D1075" s="1">
        <f t="shared" si="136"/>
        <v>3327.27</v>
      </c>
      <c r="E1075" s="4">
        <f t="shared" si="137"/>
        <v>3310.5482000000002</v>
      </c>
      <c r="F1075" s="3">
        <f t="shared" si="138"/>
        <v>1.0050510667689416</v>
      </c>
      <c r="G1075" s="18">
        <f t="shared" si="139"/>
        <v>1</v>
      </c>
      <c r="H1075" s="3">
        <f t="shared" si="140"/>
        <v>-1.074504743697613E-2</v>
      </c>
      <c r="I1075" s="3">
        <f t="shared" si="141"/>
        <v>-1.074504743697613E-2</v>
      </c>
      <c r="K1075" s="12" t="str">
        <f>IF(AND(G1075=1,G1074&lt;&gt;1),MAX($K$50:K1074)+1,"")</f>
        <v/>
      </c>
      <c r="L1075" s="13" t="str">
        <f>IF(AND(G1075&lt;&gt;1,G1074=1),MAX($L$50:L1074)+1,"")</f>
        <v/>
      </c>
      <c r="M1075" s="13" t="str">
        <f>IF(AND(G1075=-1,G1074&lt;&gt;-1),MAX($M$50:M1074)+1,"")</f>
        <v/>
      </c>
      <c r="N1075" s="13" t="str">
        <f>IF(AND(G1075&lt;&gt;-1,G1074=-1),MAX($N$50:N1074)+1,"")</f>
        <v/>
      </c>
      <c r="T1075" s="7">
        <f t="shared" si="142"/>
        <v>113.48008234814556</v>
      </c>
      <c r="U1075" s="1">
        <f t="shared" si="143"/>
        <v>174.81676465488732</v>
      </c>
    </row>
    <row r="1076" spans="1:21" x14ac:dyDescent="0.3">
      <c r="A1076" s="2">
        <v>41737</v>
      </c>
      <c r="B1076" s="1">
        <v>3340.84</v>
      </c>
      <c r="C1076" s="2">
        <f t="shared" ref="C1076:C1139" si="144">A1076</f>
        <v>41737</v>
      </c>
      <c r="D1076" s="1">
        <f t="shared" ref="D1076:D1139" si="145">B1076</f>
        <v>3340.84</v>
      </c>
      <c r="E1076" s="4">
        <f t="shared" ref="E1076:E1139" si="146">AVERAGE(B1027:B1076)</f>
        <v>3313.3936000000003</v>
      </c>
      <c r="F1076" s="3">
        <f t="shared" ref="F1076:F1139" si="147">D1076/E1076</f>
        <v>1.0082834710612105</v>
      </c>
      <c r="G1076" s="18">
        <f t="shared" ref="G1076:G1139" si="148">IF(F1076&gt;=$Q$51,1,IF(F1076&lt;=$Q$52,-1,0))</f>
        <v>1</v>
      </c>
      <c r="H1076" s="3">
        <f t="shared" si="140"/>
        <v>4.0784186435125491E-3</v>
      </c>
      <c r="I1076" s="3">
        <f t="shared" si="141"/>
        <v>4.0784186435125491E-3</v>
      </c>
      <c r="K1076" s="12" t="str">
        <f>IF(AND(G1076=1,G1075&lt;&gt;1),MAX($K$50:K1075)+1,"")</f>
        <v/>
      </c>
      <c r="L1076" s="13" t="str">
        <f>IF(AND(G1076&lt;&gt;1,G1075=1),MAX($L$50:L1075)+1,"")</f>
        <v/>
      </c>
      <c r="M1076" s="13" t="str">
        <f>IF(AND(G1076=-1,G1075&lt;&gt;-1),MAX($M$50:M1075)+1,"")</f>
        <v/>
      </c>
      <c r="N1076" s="13" t="str">
        <f>IF(AND(G1076&lt;&gt;-1,G1075=-1),MAX($N$50:N1075)+1,"")</f>
        <v/>
      </c>
      <c r="T1076" s="7">
        <f t="shared" si="142"/>
        <v>113.94290163166157</v>
      </c>
      <c r="U1076" s="1">
        <f t="shared" si="143"/>
        <v>175.52974060705438</v>
      </c>
    </row>
    <row r="1077" spans="1:21" x14ac:dyDescent="0.3">
      <c r="A1077" s="2">
        <v>41738</v>
      </c>
      <c r="B1077" s="1">
        <v>3377.61</v>
      </c>
      <c r="C1077" s="2">
        <f t="shared" si="144"/>
        <v>41738</v>
      </c>
      <c r="D1077" s="1">
        <f t="shared" si="145"/>
        <v>3377.61</v>
      </c>
      <c r="E1077" s="4">
        <f t="shared" si="146"/>
        <v>3316.5816000000004</v>
      </c>
      <c r="F1077" s="3">
        <f t="shared" si="147"/>
        <v>1.0184009945662122</v>
      </c>
      <c r="G1077" s="18">
        <f t="shared" si="148"/>
        <v>1</v>
      </c>
      <c r="H1077" s="3">
        <f t="shared" ref="H1077:H1140" si="149">D1077/D1076-1</f>
        <v>1.1006214006058279E-2</v>
      </c>
      <c r="I1077" s="3">
        <f t="shared" ref="I1077:I1140" si="150">G1076*H1077</f>
        <v>1.1006214006058279E-2</v>
      </c>
      <c r="K1077" s="12" t="str">
        <f>IF(AND(G1077=1,G1076&lt;&gt;1),MAX($K$50:K1076)+1,"")</f>
        <v/>
      </c>
      <c r="L1077" s="13" t="str">
        <f>IF(AND(G1077&lt;&gt;1,G1076=1),MAX($L$50:L1076)+1,"")</f>
        <v/>
      </c>
      <c r="M1077" s="13" t="str">
        <f>IF(AND(G1077=-1,G1076&lt;&gt;-1),MAX($M$50:M1076)+1,"")</f>
        <v/>
      </c>
      <c r="N1077" s="13" t="str">
        <f>IF(AND(G1077&lt;&gt;-1,G1076=-1),MAX($N$50:N1076)+1,"")</f>
        <v/>
      </c>
      <c r="T1077" s="7">
        <f t="shared" ref="T1077:T1140" si="151">T1076*(1+I1077)</f>
        <v>115.19698159149088</v>
      </c>
      <c r="U1077" s="1">
        <f t="shared" ref="U1077:U1140" si="152">U1076*D1077/D1076</f>
        <v>177.46165849660352</v>
      </c>
    </row>
    <row r="1078" spans="1:21" x14ac:dyDescent="0.3">
      <c r="A1078" s="2">
        <v>41739</v>
      </c>
      <c r="B1078" s="1">
        <v>3307.08</v>
      </c>
      <c r="C1078" s="2">
        <f t="shared" si="144"/>
        <v>41739</v>
      </c>
      <c r="D1078" s="1">
        <f t="shared" si="145"/>
        <v>3307.08</v>
      </c>
      <c r="E1078" s="4">
        <f t="shared" si="146"/>
        <v>3319.0092</v>
      </c>
      <c r="F1078" s="3">
        <f t="shared" si="147"/>
        <v>0.99640579483780878</v>
      </c>
      <c r="G1078" s="18">
        <f t="shared" si="148"/>
        <v>1</v>
      </c>
      <c r="H1078" s="3">
        <f t="shared" si="149"/>
        <v>-2.0881629317772044E-2</v>
      </c>
      <c r="I1078" s="3">
        <f t="shared" si="150"/>
        <v>-2.0881629317772044E-2</v>
      </c>
      <c r="K1078" s="12" t="str">
        <f>IF(AND(G1078=1,G1077&lt;&gt;1),MAX($K$50:K1077)+1,"")</f>
        <v/>
      </c>
      <c r="L1078" s="13" t="str">
        <f>IF(AND(G1078&lt;&gt;1,G1077=1),MAX($L$50:L1077)+1,"")</f>
        <v/>
      </c>
      <c r="M1078" s="13" t="str">
        <f>IF(AND(G1078=-1,G1077&lt;&gt;-1),MAX($M$50:M1077)+1,"")</f>
        <v/>
      </c>
      <c r="N1078" s="13" t="str">
        <f>IF(AND(G1078&lt;&gt;-1,G1077=-1),MAX($N$50:N1077)+1,"")</f>
        <v/>
      </c>
      <c r="T1078" s="7">
        <f t="shared" si="151"/>
        <v>112.79148092337115</v>
      </c>
      <c r="U1078" s="1">
        <f t="shared" si="152"/>
        <v>173.75596992576038</v>
      </c>
    </row>
    <row r="1079" spans="1:21" x14ac:dyDescent="0.3">
      <c r="A1079" s="2">
        <v>41740</v>
      </c>
      <c r="B1079" s="1">
        <v>3276.04</v>
      </c>
      <c r="C1079" s="2">
        <f t="shared" si="144"/>
        <v>41740</v>
      </c>
      <c r="D1079" s="1">
        <f t="shared" si="145"/>
        <v>3276.04</v>
      </c>
      <c r="E1079" s="4">
        <f t="shared" si="146"/>
        <v>3320.0944</v>
      </c>
      <c r="F1079" s="3">
        <f t="shared" si="147"/>
        <v>0.98673097969744472</v>
      </c>
      <c r="G1079" s="18">
        <f t="shared" si="148"/>
        <v>1</v>
      </c>
      <c r="H1079" s="3">
        <f t="shared" si="149"/>
        <v>-9.3859235337517832E-3</v>
      </c>
      <c r="I1079" s="3">
        <f t="shared" si="150"/>
        <v>-9.3859235337517832E-3</v>
      </c>
      <c r="K1079" s="12" t="str">
        <f>IF(AND(G1079=1,G1078&lt;&gt;1),MAX($K$50:K1078)+1,"")</f>
        <v/>
      </c>
      <c r="L1079" s="13" t="str">
        <f>IF(AND(G1079&lt;&gt;1,G1078=1),MAX($L$50:L1078)+1,"")</f>
        <v/>
      </c>
      <c r="M1079" s="13" t="str">
        <f>IF(AND(G1079=-1,G1078&lt;&gt;-1),MAX($M$50:M1078)+1,"")</f>
        <v/>
      </c>
      <c r="N1079" s="13" t="str">
        <f>IF(AND(G1079&lt;&gt;-1,G1078=-1),MAX($N$50:N1078)+1,"")</f>
        <v/>
      </c>
      <c r="T1079" s="7">
        <f t="shared" si="151"/>
        <v>111.73282870816577</v>
      </c>
      <c r="U1079" s="1">
        <f t="shared" si="152"/>
        <v>172.12510967850432</v>
      </c>
    </row>
    <row r="1080" spans="1:21" x14ac:dyDescent="0.3">
      <c r="A1080" s="2">
        <v>41743</v>
      </c>
      <c r="B1080" s="1">
        <v>3302.98</v>
      </c>
      <c r="C1080" s="2">
        <f t="shared" si="144"/>
        <v>41743</v>
      </c>
      <c r="D1080" s="1">
        <f t="shared" si="145"/>
        <v>3302.98</v>
      </c>
      <c r="E1080" s="4">
        <f t="shared" si="146"/>
        <v>3322.1350000000002</v>
      </c>
      <c r="F1080" s="3">
        <f t="shared" si="147"/>
        <v>0.99423412955825086</v>
      </c>
      <c r="G1080" s="18">
        <f t="shared" si="148"/>
        <v>1</v>
      </c>
      <c r="H1080" s="3">
        <f t="shared" si="149"/>
        <v>8.2233428163269728E-3</v>
      </c>
      <c r="I1080" s="3">
        <f t="shared" si="150"/>
        <v>8.2233428163269728E-3</v>
      </c>
      <c r="K1080" s="12" t="str">
        <f>IF(AND(G1080=1,G1079&lt;&gt;1),MAX($K$50:K1079)+1,"")</f>
        <v/>
      </c>
      <c r="L1080" s="13" t="str">
        <f>IF(AND(G1080&lt;&gt;1,G1079=1),MAX($L$50:L1079)+1,"")</f>
        <v/>
      </c>
      <c r="M1080" s="13" t="str">
        <f>IF(AND(G1080=-1,G1079&lt;&gt;-1),MAX($M$50:M1079)+1,"")</f>
        <v/>
      </c>
      <c r="N1080" s="13" t="str">
        <f>IF(AND(G1080&lt;&gt;-1,G1079=-1),MAX($N$50:N1079)+1,"")</f>
        <v/>
      </c>
      <c r="T1080" s="7">
        <f t="shared" si="151"/>
        <v>112.65164606247096</v>
      </c>
      <c r="U1080" s="1">
        <f t="shared" si="152"/>
        <v>173.54055346268854</v>
      </c>
    </row>
    <row r="1081" spans="1:21" x14ac:dyDescent="0.3">
      <c r="A1081" s="2">
        <v>41744</v>
      </c>
      <c r="B1081" s="1">
        <v>3325.3</v>
      </c>
      <c r="C1081" s="2">
        <f t="shared" si="144"/>
        <v>41744</v>
      </c>
      <c r="D1081" s="1">
        <f t="shared" si="145"/>
        <v>3325.3</v>
      </c>
      <c r="E1081" s="4">
        <f t="shared" si="146"/>
        <v>3326.0835999999995</v>
      </c>
      <c r="F1081" s="3">
        <f t="shared" si="147"/>
        <v>0.99976440760538932</v>
      </c>
      <c r="G1081" s="18">
        <f t="shared" si="148"/>
        <v>1</v>
      </c>
      <c r="H1081" s="3">
        <f t="shared" si="149"/>
        <v>6.7575341055652327E-3</v>
      </c>
      <c r="I1081" s="3">
        <f t="shared" si="150"/>
        <v>6.7575341055652327E-3</v>
      </c>
      <c r="K1081" s="12" t="str">
        <f>IF(AND(G1081=1,G1080&lt;&gt;1),MAX($K$50:K1080)+1,"")</f>
        <v/>
      </c>
      <c r="L1081" s="13" t="str">
        <f>IF(AND(G1081&lt;&gt;1,G1080=1),MAX($L$50:L1080)+1,"")</f>
        <v/>
      </c>
      <c r="M1081" s="13" t="str">
        <f>IF(AND(G1081=-1,G1080&lt;&gt;-1),MAX($M$50:M1080)+1,"")</f>
        <v/>
      </c>
      <c r="N1081" s="13" t="str">
        <f>IF(AND(G1081&lt;&gt;-1,G1080=-1),MAX($N$50:N1080)+1,"")</f>
        <v/>
      </c>
      <c r="T1081" s="7">
        <f t="shared" si="151"/>
        <v>113.41289340278617</v>
      </c>
      <c r="U1081" s="1">
        <f t="shared" si="152"/>
        <v>174.71325967141135</v>
      </c>
    </row>
    <row r="1082" spans="1:21" x14ac:dyDescent="0.3">
      <c r="A1082" s="2">
        <v>41745</v>
      </c>
      <c r="B1082" s="1">
        <v>3360.27</v>
      </c>
      <c r="C1082" s="2">
        <f t="shared" si="144"/>
        <v>41745</v>
      </c>
      <c r="D1082" s="1">
        <f t="shared" si="145"/>
        <v>3360.27</v>
      </c>
      <c r="E1082" s="4">
        <f t="shared" si="146"/>
        <v>3330.250199999999</v>
      </c>
      <c r="F1082" s="3">
        <f t="shared" si="147"/>
        <v>1.0090142776659847</v>
      </c>
      <c r="G1082" s="18">
        <f t="shared" si="148"/>
        <v>1</v>
      </c>
      <c r="H1082" s="3">
        <f t="shared" si="149"/>
        <v>1.0516344389979837E-2</v>
      </c>
      <c r="I1082" s="3">
        <f t="shared" si="150"/>
        <v>1.0516344389979837E-2</v>
      </c>
      <c r="K1082" s="12" t="str">
        <f>IF(AND(G1082=1,G1081&lt;&gt;1),MAX($K$50:K1081)+1,"")</f>
        <v/>
      </c>
      <c r="L1082" s="13" t="str">
        <f>IF(AND(G1082&lt;&gt;1,G1081=1),MAX($L$50:L1081)+1,"")</f>
        <v/>
      </c>
      <c r="M1082" s="13" t="str">
        <f>IF(AND(G1082=-1,G1081&lt;&gt;-1),MAX($M$50:M1081)+1,"")</f>
        <v/>
      </c>
      <c r="N1082" s="13" t="str">
        <f>IF(AND(G1082&lt;&gt;-1,G1081=-1),MAX($N$50:N1081)+1,"")</f>
        <v/>
      </c>
      <c r="T1082" s="7">
        <f t="shared" si="151"/>
        <v>114.60558244807395</v>
      </c>
      <c r="U1082" s="1">
        <f t="shared" si="152"/>
        <v>176.55060447961188</v>
      </c>
    </row>
    <row r="1083" spans="1:21" x14ac:dyDescent="0.3">
      <c r="A1083" s="2">
        <v>41746</v>
      </c>
      <c r="B1083" s="1">
        <v>3365</v>
      </c>
      <c r="C1083" s="2">
        <f t="shared" si="144"/>
        <v>41746</v>
      </c>
      <c r="D1083" s="1">
        <f t="shared" si="145"/>
        <v>3365</v>
      </c>
      <c r="E1083" s="4">
        <f t="shared" si="146"/>
        <v>3334.6203999999993</v>
      </c>
      <c r="F1083" s="3">
        <f t="shared" si="147"/>
        <v>1.0091103623069062</v>
      </c>
      <c r="G1083" s="18">
        <f t="shared" si="148"/>
        <v>1</v>
      </c>
      <c r="H1083" s="3">
        <f t="shared" si="149"/>
        <v>1.4076249825163423E-3</v>
      </c>
      <c r="I1083" s="3">
        <f t="shared" si="150"/>
        <v>1.4076249825163423E-3</v>
      </c>
      <c r="K1083" s="12" t="str">
        <f>IF(AND(G1083=1,G1082&lt;&gt;1),MAX($K$50:K1082)+1,"")</f>
        <v/>
      </c>
      <c r="L1083" s="13" t="str">
        <f>IF(AND(G1083&lt;&gt;1,G1082=1),MAX($L$50:L1082)+1,"")</f>
        <v/>
      </c>
      <c r="M1083" s="13" t="str">
        <f>IF(AND(G1083=-1,G1082&lt;&gt;-1),MAX($M$50:M1082)+1,"")</f>
        <v/>
      </c>
      <c r="N1083" s="13" t="str">
        <f>IF(AND(G1083&lt;&gt;-1,G1082=-1),MAX($N$50:N1082)+1,"")</f>
        <v/>
      </c>
      <c r="T1083" s="7">
        <f t="shared" si="151"/>
        <v>114.76690412906369</v>
      </c>
      <c r="U1083" s="1">
        <f t="shared" si="152"/>
        <v>176.79912152115571</v>
      </c>
    </row>
    <row r="1084" spans="1:21" x14ac:dyDescent="0.3">
      <c r="A1084" s="2">
        <v>41750</v>
      </c>
      <c r="B1084" s="1">
        <v>3377.75</v>
      </c>
      <c r="C1084" s="2">
        <f t="shared" si="144"/>
        <v>41750</v>
      </c>
      <c r="D1084" s="1">
        <f t="shared" si="145"/>
        <v>3377.75</v>
      </c>
      <c r="E1084" s="4">
        <f t="shared" si="146"/>
        <v>3338.4303999999993</v>
      </c>
      <c r="F1084" s="3">
        <f t="shared" si="147"/>
        <v>1.0117778702230846</v>
      </c>
      <c r="G1084" s="18">
        <f t="shared" si="148"/>
        <v>1</v>
      </c>
      <c r="H1084" s="3">
        <f t="shared" si="149"/>
        <v>3.7890044576522897E-3</v>
      </c>
      <c r="I1084" s="3">
        <f t="shared" si="150"/>
        <v>3.7890044576522897E-3</v>
      </c>
      <c r="K1084" s="12" t="str">
        <f>IF(AND(G1084=1,G1083&lt;&gt;1),MAX($K$50:K1083)+1,"")</f>
        <v/>
      </c>
      <c r="L1084" s="13" t="str">
        <f>IF(AND(G1084&lt;&gt;1,G1083=1),MAX($L$50:L1083)+1,"")</f>
        <v/>
      </c>
      <c r="M1084" s="13" t="str">
        <f>IF(AND(G1084=-1,G1083&lt;&gt;-1),MAX($M$50:M1083)+1,"")</f>
        <v/>
      </c>
      <c r="N1084" s="13" t="str">
        <f>IF(AND(G1084&lt;&gt;-1,G1083=-1),MAX($N$50:N1083)+1,"")</f>
        <v/>
      </c>
      <c r="T1084" s="7">
        <f t="shared" si="151"/>
        <v>115.20175644039966</v>
      </c>
      <c r="U1084" s="1">
        <f t="shared" si="152"/>
        <v>177.46901418070837</v>
      </c>
    </row>
    <row r="1085" spans="1:21" x14ac:dyDescent="0.3">
      <c r="A1085" s="2">
        <v>41751</v>
      </c>
      <c r="B1085" s="1">
        <v>3391.58</v>
      </c>
      <c r="C1085" s="2">
        <f t="shared" si="144"/>
        <v>41751</v>
      </c>
      <c r="D1085" s="1">
        <f t="shared" si="145"/>
        <v>3391.58</v>
      </c>
      <c r="E1085" s="4">
        <f t="shared" si="146"/>
        <v>3341.6691999999985</v>
      </c>
      <c r="F1085" s="3">
        <f t="shared" si="147"/>
        <v>1.0149358889264088</v>
      </c>
      <c r="G1085" s="18">
        <f t="shared" si="148"/>
        <v>1</v>
      </c>
      <c r="H1085" s="3">
        <f t="shared" si="149"/>
        <v>4.0944415661312572E-3</v>
      </c>
      <c r="I1085" s="3">
        <f t="shared" si="150"/>
        <v>4.0944415661312572E-3</v>
      </c>
      <c r="K1085" s="12" t="str">
        <f>IF(AND(G1085=1,G1084&lt;&gt;1),MAX($K$50:K1084)+1,"")</f>
        <v/>
      </c>
      <c r="L1085" s="13" t="str">
        <f>IF(AND(G1085&lt;&gt;1,G1084=1),MAX($L$50:L1084)+1,"")</f>
        <v/>
      </c>
      <c r="M1085" s="13" t="str">
        <f>IF(AND(G1085=-1,G1084&lt;&gt;-1),MAX($M$50:M1084)+1,"")</f>
        <v/>
      </c>
      <c r="N1085" s="13" t="str">
        <f>IF(AND(G1085&lt;&gt;-1,G1084=-1),MAX($N$50:N1084)+1,"")</f>
        <v/>
      </c>
      <c r="T1085" s="7">
        <f t="shared" si="151"/>
        <v>115.67344330046056</v>
      </c>
      <c r="U1085" s="1">
        <f t="shared" si="152"/>
        <v>178.19565068907019</v>
      </c>
    </row>
    <row r="1086" spans="1:21" x14ac:dyDescent="0.3">
      <c r="A1086" s="2">
        <v>41752</v>
      </c>
      <c r="B1086" s="1">
        <v>3384.5</v>
      </c>
      <c r="C1086" s="2">
        <f t="shared" si="144"/>
        <v>41752</v>
      </c>
      <c r="D1086" s="1">
        <f t="shared" si="145"/>
        <v>3384.5</v>
      </c>
      <c r="E1086" s="4">
        <f t="shared" si="146"/>
        <v>3344.663399999999</v>
      </c>
      <c r="F1086" s="3">
        <f t="shared" si="147"/>
        <v>1.0119104959859342</v>
      </c>
      <c r="G1086" s="18">
        <f t="shared" si="148"/>
        <v>1</v>
      </c>
      <c r="H1086" s="3">
        <f t="shared" si="149"/>
        <v>-2.0875226295709037E-3</v>
      </c>
      <c r="I1086" s="3">
        <f t="shared" si="150"/>
        <v>-2.0875226295709037E-3</v>
      </c>
      <c r="K1086" s="12" t="str">
        <f>IF(AND(G1086=1,G1085&lt;&gt;1),MAX($K$50:K1085)+1,"")</f>
        <v/>
      </c>
      <c r="L1086" s="13" t="str">
        <f>IF(AND(G1086&lt;&gt;1,G1085=1),MAX($L$50:L1085)+1,"")</f>
        <v/>
      </c>
      <c r="M1086" s="13" t="str">
        <f>IF(AND(G1086=-1,G1085&lt;&gt;-1),MAX($M$50:M1085)+1,"")</f>
        <v/>
      </c>
      <c r="N1086" s="13" t="str">
        <f>IF(AND(G1086&lt;&gt;-1,G1085=-1),MAX($N$50:N1085)+1,"")</f>
        <v/>
      </c>
      <c r="T1086" s="7">
        <f t="shared" si="151"/>
        <v>115.43197236993046</v>
      </c>
      <c r="U1086" s="1">
        <f t="shared" si="152"/>
        <v>177.82366323576565</v>
      </c>
    </row>
    <row r="1087" spans="1:21" x14ac:dyDescent="0.3">
      <c r="A1087" s="2">
        <v>41753</v>
      </c>
      <c r="B1087" s="1">
        <v>3390.39</v>
      </c>
      <c r="C1087" s="2">
        <f t="shared" si="144"/>
        <v>41753</v>
      </c>
      <c r="D1087" s="1">
        <f t="shared" si="145"/>
        <v>3390.39</v>
      </c>
      <c r="E1087" s="4">
        <f t="shared" si="146"/>
        <v>3347.0563999999995</v>
      </c>
      <c r="F1087" s="3">
        <f t="shared" si="147"/>
        <v>1.0129467791459983</v>
      </c>
      <c r="G1087" s="18">
        <f t="shared" si="148"/>
        <v>1</v>
      </c>
      <c r="H1087" s="3">
        <f t="shared" si="149"/>
        <v>1.7402866006794859E-3</v>
      </c>
      <c r="I1087" s="3">
        <f t="shared" si="150"/>
        <v>1.7402866006794859E-3</v>
      </c>
      <c r="K1087" s="12" t="str">
        <f>IF(AND(G1087=1,G1086&lt;&gt;1),MAX($K$50:K1086)+1,"")</f>
        <v/>
      </c>
      <c r="L1087" s="13" t="str">
        <f>IF(AND(G1087&lt;&gt;1,G1086=1),MAX($L$50:L1086)+1,"")</f>
        <v/>
      </c>
      <c r="M1087" s="13" t="str">
        <f>IF(AND(G1087=-1,G1086&lt;&gt;-1),MAX($M$50:M1086)+1,"")</f>
        <v/>
      </c>
      <c r="N1087" s="13" t="str">
        <f>IF(AND(G1087&lt;&gt;-1,G1086=-1),MAX($N$50:N1086)+1,"")</f>
        <v/>
      </c>
      <c r="T1087" s="7">
        <f t="shared" si="151"/>
        <v>115.63285708473586</v>
      </c>
      <c r="U1087" s="1">
        <f t="shared" si="152"/>
        <v>178.1331273741786</v>
      </c>
    </row>
    <row r="1088" spans="1:21" x14ac:dyDescent="0.3">
      <c r="A1088" s="2">
        <v>41754</v>
      </c>
      <c r="B1088" s="1">
        <v>3362.95</v>
      </c>
      <c r="C1088" s="2">
        <f t="shared" si="144"/>
        <v>41754</v>
      </c>
      <c r="D1088" s="1">
        <f t="shared" si="145"/>
        <v>3362.95</v>
      </c>
      <c r="E1088" s="4">
        <f t="shared" si="146"/>
        <v>3348.886</v>
      </c>
      <c r="F1088" s="3">
        <f t="shared" si="147"/>
        <v>1.0041996054807478</v>
      </c>
      <c r="G1088" s="18">
        <f t="shared" si="148"/>
        <v>1</v>
      </c>
      <c r="H1088" s="3">
        <f t="shared" si="149"/>
        <v>-8.0934641737381297E-3</v>
      </c>
      <c r="I1088" s="3">
        <f t="shared" si="150"/>
        <v>-8.0934641737381297E-3</v>
      </c>
      <c r="K1088" s="12" t="str">
        <f>IF(AND(G1088=1,G1087&lt;&gt;1),MAX($K$50:K1087)+1,"")</f>
        <v/>
      </c>
      <c r="L1088" s="13" t="str">
        <f>IF(AND(G1088&lt;&gt;1,G1087=1),MAX($L$50:L1087)+1,"")</f>
        <v/>
      </c>
      <c r="M1088" s="13" t="str">
        <f>IF(AND(G1088=-1,G1087&lt;&gt;-1),MAX($M$50:M1087)+1,"")</f>
        <v/>
      </c>
      <c r="N1088" s="13" t="str">
        <f>IF(AND(G1088&lt;&gt;-1,G1087=-1),MAX($N$50:N1087)+1,"")</f>
        <v/>
      </c>
      <c r="T1088" s="7">
        <f t="shared" si="151"/>
        <v>114.69698669861357</v>
      </c>
      <c r="U1088" s="1">
        <f t="shared" si="152"/>
        <v>176.69141328961976</v>
      </c>
    </row>
    <row r="1089" spans="1:21" x14ac:dyDescent="0.3">
      <c r="A1089" s="2">
        <v>41757</v>
      </c>
      <c r="B1089" s="1">
        <v>3374.04</v>
      </c>
      <c r="C1089" s="2">
        <f t="shared" si="144"/>
        <v>41757</v>
      </c>
      <c r="D1089" s="1">
        <f t="shared" si="145"/>
        <v>3374.04</v>
      </c>
      <c r="E1089" s="4">
        <f t="shared" si="146"/>
        <v>3350.5504000000005</v>
      </c>
      <c r="F1089" s="3">
        <f t="shared" si="147"/>
        <v>1.0070106690530605</v>
      </c>
      <c r="G1089" s="18">
        <f t="shared" si="148"/>
        <v>1</v>
      </c>
      <c r="H1089" s="3">
        <f t="shared" si="149"/>
        <v>3.2976999360680992E-3</v>
      </c>
      <c r="I1089" s="3">
        <f t="shared" si="150"/>
        <v>3.2976999360680992E-3</v>
      </c>
      <c r="K1089" s="12" t="str">
        <f>IF(AND(G1089=1,G1088&lt;&gt;1),MAX($K$50:K1088)+1,"")</f>
        <v/>
      </c>
      <c r="L1089" s="13" t="str">
        <f>IF(AND(G1089&lt;&gt;1,G1088=1),MAX($L$50:L1088)+1,"")</f>
        <v/>
      </c>
      <c r="M1089" s="13" t="str">
        <f>IF(AND(G1089=-1,G1088&lt;&gt;-1),MAX($M$50:M1088)+1,"")</f>
        <v/>
      </c>
      <c r="N1089" s="13" t="str">
        <f>IF(AND(G1089&lt;&gt;-1,G1088=-1),MAX($N$50:N1088)+1,"")</f>
        <v/>
      </c>
      <c r="T1089" s="7">
        <f t="shared" si="151"/>
        <v>115.07522294431679</v>
      </c>
      <c r="U1089" s="1">
        <f t="shared" si="152"/>
        <v>177.27408855192871</v>
      </c>
    </row>
    <row r="1090" spans="1:21" x14ac:dyDescent="0.3">
      <c r="A1090" s="2">
        <v>41758</v>
      </c>
      <c r="B1090" s="1">
        <v>3390.16</v>
      </c>
      <c r="C1090" s="2">
        <f t="shared" si="144"/>
        <v>41758</v>
      </c>
      <c r="D1090" s="1">
        <f t="shared" si="145"/>
        <v>3390.16</v>
      </c>
      <c r="E1090" s="4">
        <f t="shared" si="146"/>
        <v>3352.2151999999996</v>
      </c>
      <c r="F1090" s="3">
        <f t="shared" si="147"/>
        <v>1.011319321026884</v>
      </c>
      <c r="G1090" s="18">
        <f t="shared" si="148"/>
        <v>1</v>
      </c>
      <c r="H1090" s="3">
        <f t="shared" si="149"/>
        <v>4.7776552737963662E-3</v>
      </c>
      <c r="I1090" s="3">
        <f t="shared" si="150"/>
        <v>4.7776552737963662E-3</v>
      </c>
      <c r="K1090" s="12" t="str">
        <f>IF(AND(G1090=1,G1089&lt;&gt;1),MAX($K$50:K1089)+1,"")</f>
        <v/>
      </c>
      <c r="L1090" s="13" t="str">
        <f>IF(AND(G1090&lt;&gt;1,G1089=1),MAX($L$50:L1089)+1,"")</f>
        <v/>
      </c>
      <c r="M1090" s="13" t="str">
        <f>IF(AND(G1090=-1,G1089&lt;&gt;-1),MAX($M$50:M1089)+1,"")</f>
        <v/>
      </c>
      <c r="N1090" s="13" t="str">
        <f>IF(AND(G1090&lt;&gt;-1,G1089=-1),MAX($N$50:N1089)+1,"")</f>
        <v/>
      </c>
      <c r="T1090" s="7">
        <f t="shared" si="151"/>
        <v>115.62501269009999</v>
      </c>
      <c r="U1090" s="1">
        <f t="shared" si="152"/>
        <v>178.12104303600628</v>
      </c>
    </row>
    <row r="1091" spans="1:21" x14ac:dyDescent="0.3">
      <c r="A1091" s="2">
        <v>41759</v>
      </c>
      <c r="B1091" s="1">
        <v>3400.46</v>
      </c>
      <c r="C1091" s="2">
        <f t="shared" si="144"/>
        <v>41759</v>
      </c>
      <c r="D1091" s="1">
        <f t="shared" si="145"/>
        <v>3400.46</v>
      </c>
      <c r="E1091" s="4">
        <f t="shared" si="146"/>
        <v>3353.9989999999998</v>
      </c>
      <c r="F1091" s="3">
        <f t="shared" si="147"/>
        <v>1.0138524191569527</v>
      </c>
      <c r="G1091" s="18">
        <f t="shared" si="148"/>
        <v>1</v>
      </c>
      <c r="H1091" s="3">
        <f t="shared" si="149"/>
        <v>3.0382046865045087E-3</v>
      </c>
      <c r="I1091" s="3">
        <f t="shared" si="150"/>
        <v>3.0382046865045087E-3</v>
      </c>
      <c r="K1091" s="12" t="str">
        <f>IF(AND(G1091=1,G1090&lt;&gt;1),MAX($K$50:K1090)+1,"")</f>
        <v/>
      </c>
      <c r="L1091" s="13" t="str">
        <f>IF(AND(G1091&lt;&gt;1,G1090=1),MAX($L$50:L1090)+1,"")</f>
        <v/>
      </c>
      <c r="M1091" s="13" t="str">
        <f>IF(AND(G1091=-1,G1090&lt;&gt;-1),MAX($M$50:M1090)+1,"")</f>
        <v/>
      </c>
      <c r="N1091" s="13" t="str">
        <f>IF(AND(G1091&lt;&gt;-1,G1090=-1),MAX($N$50:N1090)+1,"")</f>
        <v/>
      </c>
      <c r="T1091" s="7">
        <f t="shared" si="151"/>
        <v>115.97630514553219</v>
      </c>
      <c r="U1091" s="1">
        <f t="shared" si="152"/>
        <v>178.66221122372335</v>
      </c>
    </row>
    <row r="1092" spans="1:21" x14ac:dyDescent="0.3">
      <c r="A1092" s="2">
        <v>41760</v>
      </c>
      <c r="B1092" s="1">
        <v>3400.2</v>
      </c>
      <c r="C1092" s="2">
        <f t="shared" si="144"/>
        <v>41760</v>
      </c>
      <c r="D1092" s="1">
        <f t="shared" si="145"/>
        <v>3400.2</v>
      </c>
      <c r="E1092" s="4">
        <f t="shared" si="146"/>
        <v>3356.2064</v>
      </c>
      <c r="F1092" s="3">
        <f t="shared" si="147"/>
        <v>1.013108133039732</v>
      </c>
      <c r="G1092" s="18">
        <f t="shared" si="148"/>
        <v>1</v>
      </c>
      <c r="H1092" s="3">
        <f t="shared" si="149"/>
        <v>-7.6460243614184797E-5</v>
      </c>
      <c r="I1092" s="3">
        <f t="shared" si="150"/>
        <v>-7.6460243614184797E-5</v>
      </c>
      <c r="K1092" s="12" t="str">
        <f>IF(AND(G1092=1,G1091&lt;&gt;1),MAX($K$50:K1091)+1,"")</f>
        <v/>
      </c>
      <c r="L1092" s="13" t="str">
        <f>IF(AND(G1092&lt;&gt;1,G1091=1),MAX($L$50:L1091)+1,"")</f>
        <v/>
      </c>
      <c r="M1092" s="13" t="str">
        <f>IF(AND(G1092=-1,G1091&lt;&gt;-1),MAX($M$50:M1091)+1,"")</f>
        <v/>
      </c>
      <c r="N1092" s="13" t="str">
        <f>IF(AND(G1092&lt;&gt;-1,G1091=-1),MAX($N$50:N1091)+1,"")</f>
        <v/>
      </c>
      <c r="T1092" s="7">
        <f t="shared" si="151"/>
        <v>115.96743756898729</v>
      </c>
      <c r="U1092" s="1">
        <f t="shared" si="152"/>
        <v>178.64855066752855</v>
      </c>
    </row>
    <row r="1093" spans="1:21" x14ac:dyDescent="0.3">
      <c r="A1093" s="2">
        <v>41761</v>
      </c>
      <c r="B1093" s="1">
        <v>3395.61</v>
      </c>
      <c r="C1093" s="2">
        <f t="shared" si="144"/>
        <v>41761</v>
      </c>
      <c r="D1093" s="1">
        <f t="shared" si="145"/>
        <v>3395.61</v>
      </c>
      <c r="E1093" s="4">
        <f t="shared" si="146"/>
        <v>3357.9132000000009</v>
      </c>
      <c r="F1093" s="3">
        <f t="shared" si="147"/>
        <v>1.011226258022393</v>
      </c>
      <c r="G1093" s="18">
        <f t="shared" si="148"/>
        <v>1</v>
      </c>
      <c r="H1093" s="3">
        <f t="shared" si="149"/>
        <v>-1.3499205929061731E-3</v>
      </c>
      <c r="I1093" s="3">
        <f t="shared" si="150"/>
        <v>-1.3499205929061731E-3</v>
      </c>
      <c r="K1093" s="12" t="str">
        <f>IF(AND(G1093=1,G1092&lt;&gt;1),MAX($K$50:K1092)+1,"")</f>
        <v/>
      </c>
      <c r="L1093" s="13" t="str">
        <f>IF(AND(G1093&lt;&gt;1,G1092=1),MAX($L$50:L1092)+1,"")</f>
        <v/>
      </c>
      <c r="M1093" s="13" t="str">
        <f>IF(AND(G1093=-1,G1092&lt;&gt;-1),MAX($M$50:M1092)+1,"")</f>
        <v/>
      </c>
      <c r="N1093" s="13" t="str">
        <f>IF(AND(G1093&lt;&gt;-1,G1092=-1),MAX($N$50:N1092)+1,"")</f>
        <v/>
      </c>
      <c r="T1093" s="7">
        <f t="shared" si="151"/>
        <v>115.81089073690636</v>
      </c>
      <c r="U1093" s="1">
        <f t="shared" si="152"/>
        <v>178.4073893100896</v>
      </c>
    </row>
    <row r="1094" spans="1:21" x14ac:dyDescent="0.3">
      <c r="A1094" s="2">
        <v>41764</v>
      </c>
      <c r="B1094" s="1">
        <v>3402.23</v>
      </c>
      <c r="C1094" s="2">
        <f t="shared" si="144"/>
        <v>41764</v>
      </c>
      <c r="D1094" s="1">
        <f t="shared" si="145"/>
        <v>3402.23</v>
      </c>
      <c r="E1094" s="4">
        <f t="shared" si="146"/>
        <v>3359.8706000000002</v>
      </c>
      <c r="F1094" s="3">
        <f t="shared" si="147"/>
        <v>1.0126074498226212</v>
      </c>
      <c r="G1094" s="18">
        <f t="shared" si="148"/>
        <v>1</v>
      </c>
      <c r="H1094" s="3">
        <f t="shared" si="149"/>
        <v>1.9495760702790133E-3</v>
      </c>
      <c r="I1094" s="3">
        <f t="shared" si="150"/>
        <v>1.9495760702790133E-3</v>
      </c>
      <c r="K1094" s="12" t="str">
        <f>IF(AND(G1094=1,G1093&lt;&gt;1),MAX($K$50:K1093)+1,"")</f>
        <v/>
      </c>
      <c r="L1094" s="13" t="str">
        <f>IF(AND(G1094&lt;&gt;1,G1093=1),MAX($L$50:L1093)+1,"")</f>
        <v/>
      </c>
      <c r="M1094" s="13" t="str">
        <f>IF(AND(G1094=-1,G1093&lt;&gt;-1),MAX($M$50:M1093)+1,"")</f>
        <v/>
      </c>
      <c r="N1094" s="13" t="str">
        <f>IF(AND(G1094&lt;&gt;-1,G1093=-1),MAX($N$50:N1093)+1,"")</f>
        <v/>
      </c>
      <c r="T1094" s="7">
        <f t="shared" si="151"/>
        <v>116.03667287816472</v>
      </c>
      <c r="U1094" s="1">
        <f t="shared" si="152"/>
        <v>178.75520808704948</v>
      </c>
    </row>
    <row r="1095" spans="1:21" x14ac:dyDescent="0.3">
      <c r="A1095" s="2">
        <v>41765</v>
      </c>
      <c r="B1095" s="1">
        <v>3371.72</v>
      </c>
      <c r="C1095" s="2">
        <f t="shared" si="144"/>
        <v>41765</v>
      </c>
      <c r="D1095" s="1">
        <f t="shared" si="145"/>
        <v>3371.72</v>
      </c>
      <c r="E1095" s="4">
        <f t="shared" si="146"/>
        <v>3360.8082000000009</v>
      </c>
      <c r="F1095" s="3">
        <f t="shared" si="147"/>
        <v>1.0032467785576098</v>
      </c>
      <c r="G1095" s="18">
        <f t="shared" si="148"/>
        <v>1</v>
      </c>
      <c r="H1095" s="3">
        <f t="shared" si="149"/>
        <v>-8.967647689897551E-3</v>
      </c>
      <c r="I1095" s="3">
        <f t="shared" si="150"/>
        <v>-8.967647689897551E-3</v>
      </c>
      <c r="K1095" s="12" t="str">
        <f>IF(AND(G1095=1,G1094&lt;&gt;1),MAX($K$50:K1094)+1,"")</f>
        <v/>
      </c>
      <c r="L1095" s="13" t="str">
        <f>IF(AND(G1095&lt;&gt;1,G1094=1),MAX($L$50:L1094)+1,"")</f>
        <v/>
      </c>
      <c r="M1095" s="13" t="str">
        <f>IF(AND(G1095=-1,G1094&lt;&gt;-1),MAX($M$50:M1094)+1,"")</f>
        <v/>
      </c>
      <c r="N1095" s="13" t="str">
        <f>IF(AND(G1095&lt;&gt;-1,G1094=-1),MAX($N$50:N1094)+1,"")</f>
        <v/>
      </c>
      <c r="T1095" s="7">
        <f t="shared" si="151"/>
        <v>114.99609687668546</v>
      </c>
      <c r="U1095" s="1">
        <f t="shared" si="152"/>
        <v>177.15219435819048</v>
      </c>
    </row>
    <row r="1096" spans="1:21" x14ac:dyDescent="0.3">
      <c r="A1096" s="2">
        <v>41766</v>
      </c>
      <c r="B1096" s="1">
        <v>3392.1</v>
      </c>
      <c r="C1096" s="2">
        <f t="shared" si="144"/>
        <v>41766</v>
      </c>
      <c r="D1096" s="1">
        <f t="shared" si="145"/>
        <v>3392.1</v>
      </c>
      <c r="E1096" s="4">
        <f t="shared" si="146"/>
        <v>3362.2416000000007</v>
      </c>
      <c r="F1096" s="3">
        <f t="shared" si="147"/>
        <v>1.0088805040066124</v>
      </c>
      <c r="G1096" s="18">
        <f t="shared" si="148"/>
        <v>1</v>
      </c>
      <c r="H1096" s="3">
        <f t="shared" si="149"/>
        <v>6.0443927728281999E-3</v>
      </c>
      <c r="I1096" s="3">
        <f t="shared" si="150"/>
        <v>6.0443927728281999E-3</v>
      </c>
      <c r="K1096" s="12" t="str">
        <f>IF(AND(G1096=1,G1095&lt;&gt;1),MAX($K$50:K1095)+1,"")</f>
        <v/>
      </c>
      <c r="L1096" s="13" t="str">
        <f>IF(AND(G1096&lt;&gt;1,G1095=1),MAX($L$50:L1095)+1,"")</f>
        <v/>
      </c>
      <c r="M1096" s="13" t="str">
        <f>IF(AND(G1096=-1,G1095&lt;&gt;-1),MAX($M$50:M1095)+1,"")</f>
        <v/>
      </c>
      <c r="N1096" s="13" t="str">
        <f>IF(AND(G1096&lt;&gt;-1,G1095=-1),MAX($N$50:N1095)+1,"")</f>
        <v/>
      </c>
      <c r="T1096" s="7">
        <f t="shared" si="151"/>
        <v>115.69117845355035</v>
      </c>
      <c r="U1096" s="1">
        <f t="shared" si="152"/>
        <v>178.22297180145981</v>
      </c>
    </row>
    <row r="1097" spans="1:21" x14ac:dyDescent="0.3">
      <c r="A1097" s="2">
        <v>41767</v>
      </c>
      <c r="B1097" s="1">
        <v>3388.29</v>
      </c>
      <c r="C1097" s="2">
        <f t="shared" si="144"/>
        <v>41767</v>
      </c>
      <c r="D1097" s="1">
        <f t="shared" si="145"/>
        <v>3388.29</v>
      </c>
      <c r="E1097" s="4">
        <f t="shared" si="146"/>
        <v>3363.5844000000006</v>
      </c>
      <c r="F1097" s="3">
        <f t="shared" si="147"/>
        <v>1.0073450215787656</v>
      </c>
      <c r="G1097" s="18">
        <f t="shared" si="148"/>
        <v>1</v>
      </c>
      <c r="H1097" s="3">
        <f t="shared" si="149"/>
        <v>-1.1231980189263524E-3</v>
      </c>
      <c r="I1097" s="3">
        <f t="shared" si="150"/>
        <v>-1.1231980189263524E-3</v>
      </c>
      <c r="K1097" s="12" t="str">
        <f>IF(AND(G1097=1,G1096&lt;&gt;1),MAX($K$50:K1096)+1,"")</f>
        <v/>
      </c>
      <c r="L1097" s="13" t="str">
        <f>IF(AND(G1097&lt;&gt;1,G1096=1),MAX($L$50:L1096)+1,"")</f>
        <v/>
      </c>
      <c r="M1097" s="13" t="str">
        <f>IF(AND(G1097=-1,G1096&lt;&gt;-1),MAX($M$50:M1096)+1,"")</f>
        <v/>
      </c>
      <c r="N1097" s="13" t="str">
        <f>IF(AND(G1097&lt;&gt;-1,G1096=-1),MAX($N$50:N1096)+1,"")</f>
        <v/>
      </c>
      <c r="T1097" s="7">
        <f t="shared" si="151"/>
        <v>115.56123435110406</v>
      </c>
      <c r="U1097" s="1">
        <f t="shared" si="152"/>
        <v>178.02279211260526</v>
      </c>
    </row>
    <row r="1098" spans="1:21" x14ac:dyDescent="0.3">
      <c r="A1098" s="2">
        <v>41768</v>
      </c>
      <c r="B1098" s="1">
        <v>3394.05</v>
      </c>
      <c r="C1098" s="2">
        <f t="shared" si="144"/>
        <v>41768</v>
      </c>
      <c r="D1098" s="1">
        <f t="shared" si="145"/>
        <v>3394.05</v>
      </c>
      <c r="E1098" s="4">
        <f t="shared" si="146"/>
        <v>3364.7044000000005</v>
      </c>
      <c r="F1098" s="3">
        <f t="shared" si="147"/>
        <v>1.0087215982479767</v>
      </c>
      <c r="G1098" s="18">
        <f t="shared" si="148"/>
        <v>1</v>
      </c>
      <c r="H1098" s="3">
        <f t="shared" si="149"/>
        <v>1.6999725525266296E-3</v>
      </c>
      <c r="I1098" s="3">
        <f t="shared" si="150"/>
        <v>1.6999725525266296E-3</v>
      </c>
      <c r="K1098" s="12" t="str">
        <f>IF(AND(G1098=1,G1097&lt;&gt;1),MAX($K$50:K1097)+1,"")</f>
        <v/>
      </c>
      <c r="L1098" s="13" t="str">
        <f>IF(AND(G1098&lt;&gt;1,G1097=1),MAX($L$50:L1097)+1,"")</f>
        <v/>
      </c>
      <c r="M1098" s="13" t="str">
        <f>IF(AND(G1098=-1,G1097&lt;&gt;-1),MAX($M$50:M1097)+1,"")</f>
        <v/>
      </c>
      <c r="N1098" s="13" t="str">
        <f>IF(AND(G1098&lt;&gt;-1,G1097=-1),MAX($N$50:N1097)+1,"")</f>
        <v/>
      </c>
      <c r="T1098" s="7">
        <f t="shared" si="151"/>
        <v>115.75768527763704</v>
      </c>
      <c r="U1098" s="1">
        <f t="shared" si="152"/>
        <v>178.32542597292084</v>
      </c>
    </row>
    <row r="1099" spans="1:21" x14ac:dyDescent="0.3">
      <c r="A1099" s="2">
        <v>41771</v>
      </c>
      <c r="B1099" s="1">
        <v>3427.01</v>
      </c>
      <c r="C1099" s="2">
        <f t="shared" si="144"/>
        <v>41771</v>
      </c>
      <c r="D1099" s="1">
        <f t="shared" si="145"/>
        <v>3427.01</v>
      </c>
      <c r="E1099" s="4">
        <f t="shared" si="146"/>
        <v>3366.297</v>
      </c>
      <c r="F1099" s="3">
        <f t="shared" si="147"/>
        <v>1.0180355446949572</v>
      </c>
      <c r="G1099" s="18">
        <f t="shared" si="148"/>
        <v>1</v>
      </c>
      <c r="H1099" s="3">
        <f t="shared" si="149"/>
        <v>9.7111120932220629E-3</v>
      </c>
      <c r="I1099" s="3">
        <f t="shared" si="150"/>
        <v>9.7111120932220629E-3</v>
      </c>
      <c r="K1099" s="12" t="str">
        <f>IF(AND(G1099=1,G1098&lt;&gt;1),MAX($K$50:K1098)+1,"")</f>
        <v/>
      </c>
      <c r="L1099" s="13" t="str">
        <f>IF(AND(G1099&lt;&gt;1,G1098=1),MAX($L$50:L1098)+1,"")</f>
        <v/>
      </c>
      <c r="M1099" s="13" t="str">
        <f>IF(AND(G1099=-1,G1098&lt;&gt;-1),MAX($M$50:M1098)+1,"")</f>
        <v/>
      </c>
      <c r="N1099" s="13" t="str">
        <f>IF(AND(G1099&lt;&gt;-1,G1098=-1),MAX($N$50:N1098)+1,"")</f>
        <v/>
      </c>
      <c r="T1099" s="7">
        <f t="shared" si="151"/>
        <v>116.88182113502009</v>
      </c>
      <c r="U1099" s="1">
        <f t="shared" si="152"/>
        <v>180.0571641736154</v>
      </c>
    </row>
    <row r="1100" spans="1:21" x14ac:dyDescent="0.3">
      <c r="A1100" s="2">
        <v>41772</v>
      </c>
      <c r="B1100" s="1">
        <v>3429.3</v>
      </c>
      <c r="C1100" s="2">
        <f t="shared" si="144"/>
        <v>41772</v>
      </c>
      <c r="D1100" s="1">
        <f t="shared" si="145"/>
        <v>3429.3</v>
      </c>
      <c r="E1100" s="4">
        <f t="shared" si="146"/>
        <v>3368.4260000000004</v>
      </c>
      <c r="F1100" s="3">
        <f t="shared" si="147"/>
        <v>1.0180719422068347</v>
      </c>
      <c r="G1100" s="18">
        <f t="shared" si="148"/>
        <v>1</v>
      </c>
      <c r="H1100" s="3">
        <f t="shared" si="149"/>
        <v>6.6822098564056631E-4</v>
      </c>
      <c r="I1100" s="3">
        <f t="shared" si="150"/>
        <v>6.6822098564056631E-4</v>
      </c>
      <c r="K1100" s="12" t="str">
        <f>IF(AND(G1100=1,G1099&lt;&gt;1),MAX($K$50:K1099)+1,"")</f>
        <v/>
      </c>
      <c r="L1100" s="13" t="str">
        <f>IF(AND(G1100&lt;&gt;1,G1099=1),MAX($L$50:L1099)+1,"")</f>
        <v/>
      </c>
      <c r="M1100" s="13" t="str">
        <f>IF(AND(G1100=-1,G1099&lt;&gt;-1),MAX($M$50:M1099)+1,"")</f>
        <v/>
      </c>
      <c r="N1100" s="13" t="str">
        <f>IF(AND(G1100&lt;&gt;-1,G1099=-1),MAX($N$50:N1099)+1,"")</f>
        <v/>
      </c>
      <c r="T1100" s="7">
        <f t="shared" si="151"/>
        <v>116.95992402074239</v>
      </c>
      <c r="U1100" s="1">
        <f t="shared" si="152"/>
        <v>180.17748214933113</v>
      </c>
    </row>
    <row r="1101" spans="1:21" x14ac:dyDescent="0.3">
      <c r="A1101" s="2">
        <v>41773</v>
      </c>
      <c r="B1101" s="1">
        <v>3413.84</v>
      </c>
      <c r="C1101" s="2">
        <f t="shared" si="144"/>
        <v>41773</v>
      </c>
      <c r="D1101" s="1">
        <f t="shared" si="145"/>
        <v>3413.84</v>
      </c>
      <c r="E1101" s="4">
        <f t="shared" si="146"/>
        <v>3369.2300000000005</v>
      </c>
      <c r="F1101" s="3">
        <f t="shared" si="147"/>
        <v>1.0132404139818296</v>
      </c>
      <c r="G1101" s="18">
        <f t="shared" si="148"/>
        <v>1</v>
      </c>
      <c r="H1101" s="3">
        <f t="shared" si="149"/>
        <v>-4.5082086723238213E-3</v>
      </c>
      <c r="I1101" s="3">
        <f t="shared" si="150"/>
        <v>-4.5082086723238213E-3</v>
      </c>
      <c r="K1101" s="12" t="str">
        <f>IF(AND(G1101=1,G1100&lt;&gt;1),MAX($K$50:K1100)+1,"")</f>
        <v/>
      </c>
      <c r="L1101" s="13" t="str">
        <f>IF(AND(G1101&lt;&gt;1,G1100=1),MAX($L$50:L1100)+1,"")</f>
        <v/>
      </c>
      <c r="M1101" s="13" t="str">
        <f>IF(AND(G1101=-1,G1100&lt;&gt;-1),MAX($M$50:M1100)+1,"")</f>
        <v/>
      </c>
      <c r="N1101" s="13" t="str">
        <f>IF(AND(G1101&lt;&gt;-1,G1100=-1),MAX($N$50:N1100)+1,"")</f>
        <v/>
      </c>
      <c r="T1101" s="7">
        <f t="shared" si="151"/>
        <v>116.43264427695775</v>
      </c>
      <c r="U1101" s="1">
        <f t="shared" si="152"/>
        <v>179.36520446174805</v>
      </c>
    </row>
    <row r="1102" spans="1:21" x14ac:dyDescent="0.3">
      <c r="A1102" s="2">
        <v>41774</v>
      </c>
      <c r="B1102" s="1">
        <v>3382.52</v>
      </c>
      <c r="C1102" s="2">
        <f t="shared" si="144"/>
        <v>41774</v>
      </c>
      <c r="D1102" s="1">
        <f t="shared" si="145"/>
        <v>3382.52</v>
      </c>
      <c r="E1102" s="4">
        <f t="shared" si="146"/>
        <v>3369.3984</v>
      </c>
      <c r="F1102" s="3">
        <f t="shared" si="147"/>
        <v>1.003894345055782</v>
      </c>
      <c r="G1102" s="18">
        <f t="shared" si="148"/>
        <v>1</v>
      </c>
      <c r="H1102" s="3">
        <f t="shared" si="149"/>
        <v>-9.1744194221170527E-3</v>
      </c>
      <c r="I1102" s="3">
        <f t="shared" si="150"/>
        <v>-9.1744194221170527E-3</v>
      </c>
      <c r="K1102" s="12" t="str">
        <f>IF(AND(G1102=1,G1101&lt;&gt;1),MAX($K$50:K1101)+1,"")</f>
        <v/>
      </c>
      <c r="L1102" s="13" t="str">
        <f>IF(AND(G1102&lt;&gt;1,G1101=1),MAX($L$50:L1101)+1,"")</f>
        <v/>
      </c>
      <c r="M1102" s="13" t="str">
        <f>IF(AND(G1102=-1,G1101&lt;&gt;-1),MAX($M$50:M1101)+1,"")</f>
        <v/>
      </c>
      <c r="N1102" s="13" t="str">
        <f>IF(AND(G1102&lt;&gt;-1,G1101=-1),MAX($N$50:N1101)+1,"")</f>
        <v/>
      </c>
      <c r="T1102" s="7">
        <f t="shared" si="151"/>
        <v>115.36444236393478</v>
      </c>
      <c r="U1102" s="1">
        <f t="shared" si="152"/>
        <v>177.71963284628217</v>
      </c>
    </row>
    <row r="1103" spans="1:21" x14ac:dyDescent="0.3">
      <c r="A1103" s="2">
        <v>41775</v>
      </c>
      <c r="B1103" s="1">
        <v>3395.21</v>
      </c>
      <c r="C1103" s="2">
        <f t="shared" si="144"/>
        <v>41775</v>
      </c>
      <c r="D1103" s="1">
        <f t="shared" si="145"/>
        <v>3395.21</v>
      </c>
      <c r="E1103" s="4">
        <f t="shared" si="146"/>
        <v>3369.6928000000003</v>
      </c>
      <c r="F1103" s="3">
        <f t="shared" si="147"/>
        <v>1.0075725597300738</v>
      </c>
      <c r="G1103" s="18">
        <f t="shared" si="148"/>
        <v>1</v>
      </c>
      <c r="H1103" s="3">
        <f t="shared" si="149"/>
        <v>3.751640788524524E-3</v>
      </c>
      <c r="I1103" s="3">
        <f t="shared" si="150"/>
        <v>3.751640788524524E-3</v>
      </c>
      <c r="K1103" s="12" t="str">
        <f>IF(AND(G1103=1,G1102&lt;&gt;1),MAX($K$50:K1102)+1,"")</f>
        <v/>
      </c>
      <c r="L1103" s="13" t="str">
        <f>IF(AND(G1103&lt;&gt;1,G1102=1),MAX($L$50:L1102)+1,"")</f>
        <v/>
      </c>
      <c r="M1103" s="13" t="str">
        <f>IF(AND(G1103=-1,G1102&lt;&gt;-1),MAX($M$50:M1102)+1,"")</f>
        <v/>
      </c>
      <c r="N1103" s="13" t="str">
        <f>IF(AND(G1103&lt;&gt;-1,G1102=-1),MAX($N$50:N1102)+1,"")</f>
        <v/>
      </c>
      <c r="T1103" s="7">
        <f t="shared" si="151"/>
        <v>115.79724831145271</v>
      </c>
      <c r="U1103" s="1">
        <f t="shared" si="152"/>
        <v>178.3863730697899</v>
      </c>
    </row>
    <row r="1104" spans="1:21" x14ac:dyDescent="0.3">
      <c r="A1104" s="2">
        <v>41778</v>
      </c>
      <c r="B1104" s="1">
        <v>3408.52</v>
      </c>
      <c r="C1104" s="2">
        <f t="shared" si="144"/>
        <v>41778</v>
      </c>
      <c r="D1104" s="1">
        <f t="shared" si="145"/>
        <v>3408.52</v>
      </c>
      <c r="E1104" s="4">
        <f t="shared" si="146"/>
        <v>3370.2118</v>
      </c>
      <c r="F1104" s="3">
        <f t="shared" si="147"/>
        <v>1.0113667040154568</v>
      </c>
      <c r="G1104" s="18">
        <f t="shared" si="148"/>
        <v>1</v>
      </c>
      <c r="H1104" s="3">
        <f t="shared" si="149"/>
        <v>3.9202287929169799E-3</v>
      </c>
      <c r="I1104" s="3">
        <f t="shared" si="150"/>
        <v>3.9202287929169799E-3</v>
      </c>
      <c r="K1104" s="12" t="str">
        <f>IF(AND(G1104=1,G1103&lt;&gt;1),MAX($K$50:K1103)+1,"")</f>
        <v/>
      </c>
      <c r="L1104" s="13" t="str">
        <f>IF(AND(G1104&lt;&gt;1,G1103=1),MAX($L$50:L1103)+1,"")</f>
        <v/>
      </c>
      <c r="M1104" s="13" t="str">
        <f>IF(AND(G1104=-1,G1103&lt;&gt;-1),MAX($M$50:M1103)+1,"")</f>
        <v/>
      </c>
      <c r="N1104" s="13" t="str">
        <f>IF(AND(G1104&lt;&gt;-1,G1103=-1),MAX($N$50:N1103)+1,"")</f>
        <v/>
      </c>
      <c r="T1104" s="7">
        <f t="shared" si="151"/>
        <v>116.25120001842382</v>
      </c>
      <c r="U1104" s="1">
        <f t="shared" si="152"/>
        <v>179.08568846576213</v>
      </c>
    </row>
    <row r="1105" spans="1:21" x14ac:dyDescent="0.3">
      <c r="A1105" s="2">
        <v>41779</v>
      </c>
      <c r="B1105" s="1">
        <v>3386.48</v>
      </c>
      <c r="C1105" s="2">
        <f t="shared" si="144"/>
        <v>41779</v>
      </c>
      <c r="D1105" s="1">
        <f t="shared" si="145"/>
        <v>3386.48</v>
      </c>
      <c r="E1105" s="4">
        <f t="shared" si="146"/>
        <v>3370.317</v>
      </c>
      <c r="F1105" s="3">
        <f t="shared" si="147"/>
        <v>1.0047956913251781</v>
      </c>
      <c r="G1105" s="18">
        <f t="shared" si="148"/>
        <v>1</v>
      </c>
      <c r="H1105" s="3">
        <f t="shared" si="149"/>
        <v>-6.4661495311748585E-3</v>
      </c>
      <c r="I1105" s="3">
        <f t="shared" si="150"/>
        <v>-6.4661495311748585E-3</v>
      </c>
      <c r="K1105" s="12" t="str">
        <f>IF(AND(G1105=1,G1104&lt;&gt;1),MAX($K$50:K1104)+1,"")</f>
        <v/>
      </c>
      <c r="L1105" s="13" t="str">
        <f>IF(AND(G1105&lt;&gt;1,G1104=1),MAX($L$50:L1104)+1,"")</f>
        <v/>
      </c>
      <c r="M1105" s="13" t="str">
        <f>IF(AND(G1105=-1,G1104&lt;&gt;-1),MAX($M$50:M1104)+1,"")</f>
        <v/>
      </c>
      <c r="N1105" s="13" t="str">
        <f>IF(AND(G1105&lt;&gt;-1,G1104=-1),MAX($N$50:N1104)+1,"")</f>
        <v/>
      </c>
      <c r="T1105" s="7">
        <f t="shared" si="151"/>
        <v>115.49950237592617</v>
      </c>
      <c r="U1105" s="1">
        <f t="shared" si="152"/>
        <v>177.92769362524913</v>
      </c>
    </row>
    <row r="1106" spans="1:21" x14ac:dyDescent="0.3">
      <c r="A1106" s="2">
        <v>41780</v>
      </c>
      <c r="B1106" s="1">
        <v>3414.45</v>
      </c>
      <c r="C1106" s="2">
        <f t="shared" si="144"/>
        <v>41780</v>
      </c>
      <c r="D1106" s="1">
        <f t="shared" si="145"/>
        <v>3414.45</v>
      </c>
      <c r="E1106" s="4">
        <f t="shared" si="146"/>
        <v>3371.3226</v>
      </c>
      <c r="F1106" s="3">
        <f t="shared" si="147"/>
        <v>1.0127924275179123</v>
      </c>
      <c r="G1106" s="18">
        <f t="shared" si="148"/>
        <v>1</v>
      </c>
      <c r="H1106" s="3">
        <f t="shared" si="149"/>
        <v>8.2593135054687128E-3</v>
      </c>
      <c r="I1106" s="3">
        <f t="shared" si="150"/>
        <v>8.2593135054687128E-3</v>
      </c>
      <c r="K1106" s="12" t="str">
        <f>IF(AND(G1106=1,G1105&lt;&gt;1),MAX($K$50:K1105)+1,"")</f>
        <v/>
      </c>
      <c r="L1106" s="13" t="str">
        <f>IF(AND(G1106&lt;&gt;1,G1105=1),MAX($L$50:L1105)+1,"")</f>
        <v/>
      </c>
      <c r="M1106" s="13" t="str">
        <f>IF(AND(G1106=-1,G1105&lt;&gt;-1),MAX($M$50:M1105)+1,"")</f>
        <v/>
      </c>
      <c r="N1106" s="13" t="str">
        <f>IF(AND(G1106&lt;&gt;-1,G1105=-1),MAX($N$50:N1105)+1,"")</f>
        <v/>
      </c>
      <c r="T1106" s="7">
        <f t="shared" si="151"/>
        <v>116.45344897577458</v>
      </c>
      <c r="U1106" s="1">
        <f t="shared" si="152"/>
        <v>179.39725422820504</v>
      </c>
    </row>
    <row r="1107" spans="1:21" x14ac:dyDescent="0.3">
      <c r="A1107" s="2">
        <v>41781</v>
      </c>
      <c r="B1107" s="1">
        <v>3422.99</v>
      </c>
      <c r="C1107" s="2">
        <f t="shared" si="144"/>
        <v>41781</v>
      </c>
      <c r="D1107" s="1">
        <f t="shared" si="145"/>
        <v>3422.99</v>
      </c>
      <c r="E1107" s="4">
        <f t="shared" si="146"/>
        <v>3372.4609999999998</v>
      </c>
      <c r="F1107" s="3">
        <f t="shared" si="147"/>
        <v>1.0149828270808765</v>
      </c>
      <c r="G1107" s="18">
        <f t="shared" si="148"/>
        <v>1</v>
      </c>
      <c r="H1107" s="3">
        <f t="shared" si="149"/>
        <v>2.5011348826311508E-3</v>
      </c>
      <c r="I1107" s="3">
        <f t="shared" si="150"/>
        <v>2.5011348826311508E-3</v>
      </c>
      <c r="K1107" s="12" t="str">
        <f>IF(AND(G1107=1,G1106&lt;&gt;1),MAX($K$50:K1106)+1,"")</f>
        <v/>
      </c>
      <c r="L1107" s="13" t="str">
        <f>IF(AND(G1107&lt;&gt;1,G1106=1),MAX($L$50:L1106)+1,"")</f>
        <v/>
      </c>
      <c r="M1107" s="13" t="str">
        <f>IF(AND(G1107=-1,G1106&lt;&gt;-1),MAX($M$50:M1106)+1,"")</f>
        <v/>
      </c>
      <c r="N1107" s="13" t="str">
        <f>IF(AND(G1107&lt;&gt;-1,G1106=-1),MAX($N$50:N1106)+1,"")</f>
        <v/>
      </c>
      <c r="T1107" s="7">
        <f t="shared" si="151"/>
        <v>116.74471475921059</v>
      </c>
      <c r="U1107" s="1">
        <f t="shared" si="152"/>
        <v>179.84595095860345</v>
      </c>
    </row>
    <row r="1108" spans="1:21" x14ac:dyDescent="0.3">
      <c r="A1108" s="2">
        <v>41782</v>
      </c>
      <c r="B1108" s="1">
        <v>3437.58</v>
      </c>
      <c r="C1108" s="2">
        <f t="shared" si="144"/>
        <v>41782</v>
      </c>
      <c r="D1108" s="1">
        <f t="shared" si="145"/>
        <v>3437.58</v>
      </c>
      <c r="E1108" s="4">
        <f t="shared" si="146"/>
        <v>3374.6703999999991</v>
      </c>
      <c r="F1108" s="3">
        <f t="shared" si="147"/>
        <v>1.0186417020162919</v>
      </c>
      <c r="G1108" s="18">
        <f t="shared" si="148"/>
        <v>1</v>
      </c>
      <c r="H1108" s="3">
        <f t="shared" si="149"/>
        <v>4.2623554261040919E-3</v>
      </c>
      <c r="I1108" s="3">
        <f t="shared" si="150"/>
        <v>4.2623554261040919E-3</v>
      </c>
      <c r="K1108" s="12" t="str">
        <f>IF(AND(G1108=1,G1107&lt;&gt;1),MAX($K$50:K1107)+1,"")</f>
        <v/>
      </c>
      <c r="L1108" s="13" t="str">
        <f>IF(AND(G1108&lt;&gt;1,G1107=1),MAX($L$50:L1107)+1,"")</f>
        <v/>
      </c>
      <c r="M1108" s="13" t="str">
        <f>IF(AND(G1108=-1,G1107&lt;&gt;-1),MAX($M$50:M1107)+1,"")</f>
        <v/>
      </c>
      <c r="N1108" s="13" t="str">
        <f>IF(AND(G1108&lt;&gt;-1,G1107=-1),MAX($N$50:N1107)+1,"")</f>
        <v/>
      </c>
      <c r="T1108" s="7">
        <f t="shared" si="151"/>
        <v>117.24232222763349</v>
      </c>
      <c r="U1108" s="1">
        <f t="shared" si="152"/>
        <v>180.61251832353472</v>
      </c>
    </row>
    <row r="1109" spans="1:21" x14ac:dyDescent="0.3">
      <c r="A1109" s="2">
        <v>41786</v>
      </c>
      <c r="B1109" s="1">
        <v>3458.19</v>
      </c>
      <c r="C1109" s="2">
        <f t="shared" si="144"/>
        <v>41786</v>
      </c>
      <c r="D1109" s="1">
        <f t="shared" si="145"/>
        <v>3458.19</v>
      </c>
      <c r="E1109" s="4">
        <f t="shared" si="146"/>
        <v>3377.4779999999992</v>
      </c>
      <c r="F1109" s="3">
        <f t="shared" si="147"/>
        <v>1.0238971208694774</v>
      </c>
      <c r="G1109" s="18">
        <f t="shared" si="148"/>
        <v>1</v>
      </c>
      <c r="H1109" s="3">
        <f t="shared" si="149"/>
        <v>5.9954968320736768E-3</v>
      </c>
      <c r="I1109" s="3">
        <f t="shared" si="150"/>
        <v>5.9954968320736768E-3</v>
      </c>
      <c r="K1109" s="12" t="str">
        <f>IF(AND(G1109=1,G1108&lt;&gt;1),MAX($K$50:K1108)+1,"")</f>
        <v/>
      </c>
      <c r="L1109" s="13" t="str">
        <f>IF(AND(G1109&lt;&gt;1,G1108=1),MAX($L$50:L1108)+1,"")</f>
        <v/>
      </c>
      <c r="M1109" s="13" t="str">
        <f>IF(AND(G1109=-1,G1108&lt;&gt;-1),MAX($M$50:M1108)+1,"")</f>
        <v/>
      </c>
      <c r="N1109" s="13" t="str">
        <f>IF(AND(G1109&lt;&gt;-1,G1108=-1),MAX($N$50:N1108)+1,"")</f>
        <v/>
      </c>
      <c r="T1109" s="7">
        <f t="shared" si="151"/>
        <v>117.94524819913423</v>
      </c>
      <c r="U1109" s="1">
        <f t="shared" si="152"/>
        <v>181.69538010497632</v>
      </c>
    </row>
    <row r="1110" spans="1:21" x14ac:dyDescent="0.3">
      <c r="A1110" s="2">
        <v>41787</v>
      </c>
      <c r="B1110" s="1">
        <v>3454.88</v>
      </c>
      <c r="C1110" s="2">
        <f t="shared" si="144"/>
        <v>41787</v>
      </c>
      <c r="D1110" s="1">
        <f t="shared" si="145"/>
        <v>3454.88</v>
      </c>
      <c r="E1110" s="4">
        <f t="shared" si="146"/>
        <v>3379.5813999999996</v>
      </c>
      <c r="F1110" s="3">
        <f t="shared" si="147"/>
        <v>1.0222804516559361</v>
      </c>
      <c r="G1110" s="18">
        <f t="shared" si="148"/>
        <v>1</v>
      </c>
      <c r="H1110" s="3">
        <f t="shared" si="149"/>
        <v>-9.5714810348768165E-4</v>
      </c>
      <c r="I1110" s="3">
        <f t="shared" si="150"/>
        <v>-9.5714810348768165E-4</v>
      </c>
      <c r="K1110" s="12" t="str">
        <f>IF(AND(G1110=1,G1109&lt;&gt;1),MAX($K$50:K1109)+1,"")</f>
        <v/>
      </c>
      <c r="L1110" s="13" t="str">
        <f>IF(AND(G1110&lt;&gt;1,G1109=1),MAX($L$50:L1109)+1,"")</f>
        <v/>
      </c>
      <c r="M1110" s="13" t="str">
        <f>IF(AND(G1110=-1,G1109&lt;&gt;-1),MAX($M$50:M1109)+1,"")</f>
        <v/>
      </c>
      <c r="N1110" s="13" t="str">
        <f>IF(AND(G1110&lt;&gt;-1,G1109=-1),MAX($N$50:N1109)+1,"")</f>
        <v/>
      </c>
      <c r="T1110" s="7">
        <f t="shared" si="151"/>
        <v>117.83235712850504</v>
      </c>
      <c r="U1110" s="1">
        <f t="shared" si="152"/>
        <v>181.5214707164964</v>
      </c>
    </row>
    <row r="1111" spans="1:21" x14ac:dyDescent="0.3">
      <c r="A1111" s="2">
        <v>41788</v>
      </c>
      <c r="B1111" s="1">
        <v>3473.86</v>
      </c>
      <c r="C1111" s="2">
        <f t="shared" si="144"/>
        <v>41788</v>
      </c>
      <c r="D1111" s="1">
        <f t="shared" si="145"/>
        <v>3473.86</v>
      </c>
      <c r="E1111" s="4">
        <f t="shared" si="146"/>
        <v>3381.5789999999997</v>
      </c>
      <c r="F1111" s="3">
        <f t="shared" si="147"/>
        <v>1.027289322532462</v>
      </c>
      <c r="G1111" s="18">
        <f t="shared" si="148"/>
        <v>1</v>
      </c>
      <c r="H1111" s="3">
        <f t="shared" si="149"/>
        <v>5.493678506923505E-3</v>
      </c>
      <c r="I1111" s="3">
        <f t="shared" si="150"/>
        <v>5.493678506923505E-3</v>
      </c>
      <c r="K1111" s="12" t="str">
        <f>IF(AND(G1111=1,G1110&lt;&gt;1),MAX($K$50:K1110)+1,"")</f>
        <v/>
      </c>
      <c r="L1111" s="13" t="str">
        <f>IF(AND(G1111&lt;&gt;1,G1110=1),MAX($L$50:L1110)+1,"")</f>
        <v/>
      </c>
      <c r="M1111" s="13" t="str">
        <f>IF(AND(G1111=-1,G1110&lt;&gt;-1),MAX($M$50:M1110)+1,"")</f>
        <v/>
      </c>
      <c r="N1111" s="13" t="str">
        <f>IF(AND(G1111&lt;&gt;-1,G1110=-1),MAX($N$50:N1110)+1,"")</f>
        <v/>
      </c>
      <c r="T1111" s="7">
        <f t="shared" si="151"/>
        <v>118.47969021628204</v>
      </c>
      <c r="U1111" s="1">
        <f t="shared" si="152"/>
        <v>182.51869131871675</v>
      </c>
    </row>
    <row r="1112" spans="1:21" x14ac:dyDescent="0.3">
      <c r="A1112" s="2">
        <v>41789</v>
      </c>
      <c r="B1112" s="1">
        <v>3480.29</v>
      </c>
      <c r="C1112" s="2">
        <f t="shared" si="144"/>
        <v>41789</v>
      </c>
      <c r="D1112" s="1">
        <f t="shared" si="145"/>
        <v>3480.29</v>
      </c>
      <c r="E1112" s="4">
        <f t="shared" si="146"/>
        <v>3384.1189999999997</v>
      </c>
      <c r="F1112" s="3">
        <f t="shared" si="147"/>
        <v>1.0284183268968969</v>
      </c>
      <c r="G1112" s="18">
        <f t="shared" si="148"/>
        <v>1</v>
      </c>
      <c r="H1112" s="3">
        <f t="shared" si="149"/>
        <v>1.8509669359156877E-3</v>
      </c>
      <c r="I1112" s="3">
        <f t="shared" si="150"/>
        <v>1.8509669359156877E-3</v>
      </c>
      <c r="K1112" s="12" t="str">
        <f>IF(AND(G1112=1,G1111&lt;&gt;1),MAX($K$50:K1111)+1,"")</f>
        <v/>
      </c>
      <c r="L1112" s="13" t="str">
        <f>IF(AND(G1112&lt;&gt;1,G1111=1),MAX($L$50:L1111)+1,"")</f>
        <v/>
      </c>
      <c r="M1112" s="13" t="str">
        <f>IF(AND(G1112=-1,G1111&lt;&gt;-1),MAX($M$50:M1111)+1,"")</f>
        <v/>
      </c>
      <c r="N1112" s="13" t="str">
        <f>IF(AND(G1112&lt;&gt;-1,G1111=-1),MAX($N$50:N1111)+1,"")</f>
        <v/>
      </c>
      <c r="T1112" s="7">
        <f t="shared" si="151"/>
        <v>118.69899220544991</v>
      </c>
      <c r="U1112" s="1">
        <f t="shared" si="152"/>
        <v>182.85652738153431</v>
      </c>
    </row>
    <row r="1113" spans="1:21" x14ac:dyDescent="0.3">
      <c r="A1113" s="2">
        <v>41792</v>
      </c>
      <c r="B1113" s="1">
        <v>3483.14</v>
      </c>
      <c r="C1113" s="2">
        <f t="shared" si="144"/>
        <v>41792</v>
      </c>
      <c r="D1113" s="1">
        <f t="shared" si="145"/>
        <v>3483.14</v>
      </c>
      <c r="E1113" s="4">
        <f t="shared" si="146"/>
        <v>3386.3098</v>
      </c>
      <c r="F1113" s="3">
        <f t="shared" si="147"/>
        <v>1.0285946076168222</v>
      </c>
      <c r="G1113" s="18">
        <f t="shared" si="148"/>
        <v>1</v>
      </c>
      <c r="H1113" s="3">
        <f t="shared" si="149"/>
        <v>8.188972758016444E-4</v>
      </c>
      <c r="I1113" s="3">
        <f t="shared" si="150"/>
        <v>8.188972758016444E-4</v>
      </c>
      <c r="K1113" s="12" t="str">
        <f>IF(AND(G1113=1,G1112&lt;&gt;1),MAX($K$50:K1112)+1,"")</f>
        <v/>
      </c>
      <c r="L1113" s="13" t="str">
        <f>IF(AND(G1113&lt;&gt;1,G1112=1),MAX($L$50:L1112)+1,"")</f>
        <v/>
      </c>
      <c r="M1113" s="13" t="str">
        <f>IF(AND(G1113=-1,G1112&lt;&gt;-1),MAX($M$50:M1112)+1,"")</f>
        <v/>
      </c>
      <c r="N1113" s="13" t="str">
        <f>IF(AND(G1113&lt;&gt;-1,G1112=-1),MAX($N$50:N1112)+1,"")</f>
        <v/>
      </c>
      <c r="T1113" s="7">
        <f t="shared" si="151"/>
        <v>118.79619448680735</v>
      </c>
      <c r="U1113" s="1">
        <f t="shared" si="152"/>
        <v>183.0062680936696</v>
      </c>
    </row>
    <row r="1114" spans="1:21" x14ac:dyDescent="0.3">
      <c r="A1114" s="2">
        <v>41793</v>
      </c>
      <c r="B1114" s="1">
        <v>3482</v>
      </c>
      <c r="C1114" s="2">
        <f t="shared" si="144"/>
        <v>41793</v>
      </c>
      <c r="D1114" s="1">
        <f t="shared" si="145"/>
        <v>3482</v>
      </c>
      <c r="E1114" s="4">
        <f t="shared" si="146"/>
        <v>3388.6754000000005</v>
      </c>
      <c r="F1114" s="3">
        <f t="shared" si="147"/>
        <v>1.0275401414959955</v>
      </c>
      <c r="G1114" s="18">
        <f t="shared" si="148"/>
        <v>1</v>
      </c>
      <c r="H1114" s="3">
        <f t="shared" si="149"/>
        <v>-3.2729089270022715E-4</v>
      </c>
      <c r="I1114" s="3">
        <f t="shared" si="150"/>
        <v>-3.2729089270022715E-4</v>
      </c>
      <c r="K1114" s="12" t="str">
        <f>IF(AND(G1114=1,G1113&lt;&gt;1),MAX($K$50:K1113)+1,"")</f>
        <v/>
      </c>
      <c r="L1114" s="13" t="str">
        <f>IF(AND(G1114&lt;&gt;1,G1113=1),MAX($L$50:L1113)+1,"")</f>
        <v/>
      </c>
      <c r="M1114" s="13" t="str">
        <f>IF(AND(G1114=-1,G1113&lt;&gt;-1),MAX($M$50:M1113)+1,"")</f>
        <v/>
      </c>
      <c r="N1114" s="13" t="str">
        <f>IF(AND(G1114&lt;&gt;-1,G1113=-1),MAX($N$50:N1113)+1,"")</f>
        <v/>
      </c>
      <c r="T1114" s="7">
        <f t="shared" si="151"/>
        <v>118.75731357426437</v>
      </c>
      <c r="U1114" s="1">
        <f t="shared" si="152"/>
        <v>182.94637180881548</v>
      </c>
    </row>
    <row r="1115" spans="1:21" x14ac:dyDescent="0.3">
      <c r="A1115" s="2">
        <v>41794</v>
      </c>
      <c r="B1115" s="1">
        <v>3489.21</v>
      </c>
      <c r="C1115" s="2">
        <f t="shared" si="144"/>
        <v>41794</v>
      </c>
      <c r="D1115" s="1">
        <f t="shared" si="145"/>
        <v>3489.21</v>
      </c>
      <c r="E1115" s="4">
        <f t="shared" si="146"/>
        <v>3391.5124000000001</v>
      </c>
      <c r="F1115" s="3">
        <f t="shared" si="147"/>
        <v>1.0288064994248582</v>
      </c>
      <c r="G1115" s="18">
        <f t="shared" si="148"/>
        <v>1</v>
      </c>
      <c r="H1115" s="3">
        <f t="shared" si="149"/>
        <v>2.0706490522688359E-3</v>
      </c>
      <c r="I1115" s="3">
        <f t="shared" si="150"/>
        <v>2.0706490522688359E-3</v>
      </c>
      <c r="K1115" s="12" t="str">
        <f>IF(AND(G1115=1,G1114&lt;&gt;1),MAX($K$50:K1114)+1,"")</f>
        <v/>
      </c>
      <c r="L1115" s="13" t="str">
        <f>IF(AND(G1115&lt;&gt;1,G1114=1),MAX($L$50:L1114)+1,"")</f>
        <v/>
      </c>
      <c r="M1115" s="13" t="str">
        <f>IF(AND(G1115=-1,G1114&lt;&gt;-1),MAX($M$50:M1114)+1,"")</f>
        <v/>
      </c>
      <c r="N1115" s="13" t="str">
        <f>IF(AND(G1115&lt;&gt;-1,G1114=-1),MAX($N$50:N1114)+1,"")</f>
        <v/>
      </c>
      <c r="T1115" s="7">
        <f t="shared" si="151"/>
        <v>119.00321829306692</v>
      </c>
      <c r="U1115" s="1">
        <f t="shared" si="152"/>
        <v>183.32518954021742</v>
      </c>
    </row>
    <row r="1116" spans="1:21" x14ac:dyDescent="0.3">
      <c r="A1116" s="2">
        <v>41795</v>
      </c>
      <c r="B1116" s="1">
        <v>3512.21</v>
      </c>
      <c r="C1116" s="2">
        <f t="shared" si="144"/>
        <v>41795</v>
      </c>
      <c r="D1116" s="1">
        <f t="shared" si="145"/>
        <v>3512.21</v>
      </c>
      <c r="E1116" s="4">
        <f t="shared" si="146"/>
        <v>3394.5078000000003</v>
      </c>
      <c r="F1116" s="3">
        <f t="shared" si="147"/>
        <v>1.0346743053587915</v>
      </c>
      <c r="G1116" s="18">
        <f t="shared" si="148"/>
        <v>1</v>
      </c>
      <c r="H1116" s="3">
        <f t="shared" si="149"/>
        <v>6.5917499949845748E-3</v>
      </c>
      <c r="I1116" s="3">
        <f t="shared" si="150"/>
        <v>6.5917499949845748E-3</v>
      </c>
      <c r="K1116" s="12" t="str">
        <f>IF(AND(G1116=1,G1115&lt;&gt;1),MAX($K$50:K1115)+1,"")</f>
        <v/>
      </c>
      <c r="L1116" s="13" t="str">
        <f>IF(AND(G1116&lt;&gt;1,G1115=1),MAX($L$50:L1115)+1,"")</f>
        <v/>
      </c>
      <c r="M1116" s="13" t="str">
        <f>IF(AND(G1116=-1,G1115&lt;&gt;-1),MAX($M$50:M1115)+1,"")</f>
        <v/>
      </c>
      <c r="N1116" s="13" t="str">
        <f>IF(AND(G1116&lt;&gt;-1,G1115=-1),MAX($N$50:N1115)+1,"")</f>
        <v/>
      </c>
      <c r="T1116" s="7">
        <f t="shared" si="151"/>
        <v>119.78765775665339</v>
      </c>
      <c r="U1116" s="1">
        <f t="shared" si="152"/>
        <v>184.5336233574497</v>
      </c>
    </row>
    <row r="1117" spans="1:21" x14ac:dyDescent="0.3">
      <c r="A1117" s="2">
        <v>41796</v>
      </c>
      <c r="B1117" s="1">
        <v>3528.98</v>
      </c>
      <c r="C1117" s="2">
        <f t="shared" si="144"/>
        <v>41796</v>
      </c>
      <c r="D1117" s="1">
        <f t="shared" si="145"/>
        <v>3528.98</v>
      </c>
      <c r="E1117" s="4">
        <f t="shared" si="146"/>
        <v>3398.3073999999997</v>
      </c>
      <c r="F1117" s="3">
        <f t="shared" si="147"/>
        <v>1.0384522600868893</v>
      </c>
      <c r="G1117" s="18">
        <f t="shared" si="148"/>
        <v>1</v>
      </c>
      <c r="H1117" s="3">
        <f t="shared" si="149"/>
        <v>4.7747714402042174E-3</v>
      </c>
      <c r="I1117" s="3">
        <f t="shared" si="150"/>
        <v>4.7747714402042174E-3</v>
      </c>
      <c r="K1117" s="12" t="str">
        <f>IF(AND(G1117=1,G1116&lt;&gt;1),MAX($K$50:K1116)+1,"")</f>
        <v/>
      </c>
      <c r="L1117" s="13" t="str">
        <f>IF(AND(G1117&lt;&gt;1,G1116=1),MAX($L$50:L1116)+1,"")</f>
        <v/>
      </c>
      <c r="M1117" s="13" t="str">
        <f>IF(AND(G1117=-1,G1116&lt;&gt;-1),MAX($M$50:M1116)+1,"")</f>
        <v/>
      </c>
      <c r="N1117" s="13" t="str">
        <f>IF(AND(G1117&lt;&gt;-1,G1116=-1),MAX($N$50:N1116)+1,"")</f>
        <v/>
      </c>
      <c r="T1117" s="7">
        <f t="shared" si="151"/>
        <v>120.35961644379881</v>
      </c>
      <c r="U1117" s="1">
        <f t="shared" si="152"/>
        <v>185.41472923201425</v>
      </c>
    </row>
    <row r="1118" spans="1:21" x14ac:dyDescent="0.3">
      <c r="A1118" s="2">
        <v>41799</v>
      </c>
      <c r="B1118" s="1">
        <v>3532.47</v>
      </c>
      <c r="C1118" s="2">
        <f t="shared" si="144"/>
        <v>41799</v>
      </c>
      <c r="D1118" s="1">
        <f t="shared" si="145"/>
        <v>3532.47</v>
      </c>
      <c r="E1118" s="4">
        <f t="shared" si="146"/>
        <v>3402.2922000000003</v>
      </c>
      <c r="F1118" s="3">
        <f t="shared" si="147"/>
        <v>1.0382617930347073</v>
      </c>
      <c r="G1118" s="18">
        <f t="shared" si="148"/>
        <v>1</v>
      </c>
      <c r="H1118" s="3">
        <f t="shared" si="149"/>
        <v>9.8895431541112799E-4</v>
      </c>
      <c r="I1118" s="3">
        <f t="shared" si="150"/>
        <v>9.8895431541112799E-4</v>
      </c>
      <c r="K1118" s="12" t="str">
        <f>IF(AND(G1118=1,G1117&lt;&gt;1),MAX($K$50:K1117)+1,"")</f>
        <v/>
      </c>
      <c r="L1118" s="13" t="str">
        <f>IF(AND(G1118&lt;&gt;1,G1117=1),MAX($L$50:L1117)+1,"")</f>
        <v/>
      </c>
      <c r="M1118" s="13" t="str">
        <f>IF(AND(G1118=-1,G1117&lt;&gt;-1),MAX($M$50:M1117)+1,"")</f>
        <v/>
      </c>
      <c r="N1118" s="13" t="str">
        <f>IF(AND(G1118&lt;&gt;-1,G1117=-1),MAX($N$50:N1117)+1,"")</f>
        <v/>
      </c>
      <c r="T1118" s="7">
        <f t="shared" si="151"/>
        <v>120.47864660588213</v>
      </c>
      <c r="U1118" s="1">
        <f t="shared" si="152"/>
        <v>185.59809592862905</v>
      </c>
    </row>
    <row r="1119" spans="1:21" x14ac:dyDescent="0.3">
      <c r="A1119" s="2">
        <v>41800</v>
      </c>
      <c r="B1119" s="1">
        <v>3531.62</v>
      </c>
      <c r="C1119" s="2">
        <f t="shared" si="144"/>
        <v>41800</v>
      </c>
      <c r="D1119" s="1">
        <f t="shared" si="145"/>
        <v>3531.62</v>
      </c>
      <c r="E1119" s="4">
        <f t="shared" si="146"/>
        <v>3405.9480000000003</v>
      </c>
      <c r="F1119" s="3">
        <f t="shared" si="147"/>
        <v>1.0368978034896597</v>
      </c>
      <c r="G1119" s="18">
        <f t="shared" si="148"/>
        <v>1</v>
      </c>
      <c r="H1119" s="3">
        <f t="shared" si="149"/>
        <v>-2.4062483191644723E-4</v>
      </c>
      <c r="I1119" s="3">
        <f t="shared" si="150"/>
        <v>-2.4062483191644723E-4</v>
      </c>
      <c r="K1119" s="12" t="str">
        <f>IF(AND(G1119=1,G1118&lt;&gt;1),MAX($K$50:K1118)+1,"")</f>
        <v/>
      </c>
      <c r="L1119" s="13" t="str">
        <f>IF(AND(G1119&lt;&gt;1,G1118=1),MAX($L$50:L1118)+1,"")</f>
        <v/>
      </c>
      <c r="M1119" s="13" t="str">
        <f>IF(AND(G1119=-1,G1118&lt;&gt;-1),MAX($M$50:M1118)+1,"")</f>
        <v/>
      </c>
      <c r="N1119" s="13" t="str">
        <f>IF(AND(G1119&lt;&gt;-1,G1118=-1),MAX($N$50:N1118)+1,"")</f>
        <v/>
      </c>
      <c r="T1119" s="7">
        <f t="shared" si="151"/>
        <v>120.44965645179308</v>
      </c>
      <c r="U1119" s="1">
        <f t="shared" si="152"/>
        <v>185.55343641799223</v>
      </c>
    </row>
    <row r="1120" spans="1:21" x14ac:dyDescent="0.3">
      <c r="A1120" s="2">
        <v>41801</v>
      </c>
      <c r="B1120" s="1">
        <v>3519.52</v>
      </c>
      <c r="C1120" s="2">
        <f t="shared" si="144"/>
        <v>41801</v>
      </c>
      <c r="D1120" s="1">
        <f t="shared" si="145"/>
        <v>3519.52</v>
      </c>
      <c r="E1120" s="4">
        <f t="shared" si="146"/>
        <v>3408.8281999999999</v>
      </c>
      <c r="F1120" s="3">
        <f t="shared" si="147"/>
        <v>1.0324720970097583</v>
      </c>
      <c r="G1120" s="18">
        <f t="shared" si="148"/>
        <v>1</v>
      </c>
      <c r="H1120" s="3">
        <f t="shared" si="149"/>
        <v>-3.426189680656444E-3</v>
      </c>
      <c r="I1120" s="3">
        <f t="shared" si="150"/>
        <v>-3.426189680656444E-3</v>
      </c>
      <c r="K1120" s="12" t="str">
        <f>IF(AND(G1120=1,G1119&lt;&gt;1),MAX($K$50:K1119)+1,"")</f>
        <v/>
      </c>
      <c r="L1120" s="13" t="str">
        <f>IF(AND(G1120&lt;&gt;1,G1119=1),MAX($L$50:L1119)+1,"")</f>
        <v/>
      </c>
      <c r="M1120" s="13" t="str">
        <f>IF(AND(G1120=-1,G1119&lt;&gt;-1),MAX($M$50:M1119)+1,"")</f>
        <v/>
      </c>
      <c r="N1120" s="13" t="str">
        <f>IF(AND(G1120&lt;&gt;-1,G1119=-1),MAX($N$50:N1119)+1,"")</f>
        <v/>
      </c>
      <c r="T1120" s="7">
        <f t="shared" si="151"/>
        <v>120.03697308181933</v>
      </c>
      <c r="U1120" s="1">
        <f t="shared" si="152"/>
        <v>184.91769514892655</v>
      </c>
    </row>
    <row r="1121" spans="1:21" x14ac:dyDescent="0.3">
      <c r="A1121" s="2">
        <v>41802</v>
      </c>
      <c r="B1121" s="1">
        <v>3495.57</v>
      </c>
      <c r="C1121" s="2">
        <f t="shared" si="144"/>
        <v>41802</v>
      </c>
      <c r="D1121" s="1">
        <f t="shared" si="145"/>
        <v>3495.57</v>
      </c>
      <c r="E1121" s="4">
        <f t="shared" si="146"/>
        <v>3410.7494000000002</v>
      </c>
      <c r="F1121" s="3">
        <f t="shared" si="147"/>
        <v>1.0248686109861955</v>
      </c>
      <c r="G1121" s="18">
        <f t="shared" si="148"/>
        <v>1</v>
      </c>
      <c r="H1121" s="3">
        <f t="shared" si="149"/>
        <v>-6.8049052143474009E-3</v>
      </c>
      <c r="I1121" s="3">
        <f t="shared" si="150"/>
        <v>-6.8049052143474009E-3</v>
      </c>
      <c r="K1121" s="12" t="str">
        <f>IF(AND(G1121=1,G1120&lt;&gt;1),MAX($K$50:K1120)+1,"")</f>
        <v/>
      </c>
      <c r="L1121" s="13" t="str">
        <f>IF(AND(G1121&lt;&gt;1,G1120=1),MAX($L$50:L1120)+1,"")</f>
        <v/>
      </c>
      <c r="M1121" s="13" t="str">
        <f>IF(AND(G1121=-1,G1120&lt;&gt;-1),MAX($M$50:M1120)+1,"")</f>
        <v/>
      </c>
      <c r="N1121" s="13" t="str">
        <f>IF(AND(G1121&lt;&gt;-1,G1120=-1),MAX($N$50:N1120)+1,"")</f>
        <v/>
      </c>
      <c r="T1121" s="7">
        <f t="shared" si="151"/>
        <v>119.22013285778037</v>
      </c>
      <c r="U1121" s="1">
        <f t="shared" si="152"/>
        <v>183.65934776098251</v>
      </c>
    </row>
    <row r="1122" spans="1:21" x14ac:dyDescent="0.3">
      <c r="A1122" s="2">
        <v>41803</v>
      </c>
      <c r="B1122" s="1">
        <v>3506.58</v>
      </c>
      <c r="C1122" s="2">
        <f t="shared" si="144"/>
        <v>41803</v>
      </c>
      <c r="D1122" s="1">
        <f t="shared" si="145"/>
        <v>3506.58</v>
      </c>
      <c r="E1122" s="4">
        <f t="shared" si="146"/>
        <v>3412.6849999999999</v>
      </c>
      <c r="F1122" s="3">
        <f t="shared" si="147"/>
        <v>1.0275135267392097</v>
      </c>
      <c r="G1122" s="18">
        <f t="shared" si="148"/>
        <v>1</v>
      </c>
      <c r="H1122" s="3">
        <f t="shared" si="149"/>
        <v>3.1497009071481674E-3</v>
      </c>
      <c r="I1122" s="3">
        <f t="shared" si="150"/>
        <v>3.1497009071481674E-3</v>
      </c>
      <c r="K1122" s="12" t="str">
        <f>IF(AND(G1122=1,G1121&lt;&gt;1),MAX($K$50:K1121)+1,"")</f>
        <v/>
      </c>
      <c r="L1122" s="13" t="str">
        <f>IF(AND(G1122&lt;&gt;1,G1121=1),MAX($L$50:L1121)+1,"")</f>
        <v/>
      </c>
      <c r="M1122" s="13" t="str">
        <f>IF(AND(G1122=-1,G1121&lt;&gt;-1),MAX($M$50:M1121)+1,"")</f>
        <v/>
      </c>
      <c r="N1122" s="13" t="str">
        <f>IF(AND(G1122&lt;&gt;-1,G1121=-1),MAX($N$50:N1121)+1,"")</f>
        <v/>
      </c>
      <c r="T1122" s="7">
        <f t="shared" si="151"/>
        <v>119.59564061839285</v>
      </c>
      <c r="U1122" s="1">
        <f t="shared" si="152"/>
        <v>184.23781977523149</v>
      </c>
    </row>
    <row r="1123" spans="1:21" x14ac:dyDescent="0.3">
      <c r="A1123" s="2">
        <v>41806</v>
      </c>
      <c r="B1123" s="1">
        <v>3509.54</v>
      </c>
      <c r="C1123" s="2">
        <f t="shared" si="144"/>
        <v>41806</v>
      </c>
      <c r="D1123" s="1">
        <f t="shared" si="145"/>
        <v>3509.54</v>
      </c>
      <c r="E1123" s="4">
        <f t="shared" si="146"/>
        <v>3414.7558000000004</v>
      </c>
      <c r="F1123" s="3">
        <f t="shared" si="147"/>
        <v>1.0277572410888063</v>
      </c>
      <c r="G1123" s="18">
        <f t="shared" si="148"/>
        <v>1</v>
      </c>
      <c r="H1123" s="3">
        <f t="shared" si="149"/>
        <v>8.4412732634087106E-4</v>
      </c>
      <c r="I1123" s="3">
        <f t="shared" si="150"/>
        <v>8.4412732634087106E-4</v>
      </c>
      <c r="K1123" s="12" t="str">
        <f>IF(AND(G1123=1,G1122&lt;&gt;1),MAX($K$50:K1122)+1,"")</f>
        <v/>
      </c>
      <c r="L1123" s="13" t="str">
        <f>IF(AND(G1123&lt;&gt;1,G1122=1),MAX($L$50:L1122)+1,"")</f>
        <v/>
      </c>
      <c r="M1123" s="13" t="str">
        <f>IF(AND(G1123=-1,G1122&lt;&gt;-1),MAX($M$50:M1122)+1,"")</f>
        <v/>
      </c>
      <c r="N1123" s="13" t="str">
        <f>IF(AND(G1123&lt;&gt;-1,G1122=-1),MAX($N$50:N1122)+1,"")</f>
        <v/>
      </c>
      <c r="T1123" s="7">
        <f t="shared" si="151"/>
        <v>119.69659456675008</v>
      </c>
      <c r="U1123" s="1">
        <f t="shared" si="152"/>
        <v>184.39333995344921</v>
      </c>
    </row>
    <row r="1124" spans="1:21" x14ac:dyDescent="0.3">
      <c r="A1124" s="2">
        <v>41807</v>
      </c>
      <c r="B1124" s="1">
        <v>3517.23</v>
      </c>
      <c r="C1124" s="2">
        <f t="shared" si="144"/>
        <v>41807</v>
      </c>
      <c r="D1124" s="1">
        <f t="shared" si="145"/>
        <v>3517.23</v>
      </c>
      <c r="E1124" s="4">
        <f t="shared" si="146"/>
        <v>3417.8322000000003</v>
      </c>
      <c r="F1124" s="3">
        <f t="shared" si="147"/>
        <v>1.0290821181917591</v>
      </c>
      <c r="G1124" s="18">
        <f t="shared" si="148"/>
        <v>1</v>
      </c>
      <c r="H1124" s="3">
        <f t="shared" si="149"/>
        <v>2.1911703528096904E-3</v>
      </c>
      <c r="I1124" s="3">
        <f t="shared" si="150"/>
        <v>2.1911703528096904E-3</v>
      </c>
      <c r="K1124" s="12" t="str">
        <f>IF(AND(G1124=1,G1123&lt;&gt;1),MAX($K$50:K1123)+1,"")</f>
        <v/>
      </c>
      <c r="L1124" s="13" t="str">
        <f>IF(AND(G1124&lt;&gt;1,G1123=1),MAX($L$50:L1123)+1,"")</f>
        <v/>
      </c>
      <c r="M1124" s="13" t="str">
        <f>IF(AND(G1124=-1,G1123&lt;&gt;-1),MAX($M$50:M1123)+1,"")</f>
        <v/>
      </c>
      <c r="N1124" s="13" t="str">
        <f>IF(AND(G1124&lt;&gt;-1,G1123=-1),MAX($N$50:N1123)+1,"")</f>
        <v/>
      </c>
      <c r="T1124" s="7">
        <f t="shared" si="151"/>
        <v>119.95887019609702</v>
      </c>
      <c r="U1124" s="1">
        <f t="shared" si="152"/>
        <v>184.79737717321078</v>
      </c>
    </row>
    <row r="1125" spans="1:21" x14ac:dyDescent="0.3">
      <c r="A1125" s="2">
        <v>41808</v>
      </c>
      <c r="B1125" s="1">
        <v>3544.42</v>
      </c>
      <c r="C1125" s="2">
        <f t="shared" si="144"/>
        <v>41808</v>
      </c>
      <c r="D1125" s="1">
        <f t="shared" si="145"/>
        <v>3544.42</v>
      </c>
      <c r="E1125" s="4">
        <f t="shared" si="146"/>
        <v>3422.1752000000001</v>
      </c>
      <c r="F1125" s="3">
        <f t="shared" si="147"/>
        <v>1.0357213739378393</v>
      </c>
      <c r="G1125" s="18">
        <f t="shared" si="148"/>
        <v>1</v>
      </c>
      <c r="H1125" s="3">
        <f t="shared" si="149"/>
        <v>7.7305152065687555E-3</v>
      </c>
      <c r="I1125" s="3">
        <f t="shared" si="150"/>
        <v>7.7305152065687555E-3</v>
      </c>
      <c r="K1125" s="12" t="str">
        <f>IF(AND(G1125=1,G1124&lt;&gt;1),MAX($K$50:K1124)+1,"")</f>
        <v/>
      </c>
      <c r="L1125" s="13" t="str">
        <f>IF(AND(G1125&lt;&gt;1,G1124=1),MAX($L$50:L1124)+1,"")</f>
        <v/>
      </c>
      <c r="M1125" s="13" t="str">
        <f>IF(AND(G1125=-1,G1124&lt;&gt;-1),MAX($M$50:M1124)+1,"")</f>
        <v/>
      </c>
      <c r="N1125" s="13" t="str">
        <f>IF(AND(G1125&lt;&gt;-1,G1124=-1),MAX($N$50:N1124)+1,"")</f>
        <v/>
      </c>
      <c r="T1125" s="7">
        <f t="shared" si="151"/>
        <v>120.88621406631076</v>
      </c>
      <c r="U1125" s="1">
        <f t="shared" si="152"/>
        <v>186.22595610758231</v>
      </c>
    </row>
    <row r="1126" spans="1:21" x14ac:dyDescent="0.3">
      <c r="A1126" s="2">
        <v>41809</v>
      </c>
      <c r="B1126" s="1">
        <v>3549.44</v>
      </c>
      <c r="C1126" s="2">
        <f t="shared" si="144"/>
        <v>41809</v>
      </c>
      <c r="D1126" s="1">
        <f t="shared" si="145"/>
        <v>3549.44</v>
      </c>
      <c r="E1126" s="4">
        <f t="shared" si="146"/>
        <v>3426.3472000000002</v>
      </c>
      <c r="F1126" s="3">
        <f t="shared" si="147"/>
        <v>1.0359253726534194</v>
      </c>
      <c r="G1126" s="18">
        <f t="shared" si="148"/>
        <v>1</v>
      </c>
      <c r="H1126" s="3">
        <f t="shared" si="149"/>
        <v>1.416310708098889E-3</v>
      </c>
      <c r="I1126" s="3">
        <f t="shared" si="150"/>
        <v>1.416310708098889E-3</v>
      </c>
      <c r="K1126" s="12" t="str">
        <f>IF(AND(G1126=1,G1125&lt;&gt;1),MAX($K$50:K1125)+1,"")</f>
        <v/>
      </c>
      <c r="L1126" s="13" t="str">
        <f>IF(AND(G1126&lt;&gt;1,G1125=1),MAX($L$50:L1125)+1,"")</f>
        <v/>
      </c>
      <c r="M1126" s="13" t="str">
        <f>IF(AND(G1126=-1,G1125&lt;&gt;-1),MAX($M$50:M1125)+1,"")</f>
        <v/>
      </c>
      <c r="N1126" s="13" t="str">
        <f>IF(AND(G1126&lt;&gt;-1,G1125=-1),MAX($N$50:N1125)+1,"")</f>
        <v/>
      </c>
      <c r="T1126" s="7">
        <f t="shared" si="151"/>
        <v>121.05742650575441</v>
      </c>
      <c r="U1126" s="1">
        <f t="shared" si="152"/>
        <v>186.48970992334344</v>
      </c>
    </row>
    <row r="1127" spans="1:21" x14ac:dyDescent="0.3">
      <c r="A1127" s="2">
        <v>41810</v>
      </c>
      <c r="B1127" s="1">
        <v>3555.6</v>
      </c>
      <c r="C1127" s="2">
        <f t="shared" si="144"/>
        <v>41810</v>
      </c>
      <c r="D1127" s="1">
        <f t="shared" si="145"/>
        <v>3555.6</v>
      </c>
      <c r="E1127" s="4">
        <f t="shared" si="146"/>
        <v>3429.9070000000006</v>
      </c>
      <c r="F1127" s="3">
        <f t="shared" si="147"/>
        <v>1.0366461831180844</v>
      </c>
      <c r="G1127" s="18">
        <f t="shared" si="148"/>
        <v>1</v>
      </c>
      <c r="H1127" s="3">
        <f t="shared" si="149"/>
        <v>1.7354850342587991E-3</v>
      </c>
      <c r="I1127" s="3">
        <f t="shared" si="150"/>
        <v>1.7354850342587991E-3</v>
      </c>
      <c r="K1127" s="12" t="str">
        <f>IF(AND(G1127=1,G1126&lt;&gt;1),MAX($K$50:K1126)+1,"")</f>
        <v/>
      </c>
      <c r="L1127" s="13" t="str">
        <f>IF(AND(G1127&lt;&gt;1,G1126=1),MAX($L$50:L1126)+1,"")</f>
        <v/>
      </c>
      <c r="M1127" s="13" t="str">
        <f>IF(AND(G1127=-1,G1126&lt;&gt;-1),MAX($M$50:M1126)+1,"")</f>
        <v/>
      </c>
      <c r="N1127" s="13" t="str">
        <f>IF(AND(G1127&lt;&gt;-1,G1126=-1),MAX($N$50:N1126)+1,"")</f>
        <v/>
      </c>
      <c r="T1127" s="7">
        <f t="shared" si="151"/>
        <v>121.26751985774102</v>
      </c>
      <c r="U1127" s="1">
        <f t="shared" si="152"/>
        <v>186.81336002395867</v>
      </c>
    </row>
    <row r="1128" spans="1:21" x14ac:dyDescent="0.3">
      <c r="A1128" s="2">
        <v>41813</v>
      </c>
      <c r="B1128" s="1">
        <v>3555.14</v>
      </c>
      <c r="C1128" s="2">
        <f t="shared" si="144"/>
        <v>41813</v>
      </c>
      <c r="D1128" s="1">
        <f t="shared" si="145"/>
        <v>3555.14</v>
      </c>
      <c r="E1128" s="4">
        <f t="shared" si="146"/>
        <v>3434.8682000000013</v>
      </c>
      <c r="F1128" s="3">
        <f t="shared" si="147"/>
        <v>1.035014967968785</v>
      </c>
      <c r="G1128" s="18">
        <f t="shared" si="148"/>
        <v>1</v>
      </c>
      <c r="H1128" s="3">
        <f t="shared" si="149"/>
        <v>-1.2937338283269817E-4</v>
      </c>
      <c r="I1128" s="3">
        <f t="shared" si="150"/>
        <v>-1.2937338283269817E-4</v>
      </c>
      <c r="K1128" s="12" t="str">
        <f>IF(AND(G1128=1,G1127&lt;&gt;1),MAX($K$50:K1127)+1,"")</f>
        <v/>
      </c>
      <c r="L1128" s="13" t="str">
        <f>IF(AND(G1128&lt;&gt;1,G1127=1),MAX($L$50:L1127)+1,"")</f>
        <v/>
      </c>
      <c r="M1128" s="13" t="str">
        <f>IF(AND(G1128=-1,G1127&lt;&gt;-1),MAX($M$50:M1127)+1,"")</f>
        <v/>
      </c>
      <c r="N1128" s="13" t="str">
        <f>IF(AND(G1128&lt;&gt;-1,G1127=-1),MAX($N$50:N1127)+1,"")</f>
        <v/>
      </c>
      <c r="T1128" s="7">
        <f t="shared" si="151"/>
        <v>121.2518310684693</v>
      </c>
      <c r="U1128" s="1">
        <f t="shared" si="152"/>
        <v>186.78919134761401</v>
      </c>
    </row>
    <row r="1129" spans="1:21" x14ac:dyDescent="0.3">
      <c r="A1129" s="2">
        <v>41814</v>
      </c>
      <c r="B1129" s="1">
        <v>3532.57</v>
      </c>
      <c r="C1129" s="2">
        <f t="shared" si="144"/>
        <v>41814</v>
      </c>
      <c r="D1129" s="1">
        <f t="shared" si="145"/>
        <v>3532.57</v>
      </c>
      <c r="E1129" s="4">
        <f t="shared" si="146"/>
        <v>3439.9988000000012</v>
      </c>
      <c r="F1129" s="3">
        <f t="shared" si="147"/>
        <v>1.026910241945433</v>
      </c>
      <c r="G1129" s="18">
        <f t="shared" si="148"/>
        <v>1</v>
      </c>
      <c r="H1129" s="3">
        <f t="shared" si="149"/>
        <v>-6.3485544873056465E-3</v>
      </c>
      <c r="I1129" s="3">
        <f t="shared" si="150"/>
        <v>-6.3485544873056465E-3</v>
      </c>
      <c r="K1129" s="12" t="str">
        <f>IF(AND(G1129=1,G1128&lt;&gt;1),MAX($K$50:K1128)+1,"")</f>
        <v/>
      </c>
      <c r="L1129" s="13" t="str">
        <f>IF(AND(G1129&lt;&gt;1,G1128=1),MAX($L$50:L1128)+1,"")</f>
        <v/>
      </c>
      <c r="M1129" s="13" t="str">
        <f>IF(AND(G1129=-1,G1128&lt;&gt;-1),MAX($M$50:M1128)+1,"")</f>
        <v/>
      </c>
      <c r="N1129" s="13" t="str">
        <f>IF(AND(G1129&lt;&gt;-1,G1128=-1),MAX($N$50:N1128)+1,"")</f>
        <v/>
      </c>
      <c r="T1129" s="7">
        <f t="shared" si="151"/>
        <v>120.48205721224555</v>
      </c>
      <c r="U1129" s="1">
        <f t="shared" si="152"/>
        <v>185.60334998870391</v>
      </c>
    </row>
    <row r="1130" spans="1:21" x14ac:dyDescent="0.3">
      <c r="A1130" s="2">
        <v>41815</v>
      </c>
      <c r="B1130" s="1">
        <v>3549.96</v>
      </c>
      <c r="C1130" s="2">
        <f t="shared" si="144"/>
        <v>41815</v>
      </c>
      <c r="D1130" s="1">
        <f t="shared" si="145"/>
        <v>3549.96</v>
      </c>
      <c r="E1130" s="4">
        <f t="shared" si="146"/>
        <v>3444.9384000000014</v>
      </c>
      <c r="F1130" s="3">
        <f t="shared" si="147"/>
        <v>1.0304857700793717</v>
      </c>
      <c r="G1130" s="18">
        <f t="shared" si="148"/>
        <v>1</v>
      </c>
      <c r="H1130" s="3">
        <f t="shared" si="149"/>
        <v>4.9227616154809972E-3</v>
      </c>
      <c r="I1130" s="3">
        <f t="shared" si="150"/>
        <v>4.9227616154809972E-3</v>
      </c>
      <c r="K1130" s="12" t="str">
        <f>IF(AND(G1130=1,G1129&lt;&gt;1),MAX($K$50:K1129)+1,"")</f>
        <v/>
      </c>
      <c r="L1130" s="13" t="str">
        <f>IF(AND(G1130&lt;&gt;1,G1129=1),MAX($L$50:L1129)+1,"")</f>
        <v/>
      </c>
      <c r="M1130" s="13" t="str">
        <f>IF(AND(G1130=-1,G1129&lt;&gt;-1),MAX($M$50:M1129)+1,"")</f>
        <v/>
      </c>
      <c r="N1130" s="13" t="str">
        <f>IF(AND(G1130&lt;&gt;-1,G1129=-1),MAX($N$50:N1129)+1,"")</f>
        <v/>
      </c>
      <c r="T1130" s="7">
        <f t="shared" si="151"/>
        <v>121.07516165884418</v>
      </c>
      <c r="U1130" s="1">
        <f t="shared" si="152"/>
        <v>186.517031035733</v>
      </c>
    </row>
    <row r="1131" spans="1:21" x14ac:dyDescent="0.3">
      <c r="A1131" s="2">
        <v>41816</v>
      </c>
      <c r="B1131" s="1">
        <v>3546.38</v>
      </c>
      <c r="C1131" s="2">
        <f t="shared" si="144"/>
        <v>41816</v>
      </c>
      <c r="D1131" s="1">
        <f t="shared" si="145"/>
        <v>3546.38</v>
      </c>
      <c r="E1131" s="4">
        <f t="shared" si="146"/>
        <v>3449.3600000000019</v>
      </c>
      <c r="F1131" s="3">
        <f t="shared" si="147"/>
        <v>1.0281269568847549</v>
      </c>
      <c r="G1131" s="18">
        <f t="shared" si="148"/>
        <v>1</v>
      </c>
      <c r="H1131" s="3">
        <f t="shared" si="149"/>
        <v>-1.0084620671781952E-3</v>
      </c>
      <c r="I1131" s="3">
        <f t="shared" si="150"/>
        <v>-1.0084620671781952E-3</v>
      </c>
      <c r="K1131" s="12" t="str">
        <f>IF(AND(G1131=1,G1130&lt;&gt;1),MAX($K$50:K1130)+1,"")</f>
        <v/>
      </c>
      <c r="L1131" s="13" t="str">
        <f>IF(AND(G1131&lt;&gt;1,G1130=1),MAX($L$50:L1130)+1,"")</f>
        <v/>
      </c>
      <c r="M1131" s="13" t="str">
        <f>IF(AND(G1131=-1,G1130&lt;&gt;-1),MAX($M$50:M1130)+1,"")</f>
        <v/>
      </c>
      <c r="N1131" s="13" t="str">
        <f>IF(AND(G1131&lt;&gt;-1,G1130=-1),MAX($N$50:N1130)+1,"")</f>
        <v/>
      </c>
      <c r="T1131" s="7">
        <f t="shared" si="151"/>
        <v>120.95306195103377</v>
      </c>
      <c r="U1131" s="1">
        <f t="shared" si="152"/>
        <v>186.32893568505074</v>
      </c>
    </row>
    <row r="1132" spans="1:21" x14ac:dyDescent="0.3">
      <c r="A1132" s="2">
        <v>41817</v>
      </c>
      <c r="B1132" s="1">
        <v>3553.35</v>
      </c>
      <c r="C1132" s="2">
        <f t="shared" si="144"/>
        <v>41817</v>
      </c>
      <c r="D1132" s="1">
        <f t="shared" si="145"/>
        <v>3553.35</v>
      </c>
      <c r="E1132" s="4">
        <f t="shared" si="146"/>
        <v>3453.2216000000017</v>
      </c>
      <c r="F1132" s="3">
        <f t="shared" si="147"/>
        <v>1.0289956485850773</v>
      </c>
      <c r="G1132" s="18">
        <f t="shared" si="148"/>
        <v>1</v>
      </c>
      <c r="H1132" s="3">
        <f t="shared" si="149"/>
        <v>1.9653844201692472E-3</v>
      </c>
      <c r="I1132" s="3">
        <f t="shared" si="150"/>
        <v>1.9653844201692472E-3</v>
      </c>
      <c r="K1132" s="12" t="str">
        <f>IF(AND(G1132=1,G1131&lt;&gt;1),MAX($K$50:K1131)+1,"")</f>
        <v/>
      </c>
      <c r="L1132" s="13" t="str">
        <f>IF(AND(G1132&lt;&gt;1,G1131=1),MAX($L$50:L1131)+1,"")</f>
        <v/>
      </c>
      <c r="M1132" s="13" t="str">
        <f>IF(AND(G1132=-1,G1131&lt;&gt;-1),MAX($M$50:M1131)+1,"")</f>
        <v/>
      </c>
      <c r="N1132" s="13" t="str">
        <f>IF(AND(G1132&lt;&gt;-1,G1131=-1),MAX($N$50:N1131)+1,"")</f>
        <v/>
      </c>
      <c r="T1132" s="7">
        <f t="shared" si="151"/>
        <v>121.1907812145641</v>
      </c>
      <c r="U1132" s="1">
        <f t="shared" si="152"/>
        <v>186.69514367227288</v>
      </c>
    </row>
    <row r="1133" spans="1:21" x14ac:dyDescent="0.3">
      <c r="A1133" s="2">
        <v>41820</v>
      </c>
      <c r="B1133" s="1">
        <v>3552.18</v>
      </c>
      <c r="C1133" s="2">
        <f t="shared" si="144"/>
        <v>41820</v>
      </c>
      <c r="D1133" s="1">
        <f t="shared" si="145"/>
        <v>3552.18</v>
      </c>
      <c r="E1133" s="4">
        <f t="shared" si="146"/>
        <v>3456.9652000000015</v>
      </c>
      <c r="F1133" s="3">
        <f t="shared" si="147"/>
        <v>1.0275428864600658</v>
      </c>
      <c r="G1133" s="18">
        <f t="shared" si="148"/>
        <v>1</v>
      </c>
      <c r="H1133" s="3">
        <f t="shared" si="149"/>
        <v>-3.2926674827982172E-4</v>
      </c>
      <c r="I1133" s="3">
        <f t="shared" si="150"/>
        <v>-3.2926674827982172E-4</v>
      </c>
      <c r="K1133" s="12" t="str">
        <f>IF(AND(G1133=1,G1132&lt;&gt;1),MAX($K$50:K1132)+1,"")</f>
        <v/>
      </c>
      <c r="L1133" s="13" t="str">
        <f>IF(AND(G1133&lt;&gt;1,G1132=1),MAX($L$50:L1132)+1,"")</f>
        <v/>
      </c>
      <c r="M1133" s="13" t="str">
        <f>IF(AND(G1133=-1,G1132&lt;&gt;-1),MAX($M$50:M1132)+1,"")</f>
        <v/>
      </c>
      <c r="N1133" s="13" t="str">
        <f>IF(AND(G1133&lt;&gt;-1,G1132=-1),MAX($N$50:N1132)+1,"")</f>
        <v/>
      </c>
      <c r="T1133" s="7">
        <f t="shared" si="151"/>
        <v>121.15087712011209</v>
      </c>
      <c r="U1133" s="1">
        <f t="shared" si="152"/>
        <v>186.63367116939628</v>
      </c>
    </row>
    <row r="1134" spans="1:21" x14ac:dyDescent="0.3">
      <c r="A1134" s="2">
        <v>41821</v>
      </c>
      <c r="B1134" s="1">
        <v>3576.55</v>
      </c>
      <c r="C1134" s="2">
        <f t="shared" si="144"/>
        <v>41821</v>
      </c>
      <c r="D1134" s="1">
        <f t="shared" si="145"/>
        <v>3576.55</v>
      </c>
      <c r="E1134" s="4">
        <f t="shared" si="146"/>
        <v>3460.9412000000011</v>
      </c>
      <c r="F1134" s="3">
        <f t="shared" si="147"/>
        <v>1.0334038613542464</v>
      </c>
      <c r="G1134" s="18">
        <f t="shared" si="148"/>
        <v>1</v>
      </c>
      <c r="H1134" s="3">
        <f t="shared" si="149"/>
        <v>6.8605757591113647E-3</v>
      </c>
      <c r="I1134" s="3">
        <f t="shared" si="150"/>
        <v>6.8605757591113647E-3</v>
      </c>
      <c r="K1134" s="12" t="str">
        <f>IF(AND(G1134=1,G1133&lt;&gt;1),MAX($K$50:K1133)+1,"")</f>
        <v/>
      </c>
      <c r="L1134" s="13" t="str">
        <f>IF(AND(G1134&lt;&gt;1,G1133=1),MAX($L$50:L1133)+1,"")</f>
        <v/>
      </c>
      <c r="M1134" s="13" t="str">
        <f>IF(AND(G1134=-1,G1133&lt;&gt;-1),MAX($M$50:M1133)+1,"")</f>
        <v/>
      </c>
      <c r="N1134" s="13" t="str">
        <f>IF(AND(G1134&lt;&gt;-1,G1133=-1),MAX($N$50:N1133)+1,"")</f>
        <v/>
      </c>
      <c r="T1134" s="7">
        <f t="shared" si="151"/>
        <v>121.98204189087741</v>
      </c>
      <c r="U1134" s="1">
        <f t="shared" si="152"/>
        <v>187.91408560965502</v>
      </c>
    </row>
    <row r="1135" spans="1:21" x14ac:dyDescent="0.3">
      <c r="A1135" s="2">
        <v>41822</v>
      </c>
      <c r="B1135" s="1">
        <v>3579.11</v>
      </c>
      <c r="C1135" s="2">
        <f t="shared" si="144"/>
        <v>41822</v>
      </c>
      <c r="D1135" s="1">
        <f t="shared" si="145"/>
        <v>3579.11</v>
      </c>
      <c r="E1135" s="4">
        <f t="shared" si="146"/>
        <v>3464.6918000000005</v>
      </c>
      <c r="F1135" s="3">
        <f t="shared" si="147"/>
        <v>1.0330240629195357</v>
      </c>
      <c r="G1135" s="18">
        <f t="shared" si="148"/>
        <v>1</v>
      </c>
      <c r="H1135" s="3">
        <f t="shared" si="149"/>
        <v>7.1577358068530827E-4</v>
      </c>
      <c r="I1135" s="3">
        <f t="shared" si="150"/>
        <v>7.1577358068530827E-4</v>
      </c>
      <c r="K1135" s="12" t="str">
        <f>IF(AND(G1135=1,G1134&lt;&gt;1),MAX($K$50:K1134)+1,"")</f>
        <v/>
      </c>
      <c r="L1135" s="13" t="str">
        <f>IF(AND(G1135&lt;&gt;1,G1134=1),MAX($L$50:L1134)+1,"")</f>
        <v/>
      </c>
      <c r="M1135" s="13" t="str">
        <f>IF(AND(G1135=-1,G1134&lt;&gt;-1),MAX($M$50:M1134)+1,"")</f>
        <v/>
      </c>
      <c r="N1135" s="13" t="str">
        <f>IF(AND(G1135&lt;&gt;-1,G1134=-1),MAX($N$50:N1134)+1,"")</f>
        <v/>
      </c>
      <c r="T1135" s="7">
        <f t="shared" si="151"/>
        <v>122.06935341378095</v>
      </c>
      <c r="U1135" s="1">
        <f t="shared" si="152"/>
        <v>188.04858954757304</v>
      </c>
    </row>
    <row r="1136" spans="1:21" x14ac:dyDescent="0.3">
      <c r="A1136" s="2">
        <v>41823</v>
      </c>
      <c r="B1136" s="1">
        <v>3598.73</v>
      </c>
      <c r="C1136" s="2">
        <f t="shared" si="144"/>
        <v>41823</v>
      </c>
      <c r="D1136" s="1">
        <f t="shared" si="145"/>
        <v>3598.73</v>
      </c>
      <c r="E1136" s="4">
        <f t="shared" si="146"/>
        <v>3468.9764000000009</v>
      </c>
      <c r="F1136" s="3">
        <f t="shared" si="147"/>
        <v>1.0374040019413218</v>
      </c>
      <c r="G1136" s="18">
        <f t="shared" si="148"/>
        <v>1</v>
      </c>
      <c r="H1136" s="3">
        <f t="shared" si="149"/>
        <v>5.4818097236464247E-3</v>
      </c>
      <c r="I1136" s="3">
        <f t="shared" si="150"/>
        <v>5.4818097236464247E-3</v>
      </c>
      <c r="K1136" s="12" t="str">
        <f>IF(AND(G1136=1,G1135&lt;&gt;1),MAX($K$50:K1135)+1,"")</f>
        <v/>
      </c>
      <c r="L1136" s="13" t="str">
        <f>IF(AND(G1136&lt;&gt;1,G1135=1),MAX($L$50:L1135)+1,"")</f>
        <v/>
      </c>
      <c r="M1136" s="13" t="str">
        <f>IF(AND(G1136=-1,G1135&lt;&gt;-1),MAX($M$50:M1135)+1,"")</f>
        <v/>
      </c>
      <c r="N1136" s="13" t="str">
        <f>IF(AND(G1136&lt;&gt;-1,G1135=-1),MAX($N$50:N1135)+1,"")</f>
        <v/>
      </c>
      <c r="T1136" s="7">
        <f t="shared" si="151"/>
        <v>122.73851438228384</v>
      </c>
      <c r="U1136" s="1">
        <f t="shared" si="152"/>
        <v>189.0794361342729</v>
      </c>
    </row>
    <row r="1137" spans="1:21" x14ac:dyDescent="0.3">
      <c r="A1137" s="2">
        <v>41827</v>
      </c>
      <c r="B1137" s="1">
        <v>3584.75</v>
      </c>
      <c r="C1137" s="2">
        <f t="shared" si="144"/>
        <v>41827</v>
      </c>
      <c r="D1137" s="1">
        <f t="shared" si="145"/>
        <v>3584.75</v>
      </c>
      <c r="E1137" s="4">
        <f t="shared" si="146"/>
        <v>3472.8636000000006</v>
      </c>
      <c r="F1137" s="3">
        <f t="shared" si="147"/>
        <v>1.0322173321175065</v>
      </c>
      <c r="G1137" s="18">
        <f t="shared" si="148"/>
        <v>1</v>
      </c>
      <c r="H1137" s="3">
        <f t="shared" si="149"/>
        <v>-3.8847037704967669E-3</v>
      </c>
      <c r="I1137" s="3">
        <f t="shared" si="150"/>
        <v>-3.8847037704967669E-3</v>
      </c>
      <c r="K1137" s="12" t="str">
        <f>IF(AND(G1137=1,G1136&lt;&gt;1),MAX($K$50:K1136)+1,"")</f>
        <v/>
      </c>
      <c r="L1137" s="13" t="str">
        <f>IF(AND(G1137&lt;&gt;1,G1136=1),MAX($L$50:L1136)+1,"")</f>
        <v/>
      </c>
      <c r="M1137" s="13" t="str">
        <f>IF(AND(G1137=-1,G1136&lt;&gt;-1),MAX($M$50:M1136)+1,"")</f>
        <v/>
      </c>
      <c r="N1137" s="13" t="str">
        <f>IF(AND(G1137&lt;&gt;-1,G1136=-1),MAX($N$50:N1136)+1,"")</f>
        <v/>
      </c>
      <c r="T1137" s="7">
        <f t="shared" si="151"/>
        <v>122.26171161267781</v>
      </c>
      <c r="U1137" s="1">
        <f t="shared" si="152"/>
        <v>188.34491853579868</v>
      </c>
    </row>
    <row r="1138" spans="1:21" x14ac:dyDescent="0.3">
      <c r="A1138" s="2">
        <v>41828</v>
      </c>
      <c r="B1138" s="1">
        <v>3560.53</v>
      </c>
      <c r="C1138" s="2">
        <f t="shared" si="144"/>
        <v>41828</v>
      </c>
      <c r="D1138" s="1">
        <f t="shared" si="145"/>
        <v>3560.53</v>
      </c>
      <c r="E1138" s="4">
        <f t="shared" si="146"/>
        <v>3476.8152</v>
      </c>
      <c r="F1138" s="3">
        <f t="shared" si="147"/>
        <v>1.0240780125443538</v>
      </c>
      <c r="G1138" s="18">
        <f t="shared" si="148"/>
        <v>1</v>
      </c>
      <c r="H1138" s="3">
        <f t="shared" si="149"/>
        <v>-6.7563986330985148E-3</v>
      </c>
      <c r="I1138" s="3">
        <f t="shared" si="150"/>
        <v>-6.7563986330985148E-3</v>
      </c>
      <c r="K1138" s="12" t="str">
        <f>IF(AND(G1138=1,G1137&lt;&gt;1),MAX($K$50:K1137)+1,"")</f>
        <v/>
      </c>
      <c r="L1138" s="13" t="str">
        <f>IF(AND(G1138&lt;&gt;1,G1137=1),MAX($L$50:L1137)+1,"")</f>
        <v/>
      </c>
      <c r="M1138" s="13" t="str">
        <f>IF(AND(G1138=-1,G1137&lt;&gt;-1),MAX($M$50:M1137)+1,"")</f>
        <v/>
      </c>
      <c r="N1138" s="13" t="str">
        <f>IF(AND(G1138&lt;&gt;-1,G1137=-1),MAX($N$50:N1137)+1,"")</f>
        <v/>
      </c>
      <c r="T1138" s="7">
        <f t="shared" si="151"/>
        <v>121.43566275145763</v>
      </c>
      <c r="U1138" s="1">
        <f t="shared" si="152"/>
        <v>187.07238518565237</v>
      </c>
    </row>
    <row r="1139" spans="1:21" x14ac:dyDescent="0.3">
      <c r="A1139" s="2">
        <v>41829</v>
      </c>
      <c r="B1139" s="1">
        <v>3577.28</v>
      </c>
      <c r="C1139" s="2">
        <f t="shared" si="144"/>
        <v>41829</v>
      </c>
      <c r="D1139" s="1">
        <f t="shared" si="145"/>
        <v>3577.28</v>
      </c>
      <c r="E1139" s="4">
        <f t="shared" si="146"/>
        <v>3480.88</v>
      </c>
      <c r="F1139" s="3">
        <f t="shared" si="147"/>
        <v>1.0276941463078302</v>
      </c>
      <c r="G1139" s="18">
        <f t="shared" si="148"/>
        <v>1</v>
      </c>
      <c r="H1139" s="3">
        <f t="shared" si="149"/>
        <v>4.7043558121964146E-3</v>
      </c>
      <c r="I1139" s="3">
        <f t="shared" si="150"/>
        <v>4.7043558121964146E-3</v>
      </c>
      <c r="K1139" s="12" t="str">
        <f>IF(AND(G1139=1,G1138&lt;&gt;1),MAX($K$50:K1138)+1,"")</f>
        <v/>
      </c>
      <c r="L1139" s="13" t="str">
        <f>IF(AND(G1139&lt;&gt;1,G1138=1),MAX($L$50:L1138)+1,"")</f>
        <v/>
      </c>
      <c r="M1139" s="13" t="str">
        <f>IF(AND(G1139=-1,G1138&lt;&gt;-1),MAX($M$50:M1138)+1,"")</f>
        <v/>
      </c>
      <c r="N1139" s="13" t="str">
        <f>IF(AND(G1139&lt;&gt;-1,G1138=-1),MAX($N$50:N1138)+1,"")</f>
        <v/>
      </c>
      <c r="T1139" s="7">
        <f t="shared" si="151"/>
        <v>122.00693931733036</v>
      </c>
      <c r="U1139" s="1">
        <f t="shared" si="152"/>
        <v>187.95244024820195</v>
      </c>
    </row>
    <row r="1140" spans="1:21" x14ac:dyDescent="0.3">
      <c r="A1140" s="2">
        <v>41830</v>
      </c>
      <c r="B1140" s="1">
        <v>3562.49</v>
      </c>
      <c r="C1140" s="2">
        <f t="shared" ref="C1140:C1203" si="153">A1140</f>
        <v>41830</v>
      </c>
      <c r="D1140" s="1">
        <f t="shared" ref="D1140:D1203" si="154">B1140</f>
        <v>3562.49</v>
      </c>
      <c r="E1140" s="4">
        <f t="shared" ref="E1140:E1203" si="155">AVERAGE(B1091:B1140)</f>
        <v>3484.3265999999999</v>
      </c>
      <c r="F1140" s="3">
        <f t="shared" ref="F1140:F1203" si="156">D1140/E1140</f>
        <v>1.0224328568969396</v>
      </c>
      <c r="G1140" s="18">
        <f t="shared" ref="G1140:G1203" si="157">IF(F1140&gt;=$Q$51,1,IF(F1140&lt;=$Q$52,-1,0))</f>
        <v>1</v>
      </c>
      <c r="H1140" s="3">
        <f t="shared" si="149"/>
        <v>-4.1344261561858664E-3</v>
      </c>
      <c r="I1140" s="3">
        <f t="shared" si="150"/>
        <v>-4.1344261561858664E-3</v>
      </c>
      <c r="K1140" s="12" t="str">
        <f>IF(AND(G1140=1,G1139&lt;&gt;1),MAX($K$50:K1139)+1,"")</f>
        <v/>
      </c>
      <c r="L1140" s="13" t="str">
        <f>IF(AND(G1140&lt;&gt;1,G1139=1),MAX($L$50:L1139)+1,"")</f>
        <v/>
      </c>
      <c r="M1140" s="13" t="str">
        <f>IF(AND(G1140=-1,G1139&lt;&gt;-1),MAX($M$50:M1139)+1,"")</f>
        <v/>
      </c>
      <c r="N1140" s="13" t="str">
        <f>IF(AND(G1140&lt;&gt;-1,G1139=-1),MAX($N$50:N1139)+1,"")</f>
        <v/>
      </c>
      <c r="T1140" s="7">
        <f t="shared" si="151"/>
        <v>121.50251063618062</v>
      </c>
      <c r="U1140" s="1">
        <f t="shared" si="152"/>
        <v>187.17536476312085</v>
      </c>
    </row>
    <row r="1141" spans="1:21" x14ac:dyDescent="0.3">
      <c r="A1141" s="2">
        <v>41831</v>
      </c>
      <c r="B1141" s="1">
        <v>3568.08</v>
      </c>
      <c r="C1141" s="2">
        <f t="shared" si="153"/>
        <v>41831</v>
      </c>
      <c r="D1141" s="1">
        <f t="shared" si="154"/>
        <v>3568.08</v>
      </c>
      <c r="E1141" s="4">
        <f t="shared" si="155"/>
        <v>3487.6789999999992</v>
      </c>
      <c r="F1141" s="3">
        <f t="shared" si="156"/>
        <v>1.0230528669639611</v>
      </c>
      <c r="G1141" s="18">
        <f t="shared" si="157"/>
        <v>1</v>
      </c>
      <c r="H1141" s="3">
        <f t="shared" ref="H1141:H1204" si="158">D1141/D1140-1</f>
        <v>1.5691272115851973E-3</v>
      </c>
      <c r="I1141" s="3">
        <f t="shared" ref="I1141:I1204" si="159">G1140*H1141</f>
        <v>1.5691272115851973E-3</v>
      </c>
      <c r="K1141" s="12" t="str">
        <f>IF(AND(G1141=1,G1140&lt;&gt;1),MAX($K$50:K1140)+1,"")</f>
        <v/>
      </c>
      <c r="L1141" s="13" t="str">
        <f>IF(AND(G1141&lt;&gt;1,G1140=1),MAX($L$50:L1140)+1,"")</f>
        <v/>
      </c>
      <c r="M1141" s="13" t="str">
        <f>IF(AND(G1141=-1,G1140&lt;&gt;-1),MAX($M$50:M1140)+1,"")</f>
        <v/>
      </c>
      <c r="N1141" s="13" t="str">
        <f>IF(AND(G1141&lt;&gt;-1,G1140=-1),MAX($N$50:N1140)+1,"")</f>
        <v/>
      </c>
      <c r="T1141" s="7">
        <f t="shared" ref="T1141:T1204" si="160">T1140*(1+I1141)</f>
        <v>121.69316353189576</v>
      </c>
      <c r="U1141" s="1">
        <f t="shared" ref="U1141:U1204" si="161">U1140*D1141/D1140</f>
        <v>187.46906672130905</v>
      </c>
    </row>
    <row r="1142" spans="1:21" x14ac:dyDescent="0.3">
      <c r="A1142" s="2">
        <v>41834</v>
      </c>
      <c r="B1142" s="1">
        <v>3585.37</v>
      </c>
      <c r="C1142" s="2">
        <f t="shared" si="153"/>
        <v>41834</v>
      </c>
      <c r="D1142" s="1">
        <f t="shared" si="154"/>
        <v>3585.37</v>
      </c>
      <c r="E1142" s="4">
        <f t="shared" si="155"/>
        <v>3491.3823999999995</v>
      </c>
      <c r="F1142" s="3">
        <f t="shared" si="156"/>
        <v>1.026919881362752</v>
      </c>
      <c r="G1142" s="18">
        <f t="shared" si="157"/>
        <v>1</v>
      </c>
      <c r="H1142" s="3">
        <f t="shared" si="158"/>
        <v>4.8457433689828022E-3</v>
      </c>
      <c r="I1142" s="3">
        <f t="shared" si="159"/>
        <v>4.8457433689828022E-3</v>
      </c>
      <c r="K1142" s="12" t="str">
        <f>IF(AND(G1142=1,G1141&lt;&gt;1),MAX($K$50:K1141)+1,"")</f>
        <v/>
      </c>
      <c r="L1142" s="13" t="str">
        <f>IF(AND(G1142&lt;&gt;1,G1141=1),MAX($L$50:L1141)+1,"")</f>
        <v/>
      </c>
      <c r="M1142" s="13" t="str">
        <f>IF(AND(G1142=-1,G1141&lt;&gt;-1),MAX($M$50:M1141)+1,"")</f>
        <v/>
      </c>
      <c r="N1142" s="13" t="str">
        <f>IF(AND(G1142&lt;&gt;-1,G1141=-1),MAX($N$50:N1141)+1,"")</f>
        <v/>
      </c>
      <c r="T1142" s="7">
        <f t="shared" si="160"/>
        <v>122.28285737213099</v>
      </c>
      <c r="U1142" s="1">
        <f t="shared" si="161"/>
        <v>188.37749370826322</v>
      </c>
    </row>
    <row r="1143" spans="1:21" x14ac:dyDescent="0.3">
      <c r="A1143" s="2">
        <v>41835</v>
      </c>
      <c r="B1143" s="1">
        <v>3578.46</v>
      </c>
      <c r="C1143" s="2">
        <f t="shared" si="153"/>
        <v>41835</v>
      </c>
      <c r="D1143" s="1">
        <f t="shared" si="154"/>
        <v>3578.46</v>
      </c>
      <c r="E1143" s="4">
        <f t="shared" si="155"/>
        <v>3495.0393999999997</v>
      </c>
      <c r="F1143" s="3">
        <f t="shared" si="156"/>
        <v>1.0238682860055885</v>
      </c>
      <c r="G1143" s="18">
        <f t="shared" si="157"/>
        <v>1</v>
      </c>
      <c r="H1143" s="3">
        <f t="shared" si="158"/>
        <v>-1.9272766827411747E-3</v>
      </c>
      <c r="I1143" s="3">
        <f t="shared" si="159"/>
        <v>-1.9272766827411747E-3</v>
      </c>
      <c r="K1143" s="12" t="str">
        <f>IF(AND(G1143=1,G1142&lt;&gt;1),MAX($K$50:K1142)+1,"")</f>
        <v/>
      </c>
      <c r="L1143" s="13" t="str">
        <f>IF(AND(G1143&lt;&gt;1,G1142=1),MAX($L$50:L1142)+1,"")</f>
        <v/>
      </c>
      <c r="M1143" s="13" t="str">
        <f>IF(AND(G1143=-1,G1142&lt;&gt;-1),MAX($M$50:M1142)+1,"")</f>
        <v/>
      </c>
      <c r="N1143" s="13" t="str">
        <f>IF(AND(G1143&lt;&gt;-1,G1142=-1),MAX($N$50:N1142)+1,"")</f>
        <v/>
      </c>
      <c r="T1143" s="7">
        <f t="shared" si="160"/>
        <v>122.04718447241872</v>
      </c>
      <c r="U1143" s="1">
        <f t="shared" si="161"/>
        <v>188.01443815708603</v>
      </c>
    </row>
    <row r="1144" spans="1:21" x14ac:dyDescent="0.3">
      <c r="A1144" s="2">
        <v>41836</v>
      </c>
      <c r="B1144" s="1">
        <v>3593.91</v>
      </c>
      <c r="C1144" s="2">
        <f t="shared" si="153"/>
        <v>41836</v>
      </c>
      <c r="D1144" s="1">
        <f t="shared" si="154"/>
        <v>3593.91</v>
      </c>
      <c r="E1144" s="4">
        <f t="shared" si="155"/>
        <v>3498.8729999999991</v>
      </c>
      <c r="F1144" s="3">
        <f t="shared" si="156"/>
        <v>1.0271621747917117</v>
      </c>
      <c r="G1144" s="18">
        <f t="shared" si="157"/>
        <v>1</v>
      </c>
      <c r="H1144" s="3">
        <f t="shared" si="158"/>
        <v>4.3174997065775766E-3</v>
      </c>
      <c r="I1144" s="3">
        <f t="shared" si="159"/>
        <v>4.3174997065775766E-3</v>
      </c>
      <c r="K1144" s="12" t="str">
        <f>IF(AND(G1144=1,G1143&lt;&gt;1),MAX($K$50:K1143)+1,"")</f>
        <v/>
      </c>
      <c r="L1144" s="13" t="str">
        <f>IF(AND(G1144&lt;&gt;1,G1143=1),MAX($L$50:L1143)+1,"")</f>
        <v/>
      </c>
      <c r="M1144" s="13" t="str">
        <f>IF(AND(G1144=-1,G1143&lt;&gt;-1),MAX($M$50:M1143)+1,"")</f>
        <v/>
      </c>
      <c r="N1144" s="13" t="str">
        <f>IF(AND(G1144&lt;&gt;-1,G1143=-1),MAX($N$50:N1143)+1,"")</f>
        <v/>
      </c>
      <c r="T1144" s="7">
        <f t="shared" si="160"/>
        <v>122.57412315556701</v>
      </c>
      <c r="U1144" s="1">
        <f t="shared" si="161"/>
        <v>188.82619043866163</v>
      </c>
    </row>
    <row r="1145" spans="1:21" x14ac:dyDescent="0.3">
      <c r="A1145" s="2">
        <v>41837</v>
      </c>
      <c r="B1145" s="1">
        <v>3551.73</v>
      </c>
      <c r="C1145" s="2">
        <f t="shared" si="153"/>
        <v>41837</v>
      </c>
      <c r="D1145" s="1">
        <f t="shared" si="154"/>
        <v>3551.73</v>
      </c>
      <c r="E1145" s="4">
        <f t="shared" si="155"/>
        <v>3502.4731999999999</v>
      </c>
      <c r="F1145" s="3">
        <f t="shared" si="156"/>
        <v>1.0140634338044328</v>
      </c>
      <c r="G1145" s="18">
        <f t="shared" si="157"/>
        <v>1</v>
      </c>
      <c r="H1145" s="3">
        <f t="shared" si="158"/>
        <v>-1.1736520947936868E-2</v>
      </c>
      <c r="I1145" s="3">
        <f t="shared" si="159"/>
        <v>-1.1736520947936868E-2</v>
      </c>
      <c r="K1145" s="12" t="str">
        <f>IF(AND(G1145=1,G1144&lt;&gt;1),MAX($K$50:K1144)+1,"")</f>
        <v/>
      </c>
      <c r="L1145" s="13" t="str">
        <f>IF(AND(G1145&lt;&gt;1,G1144=1),MAX($L$50:L1144)+1,"")</f>
        <v/>
      </c>
      <c r="M1145" s="13" t="str">
        <f>IF(AND(G1145=-1,G1144&lt;&gt;-1),MAX($M$50:M1144)+1,"")</f>
        <v/>
      </c>
      <c r="N1145" s="13" t="str">
        <f>IF(AND(G1145&lt;&gt;-1,G1144=-1),MAX($N$50:N1144)+1,"")</f>
        <v/>
      </c>
      <c r="T1145" s="7">
        <f t="shared" si="160"/>
        <v>121.13552939147671</v>
      </c>
      <c r="U1145" s="1">
        <f t="shared" si="161"/>
        <v>186.61002789905916</v>
      </c>
    </row>
    <row r="1146" spans="1:21" x14ac:dyDescent="0.3">
      <c r="A1146" s="2">
        <v>41838</v>
      </c>
      <c r="B1146" s="1">
        <v>3588.21</v>
      </c>
      <c r="C1146" s="2">
        <f t="shared" si="153"/>
        <v>41838</v>
      </c>
      <c r="D1146" s="1">
        <f t="shared" si="154"/>
        <v>3588.21</v>
      </c>
      <c r="E1146" s="4">
        <f t="shared" si="155"/>
        <v>3506.3953999999999</v>
      </c>
      <c r="F1146" s="3">
        <f t="shared" si="156"/>
        <v>1.0233329646736362</v>
      </c>
      <c r="G1146" s="18">
        <f t="shared" si="157"/>
        <v>1</v>
      </c>
      <c r="H1146" s="3">
        <f t="shared" si="158"/>
        <v>1.0271051008944987E-2</v>
      </c>
      <c r="I1146" s="3">
        <f t="shared" si="159"/>
        <v>1.0271051008944987E-2</v>
      </c>
      <c r="K1146" s="12" t="str">
        <f>IF(AND(G1146=1,G1145&lt;&gt;1),MAX($K$50:K1145)+1,"")</f>
        <v/>
      </c>
      <c r="L1146" s="13" t="str">
        <f>IF(AND(G1146&lt;&gt;1,G1145=1),MAX($L$50:L1145)+1,"")</f>
        <v/>
      </c>
      <c r="M1146" s="13" t="str">
        <f>IF(AND(G1146=-1,G1145&lt;&gt;-1),MAX($M$50:M1145)+1,"")</f>
        <v/>
      </c>
      <c r="N1146" s="13" t="str">
        <f>IF(AND(G1146&lt;&gt;-1,G1145=-1),MAX($N$50:N1145)+1,"")</f>
        <v/>
      </c>
      <c r="T1146" s="7">
        <f t="shared" si="160"/>
        <v>122.37971859285211</v>
      </c>
      <c r="U1146" s="1">
        <f t="shared" si="161"/>
        <v>188.52670901439103</v>
      </c>
    </row>
    <row r="1147" spans="1:21" x14ac:dyDescent="0.3">
      <c r="A1147" s="2">
        <v>41841</v>
      </c>
      <c r="B1147" s="1">
        <v>3579.99</v>
      </c>
      <c r="C1147" s="2">
        <f t="shared" si="153"/>
        <v>41841</v>
      </c>
      <c r="D1147" s="1">
        <f t="shared" si="154"/>
        <v>3579.99</v>
      </c>
      <c r="E1147" s="4">
        <f t="shared" si="155"/>
        <v>3510.2294000000002</v>
      </c>
      <c r="F1147" s="3">
        <f t="shared" si="156"/>
        <v>1.0198735159588144</v>
      </c>
      <c r="G1147" s="18">
        <f t="shared" si="157"/>
        <v>1</v>
      </c>
      <c r="H1147" s="3">
        <f t="shared" si="158"/>
        <v>-2.2908358206460422E-3</v>
      </c>
      <c r="I1147" s="3">
        <f t="shared" si="159"/>
        <v>-2.2908358206460422E-3</v>
      </c>
      <c r="K1147" s="12" t="str">
        <f>IF(AND(G1147=1,G1146&lt;&gt;1),MAX($K$50:K1146)+1,"")</f>
        <v/>
      </c>
      <c r="L1147" s="13" t="str">
        <f>IF(AND(G1147&lt;&gt;1,G1146=1),MAX($L$50:L1146)+1,"")</f>
        <v/>
      </c>
      <c r="M1147" s="13" t="str">
        <f>IF(AND(G1147=-1,G1146&lt;&gt;-1),MAX($M$50:M1146)+1,"")</f>
        <v/>
      </c>
      <c r="N1147" s="13" t="str">
        <f>IF(AND(G1147&lt;&gt;-1,G1146=-1),MAX($N$50:N1146)+1,"")</f>
        <v/>
      </c>
      <c r="T1147" s="7">
        <f t="shared" si="160"/>
        <v>122.09936674977902</v>
      </c>
      <c r="U1147" s="1">
        <f t="shared" si="161"/>
        <v>188.09482527623237</v>
      </c>
    </row>
    <row r="1148" spans="1:21" x14ac:dyDescent="0.3">
      <c r="A1148" s="2">
        <v>41842</v>
      </c>
      <c r="B1148" s="1">
        <v>3597.95</v>
      </c>
      <c r="C1148" s="2">
        <f t="shared" si="153"/>
        <v>41842</v>
      </c>
      <c r="D1148" s="1">
        <f t="shared" si="154"/>
        <v>3597.95</v>
      </c>
      <c r="E1148" s="4">
        <f t="shared" si="155"/>
        <v>3514.3073999999997</v>
      </c>
      <c r="F1148" s="3">
        <f t="shared" si="156"/>
        <v>1.0238005929703247</v>
      </c>
      <c r="G1148" s="18">
        <f t="shared" si="157"/>
        <v>1</v>
      </c>
      <c r="H1148" s="3">
        <f t="shared" si="158"/>
        <v>5.0167737898709763E-3</v>
      </c>
      <c r="I1148" s="3">
        <f t="shared" si="159"/>
        <v>5.0167737898709763E-3</v>
      </c>
      <c r="K1148" s="12" t="str">
        <f>IF(AND(G1148=1,G1147&lt;&gt;1),MAX($K$50:K1147)+1,"")</f>
        <v/>
      </c>
      <c r="L1148" s="13" t="str">
        <f>IF(AND(G1148&lt;&gt;1,G1147=1),MAX($L$50:L1147)+1,"")</f>
        <v/>
      </c>
      <c r="M1148" s="13" t="str">
        <f>IF(AND(G1148=-1,G1147&lt;&gt;-1),MAX($M$50:M1147)+1,"")</f>
        <v/>
      </c>
      <c r="N1148" s="13" t="str">
        <f>IF(AND(G1148&lt;&gt;-1,G1147=-1),MAX($N$50:N1147)+1,"")</f>
        <v/>
      </c>
      <c r="T1148" s="7">
        <f t="shared" si="160"/>
        <v>122.71191165264916</v>
      </c>
      <c r="U1148" s="1">
        <f t="shared" si="161"/>
        <v>189.03845446568855</v>
      </c>
    </row>
    <row r="1149" spans="1:21" x14ac:dyDescent="0.3">
      <c r="A1149" s="2">
        <v>41843</v>
      </c>
      <c r="B1149" s="1">
        <v>3604.3</v>
      </c>
      <c r="C1149" s="2">
        <f t="shared" si="153"/>
        <v>41843</v>
      </c>
      <c r="D1149" s="1">
        <f t="shared" si="154"/>
        <v>3604.3</v>
      </c>
      <c r="E1149" s="4">
        <f t="shared" si="155"/>
        <v>3517.8531999999996</v>
      </c>
      <c r="F1149" s="3">
        <f t="shared" si="156"/>
        <v>1.0245737371872143</v>
      </c>
      <c r="G1149" s="18">
        <f t="shared" si="157"/>
        <v>1</v>
      </c>
      <c r="H1149" s="3">
        <f t="shared" si="158"/>
        <v>1.7648938979142326E-3</v>
      </c>
      <c r="I1149" s="3">
        <f t="shared" si="159"/>
        <v>1.7648938979142326E-3</v>
      </c>
      <c r="K1149" s="12" t="str">
        <f>IF(AND(G1149=1,G1148&lt;&gt;1),MAX($K$50:K1148)+1,"")</f>
        <v/>
      </c>
      <c r="L1149" s="13" t="str">
        <f>IF(AND(G1149&lt;&gt;1,G1148=1),MAX($L$50:L1148)+1,"")</f>
        <v/>
      </c>
      <c r="M1149" s="13" t="str">
        <f>IF(AND(G1149=-1,G1148&lt;&gt;-1),MAX($M$50:M1148)+1,"")</f>
        <v/>
      </c>
      <c r="N1149" s="13" t="str">
        <f>IF(AND(G1149&lt;&gt;-1,G1148=-1),MAX($N$50:N1148)+1,"")</f>
        <v/>
      </c>
      <c r="T1149" s="7">
        <f t="shared" si="160"/>
        <v>122.92848515672631</v>
      </c>
      <c r="U1149" s="1">
        <f t="shared" si="161"/>
        <v>189.37208728044618</v>
      </c>
    </row>
    <row r="1150" spans="1:21" x14ac:dyDescent="0.3">
      <c r="A1150" s="2">
        <v>41844</v>
      </c>
      <c r="B1150" s="1">
        <v>3606.1</v>
      </c>
      <c r="C1150" s="2">
        <f t="shared" si="153"/>
        <v>41844</v>
      </c>
      <c r="D1150" s="1">
        <f t="shared" si="154"/>
        <v>3606.1</v>
      </c>
      <c r="E1150" s="4">
        <f t="shared" si="155"/>
        <v>3521.3891999999996</v>
      </c>
      <c r="F1150" s="3">
        <f t="shared" si="156"/>
        <v>1.0240560742334304</v>
      </c>
      <c r="G1150" s="18">
        <f t="shared" si="157"/>
        <v>1</v>
      </c>
      <c r="H1150" s="3">
        <f t="shared" si="158"/>
        <v>4.9940349027544073E-4</v>
      </c>
      <c r="I1150" s="3">
        <f t="shared" si="159"/>
        <v>4.9940349027544073E-4</v>
      </c>
      <c r="K1150" s="12" t="str">
        <f>IF(AND(G1150=1,G1149&lt;&gt;1),MAX($K$50:K1149)+1,"")</f>
        <v/>
      </c>
      <c r="L1150" s="13" t="str">
        <f>IF(AND(G1150&lt;&gt;1,G1149=1),MAX($L$50:L1149)+1,"")</f>
        <v/>
      </c>
      <c r="M1150" s="13" t="str">
        <f>IF(AND(G1150=-1,G1149&lt;&gt;-1),MAX($M$50:M1149)+1,"")</f>
        <v/>
      </c>
      <c r="N1150" s="13" t="str">
        <f>IF(AND(G1150&lt;&gt;-1,G1149=-1),MAX($N$50:N1149)+1,"")</f>
        <v/>
      </c>
      <c r="T1150" s="7">
        <f t="shared" si="160"/>
        <v>122.98987607126786</v>
      </c>
      <c r="U1150" s="1">
        <f t="shared" si="161"/>
        <v>189.46666036179477</v>
      </c>
    </row>
    <row r="1151" spans="1:21" x14ac:dyDescent="0.3">
      <c r="A1151" s="2">
        <v>41845</v>
      </c>
      <c r="B1151" s="1">
        <v>3588.68</v>
      </c>
      <c r="C1151" s="2">
        <f t="shared" si="153"/>
        <v>41845</v>
      </c>
      <c r="D1151" s="1">
        <f t="shared" si="154"/>
        <v>3588.68</v>
      </c>
      <c r="E1151" s="4">
        <f t="shared" si="155"/>
        <v>3524.886</v>
      </c>
      <c r="F1151" s="3">
        <f t="shared" si="156"/>
        <v>1.0180981739551294</v>
      </c>
      <c r="G1151" s="18">
        <f t="shared" si="157"/>
        <v>1</v>
      </c>
      <c r="H1151" s="3">
        <f t="shared" si="158"/>
        <v>-4.8307035301294876E-3</v>
      </c>
      <c r="I1151" s="3">
        <f t="shared" si="159"/>
        <v>-4.8307035301294876E-3</v>
      </c>
      <c r="K1151" s="12" t="str">
        <f>IF(AND(G1151=1,G1150&lt;&gt;1),MAX($K$50:K1150)+1,"")</f>
        <v/>
      </c>
      <c r="L1151" s="13" t="str">
        <f>IF(AND(G1151&lt;&gt;1,G1150=1),MAX($L$50:L1150)+1,"")</f>
        <v/>
      </c>
      <c r="M1151" s="13" t="str">
        <f>IF(AND(G1151=-1,G1150&lt;&gt;-1),MAX($M$50:M1150)+1,"")</f>
        <v/>
      </c>
      <c r="N1151" s="13" t="str">
        <f>IF(AND(G1151&lt;&gt;-1,G1150=-1),MAX($N$50:N1150)+1,"")</f>
        <v/>
      </c>
      <c r="T1151" s="7">
        <f t="shared" si="160"/>
        <v>122.39574844276019</v>
      </c>
      <c r="U1151" s="1">
        <f t="shared" si="161"/>
        <v>188.5514030967432</v>
      </c>
    </row>
    <row r="1152" spans="1:21" x14ac:dyDescent="0.3">
      <c r="A1152" s="2">
        <v>41848</v>
      </c>
      <c r="B1152" s="1">
        <v>3589.73</v>
      </c>
      <c r="C1152" s="2">
        <f t="shared" si="153"/>
        <v>41848</v>
      </c>
      <c r="D1152" s="1">
        <f t="shared" si="154"/>
        <v>3589.73</v>
      </c>
      <c r="E1152" s="4">
        <f t="shared" si="155"/>
        <v>3529.0302000000001</v>
      </c>
      <c r="F1152" s="3">
        <f t="shared" si="156"/>
        <v>1.0172001361733882</v>
      </c>
      <c r="G1152" s="18">
        <f t="shared" si="157"/>
        <v>1</v>
      </c>
      <c r="H1152" s="3">
        <f t="shared" si="158"/>
        <v>2.9258668925624676E-4</v>
      </c>
      <c r="I1152" s="3">
        <f t="shared" si="159"/>
        <v>2.9258668925624676E-4</v>
      </c>
      <c r="K1152" s="12" t="str">
        <f>IF(AND(G1152=1,G1151&lt;&gt;1),MAX($K$50:K1151)+1,"")</f>
        <v/>
      </c>
      <c r="L1152" s="13" t="str">
        <f>IF(AND(G1152&lt;&gt;1,G1151=1),MAX($L$50:L1151)+1,"")</f>
        <v/>
      </c>
      <c r="M1152" s="13" t="str">
        <f>IF(AND(G1152=-1,G1151&lt;&gt;-1),MAX($M$50:M1151)+1,"")</f>
        <v/>
      </c>
      <c r="N1152" s="13" t="str">
        <f>IF(AND(G1152&lt;&gt;-1,G1151=-1),MAX($N$50:N1151)+1,"")</f>
        <v/>
      </c>
      <c r="T1152" s="7">
        <f t="shared" si="160"/>
        <v>122.4315598095761</v>
      </c>
      <c r="U1152" s="1">
        <f t="shared" si="161"/>
        <v>188.60657072752988</v>
      </c>
    </row>
    <row r="1153" spans="1:21" x14ac:dyDescent="0.3">
      <c r="A1153" s="2">
        <v>41849</v>
      </c>
      <c r="B1153" s="1">
        <v>3573.65</v>
      </c>
      <c r="C1153" s="2">
        <f t="shared" si="153"/>
        <v>41849</v>
      </c>
      <c r="D1153" s="1">
        <f t="shared" si="154"/>
        <v>3573.65</v>
      </c>
      <c r="E1153" s="4">
        <f t="shared" si="155"/>
        <v>3532.5990000000002</v>
      </c>
      <c r="F1153" s="3">
        <f t="shared" si="156"/>
        <v>1.0116206226633704</v>
      </c>
      <c r="G1153" s="18">
        <f t="shared" si="157"/>
        <v>1</v>
      </c>
      <c r="H1153" s="3">
        <f t="shared" si="158"/>
        <v>-4.47944552932944E-3</v>
      </c>
      <c r="I1153" s="3">
        <f t="shared" si="159"/>
        <v>-4.47944552932944E-3</v>
      </c>
      <c r="K1153" s="12" t="str">
        <f>IF(AND(G1153=1,G1152&lt;&gt;1),MAX($K$50:K1152)+1,"")</f>
        <v/>
      </c>
      <c r="L1153" s="13" t="str">
        <f>IF(AND(G1153&lt;&gt;1,G1152=1),MAX($L$50:L1152)+1,"")</f>
        <v/>
      </c>
      <c r="M1153" s="13" t="str">
        <f>IF(AND(G1153=-1,G1152&lt;&gt;-1),MAX($M$50:M1152)+1,"")</f>
        <v/>
      </c>
      <c r="N1153" s="13" t="str">
        <f>IF(AND(G1153&lt;&gt;-1,G1152=-1),MAX($N$50:N1152)+1,"")</f>
        <v/>
      </c>
      <c r="T1153" s="7">
        <f t="shared" si="160"/>
        <v>121.88313430633826</v>
      </c>
      <c r="U1153" s="1">
        <f t="shared" si="161"/>
        <v>187.7617178674823</v>
      </c>
    </row>
    <row r="1154" spans="1:21" x14ac:dyDescent="0.3">
      <c r="A1154" s="2">
        <v>41850</v>
      </c>
      <c r="B1154" s="1">
        <v>3574.45</v>
      </c>
      <c r="C1154" s="2">
        <f t="shared" si="153"/>
        <v>41850</v>
      </c>
      <c r="D1154" s="1">
        <f t="shared" si="154"/>
        <v>3574.45</v>
      </c>
      <c r="E1154" s="4">
        <f t="shared" si="155"/>
        <v>3535.9176000000007</v>
      </c>
      <c r="F1154" s="3">
        <f t="shared" si="156"/>
        <v>1.010897425890241</v>
      </c>
      <c r="G1154" s="18">
        <f t="shared" si="157"/>
        <v>1</v>
      </c>
      <c r="H1154" s="3">
        <f t="shared" si="158"/>
        <v>2.238607586080299E-4</v>
      </c>
      <c r="I1154" s="3">
        <f t="shared" si="159"/>
        <v>2.238607586080299E-4</v>
      </c>
      <c r="K1154" s="12" t="str">
        <f>IF(AND(G1154=1,G1153&lt;&gt;1),MAX($K$50:K1153)+1,"")</f>
        <v/>
      </c>
      <c r="L1154" s="13" t="str">
        <f>IF(AND(G1154&lt;&gt;1,G1153=1),MAX($L$50:L1153)+1,"")</f>
        <v/>
      </c>
      <c r="M1154" s="13" t="str">
        <f>IF(AND(G1154=-1,G1153&lt;&gt;-1),MAX($M$50:M1153)+1,"")</f>
        <v/>
      </c>
      <c r="N1154" s="13" t="str">
        <f>IF(AND(G1154&lt;&gt;-1,G1153=-1),MAX($N$50:N1153)+1,"")</f>
        <v/>
      </c>
      <c r="T1154" s="7">
        <f t="shared" si="160"/>
        <v>121.9104191572456</v>
      </c>
      <c r="U1154" s="1">
        <f t="shared" si="161"/>
        <v>187.80375034808168</v>
      </c>
    </row>
    <row r="1155" spans="1:21" x14ac:dyDescent="0.3">
      <c r="A1155" s="2">
        <v>41851</v>
      </c>
      <c r="B1155" s="1">
        <v>3503.19</v>
      </c>
      <c r="C1155" s="2">
        <f t="shared" si="153"/>
        <v>41851</v>
      </c>
      <c r="D1155" s="1">
        <f t="shared" si="154"/>
        <v>3503.19</v>
      </c>
      <c r="E1155" s="4">
        <f t="shared" si="155"/>
        <v>3538.2518000000009</v>
      </c>
      <c r="F1155" s="3">
        <f t="shared" si="156"/>
        <v>0.99009064306842132</v>
      </c>
      <c r="G1155" s="18">
        <f t="shared" si="157"/>
        <v>1</v>
      </c>
      <c r="H1155" s="3">
        <f t="shared" si="158"/>
        <v>-1.9935934199666994E-2</v>
      </c>
      <c r="I1155" s="3">
        <f t="shared" si="159"/>
        <v>-1.9935934199666994E-2</v>
      </c>
      <c r="K1155" s="12" t="str">
        <f>IF(AND(G1155=1,G1154&lt;&gt;1),MAX($K$50:K1154)+1,"")</f>
        <v/>
      </c>
      <c r="L1155" s="13" t="str">
        <f>IF(AND(G1155&lt;&gt;1,G1154=1),MAX($L$50:L1154)+1,"")</f>
        <v/>
      </c>
      <c r="M1155" s="13" t="str">
        <f>IF(AND(G1155=-1,G1154&lt;&gt;-1),MAX($M$50:M1154)+1,"")</f>
        <v/>
      </c>
      <c r="N1155" s="13" t="str">
        <f>IF(AND(G1155&lt;&gt;-1,G1154=-1),MAX($N$50:N1154)+1,"")</f>
        <v/>
      </c>
      <c r="T1155" s="7">
        <f t="shared" si="160"/>
        <v>119.48002106267293</v>
      </c>
      <c r="U1155" s="1">
        <f t="shared" si="161"/>
        <v>184.05970713869164</v>
      </c>
    </row>
    <row r="1156" spans="1:21" x14ac:dyDescent="0.3">
      <c r="A1156" s="2">
        <v>41852</v>
      </c>
      <c r="B1156" s="1">
        <v>3493.18</v>
      </c>
      <c r="C1156" s="2">
        <f t="shared" si="153"/>
        <v>41852</v>
      </c>
      <c r="D1156" s="1">
        <f t="shared" si="154"/>
        <v>3493.18</v>
      </c>
      <c r="E1156" s="4">
        <f t="shared" si="155"/>
        <v>3539.8264000000008</v>
      </c>
      <c r="F1156" s="3">
        <f t="shared" si="156"/>
        <v>0.98682240462413606</v>
      </c>
      <c r="G1156" s="18">
        <f t="shared" si="157"/>
        <v>1</v>
      </c>
      <c r="H1156" s="3">
        <f t="shared" si="158"/>
        <v>-2.8573956879301976E-3</v>
      </c>
      <c r="I1156" s="3">
        <f t="shared" si="159"/>
        <v>-2.8573956879301976E-3</v>
      </c>
      <c r="K1156" s="12" t="str">
        <f>IF(AND(G1156=1,G1155&lt;&gt;1),MAX($K$50:K1155)+1,"")</f>
        <v/>
      </c>
      <c r="L1156" s="13" t="str">
        <f>IF(AND(G1156&lt;&gt;1,G1155=1),MAX($L$50:L1155)+1,"")</f>
        <v/>
      </c>
      <c r="M1156" s="13" t="str">
        <f>IF(AND(G1156=-1,G1155&lt;&gt;-1),MAX($M$50:M1155)+1,"")</f>
        <v/>
      </c>
      <c r="N1156" s="13" t="str">
        <f>IF(AND(G1156&lt;&gt;-1,G1155=-1),MAX($N$50:N1155)+1,"")</f>
        <v/>
      </c>
      <c r="T1156" s="7">
        <f t="shared" si="160"/>
        <v>119.13861936569464</v>
      </c>
      <c r="U1156" s="1">
        <f t="shared" si="161"/>
        <v>183.53377572519184</v>
      </c>
    </row>
    <row r="1157" spans="1:21" x14ac:dyDescent="0.3">
      <c r="A1157" s="2">
        <v>41855</v>
      </c>
      <c r="B1157" s="1">
        <v>3518.31</v>
      </c>
      <c r="C1157" s="2">
        <f t="shared" si="153"/>
        <v>41855</v>
      </c>
      <c r="D1157" s="1">
        <f t="shared" si="154"/>
        <v>3518.31</v>
      </c>
      <c r="E1157" s="4">
        <f t="shared" si="155"/>
        <v>3541.7328000000007</v>
      </c>
      <c r="F1157" s="3">
        <f t="shared" si="156"/>
        <v>0.99338662702053615</v>
      </c>
      <c r="G1157" s="18">
        <f t="shared" si="157"/>
        <v>1</v>
      </c>
      <c r="H1157" s="3">
        <f t="shared" si="158"/>
        <v>7.1940180580445379E-3</v>
      </c>
      <c r="I1157" s="3">
        <f t="shared" si="159"/>
        <v>7.1940180580445379E-3</v>
      </c>
      <c r="K1157" s="12" t="str">
        <f>IF(AND(G1157=1,G1156&lt;&gt;1),MAX($K$50:K1156)+1,"")</f>
        <v/>
      </c>
      <c r="L1157" s="13" t="str">
        <f>IF(AND(G1157&lt;&gt;1,G1156=1),MAX($L$50:L1156)+1,"")</f>
        <v/>
      </c>
      <c r="M1157" s="13" t="str">
        <f>IF(AND(G1157=-1,G1156&lt;&gt;-1),MAX($M$50:M1156)+1,"")</f>
        <v/>
      </c>
      <c r="N1157" s="13" t="str">
        <f>IF(AND(G1157&lt;&gt;-1,G1156=-1),MAX($N$50:N1156)+1,"")</f>
        <v/>
      </c>
      <c r="T1157" s="7">
        <f t="shared" si="160"/>
        <v>119.99570474482194</v>
      </c>
      <c r="U1157" s="1">
        <f t="shared" si="161"/>
        <v>184.85412102202</v>
      </c>
    </row>
    <row r="1158" spans="1:21" x14ac:dyDescent="0.3">
      <c r="A1158" s="2">
        <v>41856</v>
      </c>
      <c r="B1158" s="1">
        <v>3484.56</v>
      </c>
      <c r="C1158" s="2">
        <f t="shared" si="153"/>
        <v>41856</v>
      </c>
      <c r="D1158" s="1">
        <f t="shared" si="154"/>
        <v>3484.56</v>
      </c>
      <c r="E1158" s="4">
        <f t="shared" si="155"/>
        <v>3542.6724000000004</v>
      </c>
      <c r="F1158" s="3">
        <f t="shared" si="156"/>
        <v>0.98359645108590887</v>
      </c>
      <c r="G1158" s="18">
        <f t="shared" si="157"/>
        <v>1</v>
      </c>
      <c r="H1158" s="3">
        <f t="shared" si="158"/>
        <v>-9.5926737552972652E-3</v>
      </c>
      <c r="I1158" s="3">
        <f t="shared" si="159"/>
        <v>-9.5926737552972652E-3</v>
      </c>
      <c r="K1158" s="12" t="str">
        <f>IF(AND(G1158=1,G1157&lt;&gt;1),MAX($K$50:K1157)+1,"")</f>
        <v/>
      </c>
      <c r="L1158" s="13" t="str">
        <f>IF(AND(G1158&lt;&gt;1,G1157=1),MAX($L$50:L1157)+1,"")</f>
        <v/>
      </c>
      <c r="M1158" s="13" t="str">
        <f>IF(AND(G1158=-1,G1157&lt;&gt;-1),MAX($M$50:M1157)+1,"")</f>
        <v/>
      </c>
      <c r="N1158" s="13" t="str">
        <f>IF(AND(G1158&lt;&gt;-1,G1157=-1),MAX($N$50:N1157)+1,"")</f>
        <v/>
      </c>
      <c r="T1158" s="7">
        <f t="shared" si="160"/>
        <v>118.84462509716788</v>
      </c>
      <c r="U1158" s="1">
        <f t="shared" si="161"/>
        <v>183.08087574673351</v>
      </c>
    </row>
    <row r="1159" spans="1:21" x14ac:dyDescent="0.3">
      <c r="A1159" s="2">
        <v>41857</v>
      </c>
      <c r="B1159" s="1">
        <v>3485.67</v>
      </c>
      <c r="C1159" s="2">
        <f t="shared" si="153"/>
        <v>41857</v>
      </c>
      <c r="D1159" s="1">
        <f t="shared" si="154"/>
        <v>3485.67</v>
      </c>
      <c r="E1159" s="4">
        <f t="shared" si="155"/>
        <v>3543.2220000000007</v>
      </c>
      <c r="F1159" s="3">
        <f t="shared" si="156"/>
        <v>0.98375715662185415</v>
      </c>
      <c r="G1159" s="18">
        <f t="shared" si="157"/>
        <v>1</v>
      </c>
      <c r="H1159" s="3">
        <f t="shared" si="158"/>
        <v>3.1854810937392841E-4</v>
      </c>
      <c r="I1159" s="3">
        <f t="shared" si="159"/>
        <v>3.1854810937392841E-4</v>
      </c>
      <c r="K1159" s="12" t="str">
        <f>IF(AND(G1159=1,G1158&lt;&gt;1),MAX($K$50:K1158)+1,"")</f>
        <v/>
      </c>
      <c r="L1159" s="13" t="str">
        <f>IF(AND(G1159&lt;&gt;1,G1158=1),MAX($L$50:L1158)+1,"")</f>
        <v/>
      </c>
      <c r="M1159" s="13" t="str">
        <f>IF(AND(G1159=-1,G1158&lt;&gt;-1),MAX($M$50:M1158)+1,"")</f>
        <v/>
      </c>
      <c r="N1159" s="13" t="str">
        <f>IF(AND(G1159&lt;&gt;-1,G1158=-1),MAX($N$50:N1158)+1,"")</f>
        <v/>
      </c>
      <c r="T1159" s="7">
        <f t="shared" si="160"/>
        <v>118.88248282780184</v>
      </c>
      <c r="U1159" s="1">
        <f t="shared" si="161"/>
        <v>183.13919581356515</v>
      </c>
    </row>
    <row r="1160" spans="1:21" x14ac:dyDescent="0.3">
      <c r="A1160" s="2">
        <v>41858</v>
      </c>
      <c r="B1160" s="1">
        <v>3467.14</v>
      </c>
      <c r="C1160" s="2">
        <f t="shared" si="153"/>
        <v>41858</v>
      </c>
      <c r="D1160" s="1">
        <f t="shared" si="154"/>
        <v>3467.14</v>
      </c>
      <c r="E1160" s="4">
        <f t="shared" si="155"/>
        <v>3543.467200000001</v>
      </c>
      <c r="F1160" s="3">
        <f t="shared" si="156"/>
        <v>0.97845974135163405</v>
      </c>
      <c r="G1160" s="18">
        <f t="shared" si="157"/>
        <v>1</v>
      </c>
      <c r="H1160" s="3">
        <f t="shared" si="158"/>
        <v>-5.316051146551537E-3</v>
      </c>
      <c r="I1160" s="3">
        <f t="shared" si="159"/>
        <v>-5.316051146551537E-3</v>
      </c>
      <c r="K1160" s="12" t="str">
        <f>IF(AND(G1160=1,G1159&lt;&gt;1),MAX($K$50:K1159)+1,"")</f>
        <v/>
      </c>
      <c r="L1160" s="13" t="str">
        <f>IF(AND(G1160&lt;&gt;1,G1159=1),MAX($L$50:L1159)+1,"")</f>
        <v/>
      </c>
      <c r="M1160" s="13" t="str">
        <f>IF(AND(G1160=-1,G1159&lt;&gt;-1),MAX($M$50:M1159)+1,"")</f>
        <v/>
      </c>
      <c r="N1160" s="13" t="str">
        <f>IF(AND(G1160&lt;&gt;-1,G1159=-1),MAX($N$50:N1159)+1,"")</f>
        <v/>
      </c>
      <c r="T1160" s="7">
        <f t="shared" si="160"/>
        <v>118.25049746866021</v>
      </c>
      <c r="U1160" s="1">
        <f t="shared" si="161"/>
        <v>182.16561848168195</v>
      </c>
    </row>
    <row r="1161" spans="1:21" x14ac:dyDescent="0.3">
      <c r="A1161" s="2">
        <v>41859</v>
      </c>
      <c r="B1161" s="1">
        <v>3507.21</v>
      </c>
      <c r="C1161" s="2">
        <f t="shared" si="153"/>
        <v>41859</v>
      </c>
      <c r="D1161" s="1">
        <f t="shared" si="154"/>
        <v>3507.21</v>
      </c>
      <c r="E1161" s="4">
        <f t="shared" si="155"/>
        <v>3544.1342000000009</v>
      </c>
      <c r="F1161" s="3">
        <f t="shared" si="156"/>
        <v>0.98958160218650837</v>
      </c>
      <c r="G1161" s="18">
        <f t="shared" si="157"/>
        <v>1</v>
      </c>
      <c r="H1161" s="3">
        <f t="shared" si="158"/>
        <v>1.1557075860795907E-2</v>
      </c>
      <c r="I1161" s="3">
        <f t="shared" si="159"/>
        <v>1.1557075860795907E-2</v>
      </c>
      <c r="K1161" s="12" t="str">
        <f>IF(AND(G1161=1,G1160&lt;&gt;1),MAX($K$50:K1160)+1,"")</f>
        <v/>
      </c>
      <c r="L1161" s="13" t="str">
        <f>IF(AND(G1161&lt;&gt;1,G1160=1),MAX($L$50:L1160)+1,"")</f>
        <v/>
      </c>
      <c r="M1161" s="13" t="str">
        <f>IF(AND(G1161=-1,G1160&lt;&gt;-1),MAX($M$50:M1160)+1,"")</f>
        <v/>
      </c>
      <c r="N1161" s="13" t="str">
        <f>IF(AND(G1161&lt;&gt;-1,G1160=-1),MAX($N$50:N1160)+1,"")</f>
        <v/>
      </c>
      <c r="T1161" s="7">
        <f t="shared" si="160"/>
        <v>119.61712743848237</v>
      </c>
      <c r="U1161" s="1">
        <f t="shared" si="161"/>
        <v>184.27092035370359</v>
      </c>
    </row>
    <row r="1162" spans="1:21" x14ac:dyDescent="0.3">
      <c r="A1162" s="2">
        <v>41862</v>
      </c>
      <c r="B1162" s="1">
        <v>3517.53</v>
      </c>
      <c r="C1162" s="2">
        <f t="shared" si="153"/>
        <v>41862</v>
      </c>
      <c r="D1162" s="1">
        <f t="shared" si="154"/>
        <v>3517.53</v>
      </c>
      <c r="E1162" s="4">
        <f t="shared" si="155"/>
        <v>3544.8790000000008</v>
      </c>
      <c r="F1162" s="3">
        <f t="shared" si="156"/>
        <v>0.99228492707367433</v>
      </c>
      <c r="G1162" s="18">
        <f t="shared" si="157"/>
        <v>1</v>
      </c>
      <c r="H1162" s="3">
        <f t="shared" si="158"/>
        <v>2.9425098582633868E-3</v>
      </c>
      <c r="I1162" s="3">
        <f t="shared" si="159"/>
        <v>2.9425098582633868E-3</v>
      </c>
      <c r="K1162" s="12" t="str">
        <f>IF(AND(G1162=1,G1161&lt;&gt;1),MAX($K$50:K1161)+1,"")</f>
        <v/>
      </c>
      <c r="L1162" s="13" t="str">
        <f>IF(AND(G1162&lt;&gt;1,G1161=1),MAX($L$50:L1161)+1,"")</f>
        <v/>
      </c>
      <c r="M1162" s="13" t="str">
        <f>IF(AND(G1162=-1,G1161&lt;&gt;-1),MAX($M$50:M1161)+1,"")</f>
        <v/>
      </c>
      <c r="N1162" s="13" t="str">
        <f>IF(AND(G1162&lt;&gt;-1,G1161=-1),MAX($N$50:N1161)+1,"")</f>
        <v/>
      </c>
      <c r="T1162" s="7">
        <f t="shared" si="160"/>
        <v>119.96910201518725</v>
      </c>
      <c r="U1162" s="1">
        <f t="shared" si="161"/>
        <v>184.81313935343564</v>
      </c>
    </row>
    <row r="1163" spans="1:21" x14ac:dyDescent="0.3">
      <c r="A1163" s="2">
        <v>41863</v>
      </c>
      <c r="B1163" s="1">
        <v>3511.96</v>
      </c>
      <c r="C1163" s="2">
        <f t="shared" si="153"/>
        <v>41863</v>
      </c>
      <c r="D1163" s="1">
        <f t="shared" si="154"/>
        <v>3511.96</v>
      </c>
      <c r="E1163" s="4">
        <f t="shared" si="155"/>
        <v>3545.4554000000003</v>
      </c>
      <c r="F1163" s="3">
        <f t="shared" si="156"/>
        <v>0.99055258176424943</v>
      </c>
      <c r="G1163" s="18">
        <f t="shared" si="157"/>
        <v>1</v>
      </c>
      <c r="H1163" s="3">
        <f t="shared" si="158"/>
        <v>-1.5834975110375904E-3</v>
      </c>
      <c r="I1163" s="3">
        <f t="shared" si="159"/>
        <v>-1.5834975110375904E-3</v>
      </c>
      <c r="K1163" s="12" t="str">
        <f>IF(AND(G1163=1,G1162&lt;&gt;1),MAX($K$50:K1162)+1,"")</f>
        <v/>
      </c>
      <c r="L1163" s="13" t="str">
        <f>IF(AND(G1163&lt;&gt;1,G1162=1),MAX($L$50:L1162)+1,"")</f>
        <v/>
      </c>
      <c r="M1163" s="13" t="str">
        <f>IF(AND(G1163=-1,G1162&lt;&gt;-1),MAX($M$50:M1162)+1,"")</f>
        <v/>
      </c>
      <c r="N1163" s="13" t="str">
        <f>IF(AND(G1163&lt;&gt;-1,G1162=-1),MAX($N$50:N1162)+1,"")</f>
        <v/>
      </c>
      <c r="T1163" s="7">
        <f t="shared" si="160"/>
        <v>119.77913124074479</v>
      </c>
      <c r="U1163" s="1">
        <f t="shared" si="161"/>
        <v>184.52048820726245</v>
      </c>
    </row>
    <row r="1164" spans="1:21" x14ac:dyDescent="0.3">
      <c r="A1164" s="2">
        <v>41864</v>
      </c>
      <c r="B1164" s="1">
        <v>3536.42</v>
      </c>
      <c r="C1164" s="2">
        <f t="shared" si="153"/>
        <v>41864</v>
      </c>
      <c r="D1164" s="1">
        <f t="shared" si="154"/>
        <v>3536.42</v>
      </c>
      <c r="E1164" s="4">
        <f t="shared" si="155"/>
        <v>3546.5438000000008</v>
      </c>
      <c r="F1164" s="3">
        <f t="shared" si="156"/>
        <v>0.99714544622288304</v>
      </c>
      <c r="G1164" s="18">
        <f t="shared" si="157"/>
        <v>1</v>
      </c>
      <c r="H1164" s="3">
        <f t="shared" si="158"/>
        <v>6.9647718083349908E-3</v>
      </c>
      <c r="I1164" s="3">
        <f t="shared" si="159"/>
        <v>6.9647718083349908E-3</v>
      </c>
      <c r="K1164" s="12" t="str">
        <f>IF(AND(G1164=1,G1163&lt;&gt;1),MAX($K$50:K1163)+1,"")</f>
        <v/>
      </c>
      <c r="L1164" s="13" t="str">
        <f>IF(AND(G1164&lt;&gt;1,G1163=1),MAX($L$50:L1163)+1,"")</f>
        <v/>
      </c>
      <c r="M1164" s="13" t="str">
        <f>IF(AND(G1164=-1,G1163&lt;&gt;-1),MAX($M$50:M1163)+1,"")</f>
        <v/>
      </c>
      <c r="N1164" s="13" t="str">
        <f>IF(AND(G1164&lt;&gt;-1,G1163=-1),MAX($N$50:N1163)+1,"")</f>
        <v/>
      </c>
      <c r="T1164" s="7">
        <f t="shared" si="160"/>
        <v>120.61336555723719</v>
      </c>
      <c r="U1164" s="1">
        <f t="shared" si="161"/>
        <v>185.80563130158859</v>
      </c>
    </row>
    <row r="1165" spans="1:21" x14ac:dyDescent="0.3">
      <c r="A1165" s="2">
        <v>41865</v>
      </c>
      <c r="B1165" s="1">
        <v>3551.97</v>
      </c>
      <c r="C1165" s="2">
        <f t="shared" si="153"/>
        <v>41865</v>
      </c>
      <c r="D1165" s="1">
        <f t="shared" si="154"/>
        <v>3551.97</v>
      </c>
      <c r="E1165" s="4">
        <f t="shared" si="155"/>
        <v>3547.7990000000009</v>
      </c>
      <c r="F1165" s="3">
        <f t="shared" si="156"/>
        <v>1.0011756584857257</v>
      </c>
      <c r="G1165" s="18">
        <f t="shared" si="157"/>
        <v>1</v>
      </c>
      <c r="H1165" s="3">
        <f t="shared" si="158"/>
        <v>4.3971021541557853E-3</v>
      </c>
      <c r="I1165" s="3">
        <f t="shared" si="159"/>
        <v>4.3971021541557853E-3</v>
      </c>
      <c r="K1165" s="12" t="str">
        <f>IF(AND(G1165=1,G1164&lt;&gt;1),MAX($K$50:K1164)+1,"")</f>
        <v/>
      </c>
      <c r="L1165" s="13" t="str">
        <f>IF(AND(G1165&lt;&gt;1,G1164=1),MAX($L$50:L1164)+1,"")</f>
        <v/>
      </c>
      <c r="M1165" s="13" t="str">
        <f>IF(AND(G1165=-1,G1164&lt;&gt;-1),MAX($M$50:M1164)+1,"")</f>
        <v/>
      </c>
      <c r="N1165" s="13" t="str">
        <f>IF(AND(G1165&lt;&gt;-1,G1164=-1),MAX($N$50:N1164)+1,"")</f>
        <v/>
      </c>
      <c r="T1165" s="7">
        <f t="shared" si="160"/>
        <v>121.14371484674889</v>
      </c>
      <c r="U1165" s="1">
        <f t="shared" si="161"/>
        <v>186.62263764323907</v>
      </c>
    </row>
    <row r="1166" spans="1:21" x14ac:dyDescent="0.3">
      <c r="A1166" s="2">
        <v>41866</v>
      </c>
      <c r="B1166" s="1">
        <v>3552.17</v>
      </c>
      <c r="C1166" s="2">
        <f t="shared" si="153"/>
        <v>41866</v>
      </c>
      <c r="D1166" s="1">
        <f t="shared" si="154"/>
        <v>3552.17</v>
      </c>
      <c r="E1166" s="4">
        <f t="shared" si="155"/>
        <v>3548.5982000000008</v>
      </c>
      <c r="F1166" s="3">
        <f t="shared" si="156"/>
        <v>1.0010065383001094</v>
      </c>
      <c r="G1166" s="18">
        <f t="shared" si="157"/>
        <v>1</v>
      </c>
      <c r="H1166" s="3">
        <f t="shared" si="158"/>
        <v>5.6306781870407718E-5</v>
      </c>
      <c r="I1166" s="3">
        <f t="shared" si="159"/>
        <v>5.6306781870407718E-5</v>
      </c>
      <c r="K1166" s="12" t="str">
        <f>IF(AND(G1166=1,G1165&lt;&gt;1),MAX($K$50:K1165)+1,"")</f>
        <v/>
      </c>
      <c r="L1166" s="13" t="str">
        <f>IF(AND(G1166&lt;&gt;1,G1165=1),MAX($L$50:L1165)+1,"")</f>
        <v/>
      </c>
      <c r="M1166" s="13" t="str">
        <f>IF(AND(G1166=-1,G1165&lt;&gt;-1),MAX($M$50:M1165)+1,"")</f>
        <v/>
      </c>
      <c r="N1166" s="13" t="str">
        <f>IF(AND(G1166&lt;&gt;-1,G1165=-1),MAX($N$50:N1165)+1,"")</f>
        <v/>
      </c>
      <c r="T1166" s="7">
        <f t="shared" si="160"/>
        <v>121.15053605947574</v>
      </c>
      <c r="U1166" s="1">
        <f t="shared" si="161"/>
        <v>186.63314576338894</v>
      </c>
    </row>
    <row r="1167" spans="1:21" x14ac:dyDescent="0.3">
      <c r="A1167" s="2">
        <v>41869</v>
      </c>
      <c r="B1167" s="1">
        <v>3582.7</v>
      </c>
      <c r="C1167" s="2">
        <f t="shared" si="153"/>
        <v>41869</v>
      </c>
      <c r="D1167" s="1">
        <f t="shared" si="154"/>
        <v>3582.7</v>
      </c>
      <c r="E1167" s="4">
        <f t="shared" si="155"/>
        <v>3549.6726000000012</v>
      </c>
      <c r="F1167" s="3">
        <f t="shared" si="156"/>
        <v>1.0093043510547983</v>
      </c>
      <c r="G1167" s="18">
        <f t="shared" si="157"/>
        <v>1</v>
      </c>
      <c r="H1167" s="3">
        <f t="shared" si="158"/>
        <v>8.5947463100020105E-3</v>
      </c>
      <c r="I1167" s="3">
        <f t="shared" si="159"/>
        <v>8.5947463100020105E-3</v>
      </c>
      <c r="K1167" s="12" t="str">
        <f>IF(AND(G1167=1,G1166&lt;&gt;1),MAX($K$50:K1166)+1,"")</f>
        <v/>
      </c>
      <c r="L1167" s="13" t="str">
        <f>IF(AND(G1167&lt;&gt;1,G1166=1),MAX($L$50:L1166)+1,"")</f>
        <v/>
      </c>
      <c r="M1167" s="13" t="str">
        <f>IF(AND(G1167=-1,G1166&lt;&gt;-1),MAX($M$50:M1166)+1,"")</f>
        <v/>
      </c>
      <c r="N1167" s="13" t="str">
        <f>IF(AND(G1167&lt;&gt;-1,G1166=-1),MAX($N$50:N1166)+1,"")</f>
        <v/>
      </c>
      <c r="T1167" s="7">
        <f t="shared" si="160"/>
        <v>122.19179418222768</v>
      </c>
      <c r="U1167" s="1">
        <f t="shared" si="161"/>
        <v>188.2372103042629</v>
      </c>
    </row>
    <row r="1168" spans="1:21" x14ac:dyDescent="0.3">
      <c r="A1168" s="2">
        <v>41870</v>
      </c>
      <c r="B1168" s="1">
        <v>3601.33</v>
      </c>
      <c r="C1168" s="2">
        <f t="shared" si="153"/>
        <v>41870</v>
      </c>
      <c r="D1168" s="1">
        <f t="shared" si="154"/>
        <v>3601.33</v>
      </c>
      <c r="E1168" s="4">
        <f t="shared" si="155"/>
        <v>3551.0498000000002</v>
      </c>
      <c r="F1168" s="3">
        <f t="shared" si="156"/>
        <v>1.0141592494703959</v>
      </c>
      <c r="G1168" s="18">
        <f t="shared" si="157"/>
        <v>1</v>
      </c>
      <c r="H1168" s="3">
        <f t="shared" si="158"/>
        <v>5.1999888352360912E-3</v>
      </c>
      <c r="I1168" s="3">
        <f t="shared" si="159"/>
        <v>5.1999888352360912E-3</v>
      </c>
      <c r="K1168" s="12" t="str">
        <f>IF(AND(G1168=1,G1167&lt;&gt;1),MAX($K$50:K1167)+1,"")</f>
        <v/>
      </c>
      <c r="L1168" s="13" t="str">
        <f>IF(AND(G1168&lt;&gt;1,G1167=1),MAX($L$50:L1167)+1,"")</f>
        <v/>
      </c>
      <c r="M1168" s="13" t="str">
        <f>IF(AND(G1168=-1,G1167&lt;&gt;-1),MAX($M$50:M1167)+1,"")</f>
        <v/>
      </c>
      <c r="N1168" s="13" t="str">
        <f>IF(AND(G1168&lt;&gt;-1,G1167=-1),MAX($N$50:N1167)+1,"")</f>
        <v/>
      </c>
      <c r="T1168" s="7">
        <f t="shared" si="160"/>
        <v>122.82719014773274</v>
      </c>
      <c r="U1168" s="1">
        <f t="shared" si="161"/>
        <v>189.21604169622103</v>
      </c>
    </row>
    <row r="1169" spans="1:21" x14ac:dyDescent="0.3">
      <c r="A1169" s="2">
        <v>41871</v>
      </c>
      <c r="B1169" s="1">
        <v>3610.49</v>
      </c>
      <c r="C1169" s="2">
        <f t="shared" si="153"/>
        <v>41871</v>
      </c>
      <c r="D1169" s="1">
        <f t="shared" si="154"/>
        <v>3610.49</v>
      </c>
      <c r="E1169" s="4">
        <f t="shared" si="155"/>
        <v>3552.6272000000008</v>
      </c>
      <c r="F1169" s="3">
        <f t="shared" si="156"/>
        <v>1.0162873267423047</v>
      </c>
      <c r="G1169" s="18">
        <f t="shared" si="157"/>
        <v>1</v>
      </c>
      <c r="H1169" s="3">
        <f t="shared" si="158"/>
        <v>2.5435047607411665E-3</v>
      </c>
      <c r="I1169" s="3">
        <f t="shared" si="159"/>
        <v>2.5435047607411665E-3</v>
      </c>
      <c r="K1169" s="12" t="str">
        <f>IF(AND(G1169=1,G1168&lt;&gt;1),MAX($K$50:K1168)+1,"")</f>
        <v/>
      </c>
      <c r="L1169" s="13" t="str">
        <f>IF(AND(G1169&lt;&gt;1,G1168=1),MAX($L$50:L1168)+1,"")</f>
        <v/>
      </c>
      <c r="M1169" s="13" t="str">
        <f>IF(AND(G1169=-1,G1168&lt;&gt;-1),MAX($M$50:M1168)+1,"")</f>
        <v/>
      </c>
      <c r="N1169" s="13" t="str">
        <f>IF(AND(G1169&lt;&gt;-1,G1168=-1),MAX($N$50:N1168)+1,"")</f>
        <v/>
      </c>
      <c r="T1169" s="7">
        <f t="shared" si="160"/>
        <v>123.13960169062196</v>
      </c>
      <c r="U1169" s="1">
        <f t="shared" si="161"/>
        <v>189.69731359908394</v>
      </c>
    </row>
    <row r="1170" spans="1:21" x14ac:dyDescent="0.3">
      <c r="A1170" s="2">
        <v>41872</v>
      </c>
      <c r="B1170" s="1">
        <v>3621.23</v>
      </c>
      <c r="C1170" s="2">
        <f t="shared" si="153"/>
        <v>41872</v>
      </c>
      <c r="D1170" s="1">
        <f t="shared" si="154"/>
        <v>3621.23</v>
      </c>
      <c r="E1170" s="4">
        <f t="shared" si="155"/>
        <v>3554.6614000000009</v>
      </c>
      <c r="F1170" s="3">
        <f t="shared" si="156"/>
        <v>1.0187271282716264</v>
      </c>
      <c r="G1170" s="18">
        <f t="shared" si="157"/>
        <v>1</v>
      </c>
      <c r="H1170" s="3">
        <f t="shared" si="158"/>
        <v>2.9746654886180224E-3</v>
      </c>
      <c r="I1170" s="3">
        <f t="shared" si="159"/>
        <v>2.9746654886180224E-3</v>
      </c>
      <c r="K1170" s="12" t="str">
        <f>IF(AND(G1170=1,G1169&lt;&gt;1),MAX($K$50:K1169)+1,"")</f>
        <v/>
      </c>
      <c r="L1170" s="13" t="str">
        <f>IF(AND(G1170&lt;&gt;1,G1169=1),MAX($L$50:L1169)+1,"")</f>
        <v/>
      </c>
      <c r="M1170" s="13" t="str">
        <f>IF(AND(G1170=-1,G1169&lt;&gt;-1),MAX($M$50:M1169)+1,"")</f>
        <v/>
      </c>
      <c r="N1170" s="13" t="str">
        <f>IF(AND(G1170&lt;&gt;-1,G1169=-1),MAX($N$50:N1169)+1,"")</f>
        <v/>
      </c>
      <c r="T1170" s="7">
        <f t="shared" si="160"/>
        <v>123.50590081405322</v>
      </c>
      <c r="U1170" s="1">
        <f t="shared" si="161"/>
        <v>190.26159965113067</v>
      </c>
    </row>
    <row r="1171" spans="1:21" x14ac:dyDescent="0.3">
      <c r="A1171" s="2">
        <v>41873</v>
      </c>
      <c r="B1171" s="1">
        <v>3614.5</v>
      </c>
      <c r="C1171" s="2">
        <f t="shared" si="153"/>
        <v>41873</v>
      </c>
      <c r="D1171" s="1">
        <f t="shared" si="154"/>
        <v>3614.5</v>
      </c>
      <c r="E1171" s="4">
        <f t="shared" si="155"/>
        <v>3557.0400000000004</v>
      </c>
      <c r="F1171" s="3">
        <f t="shared" si="156"/>
        <v>1.0161538807547847</v>
      </c>
      <c r="G1171" s="18">
        <f t="shared" si="157"/>
        <v>1</v>
      </c>
      <c r="H1171" s="3">
        <f t="shared" si="158"/>
        <v>-1.858484548067918E-3</v>
      </c>
      <c r="I1171" s="3">
        <f t="shared" si="159"/>
        <v>-1.858484548067918E-3</v>
      </c>
      <c r="K1171" s="12" t="str">
        <f>IF(AND(G1171=1,G1170&lt;&gt;1),MAX($K$50:K1170)+1,"")</f>
        <v/>
      </c>
      <c r="L1171" s="13" t="str">
        <f>IF(AND(G1171&lt;&gt;1,G1170=1),MAX($L$50:L1170)+1,"")</f>
        <v/>
      </c>
      <c r="M1171" s="13" t="str">
        <f>IF(AND(G1171=-1,G1170&lt;&gt;-1),MAX($M$50:M1170)+1,"")</f>
        <v/>
      </c>
      <c r="N1171" s="13" t="str">
        <f>IF(AND(G1171&lt;&gt;-1,G1170=-1),MAX($N$50:N1170)+1,"")</f>
        <v/>
      </c>
      <c r="T1171" s="7">
        <f t="shared" si="160"/>
        <v>123.27636700579509</v>
      </c>
      <c r="U1171" s="1">
        <f t="shared" si="161"/>
        <v>189.90800140808835</v>
      </c>
    </row>
    <row r="1172" spans="1:21" x14ac:dyDescent="0.3">
      <c r="A1172" s="2">
        <v>41876</v>
      </c>
      <c r="B1172" s="1">
        <v>3631.86</v>
      </c>
      <c r="C1172" s="2">
        <f t="shared" si="153"/>
        <v>41876</v>
      </c>
      <c r="D1172" s="1">
        <f t="shared" si="154"/>
        <v>3631.86</v>
      </c>
      <c r="E1172" s="4">
        <f t="shared" si="155"/>
        <v>3559.5455999999999</v>
      </c>
      <c r="F1172" s="3">
        <f t="shared" si="156"/>
        <v>1.0203156268036011</v>
      </c>
      <c r="G1172" s="18">
        <f t="shared" si="157"/>
        <v>1</v>
      </c>
      <c r="H1172" s="3">
        <f t="shared" si="158"/>
        <v>4.8028772997648073E-3</v>
      </c>
      <c r="I1172" s="3">
        <f t="shared" si="159"/>
        <v>4.8028772997648073E-3</v>
      </c>
      <c r="K1172" s="12" t="str">
        <f>IF(AND(G1172=1,G1171&lt;&gt;1),MAX($K$50:K1171)+1,"")</f>
        <v/>
      </c>
      <c r="L1172" s="13" t="str">
        <f>IF(AND(G1172&lt;&gt;1,G1171=1),MAX($L$50:L1171)+1,"")</f>
        <v/>
      </c>
      <c r="M1172" s="13" t="str">
        <f>IF(AND(G1172=-1,G1171&lt;&gt;-1),MAX($M$50:M1171)+1,"")</f>
        <v/>
      </c>
      <c r="N1172" s="13" t="str">
        <f>IF(AND(G1172&lt;&gt;-1,G1171=-1),MAX($N$50:N1171)+1,"")</f>
        <v/>
      </c>
      <c r="T1172" s="7">
        <f t="shared" si="160"/>
        <v>123.86844827048471</v>
      </c>
      <c r="U1172" s="1">
        <f t="shared" si="161"/>
        <v>190.82010623709499</v>
      </c>
    </row>
    <row r="1173" spans="1:21" x14ac:dyDescent="0.3">
      <c r="A1173" s="2">
        <v>41877</v>
      </c>
      <c r="B1173" s="1">
        <v>3635.71</v>
      </c>
      <c r="C1173" s="2">
        <f t="shared" si="153"/>
        <v>41877</v>
      </c>
      <c r="D1173" s="1">
        <f t="shared" si="154"/>
        <v>3635.71</v>
      </c>
      <c r="E1173" s="4">
        <f t="shared" si="155"/>
        <v>3562.0689999999995</v>
      </c>
      <c r="F1173" s="3">
        <f t="shared" si="156"/>
        <v>1.0206736590447856</v>
      </c>
      <c r="G1173" s="18">
        <f t="shared" si="157"/>
        <v>1</v>
      </c>
      <c r="H1173" s="3">
        <f t="shared" si="158"/>
        <v>1.0600628878865148E-3</v>
      </c>
      <c r="I1173" s="3">
        <f t="shared" si="159"/>
        <v>1.0600628878865148E-3</v>
      </c>
      <c r="K1173" s="12" t="str">
        <f>IF(AND(G1173=1,G1172&lt;&gt;1),MAX($K$50:K1172)+1,"")</f>
        <v/>
      </c>
      <c r="L1173" s="13" t="str">
        <f>IF(AND(G1173&lt;&gt;1,G1172=1),MAX($L$50:L1172)+1,"")</f>
        <v/>
      </c>
      <c r="M1173" s="13" t="str">
        <f>IF(AND(G1173=-1,G1172&lt;&gt;-1),MAX($M$50:M1172)+1,"")</f>
        <v/>
      </c>
      <c r="N1173" s="13" t="str">
        <f>IF(AND(G1173&lt;&gt;-1,G1172=-1),MAX($N$50:N1172)+1,"")</f>
        <v/>
      </c>
      <c r="T1173" s="7">
        <f t="shared" si="160"/>
        <v>123.99975661547634</v>
      </c>
      <c r="U1173" s="1">
        <f t="shared" si="161"/>
        <v>191.02238754997953</v>
      </c>
    </row>
    <row r="1174" spans="1:21" x14ac:dyDescent="0.3">
      <c r="A1174" s="2">
        <v>41878</v>
      </c>
      <c r="B1174" s="1">
        <v>3636.64</v>
      </c>
      <c r="C1174" s="2">
        <f t="shared" si="153"/>
        <v>41878</v>
      </c>
      <c r="D1174" s="1">
        <f t="shared" si="154"/>
        <v>3636.64</v>
      </c>
      <c r="E1174" s="4">
        <f t="shared" si="155"/>
        <v>3564.4572000000003</v>
      </c>
      <c r="F1174" s="3">
        <f t="shared" si="156"/>
        <v>1.0202507130678971</v>
      </c>
      <c r="G1174" s="18">
        <f t="shared" si="157"/>
        <v>1</v>
      </c>
      <c r="H1174" s="3">
        <f t="shared" si="158"/>
        <v>2.5579597932723352E-4</v>
      </c>
      <c r="I1174" s="3">
        <f t="shared" si="159"/>
        <v>2.5579597932723352E-4</v>
      </c>
      <c r="K1174" s="12" t="str">
        <f>IF(AND(G1174=1,G1173&lt;&gt;1),MAX($K$50:K1173)+1,"")</f>
        <v/>
      </c>
      <c r="L1174" s="13" t="str">
        <f>IF(AND(G1174&lt;&gt;1,G1173=1),MAX($L$50:L1173)+1,"")</f>
        <v/>
      </c>
      <c r="M1174" s="13" t="str">
        <f>IF(AND(G1174=-1,G1173&lt;&gt;-1),MAX($M$50:M1173)+1,"")</f>
        <v/>
      </c>
      <c r="N1174" s="13" t="str">
        <f>IF(AND(G1174&lt;&gt;-1,G1173=-1),MAX($N$50:N1173)+1,"")</f>
        <v/>
      </c>
      <c r="T1174" s="7">
        <f t="shared" si="160"/>
        <v>124.03147525465614</v>
      </c>
      <c r="U1174" s="1">
        <f t="shared" si="161"/>
        <v>191.0712503086763</v>
      </c>
    </row>
    <row r="1175" spans="1:21" x14ac:dyDescent="0.3">
      <c r="A1175" s="2">
        <v>41879</v>
      </c>
      <c r="B1175" s="1">
        <v>3630.98</v>
      </c>
      <c r="C1175" s="2">
        <f t="shared" si="153"/>
        <v>41879</v>
      </c>
      <c r="D1175" s="1">
        <f t="shared" si="154"/>
        <v>3630.98</v>
      </c>
      <c r="E1175" s="4">
        <f t="shared" si="155"/>
        <v>3566.1884000000005</v>
      </c>
      <c r="F1175" s="3">
        <f t="shared" si="156"/>
        <v>1.0181683054097757</v>
      </c>
      <c r="G1175" s="18">
        <f t="shared" si="157"/>
        <v>1</v>
      </c>
      <c r="H1175" s="3">
        <f t="shared" si="158"/>
        <v>-1.5563817149896186E-3</v>
      </c>
      <c r="I1175" s="3">
        <f t="shared" si="159"/>
        <v>-1.5563817149896186E-3</v>
      </c>
      <c r="K1175" s="12" t="str">
        <f>IF(AND(G1175=1,G1174&lt;&gt;1),MAX($K$50:K1174)+1,"")</f>
        <v/>
      </c>
      <c r="L1175" s="13" t="str">
        <f>IF(AND(G1175&lt;&gt;1,G1174=1),MAX($L$50:L1174)+1,"")</f>
        <v/>
      </c>
      <c r="M1175" s="13" t="str">
        <f>IF(AND(G1175=-1,G1174&lt;&gt;-1),MAX($M$50:M1174)+1,"")</f>
        <v/>
      </c>
      <c r="N1175" s="13" t="str">
        <f>IF(AND(G1175&lt;&gt;-1,G1174=-1),MAX($N$50:N1174)+1,"")</f>
        <v/>
      </c>
      <c r="T1175" s="7">
        <f t="shared" si="160"/>
        <v>123.83843493448661</v>
      </c>
      <c r="U1175" s="1">
        <f t="shared" si="161"/>
        <v>190.77387050843566</v>
      </c>
    </row>
    <row r="1176" spans="1:21" x14ac:dyDescent="0.3">
      <c r="A1176" s="2">
        <v>41880</v>
      </c>
      <c r="B1176" s="1">
        <v>3643.34</v>
      </c>
      <c r="C1176" s="2">
        <f t="shared" si="153"/>
        <v>41880</v>
      </c>
      <c r="D1176" s="1">
        <f t="shared" si="154"/>
        <v>3643.34</v>
      </c>
      <c r="E1176" s="4">
        <f t="shared" si="155"/>
        <v>3568.0664000000002</v>
      </c>
      <c r="F1176" s="3">
        <f t="shared" si="156"/>
        <v>1.0210964683841086</v>
      </c>
      <c r="G1176" s="18">
        <f t="shared" si="157"/>
        <v>1</v>
      </c>
      <c r="H1176" s="3">
        <f t="shared" si="158"/>
        <v>3.4040396807473172E-3</v>
      </c>
      <c r="I1176" s="3">
        <f t="shared" si="159"/>
        <v>3.4040396807473172E-3</v>
      </c>
      <c r="K1176" s="12" t="str">
        <f>IF(AND(G1176=1,G1175&lt;&gt;1),MAX($K$50:K1175)+1,"")</f>
        <v/>
      </c>
      <c r="L1176" s="13" t="str">
        <f>IF(AND(G1176&lt;&gt;1,G1175=1),MAX($L$50:L1175)+1,"")</f>
        <v/>
      </c>
      <c r="M1176" s="13" t="str">
        <f>IF(AND(G1176=-1,G1175&lt;&gt;-1),MAX($M$50:M1175)+1,"")</f>
        <v/>
      </c>
      <c r="N1176" s="13" t="str">
        <f>IF(AND(G1176&lt;&gt;-1,G1175=-1),MAX($N$50:N1175)+1,"")</f>
        <v/>
      </c>
      <c r="T1176" s="7">
        <f t="shared" si="160"/>
        <v>124.25998588100525</v>
      </c>
      <c r="U1176" s="1">
        <f t="shared" si="161"/>
        <v>191.42327233369613</v>
      </c>
    </row>
    <row r="1177" spans="1:21" x14ac:dyDescent="0.3">
      <c r="A1177" s="2">
        <v>41884</v>
      </c>
      <c r="B1177" s="1">
        <v>3641.52</v>
      </c>
      <c r="C1177" s="2">
        <f t="shared" si="153"/>
        <v>41884</v>
      </c>
      <c r="D1177" s="1">
        <f t="shared" si="154"/>
        <v>3641.52</v>
      </c>
      <c r="E1177" s="4">
        <f t="shared" si="155"/>
        <v>3569.7847999999999</v>
      </c>
      <c r="F1177" s="3">
        <f t="shared" si="156"/>
        <v>1.0200951048925975</v>
      </c>
      <c r="G1177" s="18">
        <f t="shared" si="157"/>
        <v>1</v>
      </c>
      <c r="H1177" s="3">
        <f t="shared" si="158"/>
        <v>-4.9954162938403712E-4</v>
      </c>
      <c r="I1177" s="3">
        <f t="shared" si="159"/>
        <v>-4.9954162938403712E-4</v>
      </c>
      <c r="K1177" s="12" t="str">
        <f>IF(AND(G1177=1,G1176&lt;&gt;1),MAX($K$50:K1176)+1,"")</f>
        <v/>
      </c>
      <c r="L1177" s="13" t="str">
        <f>IF(AND(G1177&lt;&gt;1,G1176=1),MAX($L$50:L1176)+1,"")</f>
        <v/>
      </c>
      <c r="M1177" s="13" t="str">
        <f>IF(AND(G1177=-1,G1176&lt;&gt;-1),MAX($M$50:M1176)+1,"")</f>
        <v/>
      </c>
      <c r="N1177" s="13" t="str">
        <f>IF(AND(G1177&lt;&gt;-1,G1176=-1),MAX($N$50:N1176)+1,"")</f>
        <v/>
      </c>
      <c r="T1177" s="7">
        <f t="shared" si="160"/>
        <v>124.19791284519101</v>
      </c>
      <c r="U1177" s="1">
        <f t="shared" si="161"/>
        <v>191.32764844033252</v>
      </c>
    </row>
    <row r="1178" spans="1:21" x14ac:dyDescent="0.3">
      <c r="A1178" s="2">
        <v>41885</v>
      </c>
      <c r="B1178" s="1">
        <v>3639.35</v>
      </c>
      <c r="C1178" s="2">
        <f t="shared" si="153"/>
        <v>41885</v>
      </c>
      <c r="D1178" s="1">
        <f t="shared" si="154"/>
        <v>3639.35</v>
      </c>
      <c r="E1178" s="4">
        <f t="shared" si="155"/>
        <v>3571.4689999999996</v>
      </c>
      <c r="F1178" s="3">
        <f t="shared" si="156"/>
        <v>1.019006464846818</v>
      </c>
      <c r="G1178" s="18">
        <f t="shared" si="157"/>
        <v>1</v>
      </c>
      <c r="H1178" s="3">
        <f t="shared" si="158"/>
        <v>-5.9590500670048119E-4</v>
      </c>
      <c r="I1178" s="3">
        <f t="shared" si="159"/>
        <v>-5.9590500670048119E-4</v>
      </c>
      <c r="K1178" s="12" t="str">
        <f>IF(AND(G1178=1,G1177&lt;&gt;1),MAX($K$50:K1177)+1,"")</f>
        <v/>
      </c>
      <c r="L1178" s="13" t="str">
        <f>IF(AND(G1178&lt;&gt;1,G1177=1),MAX($L$50:L1177)+1,"")</f>
        <v/>
      </c>
      <c r="M1178" s="13" t="str">
        <f>IF(AND(G1178=-1,G1177&lt;&gt;-1),MAX($M$50:M1177)+1,"")</f>
        <v/>
      </c>
      <c r="N1178" s="13" t="str">
        <f>IF(AND(G1178&lt;&gt;-1,G1177=-1),MAX($N$50:N1177)+1,"")</f>
        <v/>
      </c>
      <c r="T1178" s="7">
        <f t="shared" si="160"/>
        <v>124.12390268710482</v>
      </c>
      <c r="U1178" s="1">
        <f t="shared" si="161"/>
        <v>191.21363533670669</v>
      </c>
    </row>
    <row r="1179" spans="1:21" x14ac:dyDescent="0.3">
      <c r="A1179" s="2">
        <v>41886</v>
      </c>
      <c r="B1179" s="1">
        <v>3633.87</v>
      </c>
      <c r="C1179" s="2">
        <f t="shared" si="153"/>
        <v>41886</v>
      </c>
      <c r="D1179" s="1">
        <f t="shared" si="154"/>
        <v>3633.87</v>
      </c>
      <c r="E1179" s="4">
        <f t="shared" si="155"/>
        <v>3573.4949999999999</v>
      </c>
      <c r="F1179" s="3">
        <f t="shared" si="156"/>
        <v>1.0168952244231488</v>
      </c>
      <c r="G1179" s="18">
        <f t="shared" si="157"/>
        <v>1</v>
      </c>
      <c r="H1179" s="3">
        <f t="shared" si="158"/>
        <v>-1.5057633918145186E-3</v>
      </c>
      <c r="I1179" s="3">
        <f t="shared" si="159"/>
        <v>-1.5057633918145186E-3</v>
      </c>
      <c r="K1179" s="12" t="str">
        <f>IF(AND(G1179=1,G1178&lt;&gt;1),MAX($K$50:K1178)+1,"")</f>
        <v/>
      </c>
      <c r="L1179" s="13" t="str">
        <f>IF(AND(G1179&lt;&gt;1,G1178=1),MAX($L$50:L1178)+1,"")</f>
        <v/>
      </c>
      <c r="M1179" s="13" t="str">
        <f>IF(AND(G1179=-1,G1178&lt;&gt;-1),MAX($M$50:M1178)+1,"")</f>
        <v/>
      </c>
      <c r="N1179" s="13" t="str">
        <f>IF(AND(G1179&lt;&gt;-1,G1178=-1),MAX($N$50:N1178)+1,"")</f>
        <v/>
      </c>
      <c r="T1179" s="7">
        <f t="shared" si="160"/>
        <v>123.93700145838943</v>
      </c>
      <c r="U1179" s="1">
        <f t="shared" si="161"/>
        <v>190.92571284460092</v>
      </c>
    </row>
    <row r="1180" spans="1:21" x14ac:dyDescent="0.3">
      <c r="A1180" s="2">
        <v>41887</v>
      </c>
      <c r="B1180" s="1">
        <v>3652.26</v>
      </c>
      <c r="C1180" s="2">
        <f t="shared" si="153"/>
        <v>41887</v>
      </c>
      <c r="D1180" s="1">
        <f t="shared" si="154"/>
        <v>3652.26</v>
      </c>
      <c r="E1180" s="4">
        <f t="shared" si="155"/>
        <v>3575.5409999999993</v>
      </c>
      <c r="F1180" s="3">
        <f t="shared" si="156"/>
        <v>1.021456613139103</v>
      </c>
      <c r="G1180" s="18">
        <f t="shared" si="157"/>
        <v>1</v>
      </c>
      <c r="H1180" s="3">
        <f t="shared" si="158"/>
        <v>5.0607203890069563E-3</v>
      </c>
      <c r="I1180" s="3">
        <f t="shared" si="159"/>
        <v>5.0607203890069563E-3</v>
      </c>
      <c r="K1180" s="12" t="str">
        <f>IF(AND(G1180=1,G1179&lt;&gt;1),MAX($K$50:K1179)+1,"")</f>
        <v/>
      </c>
      <c r="L1180" s="13" t="str">
        <f>IF(AND(G1180&lt;&gt;1,G1179=1),MAX($L$50:L1179)+1,"")</f>
        <v/>
      </c>
      <c r="M1180" s="13" t="str">
        <f>IF(AND(G1180=-1,G1179&lt;&gt;-1),MAX($M$50:M1179)+1,"")</f>
        <v/>
      </c>
      <c r="N1180" s="13" t="str">
        <f>IF(AND(G1180&lt;&gt;-1,G1179=-1),MAX($N$50:N1179)+1,"")</f>
        <v/>
      </c>
      <c r="T1180" s="7">
        <f t="shared" si="160"/>
        <v>124.56421196862229</v>
      </c>
      <c r="U1180" s="1">
        <f t="shared" si="161"/>
        <v>191.89193449237928</v>
      </c>
    </row>
    <row r="1181" spans="1:21" x14ac:dyDescent="0.3">
      <c r="A1181" s="2">
        <v>41890</v>
      </c>
      <c r="B1181" s="1">
        <v>3641.66</v>
      </c>
      <c r="C1181" s="2">
        <f t="shared" si="153"/>
        <v>41890</v>
      </c>
      <c r="D1181" s="1">
        <f t="shared" si="154"/>
        <v>3641.66</v>
      </c>
      <c r="E1181" s="4">
        <f t="shared" si="155"/>
        <v>3577.4465999999998</v>
      </c>
      <c r="F1181" s="3">
        <f t="shared" si="156"/>
        <v>1.0179495062204422</v>
      </c>
      <c r="G1181" s="18">
        <f t="shared" si="157"/>
        <v>1</v>
      </c>
      <c r="H1181" s="3">
        <f t="shared" si="158"/>
        <v>-2.902312540728258E-3</v>
      </c>
      <c r="I1181" s="3">
        <f t="shared" si="159"/>
        <v>-2.902312540728258E-3</v>
      </c>
      <c r="K1181" s="12" t="str">
        <f>IF(AND(G1181=1,G1180&lt;&gt;1),MAX($K$50:K1180)+1,"")</f>
        <v/>
      </c>
      <c r="L1181" s="13" t="str">
        <f>IF(AND(G1181&lt;&gt;1,G1180=1),MAX($L$50:L1180)+1,"")</f>
        <v/>
      </c>
      <c r="M1181" s="13" t="str">
        <f>IF(AND(G1181=-1,G1180&lt;&gt;-1),MAX($M$50:M1180)+1,"")</f>
        <v/>
      </c>
      <c r="N1181" s="13" t="str">
        <f>IF(AND(G1181&lt;&gt;-1,G1180=-1),MAX($N$50:N1180)+1,"")</f>
        <v/>
      </c>
      <c r="T1181" s="7">
        <f t="shared" si="160"/>
        <v>124.20268769409982</v>
      </c>
      <c r="U1181" s="1">
        <f t="shared" si="161"/>
        <v>191.33500412443743</v>
      </c>
    </row>
    <row r="1182" spans="1:21" x14ac:dyDescent="0.3">
      <c r="A1182" s="2">
        <v>41891</v>
      </c>
      <c r="B1182" s="1">
        <v>3617.89</v>
      </c>
      <c r="C1182" s="2">
        <f t="shared" si="153"/>
        <v>41891</v>
      </c>
      <c r="D1182" s="1">
        <f t="shared" si="154"/>
        <v>3617.89</v>
      </c>
      <c r="E1182" s="4">
        <f t="shared" si="155"/>
        <v>3578.7374</v>
      </c>
      <c r="F1182" s="3">
        <f t="shared" si="156"/>
        <v>1.0109403389027649</v>
      </c>
      <c r="G1182" s="18">
        <f t="shared" si="157"/>
        <v>1</v>
      </c>
      <c r="H1182" s="3">
        <f t="shared" si="158"/>
        <v>-6.5272430704678142E-3</v>
      </c>
      <c r="I1182" s="3">
        <f t="shared" si="159"/>
        <v>-6.5272430704678142E-3</v>
      </c>
      <c r="K1182" s="12" t="str">
        <f>IF(AND(G1182=1,G1181&lt;&gt;1),MAX($K$50:K1181)+1,"")</f>
        <v/>
      </c>
      <c r="L1182" s="13" t="str">
        <f>IF(AND(G1182&lt;&gt;1,G1181=1),MAX($L$50:L1181)+1,"")</f>
        <v/>
      </c>
      <c r="M1182" s="13" t="str">
        <f>IF(AND(G1182=-1,G1181&lt;&gt;-1),MAX($M$50:M1181)+1,"")</f>
        <v/>
      </c>
      <c r="N1182" s="13" t="str">
        <f>IF(AND(G1182&lt;&gt;-1,G1181=-1),MAX($N$50:N1181)+1,"")</f>
        <v/>
      </c>
      <c r="T1182" s="7">
        <f t="shared" si="160"/>
        <v>123.39198656151503</v>
      </c>
      <c r="U1182" s="1">
        <f t="shared" si="161"/>
        <v>190.08611404462823</v>
      </c>
    </row>
    <row r="1183" spans="1:21" x14ac:dyDescent="0.3">
      <c r="A1183" s="2">
        <v>41892</v>
      </c>
      <c r="B1183" s="1">
        <v>3631.45</v>
      </c>
      <c r="C1183" s="2">
        <f t="shared" si="153"/>
        <v>41892</v>
      </c>
      <c r="D1183" s="1">
        <f t="shared" si="154"/>
        <v>3631.45</v>
      </c>
      <c r="E1183" s="4">
        <f t="shared" si="155"/>
        <v>3580.3228000000004</v>
      </c>
      <c r="F1183" s="3">
        <f t="shared" si="156"/>
        <v>1.0142800531840312</v>
      </c>
      <c r="G1183" s="18">
        <f t="shared" si="157"/>
        <v>1</v>
      </c>
      <c r="H1183" s="3">
        <f t="shared" si="158"/>
        <v>3.7480409852150842E-3</v>
      </c>
      <c r="I1183" s="3">
        <f t="shared" si="159"/>
        <v>3.7480409852150842E-3</v>
      </c>
      <c r="K1183" s="12" t="str">
        <f>IF(AND(G1183=1,G1182&lt;&gt;1),MAX($K$50:K1182)+1,"")</f>
        <v/>
      </c>
      <c r="L1183" s="13" t="str">
        <f>IF(AND(G1183&lt;&gt;1,G1182=1),MAX($L$50:L1182)+1,"")</f>
        <v/>
      </c>
      <c r="M1183" s="13" t="str">
        <f>IF(AND(G1183=-1,G1182&lt;&gt;-1),MAX($M$50:M1182)+1,"")</f>
        <v/>
      </c>
      <c r="N1183" s="13" t="str">
        <f>IF(AND(G1183&lt;&gt;-1,G1182=-1),MAX($N$50:N1182)+1,"")</f>
        <v/>
      </c>
      <c r="T1183" s="7">
        <f t="shared" si="160"/>
        <v>123.85446478439469</v>
      </c>
      <c r="U1183" s="1">
        <f t="shared" si="161"/>
        <v>190.79856459078778</v>
      </c>
    </row>
    <row r="1184" spans="1:21" x14ac:dyDescent="0.3">
      <c r="A1184" s="2">
        <v>41893</v>
      </c>
      <c r="B1184" s="1">
        <v>3635.66</v>
      </c>
      <c r="C1184" s="2">
        <f t="shared" si="153"/>
        <v>41893</v>
      </c>
      <c r="D1184" s="1">
        <f t="shared" si="154"/>
        <v>3635.66</v>
      </c>
      <c r="E1184" s="4">
        <f t="shared" si="155"/>
        <v>3581.5050000000006</v>
      </c>
      <c r="F1184" s="3">
        <f t="shared" si="156"/>
        <v>1.0151207383488223</v>
      </c>
      <c r="G1184" s="18">
        <f t="shared" si="157"/>
        <v>1</v>
      </c>
      <c r="H1184" s="3">
        <f t="shared" si="158"/>
        <v>1.1593165264562888E-3</v>
      </c>
      <c r="I1184" s="3">
        <f t="shared" si="159"/>
        <v>1.1593165264562888E-3</v>
      </c>
      <c r="K1184" s="12" t="str">
        <f>IF(AND(G1184=1,G1183&lt;&gt;1),MAX($K$50:K1183)+1,"")</f>
        <v/>
      </c>
      <c r="L1184" s="13" t="str">
        <f>IF(AND(G1184&lt;&gt;1,G1183=1),MAX($L$50:L1183)+1,"")</f>
        <v/>
      </c>
      <c r="M1184" s="13" t="str">
        <f>IF(AND(G1184=-1,G1183&lt;&gt;-1),MAX($M$50:M1183)+1,"")</f>
        <v/>
      </c>
      <c r="N1184" s="13" t="str">
        <f>IF(AND(G1184&lt;&gt;-1,G1183=-1),MAX($N$50:N1183)+1,"")</f>
        <v/>
      </c>
      <c r="T1184" s="7">
        <f t="shared" si="160"/>
        <v>123.99805131229463</v>
      </c>
      <c r="U1184" s="1">
        <f t="shared" si="161"/>
        <v>191.01976051994203</v>
      </c>
    </row>
    <row r="1185" spans="1:21" x14ac:dyDescent="0.3">
      <c r="A1185" s="2">
        <v>41894</v>
      </c>
      <c r="B1185" s="1">
        <v>3614.06</v>
      </c>
      <c r="C1185" s="2">
        <f t="shared" si="153"/>
        <v>41894</v>
      </c>
      <c r="D1185" s="1">
        <f t="shared" si="154"/>
        <v>3614.06</v>
      </c>
      <c r="E1185" s="4">
        <f t="shared" si="155"/>
        <v>3582.2040000000006</v>
      </c>
      <c r="F1185" s="3">
        <f t="shared" si="156"/>
        <v>1.008892849206801</v>
      </c>
      <c r="G1185" s="18">
        <f t="shared" si="157"/>
        <v>1</v>
      </c>
      <c r="H1185" s="3">
        <f t="shared" si="158"/>
        <v>-5.9411496124499585E-3</v>
      </c>
      <c r="I1185" s="3">
        <f t="shared" si="159"/>
        <v>-5.9411496124499585E-3</v>
      </c>
      <c r="K1185" s="12" t="str">
        <f>IF(AND(G1185=1,G1184&lt;&gt;1),MAX($K$50:K1184)+1,"")</f>
        <v/>
      </c>
      <c r="L1185" s="13" t="str">
        <f>IF(AND(G1185&lt;&gt;1,G1184=1),MAX($L$50:L1184)+1,"")</f>
        <v/>
      </c>
      <c r="M1185" s="13" t="str">
        <f>IF(AND(G1185=-1,G1184&lt;&gt;-1),MAX($M$50:M1184)+1,"")</f>
        <v/>
      </c>
      <c r="N1185" s="13" t="str">
        <f>IF(AND(G1185&lt;&gt;-1,G1184=-1),MAX($N$50:N1184)+1,"")</f>
        <v/>
      </c>
      <c r="T1185" s="7">
        <f t="shared" si="160"/>
        <v>123.26136033779605</v>
      </c>
      <c r="U1185" s="1">
        <f t="shared" si="161"/>
        <v>189.88488354375869</v>
      </c>
    </row>
    <row r="1186" spans="1:21" x14ac:dyDescent="0.3">
      <c r="A1186" s="2">
        <v>41897</v>
      </c>
      <c r="B1186" s="1">
        <v>3611.52</v>
      </c>
      <c r="C1186" s="2">
        <f t="shared" si="153"/>
        <v>41897</v>
      </c>
      <c r="D1186" s="1">
        <f t="shared" si="154"/>
        <v>3611.52</v>
      </c>
      <c r="E1186" s="4">
        <f t="shared" si="155"/>
        <v>3582.4598000000005</v>
      </c>
      <c r="F1186" s="3">
        <f t="shared" si="156"/>
        <v>1.0081118007241838</v>
      </c>
      <c r="G1186" s="18">
        <f t="shared" si="157"/>
        <v>1</v>
      </c>
      <c r="H1186" s="3">
        <f t="shared" si="158"/>
        <v>-7.0281068936317581E-4</v>
      </c>
      <c r="I1186" s="3">
        <f t="shared" si="159"/>
        <v>-7.0281068936317581E-4</v>
      </c>
      <c r="K1186" s="12" t="str">
        <f>IF(AND(G1186=1,G1185&lt;&gt;1),MAX($K$50:K1185)+1,"")</f>
        <v/>
      </c>
      <c r="L1186" s="13" t="str">
        <f>IF(AND(G1186&lt;&gt;1,G1185=1),MAX($L$50:L1185)+1,"")</f>
        <v/>
      </c>
      <c r="M1186" s="13" t="str">
        <f>IF(AND(G1186=-1,G1185&lt;&gt;-1),MAX($M$50:M1185)+1,"")</f>
        <v/>
      </c>
      <c r="N1186" s="13" t="str">
        <f>IF(AND(G1186&lt;&gt;-1,G1185=-1),MAX($N$50:N1185)+1,"")</f>
        <v/>
      </c>
      <c r="T1186" s="7">
        <f t="shared" si="160"/>
        <v>123.1747309361652</v>
      </c>
      <c r="U1186" s="1">
        <f t="shared" si="161"/>
        <v>189.75143041785563</v>
      </c>
    </row>
    <row r="1187" spans="1:21" x14ac:dyDescent="0.3">
      <c r="A1187" s="2">
        <v>41898</v>
      </c>
      <c r="B1187" s="1">
        <v>3638.6</v>
      </c>
      <c r="C1187" s="2">
        <f t="shared" si="153"/>
        <v>41898</v>
      </c>
      <c r="D1187" s="1">
        <f t="shared" si="154"/>
        <v>3638.6</v>
      </c>
      <c r="E1187" s="4">
        <f t="shared" si="155"/>
        <v>3583.5368000000012</v>
      </c>
      <c r="F1187" s="3">
        <f t="shared" si="156"/>
        <v>1.015365601938286</v>
      </c>
      <c r="G1187" s="18">
        <f t="shared" si="157"/>
        <v>1</v>
      </c>
      <c r="H1187" s="3">
        <f t="shared" si="158"/>
        <v>7.4982278929647261E-3</v>
      </c>
      <c r="I1187" s="3">
        <f t="shared" si="159"/>
        <v>7.4982278929647261E-3</v>
      </c>
      <c r="K1187" s="12" t="str">
        <f>IF(AND(G1187=1,G1186&lt;&gt;1),MAX($K$50:K1186)+1,"")</f>
        <v/>
      </c>
      <c r="L1187" s="13" t="str">
        <f>IF(AND(G1187&lt;&gt;1,G1186=1),MAX($L$50:L1186)+1,"")</f>
        <v/>
      </c>
      <c r="M1187" s="13" t="str">
        <f>IF(AND(G1187=-1,G1186&lt;&gt;-1),MAX($M$50:M1186)+1,"")</f>
        <v/>
      </c>
      <c r="N1187" s="13" t="str">
        <f>IF(AND(G1187&lt;&gt;-1,G1186=-1),MAX($N$50:N1186)+1,"")</f>
        <v/>
      </c>
      <c r="T1187" s="7">
        <f t="shared" si="160"/>
        <v>124.09832313937919</v>
      </c>
      <c r="U1187" s="1">
        <f t="shared" si="161"/>
        <v>191.17422988614473</v>
      </c>
    </row>
    <row r="1188" spans="1:21" x14ac:dyDescent="0.3">
      <c r="A1188" s="2">
        <v>41899</v>
      </c>
      <c r="B1188" s="1">
        <v>3643.4</v>
      </c>
      <c r="C1188" s="2">
        <f t="shared" si="153"/>
        <v>41899</v>
      </c>
      <c r="D1188" s="1">
        <f t="shared" si="154"/>
        <v>3643.4</v>
      </c>
      <c r="E1188" s="4">
        <f t="shared" si="155"/>
        <v>3585.1942000000004</v>
      </c>
      <c r="F1188" s="3">
        <f t="shared" si="156"/>
        <v>1.0162350480205506</v>
      </c>
      <c r="G1188" s="18">
        <f t="shared" si="157"/>
        <v>1</v>
      </c>
      <c r="H1188" s="3">
        <f t="shared" si="158"/>
        <v>1.3191886989500912E-3</v>
      </c>
      <c r="I1188" s="3">
        <f t="shared" si="159"/>
        <v>1.3191886989500912E-3</v>
      </c>
      <c r="K1188" s="12" t="str">
        <f>IF(AND(G1188=1,G1187&lt;&gt;1),MAX($K$50:K1187)+1,"")</f>
        <v/>
      </c>
      <c r="L1188" s="13" t="str">
        <f>IF(AND(G1188&lt;&gt;1,G1187=1),MAX($L$50:L1187)+1,"")</f>
        <v/>
      </c>
      <c r="M1188" s="13" t="str">
        <f>IF(AND(G1188=-1,G1187&lt;&gt;-1),MAX($M$50:M1187)+1,"")</f>
        <v/>
      </c>
      <c r="N1188" s="13" t="str">
        <f>IF(AND(G1188&lt;&gt;-1,G1187=-1),MAX($N$50:N1187)+1,"")</f>
        <v/>
      </c>
      <c r="T1188" s="7">
        <f t="shared" si="160"/>
        <v>124.26203224482332</v>
      </c>
      <c r="U1188" s="1">
        <f t="shared" si="161"/>
        <v>191.42642476974103</v>
      </c>
    </row>
    <row r="1189" spans="1:21" x14ac:dyDescent="0.3">
      <c r="A1189" s="2">
        <v>41900</v>
      </c>
      <c r="B1189" s="1">
        <v>3661.73</v>
      </c>
      <c r="C1189" s="2">
        <f t="shared" si="153"/>
        <v>41900</v>
      </c>
      <c r="D1189" s="1">
        <f t="shared" si="154"/>
        <v>3661.73</v>
      </c>
      <c r="E1189" s="4">
        <f t="shared" si="155"/>
        <v>3586.8832000000007</v>
      </c>
      <c r="F1189" s="3">
        <f t="shared" si="156"/>
        <v>1.0208668071488916</v>
      </c>
      <c r="G1189" s="18">
        <f t="shared" si="157"/>
        <v>1</v>
      </c>
      <c r="H1189" s="3">
        <f t="shared" si="158"/>
        <v>5.0310149860020026E-3</v>
      </c>
      <c r="I1189" s="3">
        <f t="shared" si="159"/>
        <v>5.0310149860020026E-3</v>
      </c>
      <c r="K1189" s="12" t="str">
        <f>IF(AND(G1189=1,G1188&lt;&gt;1),MAX($K$50:K1188)+1,"")</f>
        <v/>
      </c>
      <c r="L1189" s="13" t="str">
        <f>IF(AND(G1189&lt;&gt;1,G1188=1),MAX($L$50:L1188)+1,"")</f>
        <v/>
      </c>
      <c r="M1189" s="13" t="str">
        <f>IF(AND(G1189=-1,G1188&lt;&gt;-1),MAX($M$50:M1188)+1,"")</f>
        <v/>
      </c>
      <c r="N1189" s="13" t="str">
        <f>IF(AND(G1189&lt;&gt;-1,G1188=-1),MAX($N$50:N1188)+1,"")</f>
        <v/>
      </c>
      <c r="T1189" s="7">
        <f t="shared" si="160"/>
        <v>124.88719639123809</v>
      </c>
      <c r="U1189" s="1">
        <f t="shared" si="161"/>
        <v>192.3894939814744</v>
      </c>
    </row>
    <row r="1190" spans="1:21" x14ac:dyDescent="0.3">
      <c r="A1190" s="2">
        <v>41901</v>
      </c>
      <c r="B1190" s="1">
        <v>3660.03</v>
      </c>
      <c r="C1190" s="2">
        <f t="shared" si="153"/>
        <v>41901</v>
      </c>
      <c r="D1190" s="1">
        <f t="shared" si="154"/>
        <v>3660.03</v>
      </c>
      <c r="E1190" s="4">
        <f t="shared" si="155"/>
        <v>3588.8340000000007</v>
      </c>
      <c r="F1190" s="3">
        <f t="shared" si="156"/>
        <v>1.0198381981445783</v>
      </c>
      <c r="G1190" s="18">
        <f t="shared" si="157"/>
        <v>1</v>
      </c>
      <c r="H1190" s="3">
        <f t="shared" si="158"/>
        <v>-4.642614283412172E-4</v>
      </c>
      <c r="I1190" s="3">
        <f t="shared" si="159"/>
        <v>-4.642614283412172E-4</v>
      </c>
      <c r="K1190" s="12" t="str">
        <f>IF(AND(G1190=1,G1189&lt;&gt;1),MAX($K$50:K1189)+1,"")</f>
        <v/>
      </c>
      <c r="L1190" s="13" t="str">
        <f>IF(AND(G1190&lt;&gt;1,G1189=1),MAX($L$50:L1189)+1,"")</f>
        <v/>
      </c>
      <c r="M1190" s="13" t="str">
        <f>IF(AND(G1190=-1,G1189&lt;&gt;-1),MAX($M$50:M1189)+1,"")</f>
        <v/>
      </c>
      <c r="N1190" s="13" t="str">
        <f>IF(AND(G1190&lt;&gt;-1,G1189=-1),MAX($N$50:N1189)+1,"")</f>
        <v/>
      </c>
      <c r="T1190" s="7">
        <f t="shared" si="160"/>
        <v>124.82921608305996</v>
      </c>
      <c r="U1190" s="1">
        <f t="shared" si="161"/>
        <v>192.30017496020074</v>
      </c>
    </row>
    <row r="1191" spans="1:21" x14ac:dyDescent="0.3">
      <c r="A1191" s="2">
        <v>41904</v>
      </c>
      <c r="B1191" s="1">
        <v>3630.7</v>
      </c>
      <c r="C1191" s="2">
        <f t="shared" si="153"/>
        <v>41904</v>
      </c>
      <c r="D1191" s="1">
        <f t="shared" si="154"/>
        <v>3630.7</v>
      </c>
      <c r="E1191" s="4">
        <f t="shared" si="155"/>
        <v>3590.0864000000015</v>
      </c>
      <c r="F1191" s="3">
        <f t="shared" si="156"/>
        <v>1.0113127082401132</v>
      </c>
      <c r="G1191" s="18">
        <f t="shared" si="157"/>
        <v>1</v>
      </c>
      <c r="H1191" s="3">
        <f t="shared" si="158"/>
        <v>-8.0135955169767792E-3</v>
      </c>
      <c r="I1191" s="3">
        <f t="shared" si="159"/>
        <v>-8.0135955169767792E-3</v>
      </c>
      <c r="K1191" s="12" t="str">
        <f>IF(AND(G1191=1,G1190&lt;&gt;1),MAX($K$50:K1190)+1,"")</f>
        <v/>
      </c>
      <c r="L1191" s="13" t="str">
        <f>IF(AND(G1191&lt;&gt;1,G1190=1),MAX($L$50:L1190)+1,"")</f>
        <v/>
      </c>
      <c r="M1191" s="13" t="str">
        <f>IF(AND(G1191=-1,G1190&lt;&gt;-1),MAX($M$50:M1190)+1,"")</f>
        <v/>
      </c>
      <c r="N1191" s="13" t="str">
        <f>IF(AND(G1191&lt;&gt;-1,G1190=-1),MAX($N$50:N1190)+1,"")</f>
        <v/>
      </c>
      <c r="T1191" s="7">
        <f t="shared" si="160"/>
        <v>123.82888523666902</v>
      </c>
      <c r="U1191" s="1">
        <f t="shared" si="161"/>
        <v>190.75915914022585</v>
      </c>
    </row>
    <row r="1192" spans="1:21" x14ac:dyDescent="0.3">
      <c r="A1192" s="2">
        <v>41905</v>
      </c>
      <c r="B1192" s="1">
        <v>3610.1</v>
      </c>
      <c r="C1192" s="2">
        <f t="shared" si="153"/>
        <v>41905</v>
      </c>
      <c r="D1192" s="1">
        <f t="shared" si="154"/>
        <v>3610.1</v>
      </c>
      <c r="E1192" s="4">
        <f t="shared" si="155"/>
        <v>3590.5810000000015</v>
      </c>
      <c r="F1192" s="3">
        <f t="shared" si="156"/>
        <v>1.0054361675728798</v>
      </c>
      <c r="G1192" s="18">
        <f t="shared" si="157"/>
        <v>1</v>
      </c>
      <c r="H1192" s="3">
        <f t="shared" si="158"/>
        <v>-5.6738370011292227E-3</v>
      </c>
      <c r="I1192" s="3">
        <f t="shared" si="159"/>
        <v>-5.6738370011292227E-3</v>
      </c>
      <c r="K1192" s="12" t="str">
        <f>IF(AND(G1192=1,G1191&lt;&gt;1),MAX($K$50:K1191)+1,"")</f>
        <v/>
      </c>
      <c r="L1192" s="13" t="str">
        <f>IF(AND(G1192&lt;&gt;1,G1191=1),MAX($L$50:L1191)+1,"")</f>
        <v/>
      </c>
      <c r="M1192" s="13" t="str">
        <f>IF(AND(G1192=-1,G1191&lt;&gt;-1),MAX($M$50:M1191)+1,"")</f>
        <v/>
      </c>
      <c r="N1192" s="13" t="str">
        <f>IF(AND(G1192&lt;&gt;-1,G1191=-1),MAX($N$50:N1191)+1,"")</f>
        <v/>
      </c>
      <c r="T1192" s="7">
        <f t="shared" si="160"/>
        <v>123.12630032580462</v>
      </c>
      <c r="U1192" s="1">
        <f t="shared" si="161"/>
        <v>189.67682276479175</v>
      </c>
    </row>
    <row r="1193" spans="1:21" x14ac:dyDescent="0.3">
      <c r="A1193" s="2">
        <v>41906</v>
      </c>
      <c r="B1193" s="1">
        <v>3638.44</v>
      </c>
      <c r="C1193" s="2">
        <f t="shared" si="153"/>
        <v>41906</v>
      </c>
      <c r="D1193" s="1">
        <f t="shared" si="154"/>
        <v>3638.44</v>
      </c>
      <c r="E1193" s="4">
        <f t="shared" si="155"/>
        <v>3591.780600000001</v>
      </c>
      <c r="F1193" s="3">
        <f t="shared" si="156"/>
        <v>1.0129906041588395</v>
      </c>
      <c r="G1193" s="18">
        <f t="shared" si="157"/>
        <v>1</v>
      </c>
      <c r="H1193" s="3">
        <f t="shared" si="158"/>
        <v>7.850198055455504E-3</v>
      </c>
      <c r="I1193" s="3">
        <f t="shared" si="159"/>
        <v>7.850198055455504E-3</v>
      </c>
      <c r="K1193" s="12" t="str">
        <f>IF(AND(G1193=1,G1192&lt;&gt;1),MAX($K$50:K1192)+1,"")</f>
        <v/>
      </c>
      <c r="L1193" s="13" t="str">
        <f>IF(AND(G1193&lt;&gt;1,G1192=1),MAX($L$50:L1192)+1,"")</f>
        <v/>
      </c>
      <c r="M1193" s="13" t="str">
        <f>IF(AND(G1193=-1,G1192&lt;&gt;-1),MAX($M$50:M1192)+1,"")</f>
        <v/>
      </c>
      <c r="N1193" s="13" t="str">
        <f>IF(AND(G1193&lt;&gt;-1,G1192=-1),MAX($N$50:N1192)+1,"")</f>
        <v/>
      </c>
      <c r="T1193" s="7">
        <f t="shared" si="160"/>
        <v>124.09286616919768</v>
      </c>
      <c r="U1193" s="1">
        <f t="shared" si="161"/>
        <v>191.16582339002488</v>
      </c>
    </row>
    <row r="1194" spans="1:21" x14ac:dyDescent="0.3">
      <c r="A1194" s="2">
        <v>41907</v>
      </c>
      <c r="B1194" s="1">
        <v>3579.61</v>
      </c>
      <c r="C1194" s="2">
        <f t="shared" si="153"/>
        <v>41907</v>
      </c>
      <c r="D1194" s="1">
        <f t="shared" si="154"/>
        <v>3579.61</v>
      </c>
      <c r="E1194" s="4">
        <f t="shared" si="155"/>
        <v>3591.4946</v>
      </c>
      <c r="F1194" s="3">
        <f t="shared" si="156"/>
        <v>0.99669090411551786</v>
      </c>
      <c r="G1194" s="18">
        <f t="shared" si="157"/>
        <v>1</v>
      </c>
      <c r="H1194" s="3">
        <f t="shared" si="158"/>
        <v>-1.6169017491012627E-2</v>
      </c>
      <c r="I1194" s="3">
        <f t="shared" si="159"/>
        <v>-1.6169017491012627E-2</v>
      </c>
      <c r="K1194" s="12" t="str">
        <f>IF(AND(G1194=1,G1193&lt;&gt;1),MAX($K$50:K1193)+1,"")</f>
        <v/>
      </c>
      <c r="L1194" s="13" t="str">
        <f>IF(AND(G1194&lt;&gt;1,G1193=1),MAX($L$50:L1193)+1,"")</f>
        <v/>
      </c>
      <c r="M1194" s="13" t="str">
        <f>IF(AND(G1194=-1,G1193&lt;&gt;-1),MAX($M$50:M1193)+1,"")</f>
        <v/>
      </c>
      <c r="N1194" s="13" t="str">
        <f>IF(AND(G1194&lt;&gt;-1,G1193=-1),MAX($N$50:N1193)+1,"")</f>
        <v/>
      </c>
      <c r="T1194" s="7">
        <f t="shared" si="160"/>
        <v>122.08640644559803</v>
      </c>
      <c r="U1194" s="1">
        <f t="shared" si="161"/>
        <v>188.07485984794772</v>
      </c>
    </row>
    <row r="1195" spans="1:21" x14ac:dyDescent="0.3">
      <c r="A1195" s="2">
        <v>41908</v>
      </c>
      <c r="B1195" s="1">
        <v>3610.98</v>
      </c>
      <c r="C1195" s="2">
        <f t="shared" si="153"/>
        <v>41908</v>
      </c>
      <c r="D1195" s="1">
        <f t="shared" si="154"/>
        <v>3610.98</v>
      </c>
      <c r="E1195" s="4">
        <f t="shared" si="155"/>
        <v>3592.6796000000008</v>
      </c>
      <c r="F1195" s="3">
        <f t="shared" si="156"/>
        <v>1.0050938024086531</v>
      </c>
      <c r="G1195" s="18">
        <f t="shared" si="157"/>
        <v>1</v>
      </c>
      <c r="H1195" s="3">
        <f t="shared" si="158"/>
        <v>8.7635245180339716E-3</v>
      </c>
      <c r="I1195" s="3">
        <f t="shared" si="159"/>
        <v>8.7635245180339716E-3</v>
      </c>
      <c r="K1195" s="12" t="str">
        <f>IF(AND(G1195=1,G1194&lt;&gt;1),MAX($K$50:K1194)+1,"")</f>
        <v/>
      </c>
      <c r="L1195" s="13" t="str">
        <f>IF(AND(G1195&lt;&gt;1,G1194=1),MAX($L$50:L1194)+1,"")</f>
        <v/>
      </c>
      <c r="M1195" s="13" t="str">
        <f>IF(AND(G1195=-1,G1194&lt;&gt;-1),MAX($M$50:M1194)+1,"")</f>
        <v/>
      </c>
      <c r="N1195" s="13" t="str">
        <f>IF(AND(G1195&lt;&gt;-1,G1194=-1),MAX($N$50:N1194)+1,"")</f>
        <v/>
      </c>
      <c r="T1195" s="7">
        <f t="shared" si="160"/>
        <v>123.15631366180268</v>
      </c>
      <c r="U1195" s="1">
        <f t="shared" si="161"/>
        <v>189.72305849345105</v>
      </c>
    </row>
    <row r="1196" spans="1:21" x14ac:dyDescent="0.3">
      <c r="A1196" s="2">
        <v>41911</v>
      </c>
      <c r="B1196" s="1">
        <v>3602.09</v>
      </c>
      <c r="C1196" s="2">
        <f t="shared" si="153"/>
        <v>41911</v>
      </c>
      <c r="D1196" s="1">
        <f t="shared" si="154"/>
        <v>3602.09</v>
      </c>
      <c r="E1196" s="4">
        <f t="shared" si="155"/>
        <v>3592.9572000000003</v>
      </c>
      <c r="F1196" s="3">
        <f t="shared" si="156"/>
        <v>1.0025418616174999</v>
      </c>
      <c r="G1196" s="18">
        <f t="shared" si="157"/>
        <v>1</v>
      </c>
      <c r="H1196" s="3">
        <f t="shared" si="158"/>
        <v>-2.4619355410442356E-3</v>
      </c>
      <c r="I1196" s="3">
        <f t="shared" si="159"/>
        <v>-2.4619355410442356E-3</v>
      </c>
      <c r="K1196" s="12" t="str">
        <f>IF(AND(G1196=1,G1195&lt;&gt;1),MAX($K$50:K1195)+1,"")</f>
        <v/>
      </c>
      <c r="L1196" s="13" t="str">
        <f>IF(AND(G1196&lt;&gt;1,G1195=1),MAX($L$50:L1195)+1,"")</f>
        <v/>
      </c>
      <c r="M1196" s="13" t="str">
        <f>IF(AND(G1196=-1,G1195&lt;&gt;-1),MAX($M$50:M1195)+1,"")</f>
        <v/>
      </c>
      <c r="N1196" s="13" t="str">
        <f>IF(AND(G1196&lt;&gt;-1,G1195=-1),MAX($N$50:N1195)+1,"")</f>
        <v/>
      </c>
      <c r="T1196" s="7">
        <f t="shared" si="160"/>
        <v>122.85311075609471</v>
      </c>
      <c r="U1196" s="1">
        <f t="shared" si="161"/>
        <v>189.25597255279041</v>
      </c>
    </row>
    <row r="1197" spans="1:21" x14ac:dyDescent="0.3">
      <c r="A1197" s="2">
        <v>41912</v>
      </c>
      <c r="B1197" s="1">
        <v>3592.25</v>
      </c>
      <c r="C1197" s="2">
        <f t="shared" si="153"/>
        <v>41912</v>
      </c>
      <c r="D1197" s="1">
        <f t="shared" si="154"/>
        <v>3592.25</v>
      </c>
      <c r="E1197" s="4">
        <f t="shared" si="155"/>
        <v>3593.2024000000001</v>
      </c>
      <c r="F1197" s="3">
        <f t="shared" si="156"/>
        <v>0.99973494395973905</v>
      </c>
      <c r="G1197" s="18">
        <f t="shared" si="157"/>
        <v>1</v>
      </c>
      <c r="H1197" s="3">
        <f t="shared" si="158"/>
        <v>-2.7317474022026111E-3</v>
      </c>
      <c r="I1197" s="3">
        <f t="shared" si="159"/>
        <v>-2.7317474022026111E-3</v>
      </c>
      <c r="K1197" s="12" t="str">
        <f>IF(AND(G1197=1,G1196&lt;&gt;1),MAX($K$50:K1196)+1,"")</f>
        <v/>
      </c>
      <c r="L1197" s="13" t="str">
        <f>IF(AND(G1197&lt;&gt;1,G1196=1),MAX($L$50:L1196)+1,"")</f>
        <v/>
      </c>
      <c r="M1197" s="13" t="str">
        <f>IF(AND(G1197=-1,G1196&lt;&gt;-1),MAX($M$50:M1196)+1,"")</f>
        <v/>
      </c>
      <c r="N1197" s="13" t="str">
        <f>IF(AND(G1197&lt;&gt;-1,G1196=-1),MAX($N$50:N1196)+1,"")</f>
        <v/>
      </c>
      <c r="T1197" s="7">
        <f t="shared" si="160"/>
        <v>122.51750708993424</v>
      </c>
      <c r="U1197" s="1">
        <f t="shared" si="161"/>
        <v>188.73897304141801</v>
      </c>
    </row>
    <row r="1198" spans="1:21" x14ac:dyDescent="0.3">
      <c r="A1198" s="2">
        <v>41913</v>
      </c>
      <c r="B1198" s="1">
        <v>3544.98</v>
      </c>
      <c r="C1198" s="2">
        <f t="shared" si="153"/>
        <v>41913</v>
      </c>
      <c r="D1198" s="1">
        <f t="shared" si="154"/>
        <v>3544.98</v>
      </c>
      <c r="E1198" s="4">
        <f t="shared" si="155"/>
        <v>3592.1430000000005</v>
      </c>
      <c r="F1198" s="3">
        <f t="shared" si="156"/>
        <v>0.9868705115581422</v>
      </c>
      <c r="G1198" s="18">
        <f t="shared" si="157"/>
        <v>1</v>
      </c>
      <c r="H1198" s="3">
        <f t="shared" si="158"/>
        <v>-1.3158883707982461E-2</v>
      </c>
      <c r="I1198" s="3">
        <f t="shared" si="159"/>
        <v>-1.3158883707982461E-2</v>
      </c>
      <c r="K1198" s="12" t="str">
        <f>IF(AND(G1198=1,G1197&lt;&gt;1),MAX($K$50:K1197)+1,"")</f>
        <v/>
      </c>
      <c r="L1198" s="13" t="str">
        <f>IF(AND(G1198&lt;&gt;1,G1197=1),MAX($L$50:L1197)+1,"")</f>
        <v/>
      </c>
      <c r="M1198" s="13" t="str">
        <f>IF(AND(G1198=-1,G1197&lt;&gt;-1),MAX($M$50:M1197)+1,"")</f>
        <v/>
      </c>
      <c r="N1198" s="13" t="str">
        <f>IF(AND(G1198&lt;&gt;-1,G1197=-1),MAX($N$50:N1197)+1,"")</f>
        <v/>
      </c>
      <c r="T1198" s="7">
        <f t="shared" si="160"/>
        <v>120.90531346194588</v>
      </c>
      <c r="U1198" s="1">
        <f t="shared" si="161"/>
        <v>186.25537884400197</v>
      </c>
    </row>
    <row r="1199" spans="1:21" x14ac:dyDescent="0.3">
      <c r="A1199" s="2">
        <v>41914</v>
      </c>
      <c r="B1199" s="1">
        <v>3545.3</v>
      </c>
      <c r="C1199" s="2">
        <f t="shared" si="153"/>
        <v>41914</v>
      </c>
      <c r="D1199" s="1">
        <f t="shared" si="154"/>
        <v>3545.3</v>
      </c>
      <c r="E1199" s="4">
        <f t="shared" si="155"/>
        <v>3590.9630000000006</v>
      </c>
      <c r="F1199" s="3">
        <f t="shared" si="156"/>
        <v>0.98728391242126401</v>
      </c>
      <c r="G1199" s="18">
        <f t="shared" si="157"/>
        <v>1</v>
      </c>
      <c r="H1199" s="3">
        <f t="shared" si="158"/>
        <v>9.026849234694545E-5</v>
      </c>
      <c r="I1199" s="3">
        <f t="shared" si="159"/>
        <v>9.026849234694545E-5</v>
      </c>
      <c r="K1199" s="12" t="str">
        <f>IF(AND(G1199=1,G1198&lt;&gt;1),MAX($K$50:K1198)+1,"")</f>
        <v/>
      </c>
      <c r="L1199" s="13" t="str">
        <f>IF(AND(G1199&lt;&gt;1,G1198=1),MAX($L$50:L1198)+1,"")</f>
        <v/>
      </c>
      <c r="M1199" s="13" t="str">
        <f>IF(AND(G1199=-1,G1198&lt;&gt;-1),MAX($M$50:M1198)+1,"")</f>
        <v/>
      </c>
      <c r="N1199" s="13" t="str">
        <f>IF(AND(G1199&lt;&gt;-1,G1198=-1),MAX($N$50:N1198)+1,"")</f>
        <v/>
      </c>
      <c r="T1199" s="7">
        <f t="shared" si="160"/>
        <v>120.91622740230882</v>
      </c>
      <c r="U1199" s="1">
        <f t="shared" si="161"/>
        <v>186.27219183624172</v>
      </c>
    </row>
    <row r="1200" spans="1:21" x14ac:dyDescent="0.3">
      <c r="A1200" s="2">
        <v>41915</v>
      </c>
      <c r="B1200" s="1">
        <v>3584.94</v>
      </c>
      <c r="C1200" s="2">
        <f t="shared" si="153"/>
        <v>41915</v>
      </c>
      <c r="D1200" s="1">
        <f t="shared" si="154"/>
        <v>3584.94</v>
      </c>
      <c r="E1200" s="4">
        <f t="shared" si="155"/>
        <v>3590.5398000000005</v>
      </c>
      <c r="F1200" s="3">
        <f t="shared" si="156"/>
        <v>0.99844040163543091</v>
      </c>
      <c r="G1200" s="18">
        <f t="shared" si="157"/>
        <v>1</v>
      </c>
      <c r="H1200" s="3">
        <f t="shared" si="158"/>
        <v>1.1181000197444391E-2</v>
      </c>
      <c r="I1200" s="3">
        <f t="shared" si="159"/>
        <v>1.1181000197444391E-2</v>
      </c>
      <c r="K1200" s="12" t="str">
        <f>IF(AND(G1200=1,G1199&lt;&gt;1),MAX($K$50:K1199)+1,"")</f>
        <v/>
      </c>
      <c r="L1200" s="13" t="str">
        <f>IF(AND(G1200&lt;&gt;1,G1199=1),MAX($L$50:L1199)+1,"")</f>
        <v/>
      </c>
      <c r="M1200" s="13" t="str">
        <f>IF(AND(G1200=-1,G1199&lt;&gt;-1),MAX($M$50:M1199)+1,"")</f>
        <v/>
      </c>
      <c r="N1200" s="13" t="str">
        <f>IF(AND(G1200&lt;&gt;-1,G1199=-1),MAX($N$50:N1199)+1,"")</f>
        <v/>
      </c>
      <c r="T1200" s="7">
        <f t="shared" si="160"/>
        <v>122.26819176476826</v>
      </c>
      <c r="U1200" s="1">
        <f t="shared" si="161"/>
        <v>188.35490124994115</v>
      </c>
    </row>
    <row r="1201" spans="1:21" x14ac:dyDescent="0.3">
      <c r="A1201" s="2">
        <v>41918</v>
      </c>
      <c r="B1201" s="1">
        <v>3579.42</v>
      </c>
      <c r="C1201" s="2">
        <f t="shared" si="153"/>
        <v>41918</v>
      </c>
      <c r="D1201" s="1">
        <f t="shared" si="154"/>
        <v>3579.42</v>
      </c>
      <c r="E1201" s="4">
        <f t="shared" si="155"/>
        <v>3590.3546000000006</v>
      </c>
      <c r="F1201" s="3">
        <f t="shared" si="156"/>
        <v>0.99695445123999715</v>
      </c>
      <c r="G1201" s="18">
        <f t="shared" si="157"/>
        <v>1</v>
      </c>
      <c r="H1201" s="3">
        <f t="shared" si="158"/>
        <v>-1.5397747242631432E-3</v>
      </c>
      <c r="I1201" s="3">
        <f t="shared" si="159"/>
        <v>-1.5397747242631432E-3</v>
      </c>
      <c r="K1201" s="12" t="str">
        <f>IF(AND(G1201=1,G1200&lt;&gt;1),MAX($K$50:K1200)+1,"")</f>
        <v/>
      </c>
      <c r="L1201" s="13" t="str">
        <f>IF(AND(G1201&lt;&gt;1,G1200=1),MAX($L$50:L1200)+1,"")</f>
        <v/>
      </c>
      <c r="M1201" s="13" t="str">
        <f>IF(AND(G1201=-1,G1200&lt;&gt;-1),MAX($M$50:M1200)+1,"")</f>
        <v/>
      </c>
      <c r="N1201" s="13" t="str">
        <f>IF(AND(G1201&lt;&gt;-1,G1200=-1),MAX($N$50:N1200)+1,"")</f>
        <v/>
      </c>
      <c r="T1201" s="7">
        <f t="shared" si="160"/>
        <v>122.07992629350751</v>
      </c>
      <c r="U1201" s="1">
        <f t="shared" si="161"/>
        <v>188.0648771338054</v>
      </c>
    </row>
    <row r="1202" spans="1:21" x14ac:dyDescent="0.3">
      <c r="A1202" s="2">
        <v>41919</v>
      </c>
      <c r="B1202" s="1">
        <v>3525.29</v>
      </c>
      <c r="C1202" s="2">
        <f t="shared" si="153"/>
        <v>41919</v>
      </c>
      <c r="D1202" s="1">
        <f t="shared" si="154"/>
        <v>3525.29</v>
      </c>
      <c r="E1202" s="4">
        <f t="shared" si="155"/>
        <v>3589.0658000000008</v>
      </c>
      <c r="F1202" s="3">
        <f t="shared" si="156"/>
        <v>0.98223052918115883</v>
      </c>
      <c r="G1202" s="18">
        <f t="shared" si="157"/>
        <v>1</v>
      </c>
      <c r="H1202" s="3">
        <f t="shared" si="158"/>
        <v>-1.5122561755815167E-2</v>
      </c>
      <c r="I1202" s="3">
        <f t="shared" si="159"/>
        <v>-1.5122561755815167E-2</v>
      </c>
      <c r="K1202" s="12" t="str">
        <f>IF(AND(G1202=1,G1201&lt;&gt;1),MAX($K$50:K1201)+1,"")</f>
        <v/>
      </c>
      <c r="L1202" s="13" t="str">
        <f>IF(AND(G1202&lt;&gt;1,G1201=1),MAX($L$50:L1201)+1,"")</f>
        <v/>
      </c>
      <c r="M1202" s="13" t="str">
        <f>IF(AND(G1202=-1,G1201&lt;&gt;-1),MAX($M$50:M1201)+1,"")</f>
        <v/>
      </c>
      <c r="N1202" s="13" t="str">
        <f>IF(AND(G1202&lt;&gt;-1,G1201=-1),MAX($N$50:N1201)+1,"")</f>
        <v/>
      </c>
      <c r="T1202" s="7">
        <f t="shared" si="160"/>
        <v>120.23376506898857</v>
      </c>
      <c r="U1202" s="1">
        <f t="shared" si="161"/>
        <v>185.22085441524965</v>
      </c>
    </row>
    <row r="1203" spans="1:21" x14ac:dyDescent="0.3">
      <c r="A1203" s="2">
        <v>41920</v>
      </c>
      <c r="B1203" s="1">
        <v>3588.07</v>
      </c>
      <c r="C1203" s="2">
        <f t="shared" si="153"/>
        <v>41920</v>
      </c>
      <c r="D1203" s="1">
        <f t="shared" si="154"/>
        <v>3588.07</v>
      </c>
      <c r="E1203" s="4">
        <f t="shared" si="155"/>
        <v>3589.3542000000011</v>
      </c>
      <c r="F1203" s="3">
        <f t="shared" si="156"/>
        <v>0.99964221976198364</v>
      </c>
      <c r="G1203" s="18">
        <f t="shared" si="157"/>
        <v>1</v>
      </c>
      <c r="H1203" s="3">
        <f t="shared" si="158"/>
        <v>1.7808463984523293E-2</v>
      </c>
      <c r="I1203" s="3">
        <f t="shared" si="159"/>
        <v>1.7808463984523293E-2</v>
      </c>
      <c r="K1203" s="12" t="str">
        <f>IF(AND(G1203=1,G1202&lt;&gt;1),MAX($K$50:K1202)+1,"")</f>
        <v/>
      </c>
      <c r="L1203" s="13" t="str">
        <f>IF(AND(G1203&lt;&gt;1,G1202=1),MAX($L$50:L1202)+1,"")</f>
        <v/>
      </c>
      <c r="M1203" s="13" t="str">
        <f>IF(AND(G1203=-1,G1202&lt;&gt;-1),MAX($M$50:M1202)+1,"")</f>
        <v/>
      </c>
      <c r="N1203" s="13" t="str">
        <f>IF(AND(G1203&lt;&gt;-1,G1202=-1),MAX($N$50:N1202)+1,"")</f>
        <v/>
      </c>
      <c r="T1203" s="7">
        <f t="shared" si="160"/>
        <v>122.37494374394329</v>
      </c>
      <c r="U1203" s="1">
        <f t="shared" si="161"/>
        <v>188.51935333028626</v>
      </c>
    </row>
    <row r="1204" spans="1:21" x14ac:dyDescent="0.3">
      <c r="A1204" s="2">
        <v>41921</v>
      </c>
      <c r="B1204" s="1">
        <v>3514.12</v>
      </c>
      <c r="C1204" s="2">
        <f t="shared" ref="C1204:C1267" si="162">A1204</f>
        <v>41921</v>
      </c>
      <c r="D1204" s="1">
        <f t="shared" ref="D1204:D1267" si="163">B1204</f>
        <v>3514.12</v>
      </c>
      <c r="E1204" s="4">
        <f t="shared" ref="E1204:E1267" si="164">AVERAGE(B1155:B1204)</f>
        <v>3588.1476000000007</v>
      </c>
      <c r="F1204" s="3">
        <f t="shared" ref="F1204:F1267" si="165">D1204/E1204</f>
        <v>0.97936885316534894</v>
      </c>
      <c r="G1204" s="18">
        <f t="shared" ref="G1204:G1267" si="166">IF(F1204&gt;=$Q$51,1,IF(F1204&lt;=$Q$52,-1,0))</f>
        <v>1</v>
      </c>
      <c r="H1204" s="3">
        <f t="shared" si="158"/>
        <v>-2.0609965803342845E-2</v>
      </c>
      <c r="I1204" s="3">
        <f t="shared" si="159"/>
        <v>-2.0609965803342845E-2</v>
      </c>
      <c r="K1204" s="12" t="str">
        <f>IF(AND(G1204=1,G1203&lt;&gt;1),MAX($K$50:K1203)+1,"")</f>
        <v/>
      </c>
      <c r="L1204" s="13" t="str">
        <f>IF(AND(G1204&lt;&gt;1,G1203=1),MAX($L$50:L1203)+1,"")</f>
        <v/>
      </c>
      <c r="M1204" s="13" t="str">
        <f>IF(AND(G1204=-1,G1203&lt;&gt;-1),MAX($M$50:M1203)+1,"")</f>
        <v/>
      </c>
      <c r="N1204" s="13" t="str">
        <f>IF(AND(G1204&lt;&gt;-1,G1203=-1),MAX($N$50:N1203)+1,"")</f>
        <v/>
      </c>
      <c r="T1204" s="7">
        <f t="shared" si="160"/>
        <v>119.85280033819461</v>
      </c>
      <c r="U1204" s="1">
        <f t="shared" si="161"/>
        <v>184.63397590488074</v>
      </c>
    </row>
    <row r="1205" spans="1:21" x14ac:dyDescent="0.3">
      <c r="A1205" s="2">
        <v>41922</v>
      </c>
      <c r="B1205" s="1">
        <v>3474.23</v>
      </c>
      <c r="C1205" s="2">
        <f t="shared" si="162"/>
        <v>41922</v>
      </c>
      <c r="D1205" s="1">
        <f t="shared" si="163"/>
        <v>3474.23</v>
      </c>
      <c r="E1205" s="4">
        <f t="shared" si="164"/>
        <v>3587.5684000000001</v>
      </c>
      <c r="F1205" s="3">
        <f t="shared" si="165"/>
        <v>0.96840801697327916</v>
      </c>
      <c r="G1205" s="18">
        <f t="shared" si="166"/>
        <v>1</v>
      </c>
      <c r="H1205" s="3">
        <f t="shared" ref="H1205:H1268" si="167">D1205/D1204-1</f>
        <v>-1.1351348274959316E-2</v>
      </c>
      <c r="I1205" s="3">
        <f t="shared" ref="I1205:I1268" si="168">G1204*H1205</f>
        <v>-1.1351348274959316E-2</v>
      </c>
      <c r="K1205" s="12" t="str">
        <f>IF(AND(G1205=1,G1204&lt;&gt;1),MAX($K$50:K1204)+1,"")</f>
        <v/>
      </c>
      <c r="L1205" s="13" t="str">
        <f>IF(AND(G1205&lt;&gt;1,G1204=1),MAX($L$50:L1204)+1,"")</f>
        <v/>
      </c>
      <c r="M1205" s="13" t="str">
        <f>IF(AND(G1205=-1,G1204&lt;&gt;-1),MAX($M$50:M1204)+1,"")</f>
        <v/>
      </c>
      <c r="N1205" s="13" t="str">
        <f>IF(AND(G1205&lt;&gt;-1,G1204=-1),MAX($N$50:N1204)+1,"")</f>
        <v/>
      </c>
      <c r="T1205" s="7">
        <f t="shared" ref="T1205:T1268" si="169">T1204*(1+I1205)</f>
        <v>118.4923094598266</v>
      </c>
      <c r="U1205" s="1">
        <f t="shared" ref="U1205:U1268" si="170">U1204*D1205/D1204</f>
        <v>182.538131340994</v>
      </c>
    </row>
    <row r="1206" spans="1:21" x14ac:dyDescent="0.3">
      <c r="A1206" s="2">
        <v>41925</v>
      </c>
      <c r="B1206" s="1">
        <v>3417.01</v>
      </c>
      <c r="C1206" s="2">
        <f t="shared" si="162"/>
        <v>41925</v>
      </c>
      <c r="D1206" s="1">
        <f t="shared" si="163"/>
        <v>3417.01</v>
      </c>
      <c r="E1206" s="4">
        <f t="shared" si="164"/>
        <v>3586.0450000000005</v>
      </c>
      <c r="F1206" s="3">
        <f t="shared" si="165"/>
        <v>0.9528631124260849</v>
      </c>
      <c r="G1206" s="18">
        <f t="shared" si="166"/>
        <v>1</v>
      </c>
      <c r="H1206" s="3">
        <f t="shared" si="167"/>
        <v>-1.6469836481752709E-2</v>
      </c>
      <c r="I1206" s="3">
        <f t="shared" si="168"/>
        <v>-1.6469836481752709E-2</v>
      </c>
      <c r="K1206" s="12" t="str">
        <f>IF(AND(G1206=1,G1205&lt;&gt;1),MAX($K$50:K1205)+1,"")</f>
        <v/>
      </c>
      <c r="L1206" s="13" t="str">
        <f>IF(AND(G1206&lt;&gt;1,G1205=1),MAX($L$50:L1205)+1,"")</f>
        <v/>
      </c>
      <c r="M1206" s="13" t="str">
        <f>IF(AND(G1206=-1,G1205&lt;&gt;-1),MAX($M$50:M1205)+1,"")</f>
        <v/>
      </c>
      <c r="N1206" s="13" t="str">
        <f>IF(AND(G1206&lt;&gt;-1,G1205=-1),MAX($N$50:N1205)+1,"")</f>
        <v/>
      </c>
      <c r="T1206" s="7">
        <f t="shared" si="169"/>
        <v>116.54076049867801</v>
      </c>
      <c r="U1206" s="1">
        <f t="shared" si="170"/>
        <v>179.53175816612313</v>
      </c>
    </row>
    <row r="1207" spans="1:21" x14ac:dyDescent="0.3">
      <c r="A1207" s="2">
        <v>41926</v>
      </c>
      <c r="B1207" s="1">
        <v>3422.43</v>
      </c>
      <c r="C1207" s="2">
        <f t="shared" si="162"/>
        <v>41926</v>
      </c>
      <c r="D1207" s="1">
        <f t="shared" si="163"/>
        <v>3422.43</v>
      </c>
      <c r="E1207" s="4">
        <f t="shared" si="164"/>
        <v>3584.1274000000012</v>
      </c>
      <c r="F1207" s="3">
        <f t="shared" si="165"/>
        <v>0.95488514163865901</v>
      </c>
      <c r="G1207" s="18">
        <f t="shared" si="166"/>
        <v>1</v>
      </c>
      <c r="H1207" s="3">
        <f t="shared" si="167"/>
        <v>1.5861820714599961E-3</v>
      </c>
      <c r="I1207" s="3">
        <f t="shared" si="168"/>
        <v>1.5861820714599961E-3</v>
      </c>
      <c r="K1207" s="12" t="str">
        <f>IF(AND(G1207=1,G1206&lt;&gt;1),MAX($K$50:K1206)+1,"")</f>
        <v/>
      </c>
      <c r="L1207" s="13" t="str">
        <f>IF(AND(G1207&lt;&gt;1,G1206=1),MAX($L$50:L1206)+1,"")</f>
        <v/>
      </c>
      <c r="M1207" s="13" t="str">
        <f>IF(AND(G1207=-1,G1206&lt;&gt;-1),MAX($M$50:M1206)+1,"")</f>
        <v/>
      </c>
      <c r="N1207" s="13" t="str">
        <f>IF(AND(G1207&lt;&gt;-1,G1206=-1),MAX($N$50:N1206)+1,"")</f>
        <v/>
      </c>
      <c r="T1207" s="7">
        <f t="shared" si="169"/>
        <v>116.72561536357533</v>
      </c>
      <c r="U1207" s="1">
        <f t="shared" si="170"/>
        <v>179.8165282221839</v>
      </c>
    </row>
    <row r="1208" spans="1:21" x14ac:dyDescent="0.3">
      <c r="A1208" s="2">
        <v>41927</v>
      </c>
      <c r="B1208" s="1">
        <v>3395.03</v>
      </c>
      <c r="C1208" s="2">
        <f t="shared" si="162"/>
        <v>41927</v>
      </c>
      <c r="D1208" s="1">
        <f t="shared" si="163"/>
        <v>3395.03</v>
      </c>
      <c r="E1208" s="4">
        <f t="shared" si="164"/>
        <v>3582.3368000000009</v>
      </c>
      <c r="F1208" s="3">
        <f t="shared" si="165"/>
        <v>0.94771379396822752</v>
      </c>
      <c r="G1208" s="18">
        <f t="shared" si="166"/>
        <v>-1</v>
      </c>
      <c r="H1208" s="3">
        <f t="shared" si="167"/>
        <v>-8.0060074274710402E-3</v>
      </c>
      <c r="I1208" s="3">
        <f t="shared" si="168"/>
        <v>-8.0060074274710402E-3</v>
      </c>
      <c r="K1208" s="12" t="str">
        <f>IF(AND(G1208=1,G1207&lt;&gt;1),MAX($K$50:K1207)+1,"")</f>
        <v/>
      </c>
      <c r="L1208" s="13">
        <f>IF(AND(G1208&lt;&gt;1,G1207=1),MAX($L$50:L1207)+1,"")</f>
        <v>12</v>
      </c>
      <c r="M1208" s="13">
        <f>IF(AND(G1208=-1,G1207&lt;&gt;-1),MAX($M$50:M1207)+1,"")</f>
        <v>12</v>
      </c>
      <c r="N1208" s="13" t="str">
        <f>IF(AND(G1208&lt;&gt;-1,G1207=-1),MAX($N$50:N1207)+1,"")</f>
        <v/>
      </c>
      <c r="T1208" s="7">
        <f t="shared" si="169"/>
        <v>115.79110921999842</v>
      </c>
      <c r="U1208" s="1">
        <f t="shared" si="170"/>
        <v>178.37691576165506</v>
      </c>
    </row>
    <row r="1209" spans="1:21" x14ac:dyDescent="0.3">
      <c r="A1209" s="2">
        <v>41928</v>
      </c>
      <c r="B1209" s="1">
        <v>3395.64</v>
      </c>
      <c r="C1209" s="2">
        <f t="shared" si="162"/>
        <v>41928</v>
      </c>
      <c r="D1209" s="1">
        <f t="shared" si="163"/>
        <v>3395.64</v>
      </c>
      <c r="E1209" s="4">
        <f t="shared" si="164"/>
        <v>3580.5362000000009</v>
      </c>
      <c r="F1209" s="3">
        <f t="shared" si="165"/>
        <v>0.9483607511076132</v>
      </c>
      <c r="G1209" s="18">
        <f t="shared" si="166"/>
        <v>-1</v>
      </c>
      <c r="H1209" s="3">
        <f t="shared" si="167"/>
        <v>1.7967440641153409E-4</v>
      </c>
      <c r="I1209" s="3">
        <f t="shared" si="168"/>
        <v>-1.7967440641153409E-4</v>
      </c>
      <c r="K1209" s="12" t="str">
        <f>IF(AND(G1209=1,G1208&lt;&gt;1),MAX($K$50:K1208)+1,"")</f>
        <v/>
      </c>
      <c r="L1209" s="13" t="str">
        <f>IF(AND(G1209&lt;&gt;1,G1208=1),MAX($L$50:L1208)+1,"")</f>
        <v/>
      </c>
      <c r="M1209" s="13" t="str">
        <f>IF(AND(G1209=-1,G1208&lt;&gt;-1),MAX($M$50:M1208)+1,"")</f>
        <v/>
      </c>
      <c r="N1209" s="13" t="str">
        <f>IF(AND(G1209&lt;&gt;-1,G1208=-1),MAX($N$50:N1208)+1,"")</f>
        <v/>
      </c>
      <c r="T1209" s="7">
        <f t="shared" si="169"/>
        <v>115.77030452118159</v>
      </c>
      <c r="U1209" s="1">
        <f t="shared" si="170"/>
        <v>178.40896552811208</v>
      </c>
    </row>
    <row r="1210" spans="1:21" x14ac:dyDescent="0.3">
      <c r="A1210" s="2">
        <v>41929</v>
      </c>
      <c r="B1210" s="1">
        <v>3439.39</v>
      </c>
      <c r="C1210" s="2">
        <f t="shared" si="162"/>
        <v>41929</v>
      </c>
      <c r="D1210" s="1">
        <f t="shared" si="163"/>
        <v>3439.39</v>
      </c>
      <c r="E1210" s="4">
        <f t="shared" si="164"/>
        <v>3579.9812000000011</v>
      </c>
      <c r="F1210" s="3">
        <f t="shared" si="165"/>
        <v>0.9607285088536216</v>
      </c>
      <c r="G1210" s="18">
        <f t="shared" si="166"/>
        <v>1</v>
      </c>
      <c r="H1210" s="3">
        <f t="shared" si="167"/>
        <v>1.2884169110977561E-2</v>
      </c>
      <c r="I1210" s="3">
        <f t="shared" si="168"/>
        <v>-1.2884169110977561E-2</v>
      </c>
      <c r="K1210" s="12">
        <f>IF(AND(G1210=1,G1209&lt;&gt;1),MAX($K$50:K1209)+1,"")</f>
        <v>13</v>
      </c>
      <c r="L1210" s="13" t="str">
        <f>IF(AND(G1210&lt;&gt;1,G1209=1),MAX($L$50:L1209)+1,"")</f>
        <v/>
      </c>
      <c r="M1210" s="13" t="str">
        <f>IF(AND(G1210=-1,G1209&lt;&gt;-1),MAX($M$50:M1209)+1,"")</f>
        <v/>
      </c>
      <c r="N1210" s="13">
        <f>IF(AND(G1210&lt;&gt;-1,G1209=-1),MAX($N$50:N1209)+1,"")</f>
        <v>12</v>
      </c>
      <c r="T1210" s="7">
        <f t="shared" si="169"/>
        <v>114.27870033970132</v>
      </c>
      <c r="U1210" s="1">
        <f t="shared" si="170"/>
        <v>180.70761681089084</v>
      </c>
    </row>
    <row r="1211" spans="1:21" x14ac:dyDescent="0.3">
      <c r="A1211" s="2">
        <v>41932</v>
      </c>
      <c r="B1211" s="1">
        <v>3470.89</v>
      </c>
      <c r="C1211" s="2">
        <f t="shared" si="162"/>
        <v>41932</v>
      </c>
      <c r="D1211" s="1">
        <f t="shared" si="163"/>
        <v>3470.89</v>
      </c>
      <c r="E1211" s="4">
        <f t="shared" si="164"/>
        <v>3579.2548000000015</v>
      </c>
      <c r="F1211" s="3">
        <f t="shared" si="165"/>
        <v>0.96972420069116017</v>
      </c>
      <c r="G1211" s="18">
        <f t="shared" si="166"/>
        <v>1</v>
      </c>
      <c r="H1211" s="3">
        <f t="shared" si="167"/>
        <v>9.158600798397476E-3</v>
      </c>
      <c r="I1211" s="3">
        <f t="shared" si="168"/>
        <v>9.158600798397476E-3</v>
      </c>
      <c r="K1211" s="12" t="str">
        <f>IF(AND(G1211=1,G1210&lt;&gt;1),MAX($K$50:K1210)+1,"")</f>
        <v/>
      </c>
      <c r="L1211" s="13" t="str">
        <f>IF(AND(G1211&lt;&gt;1,G1210=1),MAX($L$50:L1210)+1,"")</f>
        <v/>
      </c>
      <c r="M1211" s="13" t="str">
        <f>IF(AND(G1211=-1,G1210&lt;&gt;-1),MAX($M$50:M1210)+1,"")</f>
        <v/>
      </c>
      <c r="N1211" s="13" t="str">
        <f>IF(AND(G1211&lt;&gt;-1,G1210=-1),MAX($N$50:N1210)+1,"")</f>
        <v/>
      </c>
      <c r="T1211" s="7">
        <f t="shared" si="169"/>
        <v>115.32533333587233</v>
      </c>
      <c r="U1211" s="1">
        <f t="shared" si="170"/>
        <v>182.36264573449157</v>
      </c>
    </row>
    <row r="1212" spans="1:21" x14ac:dyDescent="0.3">
      <c r="A1212" s="2">
        <v>41933</v>
      </c>
      <c r="B1212" s="1">
        <v>3538.9</v>
      </c>
      <c r="C1212" s="2">
        <f t="shared" si="162"/>
        <v>41933</v>
      </c>
      <c r="D1212" s="1">
        <f t="shared" si="163"/>
        <v>3538.9</v>
      </c>
      <c r="E1212" s="4">
        <f t="shared" si="164"/>
        <v>3579.6822000000016</v>
      </c>
      <c r="F1212" s="3">
        <f t="shared" si="165"/>
        <v>0.98860731268267299</v>
      </c>
      <c r="G1212" s="18">
        <f t="shared" si="166"/>
        <v>1</v>
      </c>
      <c r="H1212" s="3">
        <f t="shared" si="167"/>
        <v>1.9594397978616396E-2</v>
      </c>
      <c r="I1212" s="3">
        <f t="shared" si="168"/>
        <v>1.9594397978616396E-2</v>
      </c>
      <c r="K1212" s="12" t="str">
        <f>IF(AND(G1212=1,G1211&lt;&gt;1),MAX($K$50:K1211)+1,"")</f>
        <v/>
      </c>
      <c r="L1212" s="13" t="str">
        <f>IF(AND(G1212&lt;&gt;1,G1211=1),MAX($L$50:L1211)+1,"")</f>
        <v/>
      </c>
      <c r="M1212" s="13" t="str">
        <f>IF(AND(G1212=-1,G1211&lt;&gt;-1),MAX($M$50:M1211)+1,"")</f>
        <v/>
      </c>
      <c r="N1212" s="13" t="str">
        <f>IF(AND(G1212&lt;&gt;-1,G1211=-1),MAX($N$50:N1211)+1,"")</f>
        <v/>
      </c>
      <c r="T1212" s="7">
        <f t="shared" si="169"/>
        <v>117.585063814272</v>
      </c>
      <c r="U1212" s="1">
        <f t="shared" si="170"/>
        <v>185.93593199144667</v>
      </c>
    </row>
    <row r="1213" spans="1:21" x14ac:dyDescent="0.3">
      <c r="A1213" s="2">
        <v>41934</v>
      </c>
      <c r="B1213" s="1">
        <v>3513.47</v>
      </c>
      <c r="C1213" s="2">
        <f t="shared" si="162"/>
        <v>41934</v>
      </c>
      <c r="D1213" s="1">
        <f t="shared" si="163"/>
        <v>3513.47</v>
      </c>
      <c r="E1213" s="4">
        <f t="shared" si="164"/>
        <v>3579.7124000000013</v>
      </c>
      <c r="F1213" s="3">
        <f t="shared" si="165"/>
        <v>0.98149504971404922</v>
      </c>
      <c r="G1213" s="18">
        <f t="shared" si="166"/>
        <v>1</v>
      </c>
      <c r="H1213" s="3">
        <f t="shared" si="167"/>
        <v>-7.1858487100512347E-3</v>
      </c>
      <c r="I1213" s="3">
        <f t="shared" si="168"/>
        <v>-7.1858487100512347E-3</v>
      </c>
      <c r="K1213" s="12" t="str">
        <f>IF(AND(G1213=1,G1212&lt;&gt;1),MAX($K$50:K1212)+1,"")</f>
        <v/>
      </c>
      <c r="L1213" s="13" t="str">
        <f>IF(AND(G1213&lt;&gt;1,G1212=1),MAX($L$50:L1212)+1,"")</f>
        <v/>
      </c>
      <c r="M1213" s="13" t="str">
        <f>IF(AND(G1213=-1,G1212&lt;&gt;-1),MAX($M$50:M1212)+1,"")</f>
        <v/>
      </c>
      <c r="N1213" s="13" t="str">
        <f>IF(AND(G1213&lt;&gt;-1,G1212=-1),MAX($N$50:N1212)+1,"")</f>
        <v/>
      </c>
      <c r="T1213" s="7">
        <f t="shared" si="169"/>
        <v>116.74011533514093</v>
      </c>
      <c r="U1213" s="1">
        <f t="shared" si="170"/>
        <v>184.59982451439376</v>
      </c>
    </row>
    <row r="1214" spans="1:21" x14ac:dyDescent="0.3">
      <c r="A1214" s="2">
        <v>41935</v>
      </c>
      <c r="B1214" s="1">
        <v>3556.7</v>
      </c>
      <c r="C1214" s="2">
        <f t="shared" si="162"/>
        <v>41935</v>
      </c>
      <c r="D1214" s="1">
        <f t="shared" si="163"/>
        <v>3556.7</v>
      </c>
      <c r="E1214" s="4">
        <f t="shared" si="164"/>
        <v>3580.1180000000018</v>
      </c>
      <c r="F1214" s="3">
        <f t="shared" si="165"/>
        <v>0.99345887481920936</v>
      </c>
      <c r="G1214" s="18">
        <f t="shared" si="166"/>
        <v>1</v>
      </c>
      <c r="H1214" s="3">
        <f t="shared" si="167"/>
        <v>1.2304075458165364E-2</v>
      </c>
      <c r="I1214" s="3">
        <f t="shared" si="168"/>
        <v>1.2304075458165364E-2</v>
      </c>
      <c r="K1214" s="12" t="str">
        <f>IF(AND(G1214=1,G1213&lt;&gt;1),MAX($K$50:K1213)+1,"")</f>
        <v/>
      </c>
      <c r="L1214" s="13" t="str">
        <f>IF(AND(G1214&lt;&gt;1,G1213=1),MAX($L$50:L1213)+1,"")</f>
        <v/>
      </c>
      <c r="M1214" s="13" t="str">
        <f>IF(AND(G1214=-1,G1213&lt;&gt;-1),MAX($M$50:M1213)+1,"")</f>
        <v/>
      </c>
      <c r="N1214" s="13" t="str">
        <f>IF(AND(G1214&lt;&gt;-1,G1213=-1),MAX($N$50:N1213)+1,"")</f>
        <v/>
      </c>
      <c r="T1214" s="7">
        <f t="shared" si="169"/>
        <v>118.17649452321943</v>
      </c>
      <c r="U1214" s="1">
        <f t="shared" si="170"/>
        <v>186.87115468478294</v>
      </c>
    </row>
    <row r="1215" spans="1:21" x14ac:dyDescent="0.3">
      <c r="A1215" s="2">
        <v>41936</v>
      </c>
      <c r="B1215" s="1">
        <v>3581.82</v>
      </c>
      <c r="C1215" s="2">
        <f t="shared" si="162"/>
        <v>41936</v>
      </c>
      <c r="D1215" s="1">
        <f t="shared" si="163"/>
        <v>3581.82</v>
      </c>
      <c r="E1215" s="4">
        <f t="shared" si="164"/>
        <v>3580.7150000000011</v>
      </c>
      <c r="F1215" s="3">
        <f t="shared" si="165"/>
        <v>1.0003085975845605</v>
      </c>
      <c r="G1215" s="18">
        <f t="shared" si="166"/>
        <v>1</v>
      </c>
      <c r="H1215" s="3">
        <f t="shared" si="167"/>
        <v>7.0627266848484194E-3</v>
      </c>
      <c r="I1215" s="3">
        <f t="shared" si="168"/>
        <v>7.0627266848484194E-3</v>
      </c>
      <c r="K1215" s="12" t="str">
        <f>IF(AND(G1215=1,G1214&lt;&gt;1),MAX($K$50:K1214)+1,"")</f>
        <v/>
      </c>
      <c r="L1215" s="13" t="str">
        <f>IF(AND(G1215&lt;&gt;1,G1214=1),MAX($L$50:L1214)+1,"")</f>
        <v/>
      </c>
      <c r="M1215" s="13" t="str">
        <f>IF(AND(G1215=-1,G1214&lt;&gt;-1),MAX($M$50:M1214)+1,"")</f>
        <v/>
      </c>
      <c r="N1215" s="13" t="str">
        <f>IF(AND(G1215&lt;&gt;-1,G1214=-1),MAX($N$50:N1214)+1,"")</f>
        <v/>
      </c>
      <c r="T1215" s="7">
        <f t="shared" si="169"/>
        <v>119.01114280461042</v>
      </c>
      <c r="U1215" s="1">
        <f t="shared" si="170"/>
        <v>188.1909745756036</v>
      </c>
    </row>
    <row r="1216" spans="1:21" x14ac:dyDescent="0.3">
      <c r="A1216" s="2">
        <v>41939</v>
      </c>
      <c r="B1216" s="1">
        <v>3576.47</v>
      </c>
      <c r="C1216" s="2">
        <f t="shared" si="162"/>
        <v>41939</v>
      </c>
      <c r="D1216" s="1">
        <f t="shared" si="163"/>
        <v>3576.47</v>
      </c>
      <c r="E1216" s="4">
        <f t="shared" si="164"/>
        <v>3581.2010000000009</v>
      </c>
      <c r="F1216" s="3">
        <f t="shared" si="165"/>
        <v>0.9986789348042735</v>
      </c>
      <c r="G1216" s="18">
        <f t="shared" si="166"/>
        <v>1</v>
      </c>
      <c r="H1216" s="3">
        <f t="shared" si="167"/>
        <v>-1.4936540641350415E-3</v>
      </c>
      <c r="I1216" s="3">
        <f t="shared" si="168"/>
        <v>-1.4936540641350415E-3</v>
      </c>
      <c r="K1216" s="12" t="str">
        <f>IF(AND(G1216=1,G1215&lt;&gt;1),MAX($K$50:K1215)+1,"")</f>
        <v/>
      </c>
      <c r="L1216" s="13" t="str">
        <f>IF(AND(G1216&lt;&gt;1,G1215=1),MAX($L$50:L1215)+1,"")</f>
        <v/>
      </c>
      <c r="M1216" s="13" t="str">
        <f>IF(AND(G1216=-1,G1215&lt;&gt;-1),MAX($M$50:M1215)+1,"")</f>
        <v/>
      </c>
      <c r="N1216" s="13" t="str">
        <f>IF(AND(G1216&lt;&gt;-1,G1215=-1),MAX($N$50:N1215)+1,"")</f>
        <v/>
      </c>
      <c r="T1216" s="7">
        <f t="shared" si="169"/>
        <v>118.83338132748295</v>
      </c>
      <c r="U1216" s="1">
        <f t="shared" si="170"/>
        <v>187.90988236159521</v>
      </c>
    </row>
    <row r="1217" spans="1:21" x14ac:dyDescent="0.3">
      <c r="A1217" s="2">
        <v>41940</v>
      </c>
      <c r="B1217" s="1">
        <v>3619.16</v>
      </c>
      <c r="C1217" s="2">
        <f t="shared" si="162"/>
        <v>41940</v>
      </c>
      <c r="D1217" s="1">
        <f t="shared" si="163"/>
        <v>3619.16</v>
      </c>
      <c r="E1217" s="4">
        <f t="shared" si="164"/>
        <v>3581.9302000000012</v>
      </c>
      <c r="F1217" s="3">
        <f t="shared" si="165"/>
        <v>1.0103937815426998</v>
      </c>
      <c r="G1217" s="18">
        <f t="shared" si="166"/>
        <v>1</v>
      </c>
      <c r="H1217" s="3">
        <f t="shared" si="167"/>
        <v>1.1936350647426153E-2</v>
      </c>
      <c r="I1217" s="3">
        <f t="shared" si="168"/>
        <v>1.1936350647426153E-2</v>
      </c>
      <c r="K1217" s="12" t="str">
        <f>IF(AND(G1217=1,G1216&lt;&gt;1),MAX($K$50:K1216)+1,"")</f>
        <v/>
      </c>
      <c r="L1217" s="13" t="str">
        <f>IF(AND(G1217&lt;&gt;1,G1216=1),MAX($L$50:L1216)+1,"")</f>
        <v/>
      </c>
      <c r="M1217" s="13" t="str">
        <f>IF(AND(G1217=-1,G1216&lt;&gt;-1),MAX($M$50:M1216)+1,"")</f>
        <v/>
      </c>
      <c r="N1217" s="13" t="str">
        <f>IF(AND(G1217&lt;&gt;-1,G1216=-1),MAX($N$50:N1216)+1,"")</f>
        <v/>
      </c>
      <c r="T1217" s="7">
        <f t="shared" si="169"/>
        <v>120.2518182356271</v>
      </c>
      <c r="U1217" s="1">
        <f t="shared" si="170"/>
        <v>190.1528406075798</v>
      </c>
    </row>
    <row r="1218" spans="1:21" x14ac:dyDescent="0.3">
      <c r="A1218" s="2">
        <v>41941</v>
      </c>
      <c r="B1218" s="1">
        <v>3614.53</v>
      </c>
      <c r="C1218" s="2">
        <f t="shared" si="162"/>
        <v>41941</v>
      </c>
      <c r="D1218" s="1">
        <f t="shared" si="163"/>
        <v>3614.53</v>
      </c>
      <c r="E1218" s="4">
        <f t="shared" si="164"/>
        <v>3582.1942000000008</v>
      </c>
      <c r="F1218" s="3">
        <f t="shared" si="165"/>
        <v>1.0090268137891574</v>
      </c>
      <c r="G1218" s="18">
        <f t="shared" si="166"/>
        <v>1</v>
      </c>
      <c r="H1218" s="3">
        <f t="shared" si="167"/>
        <v>-1.2793023795576453E-3</v>
      </c>
      <c r="I1218" s="3">
        <f t="shared" si="168"/>
        <v>-1.2793023795576453E-3</v>
      </c>
      <c r="K1218" s="12" t="str">
        <f>IF(AND(G1218=1,G1217&lt;&gt;1),MAX($K$50:K1217)+1,"")</f>
        <v/>
      </c>
      <c r="L1218" s="13" t="str">
        <f>IF(AND(G1218&lt;&gt;1,G1217=1),MAX($L$50:L1217)+1,"")</f>
        <v/>
      </c>
      <c r="M1218" s="13" t="str">
        <f>IF(AND(G1218=-1,G1217&lt;&gt;-1),MAX($M$50:M1217)+1,"")</f>
        <v/>
      </c>
      <c r="N1218" s="13" t="str">
        <f>IF(AND(G1218&lt;&gt;-1,G1217=-1),MAX($N$50:N1217)+1,"")</f>
        <v/>
      </c>
      <c r="T1218" s="7">
        <f t="shared" si="169"/>
        <v>120.09797979841213</v>
      </c>
      <c r="U1218" s="1">
        <f t="shared" si="170"/>
        <v>189.90957762611089</v>
      </c>
    </row>
    <row r="1219" spans="1:21" x14ac:dyDescent="0.3">
      <c r="A1219" s="2">
        <v>41942</v>
      </c>
      <c r="B1219" s="1">
        <v>3637.3</v>
      </c>
      <c r="C1219" s="2">
        <f t="shared" si="162"/>
        <v>41942</v>
      </c>
      <c r="D1219" s="1">
        <f t="shared" si="163"/>
        <v>3637.3</v>
      </c>
      <c r="E1219" s="4">
        <f t="shared" si="164"/>
        <v>3582.7304000000004</v>
      </c>
      <c r="F1219" s="3">
        <f t="shared" si="165"/>
        <v>1.0152312884050667</v>
      </c>
      <c r="G1219" s="18">
        <f t="shared" si="166"/>
        <v>1</v>
      </c>
      <c r="H1219" s="3">
        <f t="shared" si="167"/>
        <v>6.2995742185014691E-3</v>
      </c>
      <c r="I1219" s="3">
        <f t="shared" si="168"/>
        <v>6.2995742185014691E-3</v>
      </c>
      <c r="K1219" s="12" t="str">
        <f>IF(AND(G1219=1,G1218&lt;&gt;1),MAX($K$50:K1218)+1,"")</f>
        <v/>
      </c>
      <c r="L1219" s="13" t="str">
        <f>IF(AND(G1219&lt;&gt;1,G1218=1),MAX($L$50:L1218)+1,"")</f>
        <v/>
      </c>
      <c r="M1219" s="13" t="str">
        <f>IF(AND(G1219=-1,G1218&lt;&gt;-1),MAX($M$50:M1218)+1,"")</f>
        <v/>
      </c>
      <c r="N1219" s="13" t="str">
        <f>IF(AND(G1219&lt;&gt;-1,G1218=-1),MAX($N$50:N1218)+1,"")</f>
        <v/>
      </c>
      <c r="T1219" s="7">
        <f t="shared" si="169"/>
        <v>120.85454593564431</v>
      </c>
      <c r="U1219" s="1">
        <f t="shared" si="170"/>
        <v>191.10592710517085</v>
      </c>
    </row>
    <row r="1220" spans="1:21" x14ac:dyDescent="0.3">
      <c r="A1220" s="2">
        <v>41943</v>
      </c>
      <c r="B1220" s="1">
        <v>3679.99</v>
      </c>
      <c r="C1220" s="2">
        <f t="shared" si="162"/>
        <v>41943</v>
      </c>
      <c r="D1220" s="1">
        <f t="shared" si="163"/>
        <v>3679.99</v>
      </c>
      <c r="E1220" s="4">
        <f t="shared" si="164"/>
        <v>3583.9056000000005</v>
      </c>
      <c r="F1220" s="3">
        <f t="shared" si="165"/>
        <v>1.0268099695483048</v>
      </c>
      <c r="G1220" s="18">
        <f t="shared" si="166"/>
        <v>1</v>
      </c>
      <c r="H1220" s="3">
        <f t="shared" si="167"/>
        <v>1.1736727792593271E-2</v>
      </c>
      <c r="I1220" s="3">
        <f t="shared" si="168"/>
        <v>1.1736727792593271E-2</v>
      </c>
      <c r="K1220" s="12" t="str">
        <f>IF(AND(G1220=1,G1219&lt;&gt;1),MAX($K$50:K1219)+1,"")</f>
        <v/>
      </c>
      <c r="L1220" s="13" t="str">
        <f>IF(AND(G1220&lt;&gt;1,G1219=1),MAX($L$50:L1219)+1,"")</f>
        <v/>
      </c>
      <c r="M1220" s="13" t="str">
        <f>IF(AND(G1220=-1,G1219&lt;&gt;-1),MAX($M$50:M1219)+1,"")</f>
        <v/>
      </c>
      <c r="N1220" s="13" t="str">
        <f>IF(AND(G1220&lt;&gt;-1,G1219=-1),MAX($N$50:N1219)+1,"")</f>
        <v/>
      </c>
      <c r="T1220" s="7">
        <f t="shared" si="169"/>
        <v>122.27298284378843</v>
      </c>
      <c r="U1220" s="1">
        <f t="shared" si="170"/>
        <v>193.34888535115542</v>
      </c>
    </row>
    <row r="1221" spans="1:21" x14ac:dyDescent="0.3">
      <c r="A1221" s="2">
        <v>41946</v>
      </c>
      <c r="B1221" s="1">
        <v>3679.58</v>
      </c>
      <c r="C1221" s="2">
        <f t="shared" si="162"/>
        <v>41946</v>
      </c>
      <c r="D1221" s="1">
        <f t="shared" si="163"/>
        <v>3679.58</v>
      </c>
      <c r="E1221" s="4">
        <f t="shared" si="164"/>
        <v>3585.2072000000003</v>
      </c>
      <c r="F1221" s="3">
        <f t="shared" si="165"/>
        <v>1.0263228301003076</v>
      </c>
      <c r="G1221" s="18">
        <f t="shared" si="166"/>
        <v>1</v>
      </c>
      <c r="H1221" s="3">
        <f t="shared" si="167"/>
        <v>-1.1141334623188115E-4</v>
      </c>
      <c r="I1221" s="3">
        <f t="shared" si="168"/>
        <v>-1.1141334623188115E-4</v>
      </c>
      <c r="K1221" s="12" t="str">
        <f>IF(AND(G1221=1,G1220&lt;&gt;1),MAX($K$50:K1220)+1,"")</f>
        <v/>
      </c>
      <c r="L1221" s="13" t="str">
        <f>IF(AND(G1221&lt;&gt;1,G1220=1),MAX($L$50:L1220)+1,"")</f>
        <v/>
      </c>
      <c r="M1221" s="13" t="str">
        <f>IF(AND(G1221=-1,G1220&lt;&gt;-1),MAX($M$50:M1220)+1,"")</f>
        <v/>
      </c>
      <c r="N1221" s="13" t="str">
        <f>IF(AND(G1221&lt;&gt;-1,G1220=-1),MAX($N$50:N1220)+1,"")</f>
        <v/>
      </c>
      <c r="T1221" s="7">
        <f t="shared" si="169"/>
        <v>122.25936000161605</v>
      </c>
      <c r="U1221" s="1">
        <f t="shared" si="170"/>
        <v>193.32734370484826</v>
      </c>
    </row>
    <row r="1222" spans="1:21" x14ac:dyDescent="0.3">
      <c r="A1222" s="2">
        <v>41947</v>
      </c>
      <c r="B1222" s="1">
        <v>3669.18</v>
      </c>
      <c r="C1222" s="2">
        <f t="shared" si="162"/>
        <v>41947</v>
      </c>
      <c r="D1222" s="1">
        <f t="shared" si="163"/>
        <v>3669.18</v>
      </c>
      <c r="E1222" s="4">
        <f t="shared" si="164"/>
        <v>3585.9535999999998</v>
      </c>
      <c r="F1222" s="3">
        <f t="shared" si="165"/>
        <v>1.0232090008080417</v>
      </c>
      <c r="G1222" s="18">
        <f t="shared" si="166"/>
        <v>1</v>
      </c>
      <c r="H1222" s="3">
        <f t="shared" si="167"/>
        <v>-2.8264095358709884E-3</v>
      </c>
      <c r="I1222" s="3">
        <f t="shared" si="168"/>
        <v>-2.8264095358709884E-3</v>
      </c>
      <c r="K1222" s="12" t="str">
        <f>IF(AND(G1222=1,G1221&lt;&gt;1),MAX($K$50:K1221)+1,"")</f>
        <v/>
      </c>
      <c r="L1222" s="13" t="str">
        <f>IF(AND(G1222&lt;&gt;1,G1221=1),MAX($L$50:L1221)+1,"")</f>
        <v/>
      </c>
      <c r="M1222" s="13" t="str">
        <f>IF(AND(G1222=-1,G1221&lt;&gt;-1),MAX($M$50:M1221)+1,"")</f>
        <v/>
      </c>
      <c r="N1222" s="13" t="str">
        <f>IF(AND(G1222&lt;&gt;-1,G1221=-1),MAX($N$50:N1221)+1,"")</f>
        <v/>
      </c>
      <c r="T1222" s="7">
        <f t="shared" si="169"/>
        <v>121.913804980658</v>
      </c>
      <c r="U1222" s="1">
        <f t="shared" si="170"/>
        <v>192.78092145705628</v>
      </c>
    </row>
    <row r="1223" spans="1:21" x14ac:dyDescent="0.3">
      <c r="A1223" s="2">
        <v>41948</v>
      </c>
      <c r="B1223" s="1">
        <v>3691.38</v>
      </c>
      <c r="C1223" s="2">
        <f t="shared" si="162"/>
        <v>41948</v>
      </c>
      <c r="D1223" s="1">
        <f t="shared" si="163"/>
        <v>3691.38</v>
      </c>
      <c r="E1223" s="4">
        <f t="shared" si="164"/>
        <v>3587.0669999999996</v>
      </c>
      <c r="F1223" s="3">
        <f t="shared" si="165"/>
        <v>1.029080304326627</v>
      </c>
      <c r="G1223" s="18">
        <f t="shared" si="166"/>
        <v>1</v>
      </c>
      <c r="H1223" s="3">
        <f t="shared" si="167"/>
        <v>6.0503981816102392E-3</v>
      </c>
      <c r="I1223" s="3">
        <f t="shared" si="168"/>
        <v>6.0503981816102392E-3</v>
      </c>
      <c r="K1223" s="12" t="str">
        <f>IF(AND(G1223=1,G1222&lt;&gt;1),MAX($K$50:K1222)+1,"")</f>
        <v/>
      </c>
      <c r="L1223" s="13" t="str">
        <f>IF(AND(G1223&lt;&gt;1,G1222=1),MAX($L$50:L1222)+1,"")</f>
        <v/>
      </c>
      <c r="M1223" s="13" t="str">
        <f>IF(AND(G1223=-1,G1222&lt;&gt;-1),MAX($M$50:M1222)+1,"")</f>
        <v/>
      </c>
      <c r="N1223" s="13" t="str">
        <f>IF(AND(G1223&lt;&gt;-1,G1222=-1),MAX($N$50:N1222)+1,"")</f>
        <v/>
      </c>
      <c r="T1223" s="7">
        <f t="shared" si="169"/>
        <v>122.65143204462616</v>
      </c>
      <c r="U1223" s="1">
        <f t="shared" si="170"/>
        <v>193.94732279368918</v>
      </c>
    </row>
    <row r="1224" spans="1:21" x14ac:dyDescent="0.3">
      <c r="A1224" s="2">
        <v>41949</v>
      </c>
      <c r="B1224" s="1">
        <v>3706.45</v>
      </c>
      <c r="C1224" s="2">
        <f t="shared" si="162"/>
        <v>41949</v>
      </c>
      <c r="D1224" s="1">
        <f t="shared" si="163"/>
        <v>3706.45</v>
      </c>
      <c r="E1224" s="4">
        <f t="shared" si="164"/>
        <v>3588.4631999999988</v>
      </c>
      <c r="F1224" s="3">
        <f t="shared" si="165"/>
        <v>1.0328794788810991</v>
      </c>
      <c r="G1224" s="18">
        <f t="shared" si="166"/>
        <v>1</v>
      </c>
      <c r="H1224" s="3">
        <f t="shared" si="167"/>
        <v>4.0824840574527066E-3</v>
      </c>
      <c r="I1224" s="3">
        <f t="shared" si="168"/>
        <v>4.0824840574527066E-3</v>
      </c>
      <c r="K1224" s="12" t="str">
        <f>IF(AND(G1224=1,G1223&lt;&gt;1),MAX($K$50:K1223)+1,"")</f>
        <v/>
      </c>
      <c r="L1224" s="13" t="str">
        <f>IF(AND(G1224&lt;&gt;1,G1223=1),MAX($L$50:L1223)+1,"")</f>
        <v/>
      </c>
      <c r="M1224" s="13" t="str">
        <f>IF(AND(G1224=-1,G1223&lt;&gt;-1),MAX($M$50:M1223)+1,"")</f>
        <v/>
      </c>
      <c r="N1224" s="13" t="str">
        <f>IF(AND(G1224&lt;&gt;-1,G1223=-1),MAX($N$50:N1223)+1,"")</f>
        <v/>
      </c>
      <c r="T1224" s="7">
        <f t="shared" si="169"/>
        <v>123.15215456057209</v>
      </c>
      <c r="U1224" s="1">
        <f t="shared" si="170"/>
        <v>194.73910964698004</v>
      </c>
    </row>
    <row r="1225" spans="1:21" x14ac:dyDescent="0.3">
      <c r="A1225" s="2">
        <v>41950</v>
      </c>
      <c r="B1225" s="1">
        <v>3708.46</v>
      </c>
      <c r="C1225" s="2">
        <f t="shared" si="162"/>
        <v>41950</v>
      </c>
      <c r="D1225" s="1">
        <f t="shared" si="163"/>
        <v>3708.46</v>
      </c>
      <c r="E1225" s="4">
        <f t="shared" si="164"/>
        <v>3590.0127999999991</v>
      </c>
      <c r="F1225" s="3">
        <f t="shared" si="165"/>
        <v>1.0329935313879663</v>
      </c>
      <c r="G1225" s="18">
        <f t="shared" si="166"/>
        <v>1</v>
      </c>
      <c r="H1225" s="3">
        <f t="shared" si="167"/>
        <v>5.4229788611759311E-4</v>
      </c>
      <c r="I1225" s="3">
        <f t="shared" si="168"/>
        <v>5.4229788611759311E-4</v>
      </c>
      <c r="K1225" s="12" t="str">
        <f>IF(AND(G1225=1,G1224&lt;&gt;1),MAX($K$50:K1224)+1,"")</f>
        <v/>
      </c>
      <c r="L1225" s="13" t="str">
        <f>IF(AND(G1225&lt;&gt;1,G1224=1),MAX($L$50:L1224)+1,"")</f>
        <v/>
      </c>
      <c r="M1225" s="13" t="str">
        <f>IF(AND(G1225=-1,G1224&lt;&gt;-1),MAX($M$50:M1224)+1,"")</f>
        <v/>
      </c>
      <c r="N1225" s="13" t="str">
        <f>IF(AND(G1225&lt;&gt;-1,G1224=-1),MAX($N$50:N1224)+1,"")</f>
        <v/>
      </c>
      <c r="T1225" s="7">
        <f t="shared" si="169"/>
        <v>123.21893971366111</v>
      </c>
      <c r="U1225" s="1">
        <f t="shared" si="170"/>
        <v>194.844716254486</v>
      </c>
    </row>
    <row r="1226" spans="1:21" x14ac:dyDescent="0.3">
      <c r="A1226" s="2">
        <v>41953</v>
      </c>
      <c r="B1226" s="1">
        <v>3720.25</v>
      </c>
      <c r="C1226" s="2">
        <f t="shared" si="162"/>
        <v>41953</v>
      </c>
      <c r="D1226" s="1">
        <f t="shared" si="163"/>
        <v>3720.25</v>
      </c>
      <c r="E1226" s="4">
        <f t="shared" si="164"/>
        <v>3591.550999999999</v>
      </c>
      <c r="F1226" s="3">
        <f t="shared" si="165"/>
        <v>1.0358338222121866</v>
      </c>
      <c r="G1226" s="18">
        <f t="shared" si="166"/>
        <v>1</v>
      </c>
      <c r="H1226" s="3">
        <f t="shared" si="167"/>
        <v>3.1792172492086657E-3</v>
      </c>
      <c r="I1226" s="3">
        <f t="shared" si="168"/>
        <v>3.1792172492086657E-3</v>
      </c>
      <c r="K1226" s="12" t="str">
        <f>IF(AND(G1226=1,G1225&lt;&gt;1),MAX($K$50:K1225)+1,"")</f>
        <v/>
      </c>
      <c r="L1226" s="13" t="str">
        <f>IF(AND(G1226&lt;&gt;1,G1225=1),MAX($L$50:L1225)+1,"")</f>
        <v/>
      </c>
      <c r="M1226" s="13" t="str">
        <f>IF(AND(G1226=-1,G1225&lt;&gt;-1),MAX($M$50:M1225)+1,"")</f>
        <v/>
      </c>
      <c r="N1226" s="13" t="str">
        <f>IF(AND(G1226&lt;&gt;-1,G1225=-1),MAX($N$50:N1225)+1,"")</f>
        <v/>
      </c>
      <c r="T1226" s="7">
        <f t="shared" si="169"/>
        <v>123.61067949222799</v>
      </c>
      <c r="U1226" s="1">
        <f t="shared" si="170"/>
        <v>195.46416993731941</v>
      </c>
    </row>
    <row r="1227" spans="1:21" x14ac:dyDescent="0.3">
      <c r="A1227" s="2">
        <v>41954</v>
      </c>
      <c r="B1227" s="1">
        <v>3722.84</v>
      </c>
      <c r="C1227" s="2">
        <f t="shared" si="162"/>
        <v>41954</v>
      </c>
      <c r="D1227" s="1">
        <f t="shared" si="163"/>
        <v>3722.84</v>
      </c>
      <c r="E1227" s="4">
        <f t="shared" si="164"/>
        <v>3593.1773999999991</v>
      </c>
      <c r="F1227" s="3">
        <f t="shared" si="165"/>
        <v>1.036085777451456</v>
      </c>
      <c r="G1227" s="18">
        <f t="shared" si="166"/>
        <v>1</v>
      </c>
      <c r="H1227" s="3">
        <f t="shared" si="167"/>
        <v>6.9618977219287892E-4</v>
      </c>
      <c r="I1227" s="3">
        <f t="shared" si="168"/>
        <v>6.9618977219287892E-4</v>
      </c>
      <c r="K1227" s="12" t="str">
        <f>IF(AND(G1227=1,G1226&lt;&gt;1),MAX($K$50:K1226)+1,"")</f>
        <v/>
      </c>
      <c r="L1227" s="13" t="str">
        <f>IF(AND(G1227&lt;&gt;1,G1226=1),MAX($L$50:L1226)+1,"")</f>
        <v/>
      </c>
      <c r="M1227" s="13" t="str">
        <f>IF(AND(G1227=-1,G1226&lt;&gt;-1),MAX($M$50:M1226)+1,"")</f>
        <v/>
      </c>
      <c r="N1227" s="13" t="str">
        <f>IF(AND(G1227&lt;&gt;-1,G1226=-1),MAX($N$50:N1226)+1,"")</f>
        <v/>
      </c>
      <c r="T1227" s="7">
        <f t="shared" si="169"/>
        <v>123.69673598302428</v>
      </c>
      <c r="U1227" s="1">
        <f t="shared" si="170"/>
        <v>195.60025009325992</v>
      </c>
    </row>
    <row r="1228" spans="1:21" x14ac:dyDescent="0.3">
      <c r="A1228" s="2">
        <v>41955</v>
      </c>
      <c r="B1228" s="1">
        <v>3721.3</v>
      </c>
      <c r="C1228" s="2">
        <f t="shared" si="162"/>
        <v>41955</v>
      </c>
      <c r="D1228" s="1">
        <f t="shared" si="163"/>
        <v>3721.3</v>
      </c>
      <c r="E1228" s="4">
        <f t="shared" si="164"/>
        <v>3594.8163999999983</v>
      </c>
      <c r="F1228" s="3">
        <f t="shared" si="165"/>
        <v>1.0351849958178676</v>
      </c>
      <c r="G1228" s="18">
        <f t="shared" si="166"/>
        <v>1</v>
      </c>
      <c r="H1228" s="3">
        <f t="shared" si="167"/>
        <v>-4.1366268762554892E-4</v>
      </c>
      <c r="I1228" s="3">
        <f t="shared" si="168"/>
        <v>-4.1366268762554892E-4</v>
      </c>
      <c r="K1228" s="12" t="str">
        <f>IF(AND(G1228=1,G1227&lt;&gt;1),MAX($K$50:K1227)+1,"")</f>
        <v/>
      </c>
      <c r="L1228" s="13" t="str">
        <f>IF(AND(G1228&lt;&gt;1,G1227=1),MAX($L$50:L1227)+1,"")</f>
        <v/>
      </c>
      <c r="M1228" s="13" t="str">
        <f>IF(AND(G1228=-1,G1227&lt;&gt;-1),MAX($M$50:M1227)+1,"")</f>
        <v/>
      </c>
      <c r="N1228" s="13" t="str">
        <f>IF(AND(G1228&lt;&gt;-1,G1227=-1),MAX($N$50:N1227)+1,"")</f>
        <v/>
      </c>
      <c r="T1228" s="7">
        <f t="shared" si="169"/>
        <v>123.64556725876703</v>
      </c>
      <c r="U1228" s="1">
        <f t="shared" si="170"/>
        <v>195.5193375681061</v>
      </c>
    </row>
    <row r="1229" spans="1:21" x14ac:dyDescent="0.3">
      <c r="A1229" s="2">
        <v>41956</v>
      </c>
      <c r="B1229" s="1">
        <v>3723.58</v>
      </c>
      <c r="C1229" s="2">
        <f t="shared" si="162"/>
        <v>41956</v>
      </c>
      <c r="D1229" s="1">
        <f t="shared" si="163"/>
        <v>3723.58</v>
      </c>
      <c r="E1229" s="4">
        <f t="shared" si="164"/>
        <v>3596.6105999999982</v>
      </c>
      <c r="F1229" s="3">
        <f t="shared" si="165"/>
        <v>1.0353025150957409</v>
      </c>
      <c r="G1229" s="18">
        <f t="shared" si="166"/>
        <v>1</v>
      </c>
      <c r="H1229" s="3">
        <f t="shared" si="167"/>
        <v>6.1268911401923809E-4</v>
      </c>
      <c r="I1229" s="3">
        <f t="shared" si="168"/>
        <v>6.1268911401923809E-4</v>
      </c>
      <c r="K1229" s="12" t="str">
        <f>IF(AND(G1229=1,G1228&lt;&gt;1),MAX($K$50:K1228)+1,"")</f>
        <v/>
      </c>
      <c r="L1229" s="13" t="str">
        <f>IF(AND(G1229&lt;&gt;1,G1228=1),MAX($L$50:L1228)+1,"")</f>
        <v/>
      </c>
      <c r="M1229" s="13" t="str">
        <f>IF(AND(G1229=-1,G1228&lt;&gt;-1),MAX($M$50:M1228)+1,"")</f>
        <v/>
      </c>
      <c r="N1229" s="13" t="str">
        <f>IF(AND(G1229&lt;&gt;-1,G1228=-1),MAX($N$50:N1228)+1,"")</f>
        <v/>
      </c>
      <c r="T1229" s="7">
        <f t="shared" si="169"/>
        <v>123.7213235518232</v>
      </c>
      <c r="U1229" s="1">
        <f t="shared" si="170"/>
        <v>195.63913013781431</v>
      </c>
    </row>
    <row r="1230" spans="1:21" x14ac:dyDescent="0.3">
      <c r="A1230" s="2">
        <v>41957</v>
      </c>
      <c r="B1230" s="1">
        <v>3724.92</v>
      </c>
      <c r="C1230" s="2">
        <f t="shared" si="162"/>
        <v>41957</v>
      </c>
      <c r="D1230" s="1">
        <f t="shared" si="163"/>
        <v>3724.92</v>
      </c>
      <c r="E1230" s="4">
        <f t="shared" si="164"/>
        <v>3598.0637999999981</v>
      </c>
      <c r="F1230" s="3">
        <f t="shared" si="165"/>
        <v>1.0352567956132412</v>
      </c>
      <c r="G1230" s="18">
        <f t="shared" si="166"/>
        <v>1</v>
      </c>
      <c r="H1230" s="3">
        <f t="shared" si="167"/>
        <v>3.5986872848181584E-4</v>
      </c>
      <c r="I1230" s="3">
        <f t="shared" si="168"/>
        <v>3.5986872848181584E-4</v>
      </c>
      <c r="K1230" s="12" t="str">
        <f>IF(AND(G1230=1,G1229&lt;&gt;1),MAX($K$50:K1229)+1,"")</f>
        <v/>
      </c>
      <c r="L1230" s="13" t="str">
        <f>IF(AND(G1230&lt;&gt;1,G1229=1),MAX($L$50:L1229)+1,"")</f>
        <v/>
      </c>
      <c r="M1230" s="13" t="str">
        <f>IF(AND(G1230=-1,G1229&lt;&gt;-1),MAX($M$50:M1229)+1,"")</f>
        <v/>
      </c>
      <c r="N1230" s="13" t="str">
        <f>IF(AND(G1230&lt;&gt;-1,G1229=-1),MAX($N$50:N1229)+1,"")</f>
        <v/>
      </c>
      <c r="T1230" s="7">
        <f t="shared" si="169"/>
        <v>123.76584698721588</v>
      </c>
      <c r="U1230" s="1">
        <f t="shared" si="170"/>
        <v>195.70953454281829</v>
      </c>
    </row>
    <row r="1231" spans="1:21" x14ac:dyDescent="0.3">
      <c r="A1231" s="2">
        <v>41960</v>
      </c>
      <c r="B1231" s="1">
        <v>3727.86</v>
      </c>
      <c r="C1231" s="2">
        <f t="shared" si="162"/>
        <v>41960</v>
      </c>
      <c r="D1231" s="1">
        <f t="shared" si="163"/>
        <v>3727.86</v>
      </c>
      <c r="E1231" s="4">
        <f t="shared" si="164"/>
        <v>3599.7877999999987</v>
      </c>
      <c r="F1231" s="3">
        <f t="shared" si="165"/>
        <v>1.0355777082193571</v>
      </c>
      <c r="G1231" s="18">
        <f t="shared" si="166"/>
        <v>1</v>
      </c>
      <c r="H1231" s="3">
        <f t="shared" si="167"/>
        <v>7.8927869591827182E-4</v>
      </c>
      <c r="I1231" s="3">
        <f t="shared" si="168"/>
        <v>7.8927869591827182E-4</v>
      </c>
      <c r="K1231" s="12" t="str">
        <f>IF(AND(G1231=1,G1230&lt;&gt;1),MAX($K$50:K1230)+1,"")</f>
        <v/>
      </c>
      <c r="L1231" s="13" t="str">
        <f>IF(AND(G1231&lt;&gt;1,G1230=1),MAX($L$50:L1230)+1,"")</f>
        <v/>
      </c>
      <c r="M1231" s="13" t="str">
        <f>IF(AND(G1231=-1,G1230&lt;&gt;-1),MAX($M$50:M1230)+1,"")</f>
        <v/>
      </c>
      <c r="N1231" s="13" t="str">
        <f>IF(AND(G1231&lt;&gt;-1,G1230=-1),MAX($N$50:N1230)+1,"")</f>
        <v/>
      </c>
      <c r="T1231" s="7">
        <f t="shared" si="169"/>
        <v>123.86353273352518</v>
      </c>
      <c r="U1231" s="1">
        <f t="shared" si="170"/>
        <v>195.86400390902105</v>
      </c>
    </row>
    <row r="1232" spans="1:21" x14ac:dyDescent="0.3">
      <c r="A1232" s="2">
        <v>41961</v>
      </c>
      <c r="B1232" s="1">
        <v>3747.74</v>
      </c>
      <c r="C1232" s="2">
        <f t="shared" si="162"/>
        <v>41961</v>
      </c>
      <c r="D1232" s="1">
        <f t="shared" si="163"/>
        <v>3747.74</v>
      </c>
      <c r="E1232" s="4">
        <f t="shared" si="164"/>
        <v>3602.3847999999984</v>
      </c>
      <c r="F1232" s="3">
        <f t="shared" si="165"/>
        <v>1.0403497149999081</v>
      </c>
      <c r="G1232" s="18">
        <f t="shared" si="166"/>
        <v>1</v>
      </c>
      <c r="H1232" s="3">
        <f t="shared" si="167"/>
        <v>5.3328182925322931E-3</v>
      </c>
      <c r="I1232" s="3">
        <f t="shared" si="168"/>
        <v>5.3328182925322931E-3</v>
      </c>
      <c r="K1232" s="12" t="str">
        <f>IF(AND(G1232=1,G1231&lt;&gt;1),MAX($K$50:K1231)+1,"")</f>
        <v/>
      </c>
      <c r="L1232" s="13" t="str">
        <f>IF(AND(G1232&lt;&gt;1,G1231=1),MAX($L$50:L1231)+1,"")</f>
        <v/>
      </c>
      <c r="M1232" s="13" t="str">
        <f>IF(AND(G1232=-1,G1231&lt;&gt;-1),MAX($M$50:M1231)+1,"")</f>
        <v/>
      </c>
      <c r="N1232" s="13" t="str">
        <f>IF(AND(G1232&lt;&gt;-1,G1231=-1),MAX($N$50:N1231)+1,"")</f>
        <v/>
      </c>
      <c r="T1232" s="7">
        <f t="shared" si="169"/>
        <v>124.52407444666419</v>
      </c>
      <c r="U1232" s="1">
        <f t="shared" si="170"/>
        <v>196.9085110519157</v>
      </c>
    </row>
    <row r="1233" spans="1:21" x14ac:dyDescent="0.3">
      <c r="A1233" s="2">
        <v>41962</v>
      </c>
      <c r="B1233" s="1">
        <v>3742.35</v>
      </c>
      <c r="C1233" s="2">
        <f t="shared" si="162"/>
        <v>41962</v>
      </c>
      <c r="D1233" s="1">
        <f t="shared" si="163"/>
        <v>3742.35</v>
      </c>
      <c r="E1233" s="4">
        <f t="shared" si="164"/>
        <v>3604.6027999999992</v>
      </c>
      <c r="F1233" s="3">
        <f t="shared" si="165"/>
        <v>1.0382142520668298</v>
      </c>
      <c r="G1233" s="18">
        <f t="shared" si="166"/>
        <v>1</v>
      </c>
      <c r="H1233" s="3">
        <f t="shared" si="167"/>
        <v>-1.4382000885866386E-3</v>
      </c>
      <c r="I1233" s="3">
        <f t="shared" si="168"/>
        <v>-1.4382000885866386E-3</v>
      </c>
      <c r="K1233" s="12" t="str">
        <f>IF(AND(G1233=1,G1232&lt;&gt;1),MAX($K$50:K1232)+1,"")</f>
        <v/>
      </c>
      <c r="L1233" s="13" t="str">
        <f>IF(AND(G1233&lt;&gt;1,G1232=1),MAX($L$50:L1232)+1,"")</f>
        <v/>
      </c>
      <c r="M1233" s="13" t="str">
        <f>IF(AND(G1233=-1,G1232&lt;&gt;-1),MAX($M$50:M1232)+1,"")</f>
        <v/>
      </c>
      <c r="N1233" s="13" t="str">
        <f>IF(AND(G1233&lt;&gt;-1,G1232=-1),MAX($N$50:N1232)+1,"")</f>
        <v/>
      </c>
      <c r="T1233" s="7">
        <f t="shared" si="169"/>
        <v>124.34498391176382</v>
      </c>
      <c r="U1233" s="1">
        <f t="shared" si="170"/>
        <v>196.62531721387734</v>
      </c>
    </row>
    <row r="1234" spans="1:21" x14ac:dyDescent="0.3">
      <c r="A1234" s="2">
        <v>41963</v>
      </c>
      <c r="B1234" s="1">
        <v>3749.87</v>
      </c>
      <c r="C1234" s="2">
        <f t="shared" si="162"/>
        <v>41963</v>
      </c>
      <c r="D1234" s="1">
        <f t="shared" si="163"/>
        <v>3749.87</v>
      </c>
      <c r="E1234" s="4">
        <f t="shared" si="164"/>
        <v>3606.8869999999988</v>
      </c>
      <c r="F1234" s="3">
        <f t="shared" si="165"/>
        <v>1.0396416632958008</v>
      </c>
      <c r="G1234" s="18">
        <f t="shared" si="166"/>
        <v>1</v>
      </c>
      <c r="H1234" s="3">
        <f t="shared" si="167"/>
        <v>2.009432575788006E-3</v>
      </c>
      <c r="I1234" s="3">
        <f t="shared" si="168"/>
        <v>2.009432575788006E-3</v>
      </c>
      <c r="K1234" s="12" t="str">
        <f>IF(AND(G1234=1,G1233&lt;&gt;1),MAX($K$50:K1233)+1,"")</f>
        <v/>
      </c>
      <c r="L1234" s="13" t="str">
        <f>IF(AND(G1234&lt;&gt;1,G1233=1),MAX($L$50:L1233)+1,"")</f>
        <v/>
      </c>
      <c r="M1234" s="13" t="str">
        <f>IF(AND(G1234=-1,G1233&lt;&gt;-1),MAX($M$50:M1233)+1,"")</f>
        <v/>
      </c>
      <c r="N1234" s="13" t="str">
        <f>IF(AND(G1234&lt;&gt;-1,G1233=-1),MAX($N$50:N1233)+1,"")</f>
        <v/>
      </c>
      <c r="T1234" s="7">
        <f t="shared" si="169"/>
        <v>124.59484677307195</v>
      </c>
      <c r="U1234" s="1">
        <f t="shared" si="170"/>
        <v>197.02042253151154</v>
      </c>
    </row>
    <row r="1235" spans="1:21" x14ac:dyDescent="0.3">
      <c r="A1235" s="2">
        <v>41964</v>
      </c>
      <c r="B1235" s="1">
        <v>3770.03</v>
      </c>
      <c r="C1235" s="2">
        <f t="shared" si="162"/>
        <v>41964</v>
      </c>
      <c r="D1235" s="1">
        <f t="shared" si="163"/>
        <v>3770.03</v>
      </c>
      <c r="E1235" s="4">
        <f t="shared" si="164"/>
        <v>3610.0063999999998</v>
      </c>
      <c r="F1235" s="3">
        <f t="shared" si="165"/>
        <v>1.0443277884493503</v>
      </c>
      <c r="G1235" s="18">
        <f t="shared" si="166"/>
        <v>1</v>
      </c>
      <c r="H1235" s="3">
        <f t="shared" si="167"/>
        <v>5.3761863744610228E-3</v>
      </c>
      <c r="I1235" s="3">
        <f t="shared" si="168"/>
        <v>5.3761863744610228E-3</v>
      </c>
      <c r="K1235" s="12" t="str">
        <f>IF(AND(G1235=1,G1234&lt;&gt;1),MAX($K$50:K1234)+1,"")</f>
        <v/>
      </c>
      <c r="L1235" s="13" t="str">
        <f>IF(AND(G1235&lt;&gt;1,G1234=1),MAX($L$50:L1234)+1,"")</f>
        <v/>
      </c>
      <c r="M1235" s="13" t="str">
        <f>IF(AND(G1235=-1,G1234&lt;&gt;-1),MAX($M$50:M1234)+1,"")</f>
        <v/>
      </c>
      <c r="N1235" s="13" t="str">
        <f>IF(AND(G1235&lt;&gt;-1,G1234=-1),MAX($N$50:N1234)+1,"")</f>
        <v/>
      </c>
      <c r="T1235" s="7">
        <f t="shared" si="169"/>
        <v>125.26469189062139</v>
      </c>
      <c r="U1235" s="1">
        <f t="shared" si="170"/>
        <v>198.079641042616</v>
      </c>
    </row>
    <row r="1236" spans="1:21" x14ac:dyDescent="0.3">
      <c r="A1236" s="2">
        <v>41967</v>
      </c>
      <c r="B1236" s="1">
        <v>3780.88</v>
      </c>
      <c r="C1236" s="2">
        <f t="shared" si="162"/>
        <v>41967</v>
      </c>
      <c r="D1236" s="1">
        <f t="shared" si="163"/>
        <v>3780.88</v>
      </c>
      <c r="E1236" s="4">
        <f t="shared" si="164"/>
        <v>3613.3935999999994</v>
      </c>
      <c r="F1236" s="3">
        <f t="shared" si="165"/>
        <v>1.0463515516272572</v>
      </c>
      <c r="G1236" s="18">
        <f t="shared" si="166"/>
        <v>1</v>
      </c>
      <c r="H1236" s="3">
        <f t="shared" si="167"/>
        <v>2.8779611833327223E-3</v>
      </c>
      <c r="I1236" s="3">
        <f t="shared" si="168"/>
        <v>2.8779611833327223E-3</v>
      </c>
      <c r="K1236" s="12" t="str">
        <f>IF(AND(G1236=1,G1235&lt;&gt;1),MAX($K$50:K1235)+1,"")</f>
        <v/>
      </c>
      <c r="L1236" s="13" t="str">
        <f>IF(AND(G1236&lt;&gt;1,G1235=1),MAX($L$50:L1235)+1,"")</f>
        <v/>
      </c>
      <c r="M1236" s="13" t="str">
        <f>IF(AND(G1236=-1,G1235&lt;&gt;-1),MAX($M$50:M1235)+1,"")</f>
        <v/>
      </c>
      <c r="N1236" s="13" t="str">
        <f>IF(AND(G1236&lt;&gt;-1,G1235=-1),MAX($N$50:N1235)+1,"")</f>
        <v/>
      </c>
      <c r="T1236" s="7">
        <f t="shared" si="169"/>
        <v>125.62519881152474</v>
      </c>
      <c r="U1236" s="1">
        <f t="shared" si="170"/>
        <v>198.64970656074513</v>
      </c>
    </row>
    <row r="1237" spans="1:21" x14ac:dyDescent="0.3">
      <c r="A1237" s="2">
        <v>41968</v>
      </c>
      <c r="B1237" s="1">
        <v>3776.94</v>
      </c>
      <c r="C1237" s="2">
        <f t="shared" si="162"/>
        <v>41968</v>
      </c>
      <c r="D1237" s="1">
        <f t="shared" si="163"/>
        <v>3776.94</v>
      </c>
      <c r="E1237" s="4">
        <f t="shared" si="164"/>
        <v>3616.1603999999998</v>
      </c>
      <c r="F1237" s="3">
        <f t="shared" si="165"/>
        <v>1.0444614127183076</v>
      </c>
      <c r="G1237" s="18">
        <f t="shared" si="166"/>
        <v>1</v>
      </c>
      <c r="H1237" s="3">
        <f t="shared" si="167"/>
        <v>-1.04208544042661E-3</v>
      </c>
      <c r="I1237" s="3">
        <f t="shared" si="168"/>
        <v>-1.04208544042661E-3</v>
      </c>
      <c r="K1237" s="12" t="str">
        <f>IF(AND(G1237=1,G1236&lt;&gt;1),MAX($K$50:K1236)+1,"")</f>
        <v/>
      </c>
      <c r="L1237" s="13" t="str">
        <f>IF(AND(G1237&lt;&gt;1,G1236=1),MAX($L$50:L1236)+1,"")</f>
        <v/>
      </c>
      <c r="M1237" s="13" t="str">
        <f>IF(AND(G1237=-1,G1236&lt;&gt;-1),MAX($M$50:M1236)+1,"")</f>
        <v/>
      </c>
      <c r="N1237" s="13" t="str">
        <f>IF(AND(G1237&lt;&gt;-1,G1236=-1),MAX($N$50:N1236)+1,"")</f>
        <v/>
      </c>
      <c r="T1237" s="7">
        <f t="shared" si="169"/>
        <v>125.49428662089255</v>
      </c>
      <c r="U1237" s="1">
        <f t="shared" si="170"/>
        <v>198.44269659379316</v>
      </c>
    </row>
    <row r="1238" spans="1:21" x14ac:dyDescent="0.3">
      <c r="A1238" s="2">
        <v>41969</v>
      </c>
      <c r="B1238" s="1">
        <v>3788.42</v>
      </c>
      <c r="C1238" s="2">
        <f t="shared" si="162"/>
        <v>41969</v>
      </c>
      <c r="D1238" s="1">
        <f t="shared" si="163"/>
        <v>3788.42</v>
      </c>
      <c r="E1238" s="4">
        <f t="shared" si="164"/>
        <v>3619.0608000000002</v>
      </c>
      <c r="F1238" s="3">
        <f t="shared" si="165"/>
        <v>1.0467964506150325</v>
      </c>
      <c r="G1238" s="18">
        <f t="shared" si="166"/>
        <v>1</v>
      </c>
      <c r="H1238" s="3">
        <f t="shared" si="167"/>
        <v>3.0394975826992798E-3</v>
      </c>
      <c r="I1238" s="3">
        <f t="shared" si="168"/>
        <v>3.0394975826992798E-3</v>
      </c>
      <c r="K1238" s="12" t="str">
        <f>IF(AND(G1238=1,G1237&lt;&gt;1),MAX($K$50:K1237)+1,"")</f>
        <v/>
      </c>
      <c r="L1238" s="13" t="str">
        <f>IF(AND(G1238&lt;&gt;1,G1237=1),MAX($L$50:L1237)+1,"")</f>
        <v/>
      </c>
      <c r="M1238" s="13" t="str">
        <f>IF(AND(G1238=-1,G1237&lt;&gt;-1),MAX($M$50:M1237)+1,"")</f>
        <v/>
      </c>
      <c r="N1238" s="13" t="str">
        <f>IF(AND(G1238&lt;&gt;-1,G1237=-1),MAX($N$50:N1237)+1,"")</f>
        <v/>
      </c>
      <c r="T1238" s="7">
        <f t="shared" si="169"/>
        <v>125.87572620171933</v>
      </c>
      <c r="U1238" s="1">
        <f t="shared" si="170"/>
        <v>199.0458626903943</v>
      </c>
    </row>
    <row r="1239" spans="1:21" x14ac:dyDescent="0.3">
      <c r="A1239" s="2">
        <v>41971</v>
      </c>
      <c r="B1239" s="1">
        <v>3778.96</v>
      </c>
      <c r="C1239" s="2">
        <f t="shared" si="162"/>
        <v>41971</v>
      </c>
      <c r="D1239" s="1">
        <f t="shared" si="163"/>
        <v>3778.96</v>
      </c>
      <c r="E1239" s="4">
        <f t="shared" si="164"/>
        <v>3621.4053999999996</v>
      </c>
      <c r="F1239" s="3">
        <f t="shared" si="165"/>
        <v>1.0435064795562519</v>
      </c>
      <c r="G1239" s="18">
        <f t="shared" si="166"/>
        <v>1</v>
      </c>
      <c r="H1239" s="3">
        <f t="shared" si="167"/>
        <v>-2.4970832167500179E-3</v>
      </c>
      <c r="I1239" s="3">
        <f t="shared" si="168"/>
        <v>-2.4970832167500179E-3</v>
      </c>
      <c r="K1239" s="12" t="str">
        <f>IF(AND(G1239=1,G1238&lt;&gt;1),MAX($K$50:K1238)+1,"")</f>
        <v/>
      </c>
      <c r="L1239" s="13" t="str">
        <f>IF(AND(G1239&lt;&gt;1,G1238=1),MAX($L$50:L1238)+1,"")</f>
        <v/>
      </c>
      <c r="M1239" s="13" t="str">
        <f>IF(AND(G1239=-1,G1238&lt;&gt;-1),MAX($M$50:M1238)+1,"")</f>
        <v/>
      </c>
      <c r="N1239" s="13" t="str">
        <f>IF(AND(G1239&lt;&gt;-1,G1238=-1),MAX($N$50:N1238)+1,"")</f>
        <v/>
      </c>
      <c r="T1239" s="7">
        <f t="shared" si="169"/>
        <v>125.5614040384248</v>
      </c>
      <c r="U1239" s="1">
        <f t="shared" si="170"/>
        <v>198.54882860730658</v>
      </c>
    </row>
    <row r="1240" spans="1:21" x14ac:dyDescent="0.3">
      <c r="A1240" s="2">
        <v>41974</v>
      </c>
      <c r="B1240" s="1">
        <v>3753.31</v>
      </c>
      <c r="C1240" s="2">
        <f t="shared" si="162"/>
        <v>41974</v>
      </c>
      <c r="D1240" s="1">
        <f t="shared" si="163"/>
        <v>3753.31</v>
      </c>
      <c r="E1240" s="4">
        <f t="shared" si="164"/>
        <v>3623.2709999999997</v>
      </c>
      <c r="F1240" s="3">
        <f t="shared" si="165"/>
        <v>1.0358899458527944</v>
      </c>
      <c r="G1240" s="18">
        <f t="shared" si="166"/>
        <v>1</v>
      </c>
      <c r="H1240" s="3">
        <f t="shared" si="167"/>
        <v>-6.7875817685288942E-3</v>
      </c>
      <c r="I1240" s="3">
        <f t="shared" si="168"/>
        <v>-6.7875817685288942E-3</v>
      </c>
      <c r="K1240" s="12" t="str">
        <f>IF(AND(G1240=1,G1239&lt;&gt;1),MAX($K$50:K1239)+1,"")</f>
        <v/>
      </c>
      <c r="L1240" s="13" t="str">
        <f>IF(AND(G1240&lt;&gt;1,G1239=1),MAX($L$50:L1239)+1,"")</f>
        <v/>
      </c>
      <c r="M1240" s="13" t="str">
        <f>IF(AND(G1240=-1,G1239&lt;&gt;-1),MAX($M$50:M1239)+1,"")</f>
        <v/>
      </c>
      <c r="N1240" s="13" t="str">
        <f>IF(AND(G1240&lt;&gt;-1,G1239=-1),MAX($N$50:N1239)+1,"")</f>
        <v/>
      </c>
      <c r="T1240" s="7">
        <f t="shared" si="169"/>
        <v>124.7091457415427</v>
      </c>
      <c r="U1240" s="1">
        <f t="shared" si="170"/>
        <v>197.20116219808884</v>
      </c>
    </row>
    <row r="1241" spans="1:21" x14ac:dyDescent="0.3">
      <c r="A1241" s="2">
        <v>41975</v>
      </c>
      <c r="B1241" s="1">
        <v>3777.47</v>
      </c>
      <c r="C1241" s="2">
        <f t="shared" si="162"/>
        <v>41975</v>
      </c>
      <c r="D1241" s="1">
        <f t="shared" si="163"/>
        <v>3777.47</v>
      </c>
      <c r="E1241" s="4">
        <f t="shared" si="164"/>
        <v>3626.2064</v>
      </c>
      <c r="F1241" s="3">
        <f t="shared" si="165"/>
        <v>1.0417140072335651</v>
      </c>
      <c r="G1241" s="18">
        <f t="shared" si="166"/>
        <v>1</v>
      </c>
      <c r="H1241" s="3">
        <f t="shared" si="167"/>
        <v>6.4369849546133118E-3</v>
      </c>
      <c r="I1241" s="3">
        <f t="shared" si="168"/>
        <v>6.4369849546133118E-3</v>
      </c>
      <c r="K1241" s="12" t="str">
        <f>IF(AND(G1241=1,G1240&lt;&gt;1),MAX($K$50:K1240)+1,"")</f>
        <v/>
      </c>
      <c r="L1241" s="13" t="str">
        <f>IF(AND(G1241&lt;&gt;1,G1240=1),MAX($L$50:L1240)+1,"")</f>
        <v/>
      </c>
      <c r="M1241" s="13" t="str">
        <f>IF(AND(G1241=-1,G1240&lt;&gt;-1),MAX($M$50:M1240)+1,"")</f>
        <v/>
      </c>
      <c r="N1241" s="13" t="str">
        <f>IF(AND(G1241&lt;&gt;-1,G1240=-1),MAX($N$50:N1240)+1,"")</f>
        <v/>
      </c>
      <c r="T1241" s="7">
        <f t="shared" si="169"/>
        <v>125.51189663638368</v>
      </c>
      <c r="U1241" s="1">
        <f t="shared" si="170"/>
        <v>198.4705431121902</v>
      </c>
    </row>
    <row r="1242" spans="1:21" x14ac:dyDescent="0.3">
      <c r="A1242" s="2">
        <v>41976</v>
      </c>
      <c r="B1242" s="1">
        <v>3792.69</v>
      </c>
      <c r="C1242" s="2">
        <f t="shared" si="162"/>
        <v>41976</v>
      </c>
      <c r="D1242" s="1">
        <f t="shared" si="163"/>
        <v>3792.69</v>
      </c>
      <c r="E1242" s="4">
        <f t="shared" si="164"/>
        <v>3629.8582000000006</v>
      </c>
      <c r="F1242" s="3">
        <f t="shared" si="165"/>
        <v>1.0448589975222722</v>
      </c>
      <c r="G1242" s="18">
        <f t="shared" si="166"/>
        <v>1</v>
      </c>
      <c r="H1242" s="3">
        <f t="shared" si="167"/>
        <v>4.0291517867780957E-3</v>
      </c>
      <c r="I1242" s="3">
        <f t="shared" si="168"/>
        <v>4.0291517867780957E-3</v>
      </c>
      <c r="K1242" s="12" t="str">
        <f>IF(AND(G1242=1,G1241&lt;&gt;1),MAX($K$50:K1241)+1,"")</f>
        <v/>
      </c>
      <c r="L1242" s="13" t="str">
        <f>IF(AND(G1242&lt;&gt;1,G1241=1),MAX($L$50:L1241)+1,"")</f>
        <v/>
      </c>
      <c r="M1242" s="13" t="str">
        <f>IF(AND(G1242=-1,G1241&lt;&gt;-1),MAX($M$50:M1241)+1,"")</f>
        <v/>
      </c>
      <c r="N1242" s="13" t="str">
        <f>IF(AND(G1242&lt;&gt;-1,G1241=-1),MAX($N$50:N1241)+1,"")</f>
        <v/>
      </c>
      <c r="T1242" s="7">
        <f t="shared" si="169"/>
        <v>126.01760311897807</v>
      </c>
      <c r="U1242" s="1">
        <f t="shared" si="170"/>
        <v>199.27021105559348</v>
      </c>
    </row>
    <row r="1243" spans="1:21" x14ac:dyDescent="0.3">
      <c r="A1243" s="2">
        <v>41977</v>
      </c>
      <c r="B1243" s="1">
        <v>3788.34</v>
      </c>
      <c r="C1243" s="2">
        <f t="shared" si="162"/>
        <v>41977</v>
      </c>
      <c r="D1243" s="1">
        <f t="shared" si="163"/>
        <v>3788.34</v>
      </c>
      <c r="E1243" s="4">
        <f t="shared" si="164"/>
        <v>3632.8562000000006</v>
      </c>
      <c r="F1243" s="3">
        <f t="shared" si="165"/>
        <v>1.0427993268767421</v>
      </c>
      <c r="G1243" s="18">
        <f t="shared" si="166"/>
        <v>1</v>
      </c>
      <c r="H1243" s="3">
        <f t="shared" si="167"/>
        <v>-1.1469431986268486E-3</v>
      </c>
      <c r="I1243" s="3">
        <f t="shared" si="168"/>
        <v>-1.1469431986268486E-3</v>
      </c>
      <c r="K1243" s="12" t="str">
        <f>IF(AND(G1243=1,G1242&lt;&gt;1),MAX($K$50:K1242)+1,"")</f>
        <v/>
      </c>
      <c r="L1243" s="13" t="str">
        <f>IF(AND(G1243&lt;&gt;1,G1242=1),MAX($L$50:L1242)+1,"")</f>
        <v/>
      </c>
      <c r="M1243" s="13" t="str">
        <f>IF(AND(G1243=-1,G1242&lt;&gt;-1),MAX($M$50:M1242)+1,"")</f>
        <v/>
      </c>
      <c r="N1243" s="13" t="str">
        <f>IF(AND(G1243&lt;&gt;-1,G1242=-1),MAX($N$50:N1242)+1,"")</f>
        <v/>
      </c>
      <c r="T1243" s="7">
        <f t="shared" si="169"/>
        <v>125.8730680861735</v>
      </c>
      <c r="U1243" s="1">
        <f t="shared" si="170"/>
        <v>199.04165944233432</v>
      </c>
    </row>
    <row r="1244" spans="1:21" x14ac:dyDescent="0.3">
      <c r="A1244" s="2">
        <v>41978</v>
      </c>
      <c r="B1244" s="1">
        <v>3794.68</v>
      </c>
      <c r="C1244" s="2">
        <f t="shared" si="162"/>
        <v>41978</v>
      </c>
      <c r="D1244" s="1">
        <f t="shared" si="163"/>
        <v>3794.68</v>
      </c>
      <c r="E1244" s="4">
        <f t="shared" si="164"/>
        <v>3637.1576</v>
      </c>
      <c r="F1244" s="3">
        <f t="shared" si="165"/>
        <v>1.0433092038684273</v>
      </c>
      <c r="G1244" s="18">
        <f t="shared" si="166"/>
        <v>1</v>
      </c>
      <c r="H1244" s="3">
        <f t="shared" si="167"/>
        <v>1.6735562277936378E-3</v>
      </c>
      <c r="I1244" s="3">
        <f t="shared" si="168"/>
        <v>1.6735562277936378E-3</v>
      </c>
      <c r="K1244" s="12" t="str">
        <f>IF(AND(G1244=1,G1243&lt;&gt;1),MAX($K$50:K1243)+1,"")</f>
        <v/>
      </c>
      <c r="L1244" s="13" t="str">
        <f>IF(AND(G1244&lt;&gt;1,G1243=1),MAX($L$50:L1243)+1,"")</f>
        <v/>
      </c>
      <c r="M1244" s="13" t="str">
        <f>IF(AND(G1244=-1,G1243&lt;&gt;-1),MAX($M$50:M1243)+1,"")</f>
        <v/>
      </c>
      <c r="N1244" s="13" t="str">
        <f>IF(AND(G1244&lt;&gt;-1,G1243=-1),MAX($N$50:N1243)+1,"")</f>
        <v/>
      </c>
      <c r="T1244" s="7">
        <f t="shared" si="169"/>
        <v>126.08372374318061</v>
      </c>
      <c r="U1244" s="1">
        <f t="shared" si="170"/>
        <v>199.37476685108442</v>
      </c>
    </row>
    <row r="1245" spans="1:21" x14ac:dyDescent="0.3">
      <c r="A1245" s="2">
        <v>41981</v>
      </c>
      <c r="B1245" s="1">
        <v>3767.7</v>
      </c>
      <c r="C1245" s="2">
        <f t="shared" si="162"/>
        <v>41981</v>
      </c>
      <c r="D1245" s="1">
        <f t="shared" si="163"/>
        <v>3767.7</v>
      </c>
      <c r="E1245" s="4">
        <f t="shared" si="164"/>
        <v>3640.2920000000008</v>
      </c>
      <c r="F1245" s="3">
        <f t="shared" si="165"/>
        <v>1.0349993901588113</v>
      </c>
      <c r="G1245" s="18">
        <f t="shared" si="166"/>
        <v>1</v>
      </c>
      <c r="H1245" s="3">
        <f t="shared" si="167"/>
        <v>-7.1099539355097274E-3</v>
      </c>
      <c r="I1245" s="3">
        <f t="shared" si="168"/>
        <v>-7.1099539355097274E-3</v>
      </c>
      <c r="K1245" s="12" t="str">
        <f>IF(AND(G1245=1,G1244&lt;&gt;1),MAX($K$50:K1244)+1,"")</f>
        <v/>
      </c>
      <c r="L1245" s="13" t="str">
        <f>IF(AND(G1245&lt;&gt;1,G1244=1),MAX($L$50:L1244)+1,"")</f>
        <v/>
      </c>
      <c r="M1245" s="13" t="str">
        <f>IF(AND(G1245=-1,G1244&lt;&gt;-1),MAX($M$50:M1244)+1,"")</f>
        <v/>
      </c>
      <c r="N1245" s="13" t="str">
        <f>IF(AND(G1245&lt;&gt;-1,G1244=-1),MAX($N$50:N1244)+1,"")</f>
        <v/>
      </c>
      <c r="T1245" s="7">
        <f t="shared" si="169"/>
        <v>125.18727427534907</v>
      </c>
      <c r="U1245" s="1">
        <f t="shared" si="170"/>
        <v>197.95722144287024</v>
      </c>
    </row>
    <row r="1246" spans="1:21" x14ac:dyDescent="0.3">
      <c r="A1246" s="2">
        <v>41982</v>
      </c>
      <c r="B1246" s="1">
        <v>3766.83</v>
      </c>
      <c r="C1246" s="2">
        <f t="shared" si="162"/>
        <v>41982</v>
      </c>
      <c r="D1246" s="1">
        <f t="shared" si="163"/>
        <v>3766.83</v>
      </c>
      <c r="E1246" s="4">
        <f t="shared" si="164"/>
        <v>3643.5868000000005</v>
      </c>
      <c r="F1246" s="3">
        <f t="shared" si="165"/>
        <v>1.0338246916472524</v>
      </c>
      <c r="G1246" s="18">
        <f t="shared" si="166"/>
        <v>1</v>
      </c>
      <c r="H1246" s="3">
        <f t="shared" si="167"/>
        <v>-2.3091010430764669E-4</v>
      </c>
      <c r="I1246" s="3">
        <f t="shared" si="168"/>
        <v>-2.3091010430764669E-4</v>
      </c>
      <c r="K1246" s="12" t="str">
        <f>IF(AND(G1246=1,G1245&lt;&gt;1),MAX($K$50:K1245)+1,"")</f>
        <v/>
      </c>
      <c r="L1246" s="13" t="str">
        <f>IF(AND(G1246&lt;&gt;1,G1245=1),MAX($L$50:L1245)+1,"")</f>
        <v/>
      </c>
      <c r="M1246" s="13" t="str">
        <f>IF(AND(G1246=-1,G1245&lt;&gt;-1),MAX($M$50:M1245)+1,"")</f>
        <v/>
      </c>
      <c r="N1246" s="13" t="str">
        <f>IF(AND(G1246&lt;&gt;-1,G1245=-1),MAX($N$50:N1245)+1,"")</f>
        <v/>
      </c>
      <c r="T1246" s="7">
        <f t="shared" si="169"/>
        <v>125.15836726878815</v>
      </c>
      <c r="U1246" s="1">
        <f t="shared" si="170"/>
        <v>197.91151112021842</v>
      </c>
    </row>
    <row r="1247" spans="1:21" x14ac:dyDescent="0.3">
      <c r="A1247" s="2">
        <v>41983</v>
      </c>
      <c r="B1247" s="1">
        <v>3705.51</v>
      </c>
      <c r="C1247" s="2">
        <f t="shared" si="162"/>
        <v>41983</v>
      </c>
      <c r="D1247" s="1">
        <f t="shared" si="163"/>
        <v>3705.51</v>
      </c>
      <c r="E1247" s="4">
        <f t="shared" si="164"/>
        <v>3645.8520000000008</v>
      </c>
      <c r="F1247" s="3">
        <f t="shared" si="165"/>
        <v>1.0163632533629998</v>
      </c>
      <c r="G1247" s="18">
        <f t="shared" si="166"/>
        <v>1</v>
      </c>
      <c r="H1247" s="3">
        <f t="shared" si="167"/>
        <v>-1.6278940116755902E-2</v>
      </c>
      <c r="I1247" s="3">
        <f t="shared" si="168"/>
        <v>-1.6278940116755902E-2</v>
      </c>
      <c r="K1247" s="12" t="str">
        <f>IF(AND(G1247=1,G1246&lt;&gt;1),MAX($K$50:K1246)+1,"")</f>
        <v/>
      </c>
      <c r="L1247" s="13" t="str">
        <f>IF(AND(G1247&lt;&gt;1,G1246=1),MAX($L$50:L1246)+1,"")</f>
        <v/>
      </c>
      <c r="M1247" s="13" t="str">
        <f>IF(AND(G1247=-1,G1246&lt;&gt;-1),MAX($M$50:M1246)+1,"")</f>
        <v/>
      </c>
      <c r="N1247" s="13" t="str">
        <f>IF(AND(G1247&lt;&gt;-1,G1246=-1),MAX($N$50:N1246)+1,"")</f>
        <v/>
      </c>
      <c r="T1247" s="7">
        <f t="shared" si="169"/>
        <v>123.1209217029086</v>
      </c>
      <c r="U1247" s="1">
        <f t="shared" si="170"/>
        <v>194.6897214822757</v>
      </c>
    </row>
    <row r="1248" spans="1:21" x14ac:dyDescent="0.3">
      <c r="A1248" s="2">
        <v>41984</v>
      </c>
      <c r="B1248" s="1">
        <v>3723.32</v>
      </c>
      <c r="C1248" s="2">
        <f t="shared" si="162"/>
        <v>41984</v>
      </c>
      <c r="D1248" s="1">
        <f t="shared" si="163"/>
        <v>3723.32</v>
      </c>
      <c r="E1248" s="4">
        <f t="shared" si="164"/>
        <v>3649.4188000000008</v>
      </c>
      <c r="F1248" s="3">
        <f t="shared" si="165"/>
        <v>1.020250128595819</v>
      </c>
      <c r="G1248" s="18">
        <f t="shared" si="166"/>
        <v>1</v>
      </c>
      <c r="H1248" s="3">
        <f t="shared" si="167"/>
        <v>4.8063559402078404E-3</v>
      </c>
      <c r="I1248" s="3">
        <f t="shared" si="168"/>
        <v>4.8063559402078404E-3</v>
      </c>
      <c r="K1248" s="12" t="str">
        <f>IF(AND(G1248=1,G1247&lt;&gt;1),MAX($K$50:K1247)+1,"")</f>
        <v/>
      </c>
      <c r="L1248" s="13" t="str">
        <f>IF(AND(G1248&lt;&gt;1,G1247=1),MAX($L$50:L1247)+1,"")</f>
        <v/>
      </c>
      <c r="M1248" s="13" t="str">
        <f>IF(AND(G1248=-1,G1247&lt;&gt;-1),MAX($M$50:M1247)+1,"")</f>
        <v/>
      </c>
      <c r="N1248" s="13" t="str">
        <f>IF(AND(G1248&lt;&gt;-1,G1247=-1),MAX($N$50:N1247)+1,"")</f>
        <v/>
      </c>
      <c r="T1248" s="7">
        <f t="shared" si="169"/>
        <v>123.71268467629925</v>
      </c>
      <c r="U1248" s="1">
        <f t="shared" si="170"/>
        <v>195.62546958161948</v>
      </c>
    </row>
    <row r="1249" spans="1:21" x14ac:dyDescent="0.3">
      <c r="A1249" s="2">
        <v>41985</v>
      </c>
      <c r="B1249" s="1">
        <v>3663.1</v>
      </c>
      <c r="C1249" s="2">
        <f t="shared" si="162"/>
        <v>41985</v>
      </c>
      <c r="D1249" s="1">
        <f t="shared" si="163"/>
        <v>3663.1</v>
      </c>
      <c r="E1249" s="4">
        <f t="shared" si="164"/>
        <v>3651.7748000000006</v>
      </c>
      <c r="F1249" s="3">
        <f t="shared" si="165"/>
        <v>1.0031012865305931</v>
      </c>
      <c r="G1249" s="18">
        <f t="shared" si="166"/>
        <v>1</v>
      </c>
      <c r="H1249" s="3">
        <f t="shared" si="167"/>
        <v>-1.6173737417143896E-2</v>
      </c>
      <c r="I1249" s="3">
        <f t="shared" si="168"/>
        <v>-1.6173737417143896E-2</v>
      </c>
      <c r="K1249" s="12" t="str">
        <f>IF(AND(G1249=1,G1248&lt;&gt;1),MAX($K$50:K1248)+1,"")</f>
        <v/>
      </c>
      <c r="L1249" s="13" t="str">
        <f>IF(AND(G1249&lt;&gt;1,G1248=1),MAX($L$50:L1248)+1,"")</f>
        <v/>
      </c>
      <c r="M1249" s="13" t="str">
        <f>IF(AND(G1249=-1,G1248&lt;&gt;-1),MAX($M$50:M1248)+1,"")</f>
        <v/>
      </c>
      <c r="N1249" s="13" t="str">
        <f>IF(AND(G1249&lt;&gt;-1,G1248=-1),MAX($N$50:N1248)+1,"")</f>
        <v/>
      </c>
      <c r="T1249" s="7">
        <f t="shared" si="169"/>
        <v>121.71178819917486</v>
      </c>
      <c r="U1249" s="1">
        <f t="shared" si="170"/>
        <v>192.46147460450089</v>
      </c>
    </row>
    <row r="1250" spans="1:21" x14ac:dyDescent="0.3">
      <c r="A1250" s="2">
        <v>41988</v>
      </c>
      <c r="B1250" s="1">
        <v>3639.97</v>
      </c>
      <c r="C1250" s="2">
        <f t="shared" si="162"/>
        <v>41988</v>
      </c>
      <c r="D1250" s="1">
        <f t="shared" si="163"/>
        <v>3639.97</v>
      </c>
      <c r="E1250" s="4">
        <f t="shared" si="164"/>
        <v>3652.8754000000004</v>
      </c>
      <c r="F1250" s="3">
        <f t="shared" si="165"/>
        <v>0.99646705715721906</v>
      </c>
      <c r="G1250" s="18">
        <f t="shared" si="166"/>
        <v>1</v>
      </c>
      <c r="H1250" s="3">
        <f t="shared" si="167"/>
        <v>-6.3143239332805745E-3</v>
      </c>
      <c r="I1250" s="3">
        <f t="shared" si="168"/>
        <v>-6.3143239332805745E-3</v>
      </c>
      <c r="K1250" s="12" t="str">
        <f>IF(AND(G1250=1,G1249&lt;&gt;1),MAX($K$50:K1249)+1,"")</f>
        <v/>
      </c>
      <c r="L1250" s="13" t="str">
        <f>IF(AND(G1250&lt;&gt;1,G1249=1),MAX($L$50:L1249)+1,"")</f>
        <v/>
      </c>
      <c r="M1250" s="13" t="str">
        <f>IF(AND(G1250=-1,G1249&lt;&gt;-1),MAX($M$50:M1249)+1,"")</f>
        <v/>
      </c>
      <c r="N1250" s="13" t="str">
        <f>IF(AND(G1250&lt;&gt;-1,G1249=-1),MAX($N$50:N1249)+1,"")</f>
        <v/>
      </c>
      <c r="T1250" s="7">
        <f t="shared" si="169"/>
        <v>120.94326054198643</v>
      </c>
      <c r="U1250" s="1">
        <f t="shared" si="170"/>
        <v>191.24621050917122</v>
      </c>
    </row>
    <row r="1251" spans="1:21" x14ac:dyDescent="0.3">
      <c r="A1251" s="2">
        <v>41989</v>
      </c>
      <c r="B1251" s="1">
        <v>3609.06</v>
      </c>
      <c r="C1251" s="2">
        <f t="shared" si="162"/>
        <v>41989</v>
      </c>
      <c r="D1251" s="1">
        <f t="shared" si="163"/>
        <v>3609.06</v>
      </c>
      <c r="E1251" s="4">
        <f t="shared" si="164"/>
        <v>3653.4682000000007</v>
      </c>
      <c r="F1251" s="3">
        <f t="shared" si="165"/>
        <v>0.98784491952058029</v>
      </c>
      <c r="G1251" s="18">
        <f t="shared" si="166"/>
        <v>1</v>
      </c>
      <c r="H1251" s="3">
        <f t="shared" si="167"/>
        <v>-8.4918282293534597E-3</v>
      </c>
      <c r="I1251" s="3">
        <f t="shared" si="168"/>
        <v>-8.4918282293534597E-3</v>
      </c>
      <c r="K1251" s="12" t="str">
        <f>IF(AND(G1251=1,G1250&lt;&gt;1),MAX($K$50:K1250)+1,"")</f>
        <v/>
      </c>
      <c r="L1251" s="13" t="str">
        <f>IF(AND(G1251&lt;&gt;1,G1250=1),MAX($L$50:L1250)+1,"")</f>
        <v/>
      </c>
      <c r="M1251" s="13" t="str">
        <f>IF(AND(G1251=-1,G1250&lt;&gt;-1),MAX($M$50:M1250)+1,"")</f>
        <v/>
      </c>
      <c r="N1251" s="13" t="str">
        <f>IF(AND(G1251&lt;&gt;-1,G1250=-1),MAX($N$50:N1250)+1,"")</f>
        <v/>
      </c>
      <c r="T1251" s="7">
        <f t="shared" si="169"/>
        <v>119.91623114796595</v>
      </c>
      <c r="U1251" s="1">
        <f t="shared" si="170"/>
        <v>189.62218054001255</v>
      </c>
    </row>
    <row r="1252" spans="1:21" x14ac:dyDescent="0.3">
      <c r="A1252" s="2">
        <v>41990</v>
      </c>
      <c r="B1252" s="1">
        <v>3682.7</v>
      </c>
      <c r="C1252" s="2">
        <f t="shared" si="162"/>
        <v>41990</v>
      </c>
      <c r="D1252" s="1">
        <f t="shared" si="163"/>
        <v>3682.7</v>
      </c>
      <c r="E1252" s="4">
        <f t="shared" si="164"/>
        <v>3656.6164000000008</v>
      </c>
      <c r="F1252" s="3">
        <f t="shared" si="165"/>
        <v>1.0071332612302453</v>
      </c>
      <c r="G1252" s="18">
        <f t="shared" si="166"/>
        <v>1</v>
      </c>
      <c r="H1252" s="3">
        <f t="shared" si="167"/>
        <v>2.0404204973039963E-2</v>
      </c>
      <c r="I1252" s="3">
        <f t="shared" si="168"/>
        <v>2.0404204973039963E-2</v>
      </c>
      <c r="K1252" s="12" t="str">
        <f>IF(AND(G1252=1,G1251&lt;&gt;1),MAX($K$50:K1251)+1,"")</f>
        <v/>
      </c>
      <c r="L1252" s="13" t="str">
        <f>IF(AND(G1252&lt;&gt;1,G1251=1),MAX($L$50:L1251)+1,"")</f>
        <v/>
      </c>
      <c r="M1252" s="13" t="str">
        <f>IF(AND(G1252=-1,G1251&lt;&gt;-1),MAX($M$50:M1251)+1,"")</f>
        <v/>
      </c>
      <c r="N1252" s="13" t="str">
        <f>IF(AND(G1252&lt;&gt;-1,G1251=-1),MAX($N$50:N1251)+1,"")</f>
        <v/>
      </c>
      <c r="T1252" s="7">
        <f t="shared" si="169"/>
        <v>122.36302650790348</v>
      </c>
      <c r="U1252" s="1">
        <f t="shared" si="170"/>
        <v>193.49127037918578</v>
      </c>
    </row>
    <row r="1253" spans="1:21" x14ac:dyDescent="0.3">
      <c r="A1253" s="2">
        <v>41991</v>
      </c>
      <c r="B1253" s="1">
        <v>3771.72</v>
      </c>
      <c r="C1253" s="2">
        <f t="shared" si="162"/>
        <v>41991</v>
      </c>
      <c r="D1253" s="1">
        <f t="shared" si="163"/>
        <v>3771.72</v>
      </c>
      <c r="E1253" s="4">
        <f t="shared" si="164"/>
        <v>3660.289400000001</v>
      </c>
      <c r="F1253" s="3">
        <f t="shared" si="165"/>
        <v>1.0304431119572126</v>
      </c>
      <c r="G1253" s="18">
        <f t="shared" si="166"/>
        <v>1</v>
      </c>
      <c r="H1253" s="3">
        <f t="shared" si="167"/>
        <v>2.4172482146251451E-2</v>
      </c>
      <c r="I1253" s="3">
        <f t="shared" si="168"/>
        <v>2.4172482146251451E-2</v>
      </c>
      <c r="K1253" s="12" t="str">
        <f>IF(AND(G1253=1,G1252&lt;&gt;1),MAX($K$50:K1252)+1,"")</f>
        <v/>
      </c>
      <c r="L1253" s="13" t="str">
        <f>IF(AND(G1253&lt;&gt;1,G1252=1),MAX($L$50:L1252)+1,"")</f>
        <v/>
      </c>
      <c r="M1253" s="13" t="str">
        <f>IF(AND(G1253=-1,G1252&lt;&gt;-1),MAX($M$50:M1252)+1,"")</f>
        <v/>
      </c>
      <c r="N1253" s="13" t="str">
        <f>IF(AND(G1253&lt;&gt;-1,G1252=-1),MAX($N$50:N1252)+1,"")</f>
        <v/>
      </c>
      <c r="T1253" s="7">
        <f t="shared" si="169"/>
        <v>125.32084458152707</v>
      </c>
      <c r="U1253" s="1">
        <f t="shared" si="170"/>
        <v>198.16843465788216</v>
      </c>
    </row>
    <row r="1254" spans="1:21" x14ac:dyDescent="0.3">
      <c r="A1254" s="2">
        <v>41992</v>
      </c>
      <c r="B1254" s="1">
        <v>3788.97</v>
      </c>
      <c r="C1254" s="2">
        <f t="shared" si="162"/>
        <v>41992</v>
      </c>
      <c r="D1254" s="1">
        <f t="shared" si="163"/>
        <v>3788.97</v>
      </c>
      <c r="E1254" s="4">
        <f t="shared" si="164"/>
        <v>3665.7864000000009</v>
      </c>
      <c r="F1254" s="3">
        <f t="shared" si="165"/>
        <v>1.0336035945793238</v>
      </c>
      <c r="G1254" s="18">
        <f t="shared" si="166"/>
        <v>1</v>
      </c>
      <c r="H1254" s="3">
        <f t="shared" si="167"/>
        <v>4.5735102287549623E-3</v>
      </c>
      <c r="I1254" s="3">
        <f t="shared" si="168"/>
        <v>4.5735102287549623E-3</v>
      </c>
      <c r="K1254" s="12" t="str">
        <f>IF(AND(G1254=1,G1253&lt;&gt;1),MAX($K$50:K1253)+1,"")</f>
        <v/>
      </c>
      <c r="L1254" s="13" t="str">
        <f>IF(AND(G1254&lt;&gt;1,G1253=1),MAX($L$50:L1253)+1,"")</f>
        <v/>
      </c>
      <c r="M1254" s="13" t="str">
        <f>IF(AND(G1254=-1,G1253&lt;&gt;-1),MAX($M$50:M1253)+1,"")</f>
        <v/>
      </c>
      <c r="N1254" s="13" t="str">
        <f>IF(AND(G1254&lt;&gt;-1,G1253=-1),MAX($N$50:N1253)+1,"")</f>
        <v/>
      </c>
      <c r="T1254" s="7">
        <f t="shared" si="169"/>
        <v>125.89400074609689</v>
      </c>
      <c r="U1254" s="1">
        <f t="shared" si="170"/>
        <v>199.07476002080637</v>
      </c>
    </row>
    <row r="1255" spans="1:21" x14ac:dyDescent="0.3">
      <c r="A1255" s="2">
        <v>41995</v>
      </c>
      <c r="B1255" s="1">
        <v>3803.94</v>
      </c>
      <c r="C1255" s="2">
        <f t="shared" si="162"/>
        <v>41995</v>
      </c>
      <c r="D1255" s="1">
        <f t="shared" si="163"/>
        <v>3803.94</v>
      </c>
      <c r="E1255" s="4">
        <f t="shared" si="164"/>
        <v>3672.3806000000013</v>
      </c>
      <c r="F1255" s="3">
        <f t="shared" si="165"/>
        <v>1.0358240101802081</v>
      </c>
      <c r="G1255" s="18">
        <f t="shared" si="166"/>
        <v>1</v>
      </c>
      <c r="H1255" s="3">
        <f t="shared" si="167"/>
        <v>3.950941812682629E-3</v>
      </c>
      <c r="I1255" s="3">
        <f t="shared" si="168"/>
        <v>3.950941812682629E-3</v>
      </c>
      <c r="K1255" s="12" t="str">
        <f>IF(AND(G1255=1,G1254&lt;&gt;1),MAX($K$50:K1254)+1,"")</f>
        <v/>
      </c>
      <c r="L1255" s="13" t="str">
        <f>IF(AND(G1255&lt;&gt;1,G1254=1),MAX($L$50:L1254)+1,"")</f>
        <v/>
      </c>
      <c r="M1255" s="13" t="str">
        <f>IF(AND(G1255=-1,G1254&lt;&gt;-1),MAX($M$50:M1254)+1,"")</f>
        <v/>
      </c>
      <c r="N1255" s="13" t="str">
        <f>IF(AND(G1255&lt;&gt;-1,G1254=-1),MAX($N$50:N1254)+1,"")</f>
        <v/>
      </c>
      <c r="T1255" s="7">
        <f t="shared" si="169"/>
        <v>126.39140061761054</v>
      </c>
      <c r="U1255" s="1">
        <f t="shared" si="170"/>
        <v>199.86129281402233</v>
      </c>
    </row>
    <row r="1256" spans="1:21" x14ac:dyDescent="0.3">
      <c r="A1256" s="2">
        <v>41996</v>
      </c>
      <c r="B1256" s="1">
        <v>3810.78</v>
      </c>
      <c r="C1256" s="2">
        <f t="shared" si="162"/>
        <v>41996</v>
      </c>
      <c r="D1256" s="1">
        <f t="shared" si="163"/>
        <v>3810.78</v>
      </c>
      <c r="E1256" s="4">
        <f t="shared" si="164"/>
        <v>3680.2560000000008</v>
      </c>
      <c r="F1256" s="3">
        <f t="shared" si="165"/>
        <v>1.0354660110600999</v>
      </c>
      <c r="G1256" s="18">
        <f t="shared" si="166"/>
        <v>1</v>
      </c>
      <c r="H1256" s="3">
        <f t="shared" si="167"/>
        <v>1.7981356172811491E-3</v>
      </c>
      <c r="I1256" s="3">
        <f t="shared" si="168"/>
        <v>1.7981356172811491E-3</v>
      </c>
      <c r="K1256" s="12" t="str">
        <f>IF(AND(G1256=1,G1255&lt;&gt;1),MAX($K$50:K1255)+1,"")</f>
        <v/>
      </c>
      <c r="L1256" s="13" t="str">
        <f>IF(AND(G1256&lt;&gt;1,G1255=1),MAX($L$50:L1255)+1,"")</f>
        <v/>
      </c>
      <c r="M1256" s="13" t="str">
        <f>IF(AND(G1256=-1,G1255&lt;&gt;-1),MAX($M$50:M1255)+1,"")</f>
        <v/>
      </c>
      <c r="N1256" s="13" t="str">
        <f>IF(AND(G1256&lt;&gt;-1,G1255=-1),MAX($N$50:N1255)+1,"")</f>
        <v/>
      </c>
      <c r="T1256" s="7">
        <f t="shared" si="169"/>
        <v>126.61866949677912</v>
      </c>
      <c r="U1256" s="1">
        <f t="shared" si="170"/>
        <v>200.22067052314708</v>
      </c>
    </row>
    <row r="1257" spans="1:21" x14ac:dyDescent="0.3">
      <c r="A1257" s="2">
        <v>41997</v>
      </c>
      <c r="B1257" s="1">
        <v>3810.39</v>
      </c>
      <c r="C1257" s="2">
        <f t="shared" si="162"/>
        <v>41997</v>
      </c>
      <c r="D1257" s="1">
        <f t="shared" si="163"/>
        <v>3810.39</v>
      </c>
      <c r="E1257" s="4">
        <f t="shared" si="164"/>
        <v>3688.0152000000012</v>
      </c>
      <c r="F1257" s="3">
        <f t="shared" si="165"/>
        <v>1.0331817504439782</v>
      </c>
      <c r="G1257" s="18">
        <f t="shared" si="166"/>
        <v>1</v>
      </c>
      <c r="H1257" s="3">
        <f t="shared" si="167"/>
        <v>-1.0234125297192698E-4</v>
      </c>
      <c r="I1257" s="3">
        <f t="shared" si="168"/>
        <v>-1.0234125297192698E-4</v>
      </c>
      <c r="K1257" s="12" t="str">
        <f>IF(AND(G1257=1,G1256&lt;&gt;1),MAX($K$50:K1256)+1,"")</f>
        <v/>
      </c>
      <c r="L1257" s="13" t="str">
        <f>IF(AND(G1257&lt;&gt;1,G1256=1),MAX($L$50:L1256)+1,"")</f>
        <v/>
      </c>
      <c r="M1257" s="13" t="str">
        <f>IF(AND(G1257=-1,G1256&lt;&gt;-1),MAX($M$50:M1256)+1,"")</f>
        <v/>
      </c>
      <c r="N1257" s="13" t="str">
        <f>IF(AND(G1257&lt;&gt;-1,G1256=-1),MAX($N$50:N1256)+1,"")</f>
        <v/>
      </c>
      <c r="T1257" s="7">
        <f t="shared" si="169"/>
        <v>126.60571118349318</v>
      </c>
      <c r="U1257" s="1">
        <f t="shared" si="170"/>
        <v>200.20017968885489</v>
      </c>
    </row>
    <row r="1258" spans="1:21" x14ac:dyDescent="0.3">
      <c r="A1258" s="2">
        <v>41999</v>
      </c>
      <c r="B1258" s="1">
        <v>3823</v>
      </c>
      <c r="C1258" s="2">
        <f t="shared" si="162"/>
        <v>41999</v>
      </c>
      <c r="D1258" s="1">
        <f t="shared" si="163"/>
        <v>3823</v>
      </c>
      <c r="E1258" s="4">
        <f t="shared" si="164"/>
        <v>3696.5746000000013</v>
      </c>
      <c r="F1258" s="3">
        <f t="shared" si="165"/>
        <v>1.034200689470733</v>
      </c>
      <c r="G1258" s="18">
        <f t="shared" si="166"/>
        <v>1</v>
      </c>
      <c r="H1258" s="3">
        <f t="shared" si="167"/>
        <v>3.3093725314206068E-3</v>
      </c>
      <c r="I1258" s="3">
        <f t="shared" si="168"/>
        <v>3.3093725314206068E-3</v>
      </c>
      <c r="K1258" s="12" t="str">
        <f>IF(AND(G1258=1,G1257&lt;&gt;1),MAX($K$50:K1257)+1,"")</f>
        <v/>
      </c>
      <c r="L1258" s="13" t="str">
        <f>IF(AND(G1258&lt;&gt;1,G1257=1),MAX($L$50:L1257)+1,"")</f>
        <v/>
      </c>
      <c r="M1258" s="13" t="str">
        <f>IF(AND(G1258=-1,G1257&lt;&gt;-1),MAX($M$50:M1257)+1,"")</f>
        <v/>
      </c>
      <c r="N1258" s="13" t="str">
        <f>IF(AND(G1258&lt;&gt;-1,G1257=-1),MAX($N$50:N1257)+1,"")</f>
        <v/>
      </c>
      <c r="T1258" s="7">
        <f t="shared" si="169"/>
        <v>127.02469664640481</v>
      </c>
      <c r="U1258" s="1">
        <f t="shared" si="170"/>
        <v>200.86271666430267</v>
      </c>
    </row>
    <row r="1259" spans="1:21" x14ac:dyDescent="0.3">
      <c r="A1259" s="2">
        <v>42002</v>
      </c>
      <c r="B1259" s="1">
        <v>3826.95</v>
      </c>
      <c r="C1259" s="2">
        <f t="shared" si="162"/>
        <v>42002</v>
      </c>
      <c r="D1259" s="1">
        <f t="shared" si="163"/>
        <v>3826.95</v>
      </c>
      <c r="E1259" s="4">
        <f t="shared" si="164"/>
        <v>3705.2008000000014</v>
      </c>
      <c r="F1259" s="3">
        <f t="shared" si="165"/>
        <v>1.0328590018657013</v>
      </c>
      <c r="G1259" s="18">
        <f t="shared" si="166"/>
        <v>1</v>
      </c>
      <c r="H1259" s="3">
        <f t="shared" si="167"/>
        <v>1.0332199843055001E-3</v>
      </c>
      <c r="I1259" s="3">
        <f t="shared" si="168"/>
        <v>1.0332199843055001E-3</v>
      </c>
      <c r="K1259" s="12" t="str">
        <f>IF(AND(G1259=1,G1258&lt;&gt;1),MAX($K$50:K1258)+1,"")</f>
        <v/>
      </c>
      <c r="L1259" s="13" t="str">
        <f>IF(AND(G1259&lt;&gt;1,G1258=1),MAX($L$50:L1258)+1,"")</f>
        <v/>
      </c>
      <c r="M1259" s="13" t="str">
        <f>IF(AND(G1259=-1,G1258&lt;&gt;-1),MAX($M$50:M1258)+1,"")</f>
        <v/>
      </c>
      <c r="N1259" s="13" t="str">
        <f>IF(AND(G1259&lt;&gt;-1,G1258=-1),MAX($N$50:N1258)+1,"")</f>
        <v/>
      </c>
      <c r="T1259" s="7">
        <f t="shared" si="169"/>
        <v>127.15594110148021</v>
      </c>
      <c r="U1259" s="1">
        <f t="shared" si="170"/>
        <v>201.07025203726212</v>
      </c>
    </row>
    <row r="1260" spans="1:21" x14ac:dyDescent="0.3">
      <c r="A1260" s="2">
        <v>42003</v>
      </c>
      <c r="B1260" s="1">
        <v>3808.69</v>
      </c>
      <c r="C1260" s="2">
        <f t="shared" si="162"/>
        <v>42003</v>
      </c>
      <c r="D1260" s="1">
        <f t="shared" si="163"/>
        <v>3808.69</v>
      </c>
      <c r="E1260" s="4">
        <f t="shared" si="164"/>
        <v>3712.5868000000009</v>
      </c>
      <c r="F1260" s="3">
        <f t="shared" si="165"/>
        <v>1.0258857786166775</v>
      </c>
      <c r="G1260" s="18">
        <f t="shared" si="166"/>
        <v>1</v>
      </c>
      <c r="H1260" s="3">
        <f t="shared" si="167"/>
        <v>-4.7714237186270436E-3</v>
      </c>
      <c r="I1260" s="3">
        <f t="shared" si="168"/>
        <v>-4.7714237186270436E-3</v>
      </c>
      <c r="K1260" s="12" t="str">
        <f>IF(AND(G1260=1,G1259&lt;&gt;1),MAX($K$50:K1259)+1,"")</f>
        <v/>
      </c>
      <c r="L1260" s="13" t="str">
        <f>IF(AND(G1260&lt;&gt;1,G1259=1),MAX($L$50:L1259)+1,"")</f>
        <v/>
      </c>
      <c r="M1260" s="13" t="str">
        <f>IF(AND(G1260=-1,G1259&lt;&gt;-1),MAX($M$50:M1259)+1,"")</f>
        <v/>
      </c>
      <c r="N1260" s="13" t="str">
        <f>IF(AND(G1260&lt;&gt;-1,G1259=-1),MAX($N$50:N1259)+1,"")</f>
        <v/>
      </c>
      <c r="T1260" s="7">
        <f t="shared" si="169"/>
        <v>126.54922622814426</v>
      </c>
      <c r="U1260" s="1">
        <f t="shared" si="170"/>
        <v>200.11086066758122</v>
      </c>
    </row>
    <row r="1261" spans="1:21" x14ac:dyDescent="0.3">
      <c r="A1261" s="2">
        <v>42004</v>
      </c>
      <c r="B1261" s="1">
        <v>3769.44</v>
      </c>
      <c r="C1261" s="2">
        <f t="shared" si="162"/>
        <v>42004</v>
      </c>
      <c r="D1261" s="1">
        <f t="shared" si="163"/>
        <v>3769.44</v>
      </c>
      <c r="E1261" s="4">
        <f t="shared" si="164"/>
        <v>3718.5578000000014</v>
      </c>
      <c r="F1261" s="3">
        <f t="shared" si="165"/>
        <v>1.0136833156123051</v>
      </c>
      <c r="G1261" s="18">
        <f t="shared" si="166"/>
        <v>1</v>
      </c>
      <c r="H1261" s="3">
        <f t="shared" si="167"/>
        <v>-1.0305380590176716E-2</v>
      </c>
      <c r="I1261" s="3">
        <f t="shared" si="168"/>
        <v>-1.0305380590176716E-2</v>
      </c>
      <c r="K1261" s="12" t="str">
        <f>IF(AND(G1261=1,G1260&lt;&gt;1),MAX($K$50:K1260)+1,"")</f>
        <v/>
      </c>
      <c r="L1261" s="13" t="str">
        <f>IF(AND(G1261&lt;&gt;1,G1260=1),MAX($L$50:L1260)+1,"")</f>
        <v/>
      </c>
      <c r="M1261" s="13" t="str">
        <f>IF(AND(G1261=-1,G1260&lt;&gt;-1),MAX($M$50:M1260)+1,"")</f>
        <v/>
      </c>
      <c r="N1261" s="13" t="str">
        <f>IF(AND(G1261&lt;&gt;-1,G1260=-1),MAX($N$50:N1260)+1,"")</f>
        <v/>
      </c>
      <c r="T1261" s="7">
        <f t="shared" si="169"/>
        <v>125.24508828847087</v>
      </c>
      <c r="U1261" s="1">
        <f t="shared" si="170"/>
        <v>198.04864208817398</v>
      </c>
    </row>
    <row r="1262" spans="1:21" x14ac:dyDescent="0.3">
      <c r="A1262" s="2">
        <v>42006</v>
      </c>
      <c r="B1262" s="1">
        <v>3768.68</v>
      </c>
      <c r="C1262" s="2">
        <f t="shared" si="162"/>
        <v>42006</v>
      </c>
      <c r="D1262" s="1">
        <f t="shared" si="163"/>
        <v>3768.68</v>
      </c>
      <c r="E1262" s="4">
        <f t="shared" si="164"/>
        <v>3723.1534000000011</v>
      </c>
      <c r="F1262" s="3">
        <f t="shared" si="165"/>
        <v>1.0122279678296358</v>
      </c>
      <c r="G1262" s="18">
        <f t="shared" si="166"/>
        <v>1</v>
      </c>
      <c r="H1262" s="3">
        <f t="shared" si="167"/>
        <v>-2.016214610128797E-4</v>
      </c>
      <c r="I1262" s="3">
        <f t="shared" si="168"/>
        <v>-2.016214610128797E-4</v>
      </c>
      <c r="K1262" s="12" t="str">
        <f>IF(AND(G1262=1,G1261&lt;&gt;1),MAX($K$50:K1261)+1,"")</f>
        <v/>
      </c>
      <c r="L1262" s="13" t="str">
        <f>IF(AND(G1262&lt;&gt;1,G1261=1),MAX($L$50:L1261)+1,"")</f>
        <v/>
      </c>
      <c r="M1262" s="13" t="str">
        <f>IF(AND(G1262=-1,G1261&lt;&gt;-1),MAX($M$50:M1261)+1,"")</f>
        <v/>
      </c>
      <c r="N1262" s="13" t="str">
        <f>IF(AND(G1262&lt;&gt;-1,G1261=-1),MAX($N$50:N1261)+1,"")</f>
        <v/>
      </c>
      <c r="T1262" s="7">
        <f t="shared" si="169"/>
        <v>125.21983619078546</v>
      </c>
      <c r="U1262" s="1">
        <f t="shared" si="170"/>
        <v>198.00871123160454</v>
      </c>
    </row>
    <row r="1263" spans="1:21" x14ac:dyDescent="0.3">
      <c r="A1263" s="2">
        <v>42009</v>
      </c>
      <c r="B1263" s="1">
        <v>3700.03</v>
      </c>
      <c r="C1263" s="2">
        <f t="shared" si="162"/>
        <v>42009</v>
      </c>
      <c r="D1263" s="1">
        <f t="shared" si="163"/>
        <v>3700.03</v>
      </c>
      <c r="E1263" s="4">
        <f t="shared" si="164"/>
        <v>3726.8846000000008</v>
      </c>
      <c r="F1263" s="3">
        <f t="shared" si="165"/>
        <v>0.99279435698116314</v>
      </c>
      <c r="G1263" s="18">
        <f t="shared" si="166"/>
        <v>1</v>
      </c>
      <c r="H1263" s="3">
        <f t="shared" si="167"/>
        <v>-1.8215927061995041E-2</v>
      </c>
      <c r="I1263" s="3">
        <f t="shared" si="168"/>
        <v>-1.8215927061995041E-2</v>
      </c>
      <c r="K1263" s="12" t="str">
        <f>IF(AND(G1263=1,G1262&lt;&gt;1),MAX($K$50:K1262)+1,"")</f>
        <v/>
      </c>
      <c r="L1263" s="13" t="str">
        <f>IF(AND(G1263&lt;&gt;1,G1262=1),MAX($L$50:L1262)+1,"")</f>
        <v/>
      </c>
      <c r="M1263" s="13" t="str">
        <f>IF(AND(G1263=-1,G1262&lt;&gt;-1),MAX($M$50:M1262)+1,"")</f>
        <v/>
      </c>
      <c r="N1263" s="13" t="str">
        <f>IF(AND(G1263&lt;&gt;-1,G1262=-1),MAX($N$50:N1262)+1,"")</f>
        <v/>
      </c>
      <c r="T1263" s="7">
        <f t="shared" si="169"/>
        <v>122.93884078801915</v>
      </c>
      <c r="U1263" s="1">
        <f t="shared" si="170"/>
        <v>194.40179899016997</v>
      </c>
    </row>
    <row r="1264" spans="1:21" x14ac:dyDescent="0.3">
      <c r="A1264" s="2">
        <v>42010</v>
      </c>
      <c r="B1264" s="1">
        <v>3667.14</v>
      </c>
      <c r="C1264" s="2">
        <f t="shared" si="162"/>
        <v>42010</v>
      </c>
      <c r="D1264" s="1">
        <f t="shared" si="163"/>
        <v>3667.14</v>
      </c>
      <c r="E1264" s="4">
        <f t="shared" si="164"/>
        <v>3729.0934000000016</v>
      </c>
      <c r="F1264" s="3">
        <f t="shared" si="165"/>
        <v>0.98338647136057211</v>
      </c>
      <c r="G1264" s="18">
        <f t="shared" si="166"/>
        <v>1</v>
      </c>
      <c r="H1264" s="3">
        <f t="shared" si="167"/>
        <v>-8.8891171152667425E-3</v>
      </c>
      <c r="I1264" s="3">
        <f t="shared" si="168"/>
        <v>-8.8891171152667425E-3</v>
      </c>
      <c r="K1264" s="12" t="str">
        <f>IF(AND(G1264=1,G1263&lt;&gt;1),MAX($K$50:K1263)+1,"")</f>
        <v/>
      </c>
      <c r="L1264" s="13" t="str">
        <f>IF(AND(G1264&lt;&gt;1,G1263=1),MAX($L$50:L1263)+1,"")</f>
        <v/>
      </c>
      <c r="M1264" s="13" t="str">
        <f>IF(AND(G1264=-1,G1263&lt;&gt;-1),MAX($M$50:M1263)+1,"")</f>
        <v/>
      </c>
      <c r="N1264" s="13" t="str">
        <f>IF(AND(G1264&lt;&gt;-1,G1263=-1),MAX($N$50:N1263)+1,"")</f>
        <v/>
      </c>
      <c r="T1264" s="7">
        <f t="shared" si="169"/>
        <v>121.84602303423931</v>
      </c>
      <c r="U1264" s="1">
        <f t="shared" si="170"/>
        <v>192.67373863152781</v>
      </c>
    </row>
    <row r="1265" spans="1:21" x14ac:dyDescent="0.3">
      <c r="A1265" s="2">
        <v>42011</v>
      </c>
      <c r="B1265" s="1">
        <v>3710.94</v>
      </c>
      <c r="C1265" s="2">
        <f t="shared" si="162"/>
        <v>42011</v>
      </c>
      <c r="D1265" s="1">
        <f t="shared" si="163"/>
        <v>3710.94</v>
      </c>
      <c r="E1265" s="4">
        <f t="shared" si="164"/>
        <v>3731.6758000000013</v>
      </c>
      <c r="F1265" s="3">
        <f t="shared" si="165"/>
        <v>0.99444330078191645</v>
      </c>
      <c r="G1265" s="18">
        <f t="shared" si="166"/>
        <v>1</v>
      </c>
      <c r="H1265" s="3">
        <f t="shared" si="167"/>
        <v>1.19439126949068E-2</v>
      </c>
      <c r="I1265" s="3">
        <f t="shared" si="168"/>
        <v>1.19439126949068E-2</v>
      </c>
      <c r="K1265" s="12" t="str">
        <f>IF(AND(G1265=1,G1264&lt;&gt;1),MAX($K$50:K1264)+1,"")</f>
        <v/>
      </c>
      <c r="L1265" s="13" t="str">
        <f>IF(AND(G1265&lt;&gt;1,G1264=1),MAX($L$50:L1264)+1,"")</f>
        <v/>
      </c>
      <c r="M1265" s="13" t="str">
        <f>IF(AND(G1265=-1,G1264&lt;&gt;-1),MAX($M$50:M1264)+1,"")</f>
        <v/>
      </c>
      <c r="N1265" s="13" t="str">
        <f>IF(AND(G1265&lt;&gt;-1,G1264=-1),MAX($N$50:N1264)+1,"")</f>
        <v/>
      </c>
      <c r="T1265" s="7">
        <f t="shared" si="169"/>
        <v>123.30134129558186</v>
      </c>
      <c r="U1265" s="1">
        <f t="shared" si="170"/>
        <v>194.97501694434408</v>
      </c>
    </row>
    <row r="1266" spans="1:21" x14ac:dyDescent="0.3">
      <c r="A1266" s="2">
        <v>42012</v>
      </c>
      <c r="B1266" s="1">
        <v>3777.4</v>
      </c>
      <c r="C1266" s="2">
        <f t="shared" si="162"/>
        <v>42012</v>
      </c>
      <c r="D1266" s="1">
        <f t="shared" si="163"/>
        <v>3777.4</v>
      </c>
      <c r="E1266" s="4">
        <f t="shared" si="164"/>
        <v>3735.6944000000012</v>
      </c>
      <c r="F1266" s="3">
        <f t="shared" si="165"/>
        <v>1.0111640823724763</v>
      </c>
      <c r="G1266" s="18">
        <f t="shared" si="166"/>
        <v>1</v>
      </c>
      <c r="H1266" s="3">
        <f t="shared" si="167"/>
        <v>1.7909208987480163E-2</v>
      </c>
      <c r="I1266" s="3">
        <f t="shared" si="168"/>
        <v>1.7909208987480163E-2</v>
      </c>
      <c r="K1266" s="12" t="str">
        <f>IF(AND(G1266=1,G1265&lt;&gt;1),MAX($K$50:K1265)+1,"")</f>
        <v/>
      </c>
      <c r="L1266" s="13" t="str">
        <f>IF(AND(G1266&lt;&gt;1,G1265=1),MAX($L$50:L1265)+1,"")</f>
        <v/>
      </c>
      <c r="M1266" s="13" t="str">
        <f>IF(AND(G1266=-1,G1265&lt;&gt;-1),MAX($M$50:M1265)+1,"")</f>
        <v/>
      </c>
      <c r="N1266" s="13" t="str">
        <f>IF(AND(G1266&lt;&gt;-1,G1265=-1),MAX($N$50:N1265)+1,"")</f>
        <v/>
      </c>
      <c r="T1266" s="7">
        <f t="shared" si="169"/>
        <v>125.50957078528106</v>
      </c>
      <c r="U1266" s="1">
        <f t="shared" si="170"/>
        <v>198.46686527013784</v>
      </c>
    </row>
    <row r="1267" spans="1:21" x14ac:dyDescent="0.3">
      <c r="A1267" s="2">
        <v>42013</v>
      </c>
      <c r="B1267" s="1">
        <v>3745.67</v>
      </c>
      <c r="C1267" s="2">
        <f t="shared" si="162"/>
        <v>42013</v>
      </c>
      <c r="D1267" s="1">
        <f t="shared" si="163"/>
        <v>3745.67</v>
      </c>
      <c r="E1267" s="4">
        <f t="shared" si="164"/>
        <v>3738.2246000000009</v>
      </c>
      <c r="F1267" s="3">
        <f t="shared" si="165"/>
        <v>1.0019916941320217</v>
      </c>
      <c r="G1267" s="18">
        <f t="shared" si="166"/>
        <v>1</v>
      </c>
      <c r="H1267" s="3">
        <f t="shared" si="167"/>
        <v>-8.399957642823086E-3</v>
      </c>
      <c r="I1267" s="3">
        <f t="shared" si="168"/>
        <v>-8.399957642823086E-3</v>
      </c>
      <c r="K1267" s="12" t="str">
        <f>IF(AND(G1267=1,G1266&lt;&gt;1),MAX($K$50:K1266)+1,"")</f>
        <v/>
      </c>
      <c r="L1267" s="13" t="str">
        <f>IF(AND(G1267&lt;&gt;1,G1266=1),MAX($L$50:L1266)+1,"")</f>
        <v/>
      </c>
      <c r="M1267" s="13" t="str">
        <f>IF(AND(G1267=-1,G1266&lt;&gt;-1),MAX($M$50:M1266)+1,"")</f>
        <v/>
      </c>
      <c r="N1267" s="13" t="str">
        <f>IF(AND(G1267&lt;&gt;-1,G1266=-1),MAX($N$50:N1266)+1,"")</f>
        <v/>
      </c>
      <c r="T1267" s="7">
        <f t="shared" si="169"/>
        <v>124.45529570691579</v>
      </c>
      <c r="U1267" s="1">
        <f t="shared" si="170"/>
        <v>196.79975200836483</v>
      </c>
    </row>
    <row r="1268" spans="1:21" x14ac:dyDescent="0.3">
      <c r="A1268" s="2">
        <v>42016</v>
      </c>
      <c r="B1268" s="1">
        <v>3715.36</v>
      </c>
      <c r="C1268" s="2">
        <f t="shared" ref="C1268:C1331" si="171">A1268</f>
        <v>42016</v>
      </c>
      <c r="D1268" s="1">
        <f t="shared" ref="D1268:D1331" si="172">B1268</f>
        <v>3715.36</v>
      </c>
      <c r="E1268" s="4">
        <f t="shared" ref="E1268:E1331" si="173">AVERAGE(B1219:B1268)</f>
        <v>3740.2412000000004</v>
      </c>
      <c r="F1268" s="3">
        <f t="shared" ref="F1268:F1331" si="174">D1268/E1268</f>
        <v>0.99334770174714926</v>
      </c>
      <c r="G1268" s="18">
        <f t="shared" ref="G1268:G1331" si="175">IF(F1268&gt;=$Q$51,1,IF(F1268&lt;=$Q$52,-1,0))</f>
        <v>1</v>
      </c>
      <c r="H1268" s="3">
        <f t="shared" si="167"/>
        <v>-8.0920102411584649E-3</v>
      </c>
      <c r="I1268" s="3">
        <f t="shared" si="168"/>
        <v>-8.0920102411584649E-3</v>
      </c>
      <c r="K1268" s="12" t="str">
        <f>IF(AND(G1268=1,G1267&lt;&gt;1),MAX($K$50:K1267)+1,"")</f>
        <v/>
      </c>
      <c r="L1268" s="13" t="str">
        <f>IF(AND(G1268&lt;&gt;1,G1267=1),MAX($L$50:L1267)+1,"")</f>
        <v/>
      </c>
      <c r="M1268" s="13" t="str">
        <f>IF(AND(G1268=-1,G1267&lt;&gt;-1),MAX($M$50:M1267)+1,"")</f>
        <v/>
      </c>
      <c r="N1268" s="13" t="str">
        <f>IF(AND(G1268&lt;&gt;-1,G1267=-1),MAX($N$50:N1267)+1,"")</f>
        <v/>
      </c>
      <c r="T1268" s="7">
        <f t="shared" si="169"/>
        <v>123.44820217948903</v>
      </c>
      <c r="U1268" s="1">
        <f t="shared" si="170"/>
        <v>195.2072463996557</v>
      </c>
    </row>
    <row r="1269" spans="1:21" x14ac:dyDescent="0.3">
      <c r="A1269" s="2">
        <v>42017</v>
      </c>
      <c r="B1269" s="1">
        <v>3706.15</v>
      </c>
      <c r="C1269" s="2">
        <f t="shared" si="171"/>
        <v>42017</v>
      </c>
      <c r="D1269" s="1">
        <f t="shared" si="172"/>
        <v>3706.15</v>
      </c>
      <c r="E1269" s="4">
        <f t="shared" si="173"/>
        <v>3741.6181999999999</v>
      </c>
      <c r="F1269" s="3">
        <f t="shared" si="174"/>
        <v>0.99052062554110953</v>
      </c>
      <c r="G1269" s="18">
        <f t="shared" si="175"/>
        <v>1</v>
      </c>
      <c r="H1269" s="3">
        <f t="shared" ref="H1269:H1332" si="176">D1269/D1268-1</f>
        <v>-2.4788984109211931E-3</v>
      </c>
      <c r="I1269" s="3">
        <f t="shared" ref="I1269:I1332" si="177">G1268*H1269</f>
        <v>-2.4788984109211931E-3</v>
      </c>
      <c r="K1269" s="12" t="str">
        <f>IF(AND(G1269=1,G1268&lt;&gt;1),MAX($K$50:K1268)+1,"")</f>
        <v/>
      </c>
      <c r="L1269" s="13" t="str">
        <f>IF(AND(G1269&lt;&gt;1,G1268=1),MAX($L$50:L1268)+1,"")</f>
        <v/>
      </c>
      <c r="M1269" s="13" t="str">
        <f>IF(AND(G1269=-1,G1268&lt;&gt;-1),MAX($M$50:M1268)+1,"")</f>
        <v/>
      </c>
      <c r="N1269" s="13" t="str">
        <f>IF(AND(G1269&lt;&gt;-1,G1268=-1),MAX($N$50:N1268)+1,"")</f>
        <v/>
      </c>
      <c r="T1269" s="7">
        <f t="shared" ref="T1269:T1332" si="178">T1268*(1+I1269)</f>
        <v>123.14218662727522</v>
      </c>
      <c r="U1269" s="1">
        <f t="shared" ref="U1269:U1332" si="179">U1268*D1269/D1268</f>
        <v>194.72334746675529</v>
      </c>
    </row>
    <row r="1270" spans="1:21" x14ac:dyDescent="0.3">
      <c r="A1270" s="2">
        <v>42018</v>
      </c>
      <c r="B1270" s="1">
        <v>3684.72</v>
      </c>
      <c r="C1270" s="2">
        <f t="shared" si="171"/>
        <v>42018</v>
      </c>
      <c r="D1270" s="1">
        <f t="shared" si="172"/>
        <v>3684.72</v>
      </c>
      <c r="E1270" s="4">
        <f t="shared" si="173"/>
        <v>3741.7128000000007</v>
      </c>
      <c r="F1270" s="3">
        <f t="shared" si="174"/>
        <v>0.98476825907108612</v>
      </c>
      <c r="G1270" s="18">
        <f t="shared" si="175"/>
        <v>1</v>
      </c>
      <c r="H1270" s="3">
        <f t="shared" si="176"/>
        <v>-5.7822808035293827E-3</v>
      </c>
      <c r="I1270" s="3">
        <f t="shared" si="177"/>
        <v>-5.7822808035293827E-3</v>
      </c>
      <c r="K1270" s="12" t="str">
        <f>IF(AND(G1270=1,G1269&lt;&gt;1),MAX($K$50:K1269)+1,"")</f>
        <v/>
      </c>
      <c r="L1270" s="13" t="str">
        <f>IF(AND(G1270&lt;&gt;1,G1269=1),MAX($L$50:L1269)+1,"")</f>
        <v/>
      </c>
      <c r="M1270" s="13" t="str">
        <f>IF(AND(G1270=-1,G1269&lt;&gt;-1),MAX($M$50:M1269)+1,"")</f>
        <v/>
      </c>
      <c r="N1270" s="13" t="str">
        <f>IF(AND(G1270&lt;&gt;-1,G1269=-1),MAX($N$50:N1269)+1,"")</f>
        <v/>
      </c>
      <c r="T1270" s="7">
        <f t="shared" si="178"/>
        <v>122.4301439254357</v>
      </c>
      <c r="U1270" s="1">
        <f t="shared" si="179"/>
        <v>193.59740239269928</v>
      </c>
    </row>
    <row r="1271" spans="1:21" x14ac:dyDescent="0.3">
      <c r="A1271" s="2">
        <v>42019</v>
      </c>
      <c r="B1271" s="1">
        <v>3650.74</v>
      </c>
      <c r="C1271" s="2">
        <f t="shared" si="171"/>
        <v>42019</v>
      </c>
      <c r="D1271" s="1">
        <f t="shared" si="172"/>
        <v>3650.74</v>
      </c>
      <c r="E1271" s="4">
        <f t="shared" si="173"/>
        <v>3741.136</v>
      </c>
      <c r="F1271" s="3">
        <f t="shared" si="174"/>
        <v>0.9758372857869908</v>
      </c>
      <c r="G1271" s="18">
        <f t="shared" si="175"/>
        <v>1</v>
      </c>
      <c r="H1271" s="3">
        <f t="shared" si="176"/>
        <v>-9.2218676045940917E-3</v>
      </c>
      <c r="I1271" s="3">
        <f t="shared" si="177"/>
        <v>-9.2218676045940917E-3</v>
      </c>
      <c r="K1271" s="12" t="str">
        <f>IF(AND(G1271=1,G1270&lt;&gt;1),MAX($K$50:K1270)+1,"")</f>
        <v/>
      </c>
      <c r="L1271" s="13" t="str">
        <f>IF(AND(G1271&lt;&gt;1,G1270=1),MAX($L$50:L1270)+1,"")</f>
        <v/>
      </c>
      <c r="M1271" s="13" t="str">
        <f>IF(AND(G1271=-1,G1270&lt;&gt;-1),MAX($M$50:M1270)+1,"")</f>
        <v/>
      </c>
      <c r="N1271" s="13" t="str">
        <f>IF(AND(G1271&lt;&gt;-1,G1270=-1),MAX($N$50:N1270)+1,"")</f>
        <v/>
      </c>
      <c r="T1271" s="7">
        <f t="shared" si="178"/>
        <v>121.30110934734394</v>
      </c>
      <c r="U1271" s="1">
        <f t="shared" si="179"/>
        <v>191.81207277924048</v>
      </c>
    </row>
    <row r="1272" spans="1:21" x14ac:dyDescent="0.3">
      <c r="A1272" s="2">
        <v>42020</v>
      </c>
      <c r="B1272" s="1">
        <v>3699.79</v>
      </c>
      <c r="C1272" s="2">
        <f t="shared" si="171"/>
        <v>42020</v>
      </c>
      <c r="D1272" s="1">
        <f t="shared" si="172"/>
        <v>3699.79</v>
      </c>
      <c r="E1272" s="4">
        <f t="shared" si="173"/>
        <v>3741.7482</v>
      </c>
      <c r="F1272" s="3">
        <f t="shared" si="174"/>
        <v>0.98878647152152033</v>
      </c>
      <c r="G1272" s="18">
        <f t="shared" si="175"/>
        <v>1</v>
      </c>
      <c r="H1272" s="3">
        <f t="shared" si="176"/>
        <v>1.3435632227986716E-2</v>
      </c>
      <c r="I1272" s="3">
        <f t="shared" si="177"/>
        <v>1.3435632227986716E-2</v>
      </c>
      <c r="K1272" s="12" t="str">
        <f>IF(AND(G1272=1,G1271&lt;&gt;1),MAX($K$50:K1271)+1,"")</f>
        <v/>
      </c>
      <c r="L1272" s="13" t="str">
        <f>IF(AND(G1272&lt;&gt;1,G1271=1),MAX($L$50:L1271)+1,"")</f>
        <v/>
      </c>
      <c r="M1272" s="13" t="str">
        <f>IF(AND(G1272=-1,G1271&lt;&gt;-1),MAX($M$50:M1271)+1,"")</f>
        <v/>
      </c>
      <c r="N1272" s="13" t="str">
        <f>IF(AND(G1272&lt;&gt;-1,G1271=-1),MAX($N$50:N1271)+1,"")</f>
        <v/>
      </c>
      <c r="T1272" s="7">
        <f t="shared" si="178"/>
        <v>122.93086644138165</v>
      </c>
      <c r="U1272" s="1">
        <f t="shared" si="179"/>
        <v>194.38918924599017</v>
      </c>
    </row>
    <row r="1273" spans="1:21" x14ac:dyDescent="0.3">
      <c r="A1273" s="2">
        <v>42024</v>
      </c>
      <c r="B1273" s="1">
        <v>3705.64</v>
      </c>
      <c r="C1273" s="2">
        <f t="shared" si="171"/>
        <v>42024</v>
      </c>
      <c r="D1273" s="1">
        <f t="shared" si="172"/>
        <v>3705.64</v>
      </c>
      <c r="E1273" s="4">
        <f t="shared" si="173"/>
        <v>3742.0334000000003</v>
      </c>
      <c r="F1273" s="3">
        <f t="shared" si="174"/>
        <v>0.99027443207749022</v>
      </c>
      <c r="G1273" s="18">
        <f t="shared" si="175"/>
        <v>1</v>
      </c>
      <c r="H1273" s="3">
        <f t="shared" si="176"/>
        <v>1.5811708232089661E-3</v>
      </c>
      <c r="I1273" s="3">
        <f t="shared" si="177"/>
        <v>1.5811708232089661E-3</v>
      </c>
      <c r="K1273" s="12" t="str">
        <f>IF(AND(G1273=1,G1272&lt;&gt;1),MAX($K$50:K1272)+1,"")</f>
        <v/>
      </c>
      <c r="L1273" s="13" t="str">
        <f>IF(AND(G1273&lt;&gt;1,G1272=1),MAX($L$50:L1272)+1,"")</f>
        <v/>
      </c>
      <c r="M1273" s="13" t="str">
        <f>IF(AND(G1273=-1,G1272&lt;&gt;-1),MAX($M$50:M1272)+1,"")</f>
        <v/>
      </c>
      <c r="N1273" s="13" t="str">
        <f>IF(AND(G1273&lt;&gt;-1,G1272=-1),MAX($N$50:N1272)+1,"")</f>
        <v/>
      </c>
      <c r="T1273" s="7">
        <f t="shared" si="178"/>
        <v>123.12524114067057</v>
      </c>
      <c r="U1273" s="1">
        <f t="shared" si="179"/>
        <v>194.69655176037315</v>
      </c>
    </row>
    <row r="1274" spans="1:21" x14ac:dyDescent="0.3">
      <c r="A1274" s="2">
        <v>42025</v>
      </c>
      <c r="B1274" s="1">
        <v>3723.62</v>
      </c>
      <c r="C1274" s="2">
        <f t="shared" si="171"/>
        <v>42025</v>
      </c>
      <c r="D1274" s="1">
        <f t="shared" si="172"/>
        <v>3723.62</v>
      </c>
      <c r="E1274" s="4">
        <f t="shared" si="173"/>
        <v>3742.3768</v>
      </c>
      <c r="F1274" s="3">
        <f t="shared" si="174"/>
        <v>0.99498799800169768</v>
      </c>
      <c r="G1274" s="18">
        <f t="shared" si="175"/>
        <v>1</v>
      </c>
      <c r="H1274" s="3">
        <f t="shared" si="176"/>
        <v>4.8520633412851844E-3</v>
      </c>
      <c r="I1274" s="3">
        <f t="shared" si="177"/>
        <v>4.8520633412851844E-3</v>
      </c>
      <c r="K1274" s="12" t="str">
        <f>IF(AND(G1274=1,G1273&lt;&gt;1),MAX($K$50:K1273)+1,"")</f>
        <v/>
      </c>
      <c r="L1274" s="13" t="str">
        <f>IF(AND(G1274&lt;&gt;1,G1273=1),MAX($L$50:L1273)+1,"")</f>
        <v/>
      </c>
      <c r="M1274" s="13" t="str">
        <f>IF(AND(G1274=-1,G1273&lt;&gt;-1),MAX($M$50:M1273)+1,"")</f>
        <v/>
      </c>
      <c r="N1274" s="13" t="str">
        <f>IF(AND(G1274&lt;&gt;-1,G1273=-1),MAX($N$50:N1273)+1,"")</f>
        <v/>
      </c>
      <c r="T1274" s="7">
        <f t="shared" si="178"/>
        <v>123.72265260959611</v>
      </c>
      <c r="U1274" s="1">
        <f t="shared" si="179"/>
        <v>195.6412317618443</v>
      </c>
    </row>
    <row r="1275" spans="1:21" x14ac:dyDescent="0.3">
      <c r="A1275" s="2">
        <v>42026</v>
      </c>
      <c r="B1275" s="1">
        <v>3780.51</v>
      </c>
      <c r="C1275" s="2">
        <f t="shared" si="171"/>
        <v>42026</v>
      </c>
      <c r="D1275" s="1">
        <f t="shared" si="172"/>
        <v>3780.51</v>
      </c>
      <c r="E1275" s="4">
        <f t="shared" si="173"/>
        <v>3743.8178000000003</v>
      </c>
      <c r="F1275" s="3">
        <f t="shared" si="174"/>
        <v>1.0098007440426187</v>
      </c>
      <c r="G1275" s="18">
        <f t="shared" si="175"/>
        <v>1</v>
      </c>
      <c r="H1275" s="3">
        <f t="shared" si="176"/>
        <v>1.5278143312153381E-2</v>
      </c>
      <c r="I1275" s="3">
        <f t="shared" si="177"/>
        <v>1.5278143312153381E-2</v>
      </c>
      <c r="K1275" s="12" t="str">
        <f>IF(AND(G1275=1,G1274&lt;&gt;1),MAX($K$50:K1274)+1,"")</f>
        <v/>
      </c>
      <c r="L1275" s="13" t="str">
        <f>IF(AND(G1275&lt;&gt;1,G1274=1),MAX($L$50:L1274)+1,"")</f>
        <v/>
      </c>
      <c r="M1275" s="13" t="str">
        <f>IF(AND(G1275=-1,G1274&lt;&gt;-1),MAX($M$50:M1274)+1,"")</f>
        <v/>
      </c>
      <c r="N1275" s="13" t="str">
        <f>IF(AND(G1275&lt;&gt;-1,G1274=-1),MAX($N$50:N1274)+1,"")</f>
        <v/>
      </c>
      <c r="T1275" s="7">
        <f t="shared" si="178"/>
        <v>125.61290502712529</v>
      </c>
      <c r="U1275" s="1">
        <f t="shared" si="179"/>
        <v>198.63026653846794</v>
      </c>
    </row>
    <row r="1276" spans="1:21" x14ac:dyDescent="0.3">
      <c r="A1276" s="2">
        <v>42027</v>
      </c>
      <c r="B1276" s="1">
        <v>3759.76</v>
      </c>
      <c r="C1276" s="2">
        <f t="shared" si="171"/>
        <v>42027</v>
      </c>
      <c r="D1276" s="1">
        <f t="shared" si="172"/>
        <v>3759.76</v>
      </c>
      <c r="E1276" s="4">
        <f t="shared" si="173"/>
        <v>3744.6080000000006</v>
      </c>
      <c r="F1276" s="3">
        <f t="shared" si="174"/>
        <v>1.0040463514472007</v>
      </c>
      <c r="G1276" s="18">
        <f t="shared" si="175"/>
        <v>1</v>
      </c>
      <c r="H1276" s="3">
        <f t="shared" si="176"/>
        <v>-5.488677453571067E-3</v>
      </c>
      <c r="I1276" s="3">
        <f t="shared" si="177"/>
        <v>-5.488677453571067E-3</v>
      </c>
      <c r="K1276" s="12" t="str">
        <f>IF(AND(G1276=1,G1275&lt;&gt;1),MAX($K$50:K1275)+1,"")</f>
        <v/>
      </c>
      <c r="L1276" s="13" t="str">
        <f>IF(AND(G1276&lt;&gt;1,G1275=1),MAX($L$50:L1275)+1,"")</f>
        <v/>
      </c>
      <c r="M1276" s="13" t="str">
        <f>IF(AND(G1276=-1,G1275&lt;&gt;-1),MAX($M$50:M1275)+1,"")</f>
        <v/>
      </c>
      <c r="N1276" s="13" t="str">
        <f>IF(AND(G1276&lt;&gt;-1,G1275=-1),MAX($N$50:N1275)+1,"")</f>
        <v/>
      </c>
      <c r="T1276" s="7">
        <f t="shared" si="178"/>
        <v>124.92345630742535</v>
      </c>
      <c r="U1276" s="1">
        <f t="shared" si="179"/>
        <v>197.54004907292142</v>
      </c>
    </row>
    <row r="1277" spans="1:21" x14ac:dyDescent="0.3">
      <c r="A1277" s="2">
        <v>42030</v>
      </c>
      <c r="B1277" s="1">
        <v>3769.45</v>
      </c>
      <c r="C1277" s="2">
        <f t="shared" si="171"/>
        <v>42030</v>
      </c>
      <c r="D1277" s="1">
        <f t="shared" si="172"/>
        <v>3769.45</v>
      </c>
      <c r="E1277" s="4">
        <f t="shared" si="173"/>
        <v>3745.5402000000013</v>
      </c>
      <c r="F1277" s="3">
        <f t="shared" si="174"/>
        <v>1.0063835384813113</v>
      </c>
      <c r="G1277" s="18">
        <f t="shared" si="175"/>
        <v>1</v>
      </c>
      <c r="H1277" s="3">
        <f t="shared" si="176"/>
        <v>2.5772921675850657E-3</v>
      </c>
      <c r="I1277" s="3">
        <f t="shared" si="177"/>
        <v>2.5772921675850657E-3</v>
      </c>
      <c r="K1277" s="12" t="str">
        <f>IF(AND(G1277=1,G1276&lt;&gt;1),MAX($K$50:K1276)+1,"")</f>
        <v/>
      </c>
      <c r="L1277" s="13" t="str">
        <f>IF(AND(G1277&lt;&gt;1,G1276=1),MAX($L$50:L1276)+1,"")</f>
        <v/>
      </c>
      <c r="M1277" s="13" t="str">
        <f>IF(AND(G1277=-1,G1276&lt;&gt;-1),MAX($M$50:M1276)+1,"")</f>
        <v/>
      </c>
      <c r="N1277" s="13" t="str">
        <f>IF(AND(G1277&lt;&gt;-1,G1276=-1),MAX($N$50:N1276)+1,"")</f>
        <v/>
      </c>
      <c r="T1277" s="7">
        <f t="shared" si="178"/>
        <v>125.24542055291414</v>
      </c>
      <c r="U1277" s="1">
        <f t="shared" si="179"/>
        <v>198.0491674941814</v>
      </c>
    </row>
    <row r="1278" spans="1:21" x14ac:dyDescent="0.3">
      <c r="A1278" s="2">
        <v>42031</v>
      </c>
      <c r="B1278" s="1">
        <v>3718.99</v>
      </c>
      <c r="C1278" s="2">
        <f t="shared" si="171"/>
        <v>42031</v>
      </c>
      <c r="D1278" s="1">
        <f t="shared" si="172"/>
        <v>3718.99</v>
      </c>
      <c r="E1278" s="4">
        <f t="shared" si="173"/>
        <v>3745.4940000000006</v>
      </c>
      <c r="F1278" s="3">
        <f t="shared" si="174"/>
        <v>0.9929237638613222</v>
      </c>
      <c r="G1278" s="18">
        <f t="shared" si="175"/>
        <v>1</v>
      </c>
      <c r="H1278" s="3">
        <f t="shared" si="176"/>
        <v>-1.3386568332250048E-2</v>
      </c>
      <c r="I1278" s="3">
        <f t="shared" si="177"/>
        <v>-1.3386568332250048E-2</v>
      </c>
      <c r="K1278" s="12" t="str">
        <f>IF(AND(G1278=1,G1277&lt;&gt;1),MAX($K$50:K1277)+1,"")</f>
        <v/>
      </c>
      <c r="L1278" s="13" t="str">
        <f>IF(AND(G1278&lt;&gt;1,G1277=1),MAX($L$50:L1277)+1,"")</f>
        <v/>
      </c>
      <c r="M1278" s="13" t="str">
        <f>IF(AND(G1278=-1,G1277&lt;&gt;-1),MAX($M$50:M1277)+1,"")</f>
        <v/>
      </c>
      <c r="N1278" s="13" t="str">
        <f>IF(AND(G1278&lt;&gt;-1,G1277=-1),MAX($N$50:N1277)+1,"")</f>
        <v/>
      </c>
      <c r="T1278" s="7">
        <f t="shared" si="178"/>
        <v>123.56881417238117</v>
      </c>
      <c r="U1278" s="1">
        <f t="shared" si="179"/>
        <v>195.39796878037529</v>
      </c>
    </row>
    <row r="1279" spans="1:21" x14ac:dyDescent="0.3">
      <c r="A1279" s="2">
        <v>42032</v>
      </c>
      <c r="B1279" s="1">
        <v>3669.1</v>
      </c>
      <c r="C1279" s="2">
        <f t="shared" si="171"/>
        <v>42032</v>
      </c>
      <c r="D1279" s="1">
        <f t="shared" si="172"/>
        <v>3669.1</v>
      </c>
      <c r="E1279" s="4">
        <f t="shared" si="173"/>
        <v>3744.4044000000008</v>
      </c>
      <c r="F1279" s="3">
        <f t="shared" si="174"/>
        <v>0.97988881756468371</v>
      </c>
      <c r="G1279" s="18">
        <f t="shared" si="175"/>
        <v>1</v>
      </c>
      <c r="H1279" s="3">
        <f t="shared" si="176"/>
        <v>-1.3414932548890923E-2</v>
      </c>
      <c r="I1279" s="3">
        <f t="shared" si="177"/>
        <v>-1.3414932548890923E-2</v>
      </c>
      <c r="K1279" s="12" t="str">
        <f>IF(AND(G1279=1,G1278&lt;&gt;1),MAX($K$50:K1278)+1,"")</f>
        <v/>
      </c>
      <c r="L1279" s="13" t="str">
        <f>IF(AND(G1279&lt;&gt;1,G1278=1),MAX($L$50:L1278)+1,"")</f>
        <v/>
      </c>
      <c r="M1279" s="13" t="str">
        <f>IF(AND(G1279=-1,G1278&lt;&gt;-1),MAX($M$50:M1278)+1,"")</f>
        <v/>
      </c>
      <c r="N1279" s="13" t="str">
        <f>IF(AND(G1279&lt;&gt;-1,G1278=-1),MAX($N$50:N1278)+1,"")</f>
        <v/>
      </c>
      <c r="T1279" s="7">
        <f t="shared" si="178"/>
        <v>121.91114686511224</v>
      </c>
      <c r="U1279" s="1">
        <f t="shared" si="179"/>
        <v>192.77671820899624</v>
      </c>
    </row>
    <row r="1280" spans="1:21" x14ac:dyDescent="0.3">
      <c r="A1280" s="2">
        <v>42033</v>
      </c>
      <c r="B1280" s="1">
        <v>3704.35</v>
      </c>
      <c r="C1280" s="2">
        <f t="shared" si="171"/>
        <v>42033</v>
      </c>
      <c r="D1280" s="1">
        <f t="shared" si="172"/>
        <v>3704.35</v>
      </c>
      <c r="E1280" s="4">
        <f t="shared" si="173"/>
        <v>3743.9930000000004</v>
      </c>
      <c r="F1280" s="3">
        <f t="shared" si="174"/>
        <v>0.98941157208360153</v>
      </c>
      <c r="G1280" s="18">
        <f t="shared" si="175"/>
        <v>1</v>
      </c>
      <c r="H1280" s="3">
        <f t="shared" si="176"/>
        <v>9.6072606361232715E-3</v>
      </c>
      <c r="I1280" s="3">
        <f t="shared" si="177"/>
        <v>9.6072606361232715E-3</v>
      </c>
      <c r="K1280" s="12" t="str">
        <f>IF(AND(G1280=1,G1279&lt;&gt;1),MAX($K$50:K1279)+1,"")</f>
        <v/>
      </c>
      <c r="L1280" s="13" t="str">
        <f>IF(AND(G1280&lt;&gt;1,G1279=1),MAX($L$50:L1279)+1,"")</f>
        <v/>
      </c>
      <c r="M1280" s="13" t="str">
        <f>IF(AND(G1280=-1,G1279&lt;&gt;-1),MAX($M$50:M1279)+1,"")</f>
        <v/>
      </c>
      <c r="N1280" s="13" t="str">
        <f>IF(AND(G1280&lt;&gt;-1,G1279=-1),MAX($N$50:N1279)+1,"")</f>
        <v/>
      </c>
      <c r="T1280" s="7">
        <f t="shared" si="178"/>
        <v>123.08237902749408</v>
      </c>
      <c r="U1280" s="1">
        <f t="shared" si="179"/>
        <v>194.62877438540659</v>
      </c>
    </row>
    <row r="1281" spans="1:21" x14ac:dyDescent="0.3">
      <c r="A1281" s="2">
        <v>42034</v>
      </c>
      <c r="B1281" s="1">
        <v>3656.28</v>
      </c>
      <c r="C1281" s="2">
        <f t="shared" si="171"/>
        <v>42034</v>
      </c>
      <c r="D1281" s="1">
        <f t="shared" si="172"/>
        <v>3656.28</v>
      </c>
      <c r="E1281" s="4">
        <f t="shared" si="173"/>
        <v>3742.5614000000005</v>
      </c>
      <c r="F1281" s="3">
        <f t="shared" si="174"/>
        <v>0.97694589593105929</v>
      </c>
      <c r="G1281" s="18">
        <f t="shared" si="175"/>
        <v>1</v>
      </c>
      <c r="H1281" s="3">
        <f t="shared" si="176"/>
        <v>-1.2976635577091722E-2</v>
      </c>
      <c r="I1281" s="3">
        <f t="shared" si="177"/>
        <v>-1.2976635577091722E-2</v>
      </c>
      <c r="K1281" s="12" t="str">
        <f>IF(AND(G1281=1,G1280&lt;&gt;1),MAX($K$50:K1280)+1,"")</f>
        <v/>
      </c>
      <c r="L1281" s="13" t="str">
        <f>IF(AND(G1281&lt;&gt;1,G1280=1),MAX($L$50:L1280)+1,"")</f>
        <v/>
      </c>
      <c r="M1281" s="13" t="str">
        <f>IF(AND(G1281=-1,G1280&lt;&gt;-1),MAX($M$50:M1280)+1,"")</f>
        <v/>
      </c>
      <c r="N1281" s="13" t="str">
        <f>IF(AND(G1281&lt;&gt;-1,G1280=-1),MAX($N$50:N1280)+1,"")</f>
        <v/>
      </c>
      <c r="T1281" s="7">
        <f t="shared" si="178"/>
        <v>121.48518384889282</v>
      </c>
      <c r="U1281" s="1">
        <f t="shared" si="179"/>
        <v>192.10314770739114</v>
      </c>
    </row>
    <row r="1282" spans="1:21" x14ac:dyDescent="0.3">
      <c r="A1282" s="2">
        <v>42037</v>
      </c>
      <c r="B1282" s="1">
        <v>3703.77</v>
      </c>
      <c r="C1282" s="2">
        <f t="shared" si="171"/>
        <v>42037</v>
      </c>
      <c r="D1282" s="1">
        <f t="shared" si="172"/>
        <v>3703.77</v>
      </c>
      <c r="E1282" s="4">
        <f t="shared" si="173"/>
        <v>3741.6820000000002</v>
      </c>
      <c r="F1282" s="3">
        <f t="shared" si="174"/>
        <v>0.98986765844879376</v>
      </c>
      <c r="G1282" s="18">
        <f t="shared" si="175"/>
        <v>1</v>
      </c>
      <c r="H1282" s="3">
        <f t="shared" si="176"/>
        <v>1.2988611375496451E-2</v>
      </c>
      <c r="I1282" s="3">
        <f t="shared" si="177"/>
        <v>1.2988611375496451E-2</v>
      </c>
      <c r="K1282" s="12" t="str">
        <f>IF(AND(G1282=1,G1281&lt;&gt;1),MAX($K$50:K1281)+1,"")</f>
        <v/>
      </c>
      <c r="L1282" s="13" t="str">
        <f>IF(AND(G1282&lt;&gt;1,G1281=1),MAX($L$50:L1281)+1,"")</f>
        <v/>
      </c>
      <c r="M1282" s="13" t="str">
        <f>IF(AND(G1282=-1,G1281&lt;&gt;-1),MAX($M$50:M1281)+1,"")</f>
        <v/>
      </c>
      <c r="N1282" s="13" t="str">
        <f>IF(AND(G1282&lt;&gt;-1,G1281=-1),MAX($N$50:N1281)+1,"")</f>
        <v/>
      </c>
      <c r="T1282" s="7">
        <f t="shared" si="178"/>
        <v>123.06310768978682</v>
      </c>
      <c r="U1282" s="1">
        <f t="shared" si="179"/>
        <v>194.59830083697202</v>
      </c>
    </row>
    <row r="1283" spans="1:21" x14ac:dyDescent="0.3">
      <c r="A1283" s="2">
        <v>42038</v>
      </c>
      <c r="B1283" s="1">
        <v>3757.34</v>
      </c>
      <c r="C1283" s="2">
        <f t="shared" si="171"/>
        <v>42038</v>
      </c>
      <c r="D1283" s="1">
        <f t="shared" si="172"/>
        <v>3757.34</v>
      </c>
      <c r="E1283" s="4">
        <f t="shared" si="173"/>
        <v>3741.9818</v>
      </c>
      <c r="F1283" s="3">
        <f t="shared" si="174"/>
        <v>1.0041042957504498</v>
      </c>
      <c r="G1283" s="18">
        <f t="shared" si="175"/>
        <v>1</v>
      </c>
      <c r="H1283" s="3">
        <f t="shared" si="176"/>
        <v>1.446364110082432E-2</v>
      </c>
      <c r="I1283" s="3">
        <f t="shared" si="177"/>
        <v>1.446364110082432E-2</v>
      </c>
      <c r="K1283" s="12" t="str">
        <f>IF(AND(G1283=1,G1282&lt;&gt;1),MAX($K$50:K1282)+1,"")</f>
        <v/>
      </c>
      <c r="L1283" s="13" t="str">
        <f>IF(AND(G1283&lt;&gt;1,G1282=1),MAX($L$50:L1282)+1,"")</f>
        <v/>
      </c>
      <c r="M1283" s="13" t="str">
        <f>IF(AND(G1283=-1,G1282&lt;&gt;-1),MAX($M$50:M1282)+1,"")</f>
        <v/>
      </c>
      <c r="N1283" s="13" t="str">
        <f>IF(AND(G1283&lt;&gt;-1,G1282=-1),MAX($N$50:N1282)+1,"")</f>
        <v/>
      </c>
      <c r="T1283" s="7">
        <f t="shared" si="178"/>
        <v>124.84304831216399</v>
      </c>
      <c r="U1283" s="1">
        <f t="shared" si="179"/>
        <v>197.41290081910822</v>
      </c>
    </row>
    <row r="1284" spans="1:21" x14ac:dyDescent="0.3">
      <c r="A1284" s="2">
        <v>42039</v>
      </c>
      <c r="B1284" s="1">
        <v>3742.84</v>
      </c>
      <c r="C1284" s="2">
        <f t="shared" si="171"/>
        <v>42039</v>
      </c>
      <c r="D1284" s="1">
        <f t="shared" si="172"/>
        <v>3742.84</v>
      </c>
      <c r="E1284" s="4">
        <f t="shared" si="173"/>
        <v>3741.8412000000008</v>
      </c>
      <c r="F1284" s="3">
        <f t="shared" si="174"/>
        <v>1.0002669274153055</v>
      </c>
      <c r="G1284" s="18">
        <f t="shared" si="175"/>
        <v>1</v>
      </c>
      <c r="H1284" s="3">
        <f t="shared" si="176"/>
        <v>-3.8591130959668707E-3</v>
      </c>
      <c r="I1284" s="3">
        <f t="shared" si="177"/>
        <v>-3.8591130959668707E-3</v>
      </c>
      <c r="K1284" s="12" t="str">
        <f>IF(AND(G1284=1,G1283&lt;&gt;1),MAX($K$50:K1283)+1,"")</f>
        <v/>
      </c>
      <c r="L1284" s="13" t="str">
        <f>IF(AND(G1284&lt;&gt;1,G1283=1),MAX($L$50:L1283)+1,"")</f>
        <v/>
      </c>
      <c r="M1284" s="13" t="str">
        <f>IF(AND(G1284=-1,G1283&lt;&gt;-1),MAX($M$50:M1283)+1,"")</f>
        <v/>
      </c>
      <c r="N1284" s="13" t="str">
        <f>IF(AND(G1284&lt;&gt;-1,G1283=-1),MAX($N$50:N1283)+1,"")</f>
        <v/>
      </c>
      <c r="T1284" s="7">
        <f t="shared" si="178"/>
        <v>124.36126486948208</v>
      </c>
      <c r="U1284" s="1">
        <f t="shared" si="179"/>
        <v>196.65106210824439</v>
      </c>
    </row>
    <row r="1285" spans="1:21" x14ac:dyDescent="0.3">
      <c r="A1285" s="2">
        <v>42040</v>
      </c>
      <c r="B1285" s="1">
        <v>3782.11</v>
      </c>
      <c r="C1285" s="2">
        <f t="shared" si="171"/>
        <v>42040</v>
      </c>
      <c r="D1285" s="1">
        <f t="shared" si="172"/>
        <v>3782.11</v>
      </c>
      <c r="E1285" s="4">
        <f t="shared" si="173"/>
        <v>3742.0827999999997</v>
      </c>
      <c r="F1285" s="3">
        <f t="shared" si="174"/>
        <v>1.0106965030276722</v>
      </c>
      <c r="G1285" s="18">
        <f t="shared" si="175"/>
        <v>1</v>
      </c>
      <c r="H1285" s="3">
        <f t="shared" si="176"/>
        <v>1.0492032787936534E-2</v>
      </c>
      <c r="I1285" s="3">
        <f t="shared" si="177"/>
        <v>1.0492032787936534E-2</v>
      </c>
      <c r="K1285" s="12" t="str">
        <f>IF(AND(G1285=1,G1284&lt;&gt;1),MAX($K$50:K1284)+1,"")</f>
        <v/>
      </c>
      <c r="L1285" s="13" t="str">
        <f>IF(AND(G1285&lt;&gt;1,G1284=1),MAX($L$50:L1284)+1,"")</f>
        <v/>
      </c>
      <c r="M1285" s="13" t="str">
        <f>IF(AND(G1285=-1,G1284&lt;&gt;-1),MAX($M$50:M1284)+1,"")</f>
        <v/>
      </c>
      <c r="N1285" s="13" t="str">
        <f>IF(AND(G1285&lt;&gt;-1,G1284=-1),MAX($N$50:N1284)+1,"")</f>
        <v/>
      </c>
      <c r="T1285" s="7">
        <f t="shared" si="178"/>
        <v>125.66606733804196</v>
      </c>
      <c r="U1285" s="1">
        <f t="shared" si="179"/>
        <v>198.71433149966663</v>
      </c>
    </row>
    <row r="1286" spans="1:21" x14ac:dyDescent="0.3">
      <c r="A1286" s="2">
        <v>42041</v>
      </c>
      <c r="B1286" s="1">
        <v>3770.2</v>
      </c>
      <c r="C1286" s="2">
        <f t="shared" si="171"/>
        <v>42041</v>
      </c>
      <c r="D1286" s="1">
        <f t="shared" si="172"/>
        <v>3770.2</v>
      </c>
      <c r="E1286" s="4">
        <f t="shared" si="173"/>
        <v>3741.8691999999996</v>
      </c>
      <c r="F1286" s="3">
        <f t="shared" si="174"/>
        <v>1.0075712961853398</v>
      </c>
      <c r="G1286" s="18">
        <f t="shared" si="175"/>
        <v>1</v>
      </c>
      <c r="H1286" s="3">
        <f t="shared" si="176"/>
        <v>-3.1490358556467424E-3</v>
      </c>
      <c r="I1286" s="3">
        <f t="shared" si="177"/>
        <v>-3.1490358556467424E-3</v>
      </c>
      <c r="K1286" s="12" t="str">
        <f>IF(AND(G1286=1,G1285&lt;&gt;1),MAX($K$50:K1285)+1,"")</f>
        <v/>
      </c>
      <c r="L1286" s="13" t="str">
        <f>IF(AND(G1286&lt;&gt;1,G1285=1),MAX($L$50:L1285)+1,"")</f>
        <v/>
      </c>
      <c r="M1286" s="13" t="str">
        <f>IF(AND(G1286=-1,G1285&lt;&gt;-1),MAX($M$50:M1285)+1,"")</f>
        <v/>
      </c>
      <c r="N1286" s="13" t="str">
        <f>IF(AND(G1286&lt;&gt;-1,G1285=-1),MAX($N$50:N1285)+1,"")</f>
        <v/>
      </c>
      <c r="T1286" s="7">
        <f t="shared" si="178"/>
        <v>125.27034038615635</v>
      </c>
      <c r="U1286" s="1">
        <f t="shared" si="179"/>
        <v>198.08857294474331</v>
      </c>
    </row>
    <row r="1287" spans="1:21" x14ac:dyDescent="0.3">
      <c r="A1287" s="2">
        <v>42044</v>
      </c>
      <c r="B1287" s="1">
        <v>3754.36</v>
      </c>
      <c r="C1287" s="2">
        <f t="shared" si="171"/>
        <v>42044</v>
      </c>
      <c r="D1287" s="1">
        <f t="shared" si="172"/>
        <v>3754.36</v>
      </c>
      <c r="E1287" s="4">
        <f t="shared" si="173"/>
        <v>3741.4176000000002</v>
      </c>
      <c r="F1287" s="3">
        <f t="shared" si="174"/>
        <v>1.0034592235841302</v>
      </c>
      <c r="G1287" s="18">
        <f t="shared" si="175"/>
        <v>1</v>
      </c>
      <c r="H1287" s="3">
        <f t="shared" si="176"/>
        <v>-4.2013686276589635E-3</v>
      </c>
      <c r="I1287" s="3">
        <f t="shared" si="177"/>
        <v>-4.2013686276589635E-3</v>
      </c>
      <c r="K1287" s="12" t="str">
        <f>IF(AND(G1287=1,G1286&lt;&gt;1),MAX($K$50:K1286)+1,"")</f>
        <v/>
      </c>
      <c r="L1287" s="13" t="str">
        <f>IF(AND(G1287&lt;&gt;1,G1286=1),MAX($L$50:L1286)+1,"")</f>
        <v/>
      </c>
      <c r="M1287" s="13" t="str">
        <f>IF(AND(G1287=-1,G1286&lt;&gt;-1),MAX($M$50:M1286)+1,"")</f>
        <v/>
      </c>
      <c r="N1287" s="13" t="str">
        <f>IF(AND(G1287&lt;&gt;-1,G1286=-1),MAX($N$50:N1286)+1,"")</f>
        <v/>
      </c>
      <c r="T1287" s="7">
        <f t="shared" si="178"/>
        <v>124.7440335080818</v>
      </c>
      <c r="U1287" s="1">
        <f t="shared" si="179"/>
        <v>197.25632982887552</v>
      </c>
    </row>
    <row r="1288" spans="1:21" x14ac:dyDescent="0.3">
      <c r="A1288" s="2">
        <v>42045</v>
      </c>
      <c r="B1288" s="1">
        <v>3794.62</v>
      </c>
      <c r="C1288" s="2">
        <f t="shared" si="171"/>
        <v>42045</v>
      </c>
      <c r="D1288" s="1">
        <f t="shared" si="172"/>
        <v>3794.62</v>
      </c>
      <c r="E1288" s="4">
        <f t="shared" si="173"/>
        <v>3741.5415999999996</v>
      </c>
      <c r="F1288" s="3">
        <f t="shared" si="174"/>
        <v>1.0141862381003597</v>
      </c>
      <c r="G1288" s="18">
        <f t="shared" si="175"/>
        <v>1</v>
      </c>
      <c r="H1288" s="3">
        <f t="shared" si="176"/>
        <v>1.0723532106670541E-2</v>
      </c>
      <c r="I1288" s="3">
        <f t="shared" si="177"/>
        <v>1.0723532106670541E-2</v>
      </c>
      <c r="K1288" s="12" t="str">
        <f>IF(AND(G1288=1,G1287&lt;&gt;1),MAX($K$50:K1287)+1,"")</f>
        <v/>
      </c>
      <c r="L1288" s="13" t="str">
        <f>IF(AND(G1288&lt;&gt;1,G1287=1),MAX($L$50:L1287)+1,"")</f>
        <v/>
      </c>
      <c r="M1288" s="13" t="str">
        <f>IF(AND(G1288=-1,G1287&lt;&gt;-1),MAX($M$50:M1287)+1,"")</f>
        <v/>
      </c>
      <c r="N1288" s="13" t="str">
        <f>IF(AND(G1288&lt;&gt;-1,G1287=-1),MAX($N$50:N1287)+1,"")</f>
        <v/>
      </c>
      <c r="T1288" s="7">
        <f t="shared" si="178"/>
        <v>126.0817301565213</v>
      </c>
      <c r="U1288" s="1">
        <f t="shared" si="179"/>
        <v>199.37161441503949</v>
      </c>
    </row>
    <row r="1289" spans="1:21" x14ac:dyDescent="0.3">
      <c r="A1289" s="2">
        <v>42046</v>
      </c>
      <c r="B1289" s="1">
        <v>3795.82</v>
      </c>
      <c r="C1289" s="2">
        <f t="shared" si="171"/>
        <v>42046</v>
      </c>
      <c r="D1289" s="1">
        <f t="shared" si="172"/>
        <v>3795.82</v>
      </c>
      <c r="E1289" s="4">
        <f t="shared" si="173"/>
        <v>3741.8787999999995</v>
      </c>
      <c r="F1289" s="3">
        <f t="shared" si="174"/>
        <v>1.0144155390602176</v>
      </c>
      <c r="G1289" s="18">
        <f t="shared" si="175"/>
        <v>1</v>
      </c>
      <c r="H1289" s="3">
        <f t="shared" si="176"/>
        <v>3.1623719898177249E-4</v>
      </c>
      <c r="I1289" s="3">
        <f t="shared" si="177"/>
        <v>3.1623719898177249E-4</v>
      </c>
      <c r="K1289" s="12" t="str">
        <f>IF(AND(G1289=1,G1288&lt;&gt;1),MAX($K$50:K1288)+1,"")</f>
        <v/>
      </c>
      <c r="L1289" s="13" t="str">
        <f>IF(AND(G1289&lt;&gt;1,G1288=1),MAX($L$50:L1288)+1,"")</f>
        <v/>
      </c>
      <c r="M1289" s="13" t="str">
        <f>IF(AND(G1289=-1,G1288&lt;&gt;-1),MAX($M$50:M1288)+1,"")</f>
        <v/>
      </c>
      <c r="N1289" s="13" t="str">
        <f>IF(AND(G1289&lt;&gt;-1,G1288=-1),MAX($N$50:N1288)+1,"")</f>
        <v/>
      </c>
      <c r="T1289" s="7">
        <f t="shared" si="178"/>
        <v>126.12160188970877</v>
      </c>
      <c r="U1289" s="1">
        <f t="shared" si="179"/>
        <v>199.43466313593856</v>
      </c>
    </row>
    <row r="1290" spans="1:21" x14ac:dyDescent="0.3">
      <c r="A1290" s="2">
        <v>42047</v>
      </c>
      <c r="B1290" s="1">
        <v>3833.35</v>
      </c>
      <c r="C1290" s="2">
        <f t="shared" si="171"/>
        <v>42047</v>
      </c>
      <c r="D1290" s="1">
        <f t="shared" si="172"/>
        <v>3833.35</v>
      </c>
      <c r="E1290" s="4">
        <f t="shared" si="173"/>
        <v>3743.4795999999992</v>
      </c>
      <c r="F1290" s="3">
        <f t="shared" si="174"/>
        <v>1.0240071830496955</v>
      </c>
      <c r="G1290" s="18">
        <f t="shared" si="175"/>
        <v>1</v>
      </c>
      <c r="H1290" s="3">
        <f t="shared" si="176"/>
        <v>9.8871917003440224E-3</v>
      </c>
      <c r="I1290" s="3">
        <f t="shared" si="177"/>
        <v>9.8871917003440224E-3</v>
      </c>
      <c r="K1290" s="12" t="str">
        <f>IF(AND(G1290=1,G1289&lt;&gt;1),MAX($K$50:K1289)+1,"")</f>
        <v/>
      </c>
      <c r="L1290" s="13" t="str">
        <f>IF(AND(G1290&lt;&gt;1,G1289=1),MAX($L$50:L1289)+1,"")</f>
        <v/>
      </c>
      <c r="M1290" s="13" t="str">
        <f>IF(AND(G1290=-1,G1289&lt;&gt;-1),MAX($M$50:M1289)+1,"")</f>
        <v/>
      </c>
      <c r="N1290" s="13" t="str">
        <f>IF(AND(G1290&lt;&gt;-1,G1289=-1),MAX($N$50:N1289)+1,"")</f>
        <v/>
      </c>
      <c r="T1290" s="7">
        <f t="shared" si="178"/>
        <v>127.3685903451468</v>
      </c>
      <c r="U1290" s="1">
        <f t="shared" si="179"/>
        <v>201.40651188205712</v>
      </c>
    </row>
    <row r="1291" spans="1:21" x14ac:dyDescent="0.3">
      <c r="A1291" s="2">
        <v>42048</v>
      </c>
      <c r="B1291" s="1">
        <v>3849.29</v>
      </c>
      <c r="C1291" s="2">
        <f t="shared" si="171"/>
        <v>42048</v>
      </c>
      <c r="D1291" s="1">
        <f t="shared" si="172"/>
        <v>3849.29</v>
      </c>
      <c r="E1291" s="4">
        <f t="shared" si="173"/>
        <v>3744.9159999999993</v>
      </c>
      <c r="F1291" s="3">
        <f t="shared" si="174"/>
        <v>1.0278708521099007</v>
      </c>
      <c r="G1291" s="18">
        <f t="shared" si="175"/>
        <v>1</v>
      </c>
      <c r="H1291" s="3">
        <f t="shared" si="176"/>
        <v>4.1582427902486785E-3</v>
      </c>
      <c r="I1291" s="3">
        <f t="shared" si="177"/>
        <v>4.1582427902486785E-3</v>
      </c>
      <c r="K1291" s="12" t="str">
        <f>IF(AND(G1291=1,G1290&lt;&gt;1),MAX($K$50:K1290)+1,"")</f>
        <v/>
      </c>
      <c r="L1291" s="13" t="str">
        <f>IF(AND(G1291&lt;&gt;1,G1290=1),MAX($L$50:L1290)+1,"")</f>
        <v/>
      </c>
      <c r="M1291" s="13" t="str">
        <f>IF(AND(G1291=-1,G1290&lt;&gt;-1),MAX($M$50:M1290)+1,"")</f>
        <v/>
      </c>
      <c r="N1291" s="13" t="str">
        <f>IF(AND(G1291&lt;&gt;-1,G1290=-1),MAX($N$50:N1290)+1,"")</f>
        <v/>
      </c>
      <c r="T1291" s="7">
        <f t="shared" si="178"/>
        <v>127.89821986765364</v>
      </c>
      <c r="U1291" s="1">
        <f t="shared" si="179"/>
        <v>202.24400905799982</v>
      </c>
    </row>
    <row r="1292" spans="1:21" x14ac:dyDescent="0.3">
      <c r="A1292" s="2">
        <v>42052</v>
      </c>
      <c r="B1292" s="1">
        <v>3856.04</v>
      </c>
      <c r="C1292" s="2">
        <f t="shared" si="171"/>
        <v>42052</v>
      </c>
      <c r="D1292" s="1">
        <f t="shared" si="172"/>
        <v>3856.04</v>
      </c>
      <c r="E1292" s="4">
        <f t="shared" si="173"/>
        <v>3746.1829999999991</v>
      </c>
      <c r="F1292" s="3">
        <f t="shared" si="174"/>
        <v>1.0293250489898653</v>
      </c>
      <c r="G1292" s="18">
        <f t="shared" si="175"/>
        <v>1</v>
      </c>
      <c r="H1292" s="3">
        <f t="shared" si="176"/>
        <v>1.7535701389086444E-3</v>
      </c>
      <c r="I1292" s="3">
        <f t="shared" si="177"/>
        <v>1.7535701389086444E-3</v>
      </c>
      <c r="K1292" s="12" t="str">
        <f>IF(AND(G1292=1,G1291&lt;&gt;1),MAX($K$50:K1291)+1,"")</f>
        <v/>
      </c>
      <c r="L1292" s="13" t="str">
        <f>IF(AND(G1292&lt;&gt;1,G1291=1),MAX($L$50:L1291)+1,"")</f>
        <v/>
      </c>
      <c r="M1292" s="13" t="str">
        <f>IF(AND(G1292=-1,G1291&lt;&gt;-1),MAX($M$50:M1291)+1,"")</f>
        <v/>
      </c>
      <c r="N1292" s="13" t="str">
        <f>IF(AND(G1292&lt;&gt;-1,G1291=-1),MAX($N$50:N1291)+1,"")</f>
        <v/>
      </c>
      <c r="T1292" s="7">
        <f t="shared" si="178"/>
        <v>128.12249836683313</v>
      </c>
      <c r="U1292" s="1">
        <f t="shared" si="179"/>
        <v>202.5986581130571</v>
      </c>
    </row>
    <row r="1293" spans="1:21" x14ac:dyDescent="0.3">
      <c r="A1293" s="2">
        <v>42053</v>
      </c>
      <c r="B1293" s="1">
        <v>3855</v>
      </c>
      <c r="C1293" s="2">
        <f t="shared" si="171"/>
        <v>42053</v>
      </c>
      <c r="D1293" s="1">
        <f t="shared" si="172"/>
        <v>3855</v>
      </c>
      <c r="E1293" s="4">
        <f t="shared" si="173"/>
        <v>3747.5161999999996</v>
      </c>
      <c r="F1293" s="3">
        <f t="shared" si="174"/>
        <v>1.028681343659035</v>
      </c>
      <c r="G1293" s="18">
        <f t="shared" si="175"/>
        <v>1</v>
      </c>
      <c r="H1293" s="3">
        <f t="shared" si="176"/>
        <v>-2.6970674578064013E-4</v>
      </c>
      <c r="I1293" s="3">
        <f t="shared" si="177"/>
        <v>-2.6970674578064013E-4</v>
      </c>
      <c r="K1293" s="12" t="str">
        <f>IF(AND(G1293=1,G1292&lt;&gt;1),MAX($K$50:K1292)+1,"")</f>
        <v/>
      </c>
      <c r="L1293" s="13" t="str">
        <f>IF(AND(G1293&lt;&gt;1,G1292=1),MAX($L$50:L1292)+1,"")</f>
        <v/>
      </c>
      <c r="M1293" s="13" t="str">
        <f>IF(AND(G1293=-1,G1292&lt;&gt;-1),MAX($M$50:M1292)+1,"")</f>
        <v/>
      </c>
      <c r="N1293" s="13" t="str">
        <f>IF(AND(G1293&lt;&gt;-1,G1292=-1),MAX($N$50:N1292)+1,"")</f>
        <v/>
      </c>
      <c r="T1293" s="7">
        <f t="shared" si="178"/>
        <v>128.08794286473733</v>
      </c>
      <c r="U1293" s="1">
        <f t="shared" si="179"/>
        <v>202.54401588827793</v>
      </c>
    </row>
    <row r="1294" spans="1:21" x14ac:dyDescent="0.3">
      <c r="A1294" s="2">
        <v>42054</v>
      </c>
      <c r="B1294" s="1">
        <v>3851.53</v>
      </c>
      <c r="C1294" s="2">
        <f t="shared" si="171"/>
        <v>42054</v>
      </c>
      <c r="D1294" s="1">
        <f t="shared" si="172"/>
        <v>3851.53</v>
      </c>
      <c r="E1294" s="4">
        <f t="shared" si="173"/>
        <v>3748.6531999999993</v>
      </c>
      <c r="F1294" s="3">
        <f t="shared" si="174"/>
        <v>1.0274436696358045</v>
      </c>
      <c r="G1294" s="18">
        <f t="shared" si="175"/>
        <v>1</v>
      </c>
      <c r="H1294" s="3">
        <f t="shared" si="176"/>
        <v>-9.0012970168606987E-4</v>
      </c>
      <c r="I1294" s="3">
        <f t="shared" si="177"/>
        <v>-9.0012970168606987E-4</v>
      </c>
      <c r="K1294" s="12" t="str">
        <f>IF(AND(G1294=1,G1293&lt;&gt;1),MAX($K$50:K1293)+1,"")</f>
        <v/>
      </c>
      <c r="L1294" s="13" t="str">
        <f>IF(AND(G1294&lt;&gt;1,G1293=1),MAX($L$50:L1293)+1,"")</f>
        <v/>
      </c>
      <c r="M1294" s="13" t="str">
        <f>IF(AND(G1294=-1,G1293&lt;&gt;-1),MAX($M$50:M1293)+1,"")</f>
        <v/>
      </c>
      <c r="N1294" s="13" t="str">
        <f>IF(AND(G1294&lt;&gt;-1,G1293=-1),MAX($N$50:N1293)+1,"")</f>
        <v/>
      </c>
      <c r="T1294" s="7">
        <f t="shared" si="178"/>
        <v>127.9726471029369</v>
      </c>
      <c r="U1294" s="1">
        <f t="shared" si="179"/>
        <v>202.36170000367812</v>
      </c>
    </row>
    <row r="1295" spans="1:21" x14ac:dyDescent="0.3">
      <c r="A1295" s="2">
        <v>42055</v>
      </c>
      <c r="B1295" s="1">
        <v>3875.6</v>
      </c>
      <c r="C1295" s="2">
        <f t="shared" si="171"/>
        <v>42055</v>
      </c>
      <c r="D1295" s="1">
        <f t="shared" si="172"/>
        <v>3875.6</v>
      </c>
      <c r="E1295" s="4">
        <f t="shared" si="173"/>
        <v>3750.8112000000001</v>
      </c>
      <c r="F1295" s="3">
        <f t="shared" si="174"/>
        <v>1.0332698164066483</v>
      </c>
      <c r="G1295" s="18">
        <f t="shared" si="175"/>
        <v>1</v>
      </c>
      <c r="H1295" s="3">
        <f t="shared" si="176"/>
        <v>6.2494644985238157E-3</v>
      </c>
      <c r="I1295" s="3">
        <f t="shared" si="177"/>
        <v>6.2494644985238157E-3</v>
      </c>
      <c r="K1295" s="12" t="str">
        <f>IF(AND(G1295=1,G1294&lt;&gt;1),MAX($K$50:K1294)+1,"")</f>
        <v/>
      </c>
      <c r="L1295" s="13" t="str">
        <f>IF(AND(G1295&lt;&gt;1,G1294=1),MAX($L$50:L1294)+1,"")</f>
        <v/>
      </c>
      <c r="M1295" s="13" t="str">
        <f>IF(AND(G1295=-1,G1294&lt;&gt;-1),MAX($M$50:M1294)+1,"")</f>
        <v/>
      </c>
      <c r="N1295" s="13" t="str">
        <f>IF(AND(G1295&lt;&gt;-1,G1294=-1),MAX($N$50:N1294)+1,"")</f>
        <v/>
      </c>
      <c r="T1295" s="7">
        <f t="shared" si="178"/>
        <v>128.77240761778882</v>
      </c>
      <c r="U1295" s="1">
        <f t="shared" si="179"/>
        <v>203.62635226371205</v>
      </c>
    </row>
    <row r="1296" spans="1:21" x14ac:dyDescent="0.3">
      <c r="A1296" s="2">
        <v>42058</v>
      </c>
      <c r="B1296" s="1">
        <v>3874.46</v>
      </c>
      <c r="C1296" s="2">
        <f t="shared" si="171"/>
        <v>42058</v>
      </c>
      <c r="D1296" s="1">
        <f t="shared" si="172"/>
        <v>3874.46</v>
      </c>
      <c r="E1296" s="4">
        <f t="shared" si="173"/>
        <v>3752.9637999999995</v>
      </c>
      <c r="F1296" s="3">
        <f t="shared" si="174"/>
        <v>1.0323734004575265</v>
      </c>
      <c r="G1296" s="18">
        <f t="shared" si="175"/>
        <v>1</v>
      </c>
      <c r="H1296" s="3">
        <f t="shared" si="176"/>
        <v>-2.941480028898491E-4</v>
      </c>
      <c r="I1296" s="3">
        <f t="shared" si="177"/>
        <v>-2.941480028898491E-4</v>
      </c>
      <c r="K1296" s="12" t="str">
        <f>IF(AND(G1296=1,G1295&lt;&gt;1),MAX($K$50:K1295)+1,"")</f>
        <v/>
      </c>
      <c r="L1296" s="13" t="str">
        <f>IF(AND(G1296&lt;&gt;1,G1295=1),MAX($L$50:L1295)+1,"")</f>
        <v/>
      </c>
      <c r="M1296" s="13" t="str">
        <f>IF(AND(G1296=-1,G1295&lt;&gt;-1),MAX($M$50:M1295)+1,"")</f>
        <v/>
      </c>
      <c r="N1296" s="13" t="str">
        <f>IF(AND(G1296&lt;&gt;-1,G1295=-1),MAX($N$50:N1295)+1,"")</f>
        <v/>
      </c>
      <c r="T1296" s="7">
        <f t="shared" si="178"/>
        <v>128.73452947126071</v>
      </c>
      <c r="U1296" s="1">
        <f t="shared" si="179"/>
        <v>203.56645597885793</v>
      </c>
    </row>
    <row r="1297" spans="1:21" x14ac:dyDescent="0.3">
      <c r="A1297" s="2">
        <v>42059</v>
      </c>
      <c r="B1297" s="1">
        <v>3885.27</v>
      </c>
      <c r="C1297" s="2">
        <f t="shared" si="171"/>
        <v>42059</v>
      </c>
      <c r="D1297" s="1">
        <f t="shared" si="172"/>
        <v>3885.27</v>
      </c>
      <c r="E1297" s="4">
        <f t="shared" si="173"/>
        <v>3756.5589999999997</v>
      </c>
      <c r="F1297" s="3">
        <f t="shared" si="174"/>
        <v>1.0342630050532948</v>
      </c>
      <c r="G1297" s="18">
        <f t="shared" si="175"/>
        <v>1</v>
      </c>
      <c r="H1297" s="3">
        <f t="shared" si="176"/>
        <v>2.7900662285840205E-3</v>
      </c>
      <c r="I1297" s="3">
        <f t="shared" si="177"/>
        <v>2.7900662285840205E-3</v>
      </c>
      <c r="K1297" s="12" t="str">
        <f>IF(AND(G1297=1,G1296&lt;&gt;1),MAX($K$50:K1296)+1,"")</f>
        <v/>
      </c>
      <c r="L1297" s="13" t="str">
        <f>IF(AND(G1297&lt;&gt;1,G1296=1),MAX($L$50:L1296)+1,"")</f>
        <v/>
      </c>
      <c r="M1297" s="13" t="str">
        <f>IF(AND(G1297=-1,G1296&lt;&gt;-1),MAX($M$50:M1296)+1,"")</f>
        <v/>
      </c>
      <c r="N1297" s="13" t="str">
        <f>IF(AND(G1297&lt;&gt;-1,G1296=-1),MAX($N$50:N1296)+1,"")</f>
        <v/>
      </c>
      <c r="T1297" s="7">
        <f t="shared" si="178"/>
        <v>129.09370733439113</v>
      </c>
      <c r="U1297" s="1">
        <f t="shared" si="179"/>
        <v>204.1344198729571</v>
      </c>
    </row>
    <row r="1298" spans="1:21" x14ac:dyDescent="0.3">
      <c r="A1298" s="2">
        <v>42060</v>
      </c>
      <c r="B1298" s="1">
        <v>3882.95</v>
      </c>
      <c r="C1298" s="2">
        <f t="shared" si="171"/>
        <v>42060</v>
      </c>
      <c r="D1298" s="1">
        <f t="shared" si="172"/>
        <v>3882.95</v>
      </c>
      <c r="E1298" s="4">
        <f t="shared" si="173"/>
        <v>3759.7515999999996</v>
      </c>
      <c r="F1298" s="3">
        <f t="shared" si="174"/>
        <v>1.0327676966744292</v>
      </c>
      <c r="G1298" s="18">
        <f t="shared" si="175"/>
        <v>1</v>
      </c>
      <c r="H1298" s="3">
        <f t="shared" si="176"/>
        <v>-5.9712709798809271E-4</v>
      </c>
      <c r="I1298" s="3">
        <f t="shared" si="177"/>
        <v>-5.9712709798809271E-4</v>
      </c>
      <c r="K1298" s="12" t="str">
        <f>IF(AND(G1298=1,G1297&lt;&gt;1),MAX($K$50:K1297)+1,"")</f>
        <v/>
      </c>
      <c r="L1298" s="13" t="str">
        <f>IF(AND(G1298&lt;&gt;1,G1297=1),MAX($L$50:L1297)+1,"")</f>
        <v/>
      </c>
      <c r="M1298" s="13" t="str">
        <f>IF(AND(G1298=-1,G1297&lt;&gt;-1),MAX($M$50:M1297)+1,"")</f>
        <v/>
      </c>
      <c r="N1298" s="13" t="str">
        <f>IF(AND(G1298&lt;&gt;-1,G1297=-1),MAX($N$50:N1297)+1,"")</f>
        <v/>
      </c>
      <c r="T1298" s="7">
        <f t="shared" si="178"/>
        <v>129.016621983562</v>
      </c>
      <c r="U1298" s="1">
        <f t="shared" si="179"/>
        <v>204.01252567921887</v>
      </c>
    </row>
    <row r="1299" spans="1:21" x14ac:dyDescent="0.3">
      <c r="A1299" s="2">
        <v>42061</v>
      </c>
      <c r="B1299" s="1">
        <v>3877.85</v>
      </c>
      <c r="C1299" s="2">
        <f t="shared" si="171"/>
        <v>42061</v>
      </c>
      <c r="D1299" s="1">
        <f t="shared" si="172"/>
        <v>3877.85</v>
      </c>
      <c r="E1299" s="4">
        <f t="shared" si="173"/>
        <v>3764.0466000000001</v>
      </c>
      <c r="F1299" s="3">
        <f t="shared" si="174"/>
        <v>1.0302343228163009</v>
      </c>
      <c r="G1299" s="18">
        <f t="shared" si="175"/>
        <v>1</v>
      </c>
      <c r="H1299" s="3">
        <f t="shared" si="176"/>
        <v>-1.3134343733501863E-3</v>
      </c>
      <c r="I1299" s="3">
        <f t="shared" si="177"/>
        <v>-1.3134343733501863E-3</v>
      </c>
      <c r="K1299" s="12" t="str">
        <f>IF(AND(G1299=1,G1298&lt;&gt;1),MAX($K$50:K1298)+1,"")</f>
        <v/>
      </c>
      <c r="L1299" s="13" t="str">
        <f>IF(AND(G1299&lt;&gt;1,G1298=1),MAX($L$50:L1298)+1,"")</f>
        <v/>
      </c>
      <c r="M1299" s="13" t="str">
        <f>IF(AND(G1299=-1,G1298&lt;&gt;-1),MAX($M$50:M1298)+1,"")</f>
        <v/>
      </c>
      <c r="N1299" s="13" t="str">
        <f>IF(AND(G1299&lt;&gt;-1,G1298=-1),MAX($N$50:N1298)+1,"")</f>
        <v/>
      </c>
      <c r="T1299" s="7">
        <f t="shared" si="178"/>
        <v>128.84716711751526</v>
      </c>
      <c r="U1299" s="1">
        <f t="shared" si="179"/>
        <v>203.74456861539781</v>
      </c>
    </row>
    <row r="1300" spans="1:21" x14ac:dyDescent="0.3">
      <c r="A1300" s="2">
        <v>42062</v>
      </c>
      <c r="B1300" s="1">
        <v>3866.42</v>
      </c>
      <c r="C1300" s="2">
        <f t="shared" si="171"/>
        <v>42062</v>
      </c>
      <c r="D1300" s="1">
        <f t="shared" si="172"/>
        <v>3866.42</v>
      </c>
      <c r="E1300" s="4">
        <f t="shared" si="173"/>
        <v>3768.5756000000006</v>
      </c>
      <c r="F1300" s="3">
        <f t="shared" si="174"/>
        <v>1.0259632313068099</v>
      </c>
      <c r="G1300" s="18">
        <f t="shared" si="175"/>
        <v>1</v>
      </c>
      <c r="H1300" s="3">
        <f t="shared" si="176"/>
        <v>-2.9475095736039014E-3</v>
      </c>
      <c r="I1300" s="3">
        <f t="shared" si="177"/>
        <v>-2.9475095736039014E-3</v>
      </c>
      <c r="K1300" s="12" t="str">
        <f>IF(AND(G1300=1,G1299&lt;&gt;1),MAX($K$50:K1299)+1,"")</f>
        <v/>
      </c>
      <c r="L1300" s="13" t="str">
        <f>IF(AND(G1300&lt;&gt;1,G1299=1),MAX($L$50:L1299)+1,"")</f>
        <v/>
      </c>
      <c r="M1300" s="13" t="str">
        <f>IF(AND(G1300=-1,G1299&lt;&gt;-1),MAX($M$50:M1299)+1,"")</f>
        <v/>
      </c>
      <c r="N1300" s="13" t="str">
        <f>IF(AND(G1300&lt;&gt;-1,G1299=-1),MAX($N$50:N1299)+1,"")</f>
        <v/>
      </c>
      <c r="T1300" s="7">
        <f t="shared" si="178"/>
        <v>128.46738885890463</v>
      </c>
      <c r="U1300" s="1">
        <f t="shared" si="179"/>
        <v>203.14402954883414</v>
      </c>
    </row>
    <row r="1301" spans="1:21" x14ac:dyDescent="0.3">
      <c r="A1301" s="2">
        <v>42065</v>
      </c>
      <c r="B1301" s="1">
        <v>3890.32</v>
      </c>
      <c r="C1301" s="2">
        <f t="shared" si="171"/>
        <v>42065</v>
      </c>
      <c r="D1301" s="1">
        <f t="shared" si="172"/>
        <v>3890.32</v>
      </c>
      <c r="E1301" s="4">
        <f t="shared" si="173"/>
        <v>3774.2008000000005</v>
      </c>
      <c r="F1301" s="3">
        <f t="shared" si="174"/>
        <v>1.0307665665271439</v>
      </c>
      <c r="G1301" s="18">
        <f t="shared" si="175"/>
        <v>1</v>
      </c>
      <c r="H1301" s="3">
        <f t="shared" si="176"/>
        <v>6.1814288152866048E-3</v>
      </c>
      <c r="I1301" s="3">
        <f t="shared" si="177"/>
        <v>6.1814288152866048E-3</v>
      </c>
      <c r="K1301" s="12" t="str">
        <f>IF(AND(G1301=1,G1300&lt;&gt;1),MAX($K$50:K1300)+1,"")</f>
        <v/>
      </c>
      <c r="L1301" s="13" t="str">
        <f>IF(AND(G1301&lt;&gt;1,G1300=1),MAX($L$50:L1300)+1,"")</f>
        <v/>
      </c>
      <c r="M1301" s="13" t="str">
        <f>IF(AND(G1301=-1,G1300&lt;&gt;-1),MAX($M$50:M1300)+1,"")</f>
        <v/>
      </c>
      <c r="N1301" s="13" t="str">
        <f>IF(AND(G1301&lt;&gt;-1,G1300=-1),MAX($N$50:N1300)+1,"")</f>
        <v/>
      </c>
      <c r="T1301" s="7">
        <f t="shared" si="178"/>
        <v>129.26150087822168</v>
      </c>
      <c r="U1301" s="1">
        <f t="shared" si="179"/>
        <v>204.39974990674071</v>
      </c>
    </row>
    <row r="1302" spans="1:21" x14ac:dyDescent="0.3">
      <c r="A1302" s="2">
        <v>42066</v>
      </c>
      <c r="B1302" s="1">
        <v>3872.71</v>
      </c>
      <c r="C1302" s="2">
        <f t="shared" si="171"/>
        <v>42066</v>
      </c>
      <c r="D1302" s="1">
        <f t="shared" si="172"/>
        <v>3872.71</v>
      </c>
      <c r="E1302" s="4">
        <f t="shared" si="173"/>
        <v>3778.0010000000011</v>
      </c>
      <c r="F1302" s="3">
        <f t="shared" si="174"/>
        <v>1.0250685481554924</v>
      </c>
      <c r="G1302" s="18">
        <f t="shared" si="175"/>
        <v>1</v>
      </c>
      <c r="H1302" s="3">
        <f t="shared" si="176"/>
        <v>-4.5266199181558386E-3</v>
      </c>
      <c r="I1302" s="3">
        <f t="shared" si="177"/>
        <v>-4.5266199181558386E-3</v>
      </c>
      <c r="K1302" s="12" t="str">
        <f>IF(AND(G1302=1,G1301&lt;&gt;1),MAX($K$50:K1301)+1,"")</f>
        <v/>
      </c>
      <c r="L1302" s="13" t="str">
        <f>IF(AND(G1302&lt;&gt;1,G1301=1),MAX($L$50:L1301)+1,"")</f>
        <v/>
      </c>
      <c r="M1302" s="13" t="str">
        <f>IF(AND(G1302=-1,G1301&lt;&gt;-1),MAX($M$50:M1301)+1,"")</f>
        <v/>
      </c>
      <c r="N1302" s="13" t="str">
        <f>IF(AND(G1302&lt;&gt;-1,G1301=-1),MAX($N$50:N1301)+1,"")</f>
        <v/>
      </c>
      <c r="T1302" s="7">
        <f t="shared" si="178"/>
        <v>128.67638319369561</v>
      </c>
      <c r="U1302" s="1">
        <f t="shared" si="179"/>
        <v>203.47450992754679</v>
      </c>
    </row>
    <row r="1303" spans="1:21" x14ac:dyDescent="0.3">
      <c r="A1303" s="2">
        <v>42067</v>
      </c>
      <c r="B1303" s="1">
        <v>3856.51</v>
      </c>
      <c r="C1303" s="2">
        <f t="shared" si="171"/>
        <v>42067</v>
      </c>
      <c r="D1303" s="1">
        <f t="shared" si="172"/>
        <v>3856.51</v>
      </c>
      <c r="E1303" s="4">
        <f t="shared" si="173"/>
        <v>3779.6968000000006</v>
      </c>
      <c r="F1303" s="3">
        <f t="shared" si="174"/>
        <v>1.0203225824886271</v>
      </c>
      <c r="G1303" s="18">
        <f t="shared" si="175"/>
        <v>1</v>
      </c>
      <c r="H1303" s="3">
        <f t="shared" si="176"/>
        <v>-4.1831172486449519E-3</v>
      </c>
      <c r="I1303" s="3">
        <f t="shared" si="177"/>
        <v>-4.1831172486449519E-3</v>
      </c>
      <c r="K1303" s="12" t="str">
        <f>IF(AND(G1303=1,G1302&lt;&gt;1),MAX($K$50:K1302)+1,"")</f>
        <v/>
      </c>
      <c r="L1303" s="13" t="str">
        <f>IF(AND(G1303&lt;&gt;1,G1302=1),MAX($L$50:L1302)+1,"")</f>
        <v/>
      </c>
      <c r="M1303" s="13" t="str">
        <f>IF(AND(G1303=-1,G1302&lt;&gt;-1),MAX($M$50:M1302)+1,"")</f>
        <v/>
      </c>
      <c r="N1303" s="13" t="str">
        <f>IF(AND(G1303&lt;&gt;-1,G1302=-1),MAX($N$50:N1302)+1,"")</f>
        <v/>
      </c>
      <c r="T1303" s="7">
        <f t="shared" si="178"/>
        <v>128.13811479566482</v>
      </c>
      <c r="U1303" s="1">
        <f t="shared" si="179"/>
        <v>202.62335219540927</v>
      </c>
    </row>
    <row r="1304" spans="1:21" x14ac:dyDescent="0.3">
      <c r="A1304" s="2">
        <v>42068</v>
      </c>
      <c r="B1304" s="1">
        <v>3861.29</v>
      </c>
      <c r="C1304" s="2">
        <f t="shared" si="171"/>
        <v>42068</v>
      </c>
      <c r="D1304" s="1">
        <f t="shared" si="172"/>
        <v>3861.29</v>
      </c>
      <c r="E1304" s="4">
        <f t="shared" si="173"/>
        <v>3781.1432000000004</v>
      </c>
      <c r="F1304" s="3">
        <f t="shared" si="174"/>
        <v>1.0211964466196359</v>
      </c>
      <c r="G1304" s="18">
        <f t="shared" si="175"/>
        <v>1</v>
      </c>
      <c r="H1304" s="3">
        <f t="shared" si="176"/>
        <v>1.2394626229415007E-3</v>
      </c>
      <c r="I1304" s="3">
        <f t="shared" si="177"/>
        <v>1.2394626229415007E-3</v>
      </c>
      <c r="K1304" s="12" t="str">
        <f>IF(AND(G1304=1,G1303&lt;&gt;1),MAX($K$50:K1303)+1,"")</f>
        <v/>
      </c>
      <c r="L1304" s="13" t="str">
        <f>IF(AND(G1304&lt;&gt;1,G1303=1),MAX($L$50:L1303)+1,"")</f>
        <v/>
      </c>
      <c r="M1304" s="13" t="str">
        <f>IF(AND(G1304=-1,G1303&lt;&gt;-1),MAX($M$50:M1303)+1,"")</f>
        <v/>
      </c>
      <c r="N1304" s="13" t="str">
        <f>IF(AND(G1304&lt;&gt;-1,G1303=-1),MAX($N$50:N1303)+1,"")</f>
        <v/>
      </c>
      <c r="T1304" s="7">
        <f t="shared" si="178"/>
        <v>128.29693719952823</v>
      </c>
      <c r="U1304" s="1">
        <f t="shared" si="179"/>
        <v>202.87449626699058</v>
      </c>
    </row>
    <row r="1305" spans="1:21" x14ac:dyDescent="0.3">
      <c r="A1305" s="2">
        <v>42069</v>
      </c>
      <c r="B1305" s="1">
        <v>3807.04</v>
      </c>
      <c r="C1305" s="2">
        <f t="shared" si="171"/>
        <v>42069</v>
      </c>
      <c r="D1305" s="1">
        <f t="shared" si="172"/>
        <v>3807.04</v>
      </c>
      <c r="E1305" s="4">
        <f t="shared" si="173"/>
        <v>3781.2052000000012</v>
      </c>
      <c r="F1305" s="3">
        <f t="shared" si="174"/>
        <v>1.0068324247517693</v>
      </c>
      <c r="G1305" s="18">
        <f t="shared" si="175"/>
        <v>1</v>
      </c>
      <c r="H1305" s="3">
        <f t="shared" si="176"/>
        <v>-1.4049708776082581E-2</v>
      </c>
      <c r="I1305" s="3">
        <f t="shared" si="177"/>
        <v>-1.4049708776082581E-2</v>
      </c>
      <c r="K1305" s="12" t="str">
        <f>IF(AND(G1305=1,G1304&lt;&gt;1),MAX($K$50:K1304)+1,"")</f>
        <v/>
      </c>
      <c r="L1305" s="13" t="str">
        <f>IF(AND(G1305&lt;&gt;1,G1304=1),MAX($L$50:L1304)+1,"")</f>
        <v/>
      </c>
      <c r="M1305" s="13" t="str">
        <f>IF(AND(G1305=-1,G1304&lt;&gt;-1),MAX($M$50:M1304)+1,"")</f>
        <v/>
      </c>
      <c r="N1305" s="13" t="str">
        <f>IF(AND(G1305&lt;&gt;-1,G1304=-1),MAX($N$50:N1304)+1,"")</f>
        <v/>
      </c>
      <c r="T1305" s="7">
        <f t="shared" si="178"/>
        <v>126.49440259501151</v>
      </c>
      <c r="U1305" s="1">
        <f t="shared" si="179"/>
        <v>200.02416867634491</v>
      </c>
    </row>
    <row r="1306" spans="1:21" x14ac:dyDescent="0.3">
      <c r="A1306" s="2">
        <v>42072</v>
      </c>
      <c r="B1306" s="1">
        <v>3822.42</v>
      </c>
      <c r="C1306" s="2">
        <f t="shared" si="171"/>
        <v>42072</v>
      </c>
      <c r="D1306" s="1">
        <f t="shared" si="172"/>
        <v>3822.42</v>
      </c>
      <c r="E1306" s="4">
        <f t="shared" si="173"/>
        <v>3781.4380000000015</v>
      </c>
      <c r="F1306" s="3">
        <f t="shared" si="174"/>
        <v>1.0108376760375282</v>
      </c>
      <c r="G1306" s="18">
        <f t="shared" si="175"/>
        <v>1</v>
      </c>
      <c r="H1306" s="3">
        <f t="shared" si="176"/>
        <v>4.0398840043709416E-3</v>
      </c>
      <c r="I1306" s="3">
        <f t="shared" si="177"/>
        <v>4.0398840043709416E-3</v>
      </c>
      <c r="K1306" s="12" t="str">
        <f>IF(AND(G1306=1,G1305&lt;&gt;1),MAX($K$50:K1305)+1,"")</f>
        <v/>
      </c>
      <c r="L1306" s="13" t="str">
        <f>IF(AND(G1306&lt;&gt;1,G1305=1),MAX($L$50:L1305)+1,"")</f>
        <v/>
      </c>
      <c r="M1306" s="13" t="str">
        <f>IF(AND(G1306=-1,G1305&lt;&gt;-1),MAX($M$50:M1305)+1,"")</f>
        <v/>
      </c>
      <c r="N1306" s="13" t="str">
        <f>IF(AND(G1306&lt;&gt;-1,G1305=-1),MAX($N$50:N1305)+1,"")</f>
        <v/>
      </c>
      <c r="T1306" s="7">
        <f t="shared" si="178"/>
        <v>127.00542530869755</v>
      </c>
      <c r="U1306" s="1">
        <f t="shared" si="179"/>
        <v>200.83224311586807</v>
      </c>
    </row>
    <row r="1307" spans="1:21" x14ac:dyDescent="0.3">
      <c r="A1307" s="2">
        <v>42073</v>
      </c>
      <c r="B1307" s="1">
        <v>3757.83</v>
      </c>
      <c r="C1307" s="2">
        <f t="shared" si="171"/>
        <v>42073</v>
      </c>
      <c r="D1307" s="1">
        <f t="shared" si="172"/>
        <v>3757.83</v>
      </c>
      <c r="E1307" s="4">
        <f t="shared" si="173"/>
        <v>3780.3868000000011</v>
      </c>
      <c r="F1307" s="3">
        <f t="shared" si="174"/>
        <v>0.99403320316323152</v>
      </c>
      <c r="G1307" s="18">
        <f t="shared" si="175"/>
        <v>1</v>
      </c>
      <c r="H1307" s="3">
        <f t="shared" si="176"/>
        <v>-1.6897672155336219E-2</v>
      </c>
      <c r="I1307" s="3">
        <f t="shared" si="177"/>
        <v>-1.6897672155336219E-2</v>
      </c>
      <c r="K1307" s="12" t="str">
        <f>IF(AND(G1307=1,G1306&lt;&gt;1),MAX($K$50:K1306)+1,"")</f>
        <v/>
      </c>
      <c r="L1307" s="13" t="str">
        <f>IF(AND(G1307&lt;&gt;1,G1306=1),MAX($L$50:L1306)+1,"")</f>
        <v/>
      </c>
      <c r="M1307" s="13" t="str">
        <f>IF(AND(G1307=-1,G1306&lt;&gt;-1),MAX($M$50:M1306)+1,"")</f>
        <v/>
      </c>
      <c r="N1307" s="13" t="str">
        <f>IF(AND(G1307&lt;&gt;-1,G1306=-1),MAX($N$50:N1306)+1,"")</f>
        <v/>
      </c>
      <c r="T1307" s="7">
        <f t="shared" si="178"/>
        <v>124.85932926988214</v>
      </c>
      <c r="U1307" s="1">
        <f t="shared" si="179"/>
        <v>197.43864571347535</v>
      </c>
    </row>
    <row r="1308" spans="1:21" x14ac:dyDescent="0.3">
      <c r="A1308" s="2">
        <v>42074</v>
      </c>
      <c r="B1308" s="1">
        <v>3751.2</v>
      </c>
      <c r="C1308" s="2">
        <f t="shared" si="171"/>
        <v>42074</v>
      </c>
      <c r="D1308" s="1">
        <f t="shared" si="172"/>
        <v>3751.2</v>
      </c>
      <c r="E1308" s="4">
        <f t="shared" si="173"/>
        <v>3778.9508000000014</v>
      </c>
      <c r="F1308" s="3">
        <f t="shared" si="174"/>
        <v>0.99265648020609276</v>
      </c>
      <c r="G1308" s="18">
        <f t="shared" si="175"/>
        <v>1</v>
      </c>
      <c r="H1308" s="3">
        <f t="shared" si="176"/>
        <v>-1.7643161079665681E-3</v>
      </c>
      <c r="I1308" s="3">
        <f t="shared" si="177"/>
        <v>-1.7643161079665681E-3</v>
      </c>
      <c r="K1308" s="12" t="str">
        <f>IF(AND(G1308=1,G1307&lt;&gt;1),MAX($K$50:K1307)+1,"")</f>
        <v/>
      </c>
      <c r="L1308" s="13" t="str">
        <f>IF(AND(G1308&lt;&gt;1,G1307=1),MAX($L$50:L1307)+1,"")</f>
        <v/>
      </c>
      <c r="M1308" s="13" t="str">
        <f>IF(AND(G1308=-1,G1307&lt;&gt;-1),MAX($M$50:M1307)+1,"")</f>
        <v/>
      </c>
      <c r="N1308" s="13" t="str">
        <f>IF(AND(G1308&lt;&gt;-1,G1307=-1),MAX($N$50:N1307)+1,"")</f>
        <v/>
      </c>
      <c r="T1308" s="7">
        <f t="shared" si="178"/>
        <v>124.63903794402138</v>
      </c>
      <c r="U1308" s="1">
        <f t="shared" si="179"/>
        <v>197.09030153050796</v>
      </c>
    </row>
    <row r="1309" spans="1:21" x14ac:dyDescent="0.3">
      <c r="A1309" s="2">
        <v>42075</v>
      </c>
      <c r="B1309" s="1">
        <v>3799.43</v>
      </c>
      <c r="C1309" s="2">
        <f t="shared" si="171"/>
        <v>42075</v>
      </c>
      <c r="D1309" s="1">
        <f t="shared" si="172"/>
        <v>3799.43</v>
      </c>
      <c r="E1309" s="4">
        <f t="shared" si="173"/>
        <v>3778.4004000000014</v>
      </c>
      <c r="F1309" s="3">
        <f t="shared" si="174"/>
        <v>1.0055657415238466</v>
      </c>
      <c r="G1309" s="18">
        <f t="shared" si="175"/>
        <v>1</v>
      </c>
      <c r="H1309" s="3">
        <f t="shared" si="176"/>
        <v>1.2857219023245881E-2</v>
      </c>
      <c r="I1309" s="3">
        <f t="shared" si="177"/>
        <v>1.2857219023245881E-2</v>
      </c>
      <c r="K1309" s="12" t="str">
        <f>IF(AND(G1309=1,G1308&lt;&gt;1),MAX($K$50:K1308)+1,"")</f>
        <v/>
      </c>
      <c r="L1309" s="13" t="str">
        <f>IF(AND(G1309&lt;&gt;1,G1308=1),MAX($L$50:L1308)+1,"")</f>
        <v/>
      </c>
      <c r="M1309" s="13" t="str">
        <f>IF(AND(G1309=-1,G1308&lt;&gt;-1),MAX($M$50:M1308)+1,"")</f>
        <v/>
      </c>
      <c r="N1309" s="13" t="str">
        <f>IF(AND(G1309&lt;&gt;-1,G1308=-1),MAX($N$50:N1308)+1,"")</f>
        <v/>
      </c>
      <c r="T1309" s="7">
        <f t="shared" si="178"/>
        <v>126.24154935371432</v>
      </c>
      <c r="U1309" s="1">
        <f t="shared" si="179"/>
        <v>199.62433470464327</v>
      </c>
    </row>
    <row r="1310" spans="1:21" x14ac:dyDescent="0.3">
      <c r="A1310" s="2">
        <v>42076</v>
      </c>
      <c r="B1310" s="1">
        <v>3776.44</v>
      </c>
      <c r="C1310" s="2">
        <f t="shared" si="171"/>
        <v>42076</v>
      </c>
      <c r="D1310" s="1">
        <f t="shared" si="172"/>
        <v>3776.44</v>
      </c>
      <c r="E1310" s="4">
        <f t="shared" si="173"/>
        <v>3777.7554000000009</v>
      </c>
      <c r="F1310" s="3">
        <f t="shared" si="174"/>
        <v>0.99965180381980245</v>
      </c>
      <c r="G1310" s="18">
        <f t="shared" si="175"/>
        <v>1</v>
      </c>
      <c r="H1310" s="3">
        <f t="shared" si="176"/>
        <v>-6.0509076361453529E-3</v>
      </c>
      <c r="I1310" s="3">
        <f t="shared" si="177"/>
        <v>-6.0509076361453529E-3</v>
      </c>
      <c r="K1310" s="12" t="str">
        <f>IF(AND(G1310=1,G1309&lt;&gt;1),MAX($K$50:K1309)+1,"")</f>
        <v/>
      </c>
      <c r="L1310" s="13" t="str">
        <f>IF(AND(G1310&lt;&gt;1,G1309=1),MAX($L$50:L1309)+1,"")</f>
        <v/>
      </c>
      <c r="M1310" s="13" t="str">
        <f>IF(AND(G1310=-1,G1309&lt;&gt;-1),MAX($M$50:M1309)+1,"")</f>
        <v/>
      </c>
      <c r="N1310" s="13" t="str">
        <f>IF(AND(G1310&lt;&gt;-1,G1309=-1),MAX($N$50:N1309)+1,"")</f>
        <v/>
      </c>
      <c r="T1310" s="7">
        <f t="shared" si="178"/>
        <v>125.47767339873111</v>
      </c>
      <c r="U1310" s="1">
        <f t="shared" si="179"/>
        <v>198.41642629341851</v>
      </c>
    </row>
    <row r="1311" spans="1:21" x14ac:dyDescent="0.3">
      <c r="A1311" s="2">
        <v>42079</v>
      </c>
      <c r="B1311" s="1">
        <v>3827.62</v>
      </c>
      <c r="C1311" s="2">
        <f t="shared" si="171"/>
        <v>42079</v>
      </c>
      <c r="D1311" s="1">
        <f t="shared" si="172"/>
        <v>3827.62</v>
      </c>
      <c r="E1311" s="4">
        <f t="shared" si="173"/>
        <v>3778.9190000000008</v>
      </c>
      <c r="F1311" s="3">
        <f t="shared" si="174"/>
        <v>1.0128875479998378</v>
      </c>
      <c r="G1311" s="18">
        <f t="shared" si="175"/>
        <v>1</v>
      </c>
      <c r="H1311" s="3">
        <f t="shared" si="176"/>
        <v>1.3552446219190495E-2</v>
      </c>
      <c r="I1311" s="3">
        <f t="shared" si="177"/>
        <v>1.3552446219190495E-2</v>
      </c>
      <c r="K1311" s="12" t="str">
        <f>IF(AND(G1311=1,G1310&lt;&gt;1),MAX($K$50:K1310)+1,"")</f>
        <v/>
      </c>
      <c r="L1311" s="13" t="str">
        <f>IF(AND(G1311&lt;&gt;1,G1310=1),MAX($L$50:L1310)+1,"")</f>
        <v/>
      </c>
      <c r="M1311" s="13" t="str">
        <f>IF(AND(G1311=-1,G1310&lt;&gt;-1),MAX($M$50:M1310)+1,"")</f>
        <v/>
      </c>
      <c r="N1311" s="13" t="str">
        <f>IF(AND(G1311&lt;&gt;-1,G1310=-1),MAX($N$50:N1310)+1,"")</f>
        <v/>
      </c>
      <c r="T1311" s="7">
        <f t="shared" si="178"/>
        <v>127.17820281917656</v>
      </c>
      <c r="U1311" s="1">
        <f t="shared" si="179"/>
        <v>201.10545423976404</v>
      </c>
    </row>
    <row r="1312" spans="1:21" x14ac:dyDescent="0.3">
      <c r="A1312" s="2">
        <v>42080</v>
      </c>
      <c r="B1312" s="1">
        <v>3814.91</v>
      </c>
      <c r="C1312" s="2">
        <f t="shared" si="171"/>
        <v>42080</v>
      </c>
      <c r="D1312" s="1">
        <f t="shared" si="172"/>
        <v>3814.91</v>
      </c>
      <c r="E1312" s="4">
        <f t="shared" si="173"/>
        <v>3779.8436000000011</v>
      </c>
      <c r="F1312" s="3">
        <f t="shared" si="174"/>
        <v>1.0092772092474933</v>
      </c>
      <c r="G1312" s="18">
        <f t="shared" si="175"/>
        <v>1</v>
      </c>
      <c r="H1312" s="3">
        <f t="shared" si="176"/>
        <v>-3.3206013136100054E-3</v>
      </c>
      <c r="I1312" s="3">
        <f t="shared" si="177"/>
        <v>-3.3206013136100054E-3</v>
      </c>
      <c r="K1312" s="12" t="str">
        <f>IF(AND(G1312=1,G1311&lt;&gt;1),MAX($K$50:K1311)+1,"")</f>
        <v/>
      </c>
      <c r="L1312" s="13" t="str">
        <f>IF(AND(G1312&lt;&gt;1,G1311=1),MAX($L$50:L1311)+1,"")</f>
        <v/>
      </c>
      <c r="M1312" s="13" t="str">
        <f>IF(AND(G1312=-1,G1311&lt;&gt;-1),MAX($M$50:M1311)+1,"")</f>
        <v/>
      </c>
      <c r="N1312" s="13" t="str">
        <f>IF(AND(G1312&lt;&gt;-1,G1311=-1),MAX($N$50:N1311)+1,"")</f>
        <v/>
      </c>
      <c r="T1312" s="7">
        <f t="shared" si="178"/>
        <v>126.75589471183264</v>
      </c>
      <c r="U1312" s="1">
        <f t="shared" si="179"/>
        <v>200.43766320424135</v>
      </c>
    </row>
    <row r="1313" spans="1:21" x14ac:dyDescent="0.3">
      <c r="A1313" s="2">
        <v>42081</v>
      </c>
      <c r="B1313" s="1">
        <v>3861.39</v>
      </c>
      <c r="C1313" s="2">
        <f t="shared" si="171"/>
        <v>42081</v>
      </c>
      <c r="D1313" s="1">
        <f t="shared" si="172"/>
        <v>3861.39</v>
      </c>
      <c r="E1313" s="4">
        <f t="shared" si="173"/>
        <v>3783.0708000000013</v>
      </c>
      <c r="F1313" s="3">
        <f t="shared" si="174"/>
        <v>1.0207025467247397</v>
      </c>
      <c r="G1313" s="18">
        <f t="shared" si="175"/>
        <v>1</v>
      </c>
      <c r="H1313" s="3">
        <f t="shared" si="176"/>
        <v>1.2183773667006514E-2</v>
      </c>
      <c r="I1313" s="3">
        <f t="shared" si="177"/>
        <v>1.2183773667006514E-2</v>
      </c>
      <c r="K1313" s="12" t="str">
        <f>IF(AND(G1313=1,G1312&lt;&gt;1),MAX($K$50:K1312)+1,"")</f>
        <v/>
      </c>
      <c r="L1313" s="13" t="str">
        <f>IF(AND(G1313&lt;&gt;1,G1312=1),MAX($L$50:L1312)+1,"")</f>
        <v/>
      </c>
      <c r="M1313" s="13" t="str">
        <f>IF(AND(G1313=-1,G1312&lt;&gt;-1),MAX($M$50:M1312)+1,"")</f>
        <v/>
      </c>
      <c r="N1313" s="13" t="str">
        <f>IF(AND(G1313&lt;&gt;-1,G1312=-1),MAX($N$50:N1312)+1,"")</f>
        <v/>
      </c>
      <c r="T1313" s="7">
        <f t="shared" si="178"/>
        <v>128.3002598439605</v>
      </c>
      <c r="U1313" s="1">
        <f t="shared" si="179"/>
        <v>202.87975032706552</v>
      </c>
    </row>
    <row r="1314" spans="1:21" x14ac:dyDescent="0.3">
      <c r="A1314" s="2">
        <v>42082</v>
      </c>
      <c r="B1314" s="1">
        <v>3842.62</v>
      </c>
      <c r="C1314" s="2">
        <f t="shared" si="171"/>
        <v>42082</v>
      </c>
      <c r="D1314" s="1">
        <f t="shared" si="172"/>
        <v>3842.62</v>
      </c>
      <c r="E1314" s="4">
        <f t="shared" si="173"/>
        <v>3786.5804000000007</v>
      </c>
      <c r="F1314" s="3">
        <f t="shared" si="174"/>
        <v>1.01479952729909</v>
      </c>
      <c r="G1314" s="18">
        <f t="shared" si="175"/>
        <v>1</v>
      </c>
      <c r="H1314" s="3">
        <f t="shared" si="176"/>
        <v>-4.8609438570048624E-3</v>
      </c>
      <c r="I1314" s="3">
        <f t="shared" si="177"/>
        <v>-4.8609438570048624E-3</v>
      </c>
      <c r="K1314" s="12" t="str">
        <f>IF(AND(G1314=1,G1313&lt;&gt;1),MAX($K$50:K1313)+1,"")</f>
        <v/>
      </c>
      <c r="L1314" s="13" t="str">
        <f>IF(AND(G1314&lt;&gt;1,G1313=1),MAX($L$50:L1313)+1,"")</f>
        <v/>
      </c>
      <c r="M1314" s="13" t="str">
        <f>IF(AND(G1314=-1,G1313&lt;&gt;-1),MAX($M$50:M1313)+1,"")</f>
        <v/>
      </c>
      <c r="N1314" s="13" t="str">
        <f>IF(AND(G1314&lt;&gt;-1,G1313=-1),MAX($N$50:N1313)+1,"")</f>
        <v/>
      </c>
      <c r="T1314" s="7">
        <f t="shared" si="178"/>
        <v>127.67659948401987</v>
      </c>
      <c r="U1314" s="1">
        <f t="shared" si="179"/>
        <v>201.89356325100249</v>
      </c>
    </row>
    <row r="1315" spans="1:21" x14ac:dyDescent="0.3">
      <c r="A1315" s="2">
        <v>42083</v>
      </c>
      <c r="B1315" s="1">
        <v>3877.26</v>
      </c>
      <c r="C1315" s="2">
        <f t="shared" si="171"/>
        <v>42083</v>
      </c>
      <c r="D1315" s="1">
        <f t="shared" si="172"/>
        <v>3877.26</v>
      </c>
      <c r="E1315" s="4">
        <f t="shared" si="173"/>
        <v>3789.9068000000011</v>
      </c>
      <c r="F1315" s="3">
        <f t="shared" si="174"/>
        <v>1.0230489045271507</v>
      </c>
      <c r="G1315" s="18">
        <f t="shared" si="175"/>
        <v>1</v>
      </c>
      <c r="H1315" s="3">
        <f t="shared" si="176"/>
        <v>9.0146826904560218E-3</v>
      </c>
      <c r="I1315" s="3">
        <f t="shared" si="177"/>
        <v>9.0146826904560218E-3</v>
      </c>
      <c r="K1315" s="12" t="str">
        <f>IF(AND(G1315=1,G1314&lt;&gt;1),MAX($K$50:K1314)+1,"")</f>
        <v/>
      </c>
      <c r="L1315" s="13" t="str">
        <f>IF(AND(G1315&lt;&gt;1,G1314=1),MAX($L$50:L1314)+1,"")</f>
        <v/>
      </c>
      <c r="M1315" s="13" t="str">
        <f>IF(AND(G1315=-1,G1314&lt;&gt;-1),MAX($M$50:M1314)+1,"")</f>
        <v/>
      </c>
      <c r="N1315" s="13" t="str">
        <f>IF(AND(G1315&lt;&gt;-1,G1314=-1),MAX($N$50:N1314)+1,"")</f>
        <v/>
      </c>
      <c r="T1315" s="7">
        <f t="shared" si="178"/>
        <v>128.82756351536474</v>
      </c>
      <c r="U1315" s="1">
        <f t="shared" si="179"/>
        <v>203.71356966095578</v>
      </c>
    </row>
    <row r="1316" spans="1:21" x14ac:dyDescent="0.3">
      <c r="A1316" s="2">
        <v>42086</v>
      </c>
      <c r="B1316" s="1">
        <v>3870.49</v>
      </c>
      <c r="C1316" s="2">
        <f t="shared" si="171"/>
        <v>42086</v>
      </c>
      <c r="D1316" s="1">
        <f t="shared" si="172"/>
        <v>3870.49</v>
      </c>
      <c r="E1316" s="4">
        <f t="shared" si="173"/>
        <v>3791.7686000000003</v>
      </c>
      <c r="F1316" s="3">
        <f t="shared" si="174"/>
        <v>1.0207611297799131</v>
      </c>
      <c r="G1316" s="18">
        <f t="shared" si="175"/>
        <v>1</v>
      </c>
      <c r="H1316" s="3">
        <f t="shared" si="176"/>
        <v>-1.7460784162012244E-3</v>
      </c>
      <c r="I1316" s="3">
        <f t="shared" si="177"/>
        <v>-1.7460784162012244E-3</v>
      </c>
      <c r="K1316" s="12" t="str">
        <f>IF(AND(G1316=1,G1315&lt;&gt;1),MAX($K$50:K1315)+1,"")</f>
        <v/>
      </c>
      <c r="L1316" s="13" t="str">
        <f>IF(AND(G1316&lt;&gt;1,G1315=1),MAX($L$50:L1315)+1,"")</f>
        <v/>
      </c>
      <c r="M1316" s="13" t="str">
        <f>IF(AND(G1316=-1,G1315&lt;&gt;-1),MAX($M$50:M1315)+1,"")</f>
        <v/>
      </c>
      <c r="N1316" s="13" t="str">
        <f>IF(AND(G1316&lt;&gt;-1,G1315=-1),MAX($N$50:N1315)+1,"")</f>
        <v/>
      </c>
      <c r="T1316" s="7">
        <f t="shared" si="178"/>
        <v>128.60262048729876</v>
      </c>
      <c r="U1316" s="1">
        <f t="shared" si="179"/>
        <v>203.35786979388348</v>
      </c>
    </row>
    <row r="1317" spans="1:21" x14ac:dyDescent="0.3">
      <c r="A1317" s="2">
        <v>42087</v>
      </c>
      <c r="B1317" s="1">
        <v>3847.05</v>
      </c>
      <c r="C1317" s="2">
        <f t="shared" si="171"/>
        <v>42087</v>
      </c>
      <c r="D1317" s="1">
        <f t="shared" si="172"/>
        <v>3847.05</v>
      </c>
      <c r="E1317" s="4">
        <f t="shared" si="173"/>
        <v>3793.7962000000007</v>
      </c>
      <c r="F1317" s="3">
        <f t="shared" si="174"/>
        <v>1.0140370745270924</v>
      </c>
      <c r="G1317" s="18">
        <f t="shared" si="175"/>
        <v>1</v>
      </c>
      <c r="H1317" s="3">
        <f t="shared" si="176"/>
        <v>-6.056080754633042E-3</v>
      </c>
      <c r="I1317" s="3">
        <f t="shared" si="177"/>
        <v>-6.056080754633042E-3</v>
      </c>
      <c r="K1317" s="12" t="str">
        <f>IF(AND(G1317=1,G1316&lt;&gt;1),MAX($K$50:K1316)+1,"")</f>
        <v/>
      </c>
      <c r="L1317" s="13" t="str">
        <f>IF(AND(G1317&lt;&gt;1,G1316=1),MAX($L$50:L1316)+1,"")</f>
        <v/>
      </c>
      <c r="M1317" s="13" t="str">
        <f>IF(AND(G1317=-1,G1316&lt;&gt;-1),MAX($M$50:M1316)+1,"")</f>
        <v/>
      </c>
      <c r="N1317" s="13" t="str">
        <f>IF(AND(G1317&lt;&gt;-1,G1316=-1),MAX($N$50:N1316)+1,"")</f>
        <v/>
      </c>
      <c r="T1317" s="7">
        <f t="shared" si="178"/>
        <v>127.82379263237026</v>
      </c>
      <c r="U1317" s="1">
        <f t="shared" si="179"/>
        <v>202.12631811232157</v>
      </c>
    </row>
    <row r="1318" spans="1:21" x14ac:dyDescent="0.3">
      <c r="A1318" s="2">
        <v>42088</v>
      </c>
      <c r="B1318" s="1">
        <v>3791.13</v>
      </c>
      <c r="C1318" s="2">
        <f t="shared" si="171"/>
        <v>42088</v>
      </c>
      <c r="D1318" s="1">
        <f t="shared" si="172"/>
        <v>3791.13</v>
      </c>
      <c r="E1318" s="4">
        <f t="shared" si="173"/>
        <v>3795.3116000000009</v>
      </c>
      <c r="F1318" s="3">
        <f t="shared" si="174"/>
        <v>0.99889821958228653</v>
      </c>
      <c r="G1318" s="18">
        <f t="shared" si="175"/>
        <v>1</v>
      </c>
      <c r="H1318" s="3">
        <f t="shared" si="176"/>
        <v>-1.453581315553476E-2</v>
      </c>
      <c r="I1318" s="3">
        <f t="shared" si="177"/>
        <v>-1.453581315553476E-2</v>
      </c>
      <c r="K1318" s="12" t="str">
        <f>IF(AND(G1318=1,G1317&lt;&gt;1),MAX($K$50:K1317)+1,"")</f>
        <v/>
      </c>
      <c r="L1318" s="13" t="str">
        <f>IF(AND(G1318&lt;&gt;1,G1317=1),MAX($L$50:L1317)+1,"")</f>
        <v/>
      </c>
      <c r="M1318" s="13" t="str">
        <f>IF(AND(G1318=-1,G1317&lt;&gt;-1),MAX($M$50:M1317)+1,"")</f>
        <v/>
      </c>
      <c r="N1318" s="13" t="str">
        <f>IF(AND(G1318&lt;&gt;-1,G1317=-1),MAX($N$50:N1317)+1,"")</f>
        <v/>
      </c>
      <c r="T1318" s="7">
        <f t="shared" si="178"/>
        <v>125.9657698658343</v>
      </c>
      <c r="U1318" s="1">
        <f t="shared" si="179"/>
        <v>199.18824771842469</v>
      </c>
    </row>
    <row r="1319" spans="1:21" x14ac:dyDescent="0.3">
      <c r="A1319" s="2">
        <v>42089</v>
      </c>
      <c r="B1319" s="1">
        <v>3782.21</v>
      </c>
      <c r="C1319" s="2">
        <f t="shared" si="171"/>
        <v>42089</v>
      </c>
      <c r="D1319" s="1">
        <f t="shared" si="172"/>
        <v>3782.21</v>
      </c>
      <c r="E1319" s="4">
        <f t="shared" si="173"/>
        <v>3796.8328000000001</v>
      </c>
      <c r="F1319" s="3">
        <f t="shared" si="174"/>
        <v>0.99614868476694574</v>
      </c>
      <c r="G1319" s="18">
        <f t="shared" si="175"/>
        <v>1</v>
      </c>
      <c r="H1319" s="3">
        <f t="shared" si="176"/>
        <v>-2.3528604927818275E-3</v>
      </c>
      <c r="I1319" s="3">
        <f t="shared" si="177"/>
        <v>-2.3528604927818275E-3</v>
      </c>
      <c r="K1319" s="12" t="str">
        <f>IF(AND(G1319=1,G1318&lt;&gt;1),MAX($K$50:K1318)+1,"")</f>
        <v/>
      </c>
      <c r="L1319" s="13" t="str">
        <f>IF(AND(G1319&lt;&gt;1,G1318=1),MAX($L$50:L1318)+1,"")</f>
        <v/>
      </c>
      <c r="M1319" s="13" t="str">
        <f>IF(AND(G1319=-1,G1318&lt;&gt;-1),MAX($M$50:M1318)+1,"")</f>
        <v/>
      </c>
      <c r="N1319" s="13" t="str">
        <f>IF(AND(G1319&lt;&gt;-1,G1318=-1),MAX($N$50:N1318)+1,"")</f>
        <v/>
      </c>
      <c r="T1319" s="7">
        <f t="shared" si="178"/>
        <v>125.66938998247413</v>
      </c>
      <c r="U1319" s="1">
        <f t="shared" si="179"/>
        <v>198.71958555974157</v>
      </c>
    </row>
    <row r="1320" spans="1:21" x14ac:dyDescent="0.3">
      <c r="A1320" s="2">
        <v>42090</v>
      </c>
      <c r="B1320" s="1">
        <v>3791.9</v>
      </c>
      <c r="C1320" s="2">
        <f t="shared" si="171"/>
        <v>42090</v>
      </c>
      <c r="D1320" s="1">
        <f t="shared" si="172"/>
        <v>3791.9</v>
      </c>
      <c r="E1320" s="4">
        <f t="shared" si="173"/>
        <v>3798.9764</v>
      </c>
      <c r="F1320" s="3">
        <f t="shared" si="174"/>
        <v>0.99813728771781796</v>
      </c>
      <c r="G1320" s="18">
        <f t="shared" si="175"/>
        <v>1</v>
      </c>
      <c r="H1320" s="3">
        <f t="shared" si="176"/>
        <v>2.5619941780070654E-3</v>
      </c>
      <c r="I1320" s="3">
        <f t="shared" si="177"/>
        <v>2.5619941780070654E-3</v>
      </c>
      <c r="K1320" s="12" t="str">
        <f>IF(AND(G1320=1,G1319&lt;&gt;1),MAX($K$50:K1319)+1,"")</f>
        <v/>
      </c>
      <c r="L1320" s="13" t="str">
        <f>IF(AND(G1320&lt;&gt;1,G1319=1),MAX($L$50:L1319)+1,"")</f>
        <v/>
      </c>
      <c r="M1320" s="13" t="str">
        <f>IF(AND(G1320=-1,G1319&lt;&gt;-1),MAX($M$50:M1319)+1,"")</f>
        <v/>
      </c>
      <c r="N1320" s="13" t="str">
        <f>IF(AND(G1320&lt;&gt;-1,G1319=-1),MAX($N$50:N1319)+1,"")</f>
        <v/>
      </c>
      <c r="T1320" s="7">
        <f t="shared" si="178"/>
        <v>125.99135422796293</v>
      </c>
      <c r="U1320" s="1">
        <f t="shared" si="179"/>
        <v>199.22870398100162</v>
      </c>
    </row>
    <row r="1321" spans="1:21" x14ac:dyDescent="0.3">
      <c r="A1321" s="2">
        <v>42093</v>
      </c>
      <c r="B1321" s="1">
        <v>3838.65</v>
      </c>
      <c r="C1321" s="2">
        <f t="shared" si="171"/>
        <v>42093</v>
      </c>
      <c r="D1321" s="1">
        <f t="shared" si="172"/>
        <v>3838.65</v>
      </c>
      <c r="E1321" s="4">
        <f t="shared" si="173"/>
        <v>3802.7345999999998</v>
      </c>
      <c r="F1321" s="3">
        <f t="shared" si="174"/>
        <v>1.0094446244026603</v>
      </c>
      <c r="G1321" s="18">
        <f t="shared" si="175"/>
        <v>1</v>
      </c>
      <c r="H1321" s="3">
        <f t="shared" si="176"/>
        <v>1.2328911627416339E-2</v>
      </c>
      <c r="I1321" s="3">
        <f t="shared" si="177"/>
        <v>1.2328911627416339E-2</v>
      </c>
      <c r="K1321" s="12" t="str">
        <f>IF(AND(G1321=1,G1320&lt;&gt;1),MAX($K$50:K1320)+1,"")</f>
        <v/>
      </c>
      <c r="L1321" s="13" t="str">
        <f>IF(AND(G1321&lt;&gt;1,G1320=1),MAX($L$50:L1320)+1,"")</f>
        <v/>
      </c>
      <c r="M1321" s="13" t="str">
        <f>IF(AND(G1321=-1,G1320&lt;&gt;-1),MAX($M$50:M1320)+1,"")</f>
        <v/>
      </c>
      <c r="N1321" s="13" t="str">
        <f>IF(AND(G1321&lt;&gt;-1,G1320=-1),MAX($N$50:N1320)+1,"")</f>
        <v/>
      </c>
      <c r="T1321" s="7">
        <f t="shared" si="178"/>
        <v>127.544690500058</v>
      </c>
      <c r="U1321" s="1">
        <f t="shared" si="179"/>
        <v>201.6849770660281</v>
      </c>
    </row>
    <row r="1322" spans="1:21" x14ac:dyDescent="0.3">
      <c r="A1322" s="2">
        <v>42094</v>
      </c>
      <c r="B1322" s="1">
        <v>3805.27</v>
      </c>
      <c r="C1322" s="2">
        <f t="shared" si="171"/>
        <v>42094</v>
      </c>
      <c r="D1322" s="1">
        <f t="shared" si="172"/>
        <v>3805.27</v>
      </c>
      <c r="E1322" s="4">
        <f t="shared" si="173"/>
        <v>3804.8441999999991</v>
      </c>
      <c r="F1322" s="3">
        <f t="shared" si="174"/>
        <v>1.0001119099699276</v>
      </c>
      <c r="G1322" s="18">
        <f t="shared" si="175"/>
        <v>1</v>
      </c>
      <c r="H1322" s="3">
        <f t="shared" si="176"/>
        <v>-8.695765438370251E-3</v>
      </c>
      <c r="I1322" s="3">
        <f t="shared" si="177"/>
        <v>-8.695765438370251E-3</v>
      </c>
      <c r="K1322" s="12" t="str">
        <f>IF(AND(G1322=1,G1321&lt;&gt;1),MAX($K$50:K1321)+1,"")</f>
        <v/>
      </c>
      <c r="L1322" s="13" t="str">
        <f>IF(AND(G1322&lt;&gt;1,G1321=1),MAX($L$50:L1321)+1,"")</f>
        <v/>
      </c>
      <c r="M1322" s="13" t="str">
        <f>IF(AND(G1322=-1,G1321&lt;&gt;-1),MAX($M$50:M1321)+1,"")</f>
        <v/>
      </c>
      <c r="N1322" s="13" t="str">
        <f>IF(AND(G1322&lt;&gt;-1,G1321=-1),MAX($N$50:N1321)+1,"")</f>
        <v/>
      </c>
      <c r="T1322" s="7">
        <f t="shared" si="178"/>
        <v>126.43559178855996</v>
      </c>
      <c r="U1322" s="1">
        <f t="shared" si="179"/>
        <v>199.93117181301884</v>
      </c>
    </row>
    <row r="1323" spans="1:21" x14ac:dyDescent="0.3">
      <c r="A1323" s="2">
        <v>42095</v>
      </c>
      <c r="B1323" s="1">
        <v>3790.66</v>
      </c>
      <c r="C1323" s="2">
        <f t="shared" si="171"/>
        <v>42095</v>
      </c>
      <c r="D1323" s="1">
        <f t="shared" si="172"/>
        <v>3790.66</v>
      </c>
      <c r="E1323" s="4">
        <f t="shared" si="173"/>
        <v>3806.5445999999997</v>
      </c>
      <c r="F1323" s="3">
        <f t="shared" si="174"/>
        <v>0.99582702905937315</v>
      </c>
      <c r="G1323" s="18">
        <f t="shared" si="175"/>
        <v>1</v>
      </c>
      <c r="H1323" s="3">
        <f t="shared" si="176"/>
        <v>-3.839412183629598E-3</v>
      </c>
      <c r="I1323" s="3">
        <f t="shared" si="177"/>
        <v>-3.839412183629598E-3</v>
      </c>
      <c r="K1323" s="12" t="str">
        <f>IF(AND(G1323=1,G1322&lt;&gt;1),MAX($K$50:K1322)+1,"")</f>
        <v/>
      </c>
      <c r="L1323" s="13" t="str">
        <f>IF(AND(G1323&lt;&gt;1,G1322=1),MAX($L$50:L1322)+1,"")</f>
        <v/>
      </c>
      <c r="M1323" s="13" t="str">
        <f>IF(AND(G1323=-1,G1322&lt;&gt;-1),MAX($M$50:M1322)+1,"")</f>
        <v/>
      </c>
      <c r="N1323" s="13" t="str">
        <f>IF(AND(G1323&lt;&gt;-1,G1322=-1),MAX($N$50:N1322)+1,"")</f>
        <v/>
      </c>
      <c r="T1323" s="7">
        <f t="shared" si="178"/>
        <v>125.95015343700254</v>
      </c>
      <c r="U1323" s="1">
        <f t="shared" si="179"/>
        <v>199.16355363607261</v>
      </c>
    </row>
    <row r="1324" spans="1:21" x14ac:dyDescent="0.3">
      <c r="A1324" s="2">
        <v>42096</v>
      </c>
      <c r="B1324" s="1">
        <v>3804.14</v>
      </c>
      <c r="C1324" s="2">
        <f t="shared" si="171"/>
        <v>42096</v>
      </c>
      <c r="D1324" s="1">
        <f t="shared" si="172"/>
        <v>3804.14</v>
      </c>
      <c r="E1324" s="4">
        <f t="shared" si="173"/>
        <v>3808.1550000000002</v>
      </c>
      <c r="F1324" s="3">
        <f t="shared" si="174"/>
        <v>0.99894568367096392</v>
      </c>
      <c r="G1324" s="18">
        <f t="shared" si="175"/>
        <v>1</v>
      </c>
      <c r="H1324" s="3">
        <f t="shared" si="176"/>
        <v>3.5561089625553155E-3</v>
      </c>
      <c r="I1324" s="3">
        <f t="shared" si="177"/>
        <v>3.5561089625553155E-3</v>
      </c>
      <c r="K1324" s="12" t="str">
        <f>IF(AND(G1324=1,G1323&lt;&gt;1),MAX($K$50:K1323)+1,"")</f>
        <v/>
      </c>
      <c r="L1324" s="13" t="str">
        <f>IF(AND(G1324&lt;&gt;1,G1323=1),MAX($L$50:L1323)+1,"")</f>
        <v/>
      </c>
      <c r="M1324" s="13" t="str">
        <f>IF(AND(G1324=-1,G1323&lt;&gt;-1),MAX($M$50:M1323)+1,"")</f>
        <v/>
      </c>
      <c r="N1324" s="13" t="str">
        <f>IF(AND(G1324&lt;&gt;-1,G1323=-1),MAX($N$50:N1323)+1,"")</f>
        <v/>
      </c>
      <c r="T1324" s="7">
        <f t="shared" si="178"/>
        <v>126.39804590647508</v>
      </c>
      <c r="U1324" s="1">
        <f t="shared" si="179"/>
        <v>199.87180093417223</v>
      </c>
    </row>
    <row r="1325" spans="1:21" x14ac:dyDescent="0.3">
      <c r="A1325" s="2">
        <v>42100</v>
      </c>
      <c r="B1325" s="1">
        <v>3829.31</v>
      </c>
      <c r="C1325" s="2">
        <f t="shared" si="171"/>
        <v>42100</v>
      </c>
      <c r="D1325" s="1">
        <f t="shared" si="172"/>
        <v>3829.31</v>
      </c>
      <c r="E1325" s="4">
        <f t="shared" si="173"/>
        <v>3809.1309999999999</v>
      </c>
      <c r="F1325" s="3">
        <f t="shared" si="174"/>
        <v>1.0052975337419481</v>
      </c>
      <c r="G1325" s="18">
        <f t="shared" si="175"/>
        <v>1</v>
      </c>
      <c r="H1325" s="3">
        <f t="shared" si="176"/>
        <v>6.6164757343316616E-3</v>
      </c>
      <c r="I1325" s="3">
        <f t="shared" si="177"/>
        <v>6.6164757343316616E-3</v>
      </c>
      <c r="K1325" s="12" t="str">
        <f>IF(AND(G1325=1,G1324&lt;&gt;1),MAX($K$50:K1324)+1,"")</f>
        <v/>
      </c>
      <c r="L1325" s="13" t="str">
        <f>IF(AND(G1325&lt;&gt;1,G1324=1),MAX($L$50:L1324)+1,"")</f>
        <v/>
      </c>
      <c r="M1325" s="13" t="str">
        <f>IF(AND(G1325=-1,G1324&lt;&gt;-1),MAX($M$50:M1324)+1,"")</f>
        <v/>
      </c>
      <c r="N1325" s="13" t="str">
        <f>IF(AND(G1325&lt;&gt;-1,G1324=-1),MAX($N$50:N1324)+1,"")</f>
        <v/>
      </c>
      <c r="T1325" s="7">
        <f t="shared" si="178"/>
        <v>127.23435551008221</v>
      </c>
      <c r="U1325" s="1">
        <f t="shared" si="179"/>
        <v>201.19424785503034</v>
      </c>
    </row>
    <row r="1326" spans="1:21" x14ac:dyDescent="0.3">
      <c r="A1326" s="2">
        <v>42101</v>
      </c>
      <c r="B1326" s="1">
        <v>3821.49</v>
      </c>
      <c r="C1326" s="2">
        <f t="shared" si="171"/>
        <v>42101</v>
      </c>
      <c r="D1326" s="1">
        <f t="shared" si="172"/>
        <v>3821.49</v>
      </c>
      <c r="E1326" s="4">
        <f t="shared" si="173"/>
        <v>3810.3656000000001</v>
      </c>
      <c r="F1326" s="3">
        <f t="shared" si="174"/>
        <v>1.0029195098759027</v>
      </c>
      <c r="G1326" s="18">
        <f t="shared" si="175"/>
        <v>1</v>
      </c>
      <c r="H1326" s="3">
        <f t="shared" si="176"/>
        <v>-2.0421433626424124E-3</v>
      </c>
      <c r="I1326" s="3">
        <f t="shared" si="177"/>
        <v>-2.0421433626424124E-3</v>
      </c>
      <c r="K1326" s="12" t="str">
        <f>IF(AND(G1326=1,G1325&lt;&gt;1),MAX($K$50:K1325)+1,"")</f>
        <v/>
      </c>
      <c r="L1326" s="13" t="str">
        <f>IF(AND(G1326&lt;&gt;1,G1325=1),MAX($L$50:L1325)+1,"")</f>
        <v/>
      </c>
      <c r="M1326" s="13" t="str">
        <f>IF(AND(G1326=-1,G1325&lt;&gt;-1),MAX($M$50:M1325)+1,"")</f>
        <v/>
      </c>
      <c r="N1326" s="13" t="str">
        <f>IF(AND(G1326&lt;&gt;-1,G1325=-1),MAX($N$50:N1325)+1,"")</f>
        <v/>
      </c>
      <c r="T1326" s="7">
        <f t="shared" si="178"/>
        <v>126.97452471547722</v>
      </c>
      <c r="U1326" s="1">
        <f t="shared" si="179"/>
        <v>200.78338035717135</v>
      </c>
    </row>
    <row r="1327" spans="1:21" x14ac:dyDescent="0.3">
      <c r="A1327" s="2">
        <v>42102</v>
      </c>
      <c r="B1327" s="1">
        <v>3833.2</v>
      </c>
      <c r="C1327" s="2">
        <f t="shared" si="171"/>
        <v>42102</v>
      </c>
      <c r="D1327" s="1">
        <f t="shared" si="172"/>
        <v>3833.2</v>
      </c>
      <c r="E1327" s="4">
        <f t="shared" si="173"/>
        <v>3811.6406000000002</v>
      </c>
      <c r="F1327" s="3">
        <f t="shared" si="174"/>
        <v>1.005656199590276</v>
      </c>
      <c r="G1327" s="18">
        <f t="shared" si="175"/>
        <v>1</v>
      </c>
      <c r="H1327" s="3">
        <f t="shared" si="176"/>
        <v>3.0642498083208736E-3</v>
      </c>
      <c r="I1327" s="3">
        <f t="shared" si="177"/>
        <v>3.0642498083208736E-3</v>
      </c>
      <c r="K1327" s="12" t="str">
        <f>IF(AND(G1327=1,G1326&lt;&gt;1),MAX($K$50:K1326)+1,"")</f>
        <v/>
      </c>
      <c r="L1327" s="13" t="str">
        <f>IF(AND(G1327&lt;&gt;1,G1326=1),MAX($L$50:L1326)+1,"")</f>
        <v/>
      </c>
      <c r="M1327" s="13" t="str">
        <f>IF(AND(G1327=-1,G1326&lt;&gt;-1),MAX($M$50:M1326)+1,"")</f>
        <v/>
      </c>
      <c r="N1327" s="13" t="str">
        <f>IF(AND(G1327&lt;&gt;-1,G1326=-1),MAX($N$50:N1326)+1,"")</f>
        <v/>
      </c>
      <c r="T1327" s="7">
        <f t="shared" si="178"/>
        <v>127.36360637849825</v>
      </c>
      <c r="U1327" s="1">
        <f t="shared" si="179"/>
        <v>201.39863079194484</v>
      </c>
    </row>
    <row r="1328" spans="1:21" x14ac:dyDescent="0.3">
      <c r="A1328" s="2">
        <v>42103</v>
      </c>
      <c r="B1328" s="1">
        <v>3850.29</v>
      </c>
      <c r="C1328" s="2">
        <f t="shared" si="171"/>
        <v>42103</v>
      </c>
      <c r="D1328" s="1">
        <f t="shared" si="172"/>
        <v>3850.29</v>
      </c>
      <c r="E1328" s="4">
        <f t="shared" si="173"/>
        <v>3814.2665999999999</v>
      </c>
      <c r="F1328" s="3">
        <f t="shared" si="174"/>
        <v>1.0094443844066905</v>
      </c>
      <c r="G1328" s="18">
        <f t="shared" si="175"/>
        <v>1</v>
      </c>
      <c r="H1328" s="3">
        <f t="shared" si="176"/>
        <v>4.4584159449023719E-3</v>
      </c>
      <c r="I1328" s="3">
        <f t="shared" si="177"/>
        <v>4.4584159449023719E-3</v>
      </c>
      <c r="K1328" s="12" t="str">
        <f>IF(AND(G1328=1,G1327&lt;&gt;1),MAX($K$50:K1327)+1,"")</f>
        <v/>
      </c>
      <c r="L1328" s="13" t="str">
        <f>IF(AND(G1328&lt;&gt;1,G1327=1),MAX($L$50:L1327)+1,"")</f>
        <v/>
      </c>
      <c r="M1328" s="13" t="str">
        <f>IF(AND(G1328=-1,G1327&lt;&gt;-1),MAX($M$50:M1327)+1,"")</f>
        <v/>
      </c>
      <c r="N1328" s="13" t="str">
        <f>IF(AND(G1328&lt;&gt;-1,G1327=-1),MAX($N$50:N1327)+1,"")</f>
        <v/>
      </c>
      <c r="T1328" s="7">
        <f t="shared" si="178"/>
        <v>127.93144631197642</v>
      </c>
      <c r="U1328" s="1">
        <f t="shared" si="179"/>
        <v>202.29654965874917</v>
      </c>
    </row>
    <row r="1329" spans="1:21" x14ac:dyDescent="0.3">
      <c r="A1329" s="2">
        <v>42104</v>
      </c>
      <c r="B1329" s="1">
        <v>3870.31</v>
      </c>
      <c r="C1329" s="2">
        <f t="shared" si="171"/>
        <v>42104</v>
      </c>
      <c r="D1329" s="1">
        <f t="shared" si="172"/>
        <v>3870.31</v>
      </c>
      <c r="E1329" s="4">
        <f t="shared" si="173"/>
        <v>3818.2907999999998</v>
      </c>
      <c r="F1329" s="3">
        <f t="shared" si="174"/>
        <v>1.013623687331515</v>
      </c>
      <c r="G1329" s="18">
        <f t="shared" si="175"/>
        <v>1</v>
      </c>
      <c r="H1329" s="3">
        <f t="shared" si="176"/>
        <v>5.1996083411898208E-3</v>
      </c>
      <c r="I1329" s="3">
        <f t="shared" si="177"/>
        <v>5.1996083411898208E-3</v>
      </c>
      <c r="K1329" s="12" t="str">
        <f>IF(AND(G1329=1,G1328&lt;&gt;1),MAX($K$50:K1328)+1,"")</f>
        <v/>
      </c>
      <c r="L1329" s="13" t="str">
        <f>IF(AND(G1329&lt;&gt;1,G1328=1),MAX($L$50:L1328)+1,"")</f>
        <v/>
      </c>
      <c r="M1329" s="13" t="str">
        <f>IF(AND(G1329=-1,G1328&lt;&gt;-1),MAX($M$50:M1328)+1,"")</f>
        <v/>
      </c>
      <c r="N1329" s="13" t="str">
        <f>IF(AND(G1329&lt;&gt;-1,G1328=-1),MAX($N$50:N1328)+1,"")</f>
        <v/>
      </c>
      <c r="T1329" s="7">
        <f t="shared" si="178"/>
        <v>128.59663972732065</v>
      </c>
      <c r="U1329" s="1">
        <f t="shared" si="179"/>
        <v>203.34841248574875</v>
      </c>
    </row>
    <row r="1330" spans="1:21" x14ac:dyDescent="0.3">
      <c r="A1330" s="2">
        <v>42107</v>
      </c>
      <c r="B1330" s="1">
        <v>3852.93</v>
      </c>
      <c r="C1330" s="2">
        <f t="shared" si="171"/>
        <v>42107</v>
      </c>
      <c r="D1330" s="1">
        <f t="shared" si="172"/>
        <v>3852.93</v>
      </c>
      <c r="E1330" s="4">
        <f t="shared" si="173"/>
        <v>3821.2623999999992</v>
      </c>
      <c r="F1330" s="3">
        <f t="shared" si="174"/>
        <v>1.0082872089600547</v>
      </c>
      <c r="G1330" s="18">
        <f t="shared" si="175"/>
        <v>1</v>
      </c>
      <c r="H1330" s="3">
        <f t="shared" si="176"/>
        <v>-4.4905963604983112E-3</v>
      </c>
      <c r="I1330" s="3">
        <f t="shared" si="177"/>
        <v>-4.4905963604983112E-3</v>
      </c>
      <c r="K1330" s="12" t="str">
        <f>IF(AND(G1330=1,G1329&lt;&gt;1),MAX($K$50:K1329)+1,"")</f>
        <v/>
      </c>
      <c r="L1330" s="13" t="str">
        <f>IF(AND(G1330&lt;&gt;1,G1329=1),MAX($L$50:L1329)+1,"")</f>
        <v/>
      </c>
      <c r="M1330" s="13" t="str">
        <f>IF(AND(G1330=-1,G1329&lt;&gt;-1),MAX($M$50:M1329)+1,"")</f>
        <v/>
      </c>
      <c r="N1330" s="13" t="str">
        <f>IF(AND(G1330&lt;&gt;-1,G1329=-1),MAX($N$50:N1329)+1,"")</f>
        <v/>
      </c>
      <c r="T1330" s="7">
        <f t="shared" si="178"/>
        <v>128.01916412498883</v>
      </c>
      <c r="U1330" s="1">
        <f t="shared" si="179"/>
        <v>202.43525684472715</v>
      </c>
    </row>
    <row r="1331" spans="1:21" x14ac:dyDescent="0.3">
      <c r="A1331" s="2">
        <v>42108</v>
      </c>
      <c r="B1331" s="1">
        <v>3859.22</v>
      </c>
      <c r="C1331" s="2">
        <f t="shared" si="171"/>
        <v>42108</v>
      </c>
      <c r="D1331" s="1">
        <f t="shared" si="172"/>
        <v>3859.22</v>
      </c>
      <c r="E1331" s="4">
        <f t="shared" si="173"/>
        <v>3825.321199999999</v>
      </c>
      <c r="F1331" s="3">
        <f t="shared" si="174"/>
        <v>1.0088616872225007</v>
      </c>
      <c r="G1331" s="18">
        <f t="shared" si="175"/>
        <v>1</v>
      </c>
      <c r="H1331" s="3">
        <f t="shared" si="176"/>
        <v>1.6325238195347147E-3</v>
      </c>
      <c r="I1331" s="3">
        <f t="shared" si="177"/>
        <v>1.6325238195347147E-3</v>
      </c>
      <c r="K1331" s="12" t="str">
        <f>IF(AND(G1331=1,G1330&lt;&gt;1),MAX($K$50:K1330)+1,"")</f>
        <v/>
      </c>
      <c r="L1331" s="13" t="str">
        <f>IF(AND(G1331&lt;&gt;1,G1330=1),MAX($L$50:L1330)+1,"")</f>
        <v/>
      </c>
      <c r="M1331" s="13" t="str">
        <f>IF(AND(G1331=-1,G1330&lt;&gt;-1),MAX($M$50:M1330)+1,"")</f>
        <v/>
      </c>
      <c r="N1331" s="13" t="str">
        <f>IF(AND(G1331&lt;&gt;-1,G1330=-1),MAX($N$50:N1330)+1,"")</f>
        <v/>
      </c>
      <c r="T1331" s="7">
        <f t="shared" si="178"/>
        <v>128.22815845977979</v>
      </c>
      <c r="U1331" s="1">
        <f t="shared" si="179"/>
        <v>202.76573722343977</v>
      </c>
    </row>
    <row r="1332" spans="1:21" x14ac:dyDescent="0.3">
      <c r="A1332" s="2">
        <v>42109</v>
      </c>
      <c r="B1332" s="1">
        <v>3879.1</v>
      </c>
      <c r="C1332" s="2">
        <f t="shared" ref="C1332:C1395" si="180">A1332</f>
        <v>42109</v>
      </c>
      <c r="D1332" s="1">
        <f t="shared" ref="D1332:D1395" si="181">B1332</f>
        <v>3879.1</v>
      </c>
      <c r="E1332" s="4">
        <f t="shared" ref="E1332:E1395" si="182">AVERAGE(B1283:B1332)</f>
        <v>3828.8277999999991</v>
      </c>
      <c r="F1332" s="3">
        <f t="shared" ref="F1332:F1395" si="183">D1332/E1332</f>
        <v>1.0131299192927927</v>
      </c>
      <c r="G1332" s="18">
        <f t="shared" ref="G1332:G1395" si="184">IF(F1332&gt;=$Q$51,1,IF(F1332&lt;=$Q$52,-1,0))</f>
        <v>1</v>
      </c>
      <c r="H1332" s="3">
        <f t="shared" si="176"/>
        <v>5.1513000036276235E-3</v>
      </c>
      <c r="I1332" s="3">
        <f t="shared" si="177"/>
        <v>5.1513000036276235E-3</v>
      </c>
      <c r="K1332" s="12" t="str">
        <f>IF(AND(G1332=1,G1331&lt;&gt;1),MAX($K$50:K1331)+1,"")</f>
        <v/>
      </c>
      <c r="L1332" s="13" t="str">
        <f>IF(AND(G1332&lt;&gt;1,G1331=1),MAX($L$50:L1331)+1,"")</f>
        <v/>
      </c>
      <c r="M1332" s="13" t="str">
        <f>IF(AND(G1332=-1,G1331&lt;&gt;-1),MAX($M$50:M1331)+1,"")</f>
        <v/>
      </c>
      <c r="N1332" s="13" t="str">
        <f>IF(AND(G1332&lt;&gt;-1,G1331=-1),MAX($N$50:N1331)+1,"")</f>
        <v/>
      </c>
      <c r="T1332" s="7">
        <f t="shared" si="178"/>
        <v>128.88870017291882</v>
      </c>
      <c r="U1332" s="1">
        <f t="shared" si="179"/>
        <v>203.81024436633444</v>
      </c>
    </row>
    <row r="1333" spans="1:21" x14ac:dyDescent="0.3">
      <c r="A1333" s="2">
        <v>42110</v>
      </c>
      <c r="B1333" s="1">
        <v>3876.17</v>
      </c>
      <c r="C1333" s="2">
        <f t="shared" si="180"/>
        <v>42110</v>
      </c>
      <c r="D1333" s="1">
        <f t="shared" si="181"/>
        <v>3876.17</v>
      </c>
      <c r="E1333" s="4">
        <f t="shared" si="182"/>
        <v>3831.2043999999996</v>
      </c>
      <c r="F1333" s="3">
        <f t="shared" si="183"/>
        <v>1.0117366747647294</v>
      </c>
      <c r="G1333" s="18">
        <f t="shared" si="184"/>
        <v>1</v>
      </c>
      <c r="H1333" s="3">
        <f t="shared" ref="H1333:H1396" si="185">D1333/D1332-1</f>
        <v>-7.5532984455151109E-4</v>
      </c>
      <c r="I1333" s="3">
        <f t="shared" ref="I1333:I1396" si="186">G1332*H1333</f>
        <v>-7.5532984455151109E-4</v>
      </c>
      <c r="K1333" s="12" t="str">
        <f>IF(AND(G1333=1,G1332&lt;&gt;1),MAX($K$50:K1332)+1,"")</f>
        <v/>
      </c>
      <c r="L1333" s="13" t="str">
        <f>IF(AND(G1333&lt;&gt;1,G1332=1),MAX($L$50:L1332)+1,"")</f>
        <v/>
      </c>
      <c r="M1333" s="13" t="str">
        <f>IF(AND(G1333=-1,G1332&lt;&gt;-1),MAX($M$50:M1332)+1,"")</f>
        <v/>
      </c>
      <c r="N1333" s="13" t="str">
        <f>IF(AND(G1333&lt;&gt;-1,G1332=-1),MAX($N$50:N1332)+1,"")</f>
        <v/>
      </c>
      <c r="T1333" s="7">
        <f t="shared" ref="T1333:T1396" si="187">T1332*(1+I1333)</f>
        <v>128.79134669105275</v>
      </c>
      <c r="U1333" s="1">
        <f t="shared" ref="U1333:U1396" si="188">U1332*D1333/D1332</f>
        <v>203.65630040613922</v>
      </c>
    </row>
    <row r="1334" spans="1:21" x14ac:dyDescent="0.3">
      <c r="A1334" s="2">
        <v>42111</v>
      </c>
      <c r="B1334" s="1">
        <v>3832.33</v>
      </c>
      <c r="C1334" s="2">
        <f t="shared" si="180"/>
        <v>42111</v>
      </c>
      <c r="D1334" s="1">
        <f t="shared" si="181"/>
        <v>3832.33</v>
      </c>
      <c r="E1334" s="4">
        <f t="shared" si="182"/>
        <v>3832.9941999999992</v>
      </c>
      <c r="F1334" s="3">
        <f t="shared" si="183"/>
        <v>0.9998267151043434</v>
      </c>
      <c r="G1334" s="18">
        <f t="shared" si="184"/>
        <v>1</v>
      </c>
      <c r="H1334" s="3">
        <f t="shared" si="185"/>
        <v>-1.1310133456479021E-2</v>
      </c>
      <c r="I1334" s="3">
        <f t="shared" si="186"/>
        <v>-1.1310133456479021E-2</v>
      </c>
      <c r="K1334" s="12" t="str">
        <f>IF(AND(G1334=1,G1333&lt;&gt;1),MAX($K$50:K1333)+1,"")</f>
        <v/>
      </c>
      <c r="L1334" s="13" t="str">
        <f>IF(AND(G1334&lt;&gt;1,G1333=1),MAX($L$50:L1333)+1,"")</f>
        <v/>
      </c>
      <c r="M1334" s="13" t="str">
        <f>IF(AND(G1334=-1,G1333&lt;&gt;-1),MAX($M$50:M1333)+1,"")</f>
        <v/>
      </c>
      <c r="N1334" s="13" t="str">
        <f>IF(AND(G1334&lt;&gt;-1,G1333=-1),MAX($N$50:N1333)+1,"")</f>
        <v/>
      </c>
      <c r="T1334" s="7">
        <f t="shared" si="187"/>
        <v>127.33469937193729</v>
      </c>
      <c r="U1334" s="1">
        <f t="shared" si="188"/>
        <v>201.352920469293</v>
      </c>
    </row>
    <row r="1335" spans="1:21" x14ac:dyDescent="0.3">
      <c r="A1335" s="2">
        <v>42114</v>
      </c>
      <c r="B1335" s="1">
        <v>3867.82</v>
      </c>
      <c r="C1335" s="2">
        <f t="shared" si="180"/>
        <v>42114</v>
      </c>
      <c r="D1335" s="1">
        <f t="shared" si="181"/>
        <v>3867.82</v>
      </c>
      <c r="E1335" s="4">
        <f t="shared" si="182"/>
        <v>3834.7083999999995</v>
      </c>
      <c r="F1335" s="3">
        <f t="shared" si="183"/>
        <v>1.0086347113120779</v>
      </c>
      <c r="G1335" s="18">
        <f t="shared" si="184"/>
        <v>1</v>
      </c>
      <c r="H1335" s="3">
        <f t="shared" si="185"/>
        <v>9.2606847531397918E-3</v>
      </c>
      <c r="I1335" s="3">
        <f t="shared" si="186"/>
        <v>9.2606847531397918E-3</v>
      </c>
      <c r="K1335" s="12" t="str">
        <f>IF(AND(G1335=1,G1334&lt;&gt;1),MAX($K$50:K1334)+1,"")</f>
        <v/>
      </c>
      <c r="L1335" s="13" t="str">
        <f>IF(AND(G1335&lt;&gt;1,G1334=1),MAX($L$50:L1334)+1,"")</f>
        <v/>
      </c>
      <c r="M1335" s="13" t="str">
        <f>IF(AND(G1335=-1,G1334&lt;&gt;-1),MAX($M$50:M1334)+1,"")</f>
        <v/>
      </c>
      <c r="N1335" s="13" t="str">
        <f>IF(AND(G1335&lt;&gt;-1,G1334=-1),MAX($N$50:N1334)+1,"")</f>
        <v/>
      </c>
      <c r="T1335" s="7">
        <f t="shared" si="187"/>
        <v>128.51390588095663</v>
      </c>
      <c r="U1335" s="1">
        <f t="shared" si="188"/>
        <v>203.21758638988314</v>
      </c>
    </row>
    <row r="1336" spans="1:21" x14ac:dyDescent="0.3">
      <c r="A1336" s="2">
        <v>42115</v>
      </c>
      <c r="B1336" s="1">
        <v>3862.15</v>
      </c>
      <c r="C1336" s="2">
        <f t="shared" si="180"/>
        <v>42115</v>
      </c>
      <c r="D1336" s="1">
        <f t="shared" si="181"/>
        <v>3862.15</v>
      </c>
      <c r="E1336" s="4">
        <f t="shared" si="182"/>
        <v>3836.5473999999999</v>
      </c>
      <c r="F1336" s="3">
        <f t="shared" si="183"/>
        <v>1.0066733438507758</v>
      </c>
      <c r="G1336" s="18">
        <f t="shared" si="184"/>
        <v>1</v>
      </c>
      <c r="H1336" s="3">
        <f t="shared" si="185"/>
        <v>-1.465942055214553E-3</v>
      </c>
      <c r="I1336" s="3">
        <f t="shared" si="186"/>
        <v>-1.465942055214553E-3</v>
      </c>
      <c r="K1336" s="12" t="str">
        <f>IF(AND(G1336=1,G1335&lt;&gt;1),MAX($K$50:K1335)+1,"")</f>
        <v/>
      </c>
      <c r="L1336" s="13" t="str">
        <f>IF(AND(G1336&lt;&gt;1,G1335=1),MAX($L$50:L1335)+1,"")</f>
        <v/>
      </c>
      <c r="M1336" s="13" t="str">
        <f>IF(AND(G1336=-1,G1335&lt;&gt;-1),MAX($M$50:M1335)+1,"")</f>
        <v/>
      </c>
      <c r="N1336" s="13" t="str">
        <f>IF(AND(G1336&lt;&gt;-1,G1335=-1),MAX($N$50:N1335)+1,"")</f>
        <v/>
      </c>
      <c r="T1336" s="7">
        <f t="shared" si="187"/>
        <v>128.32551194164586</v>
      </c>
      <c r="U1336" s="1">
        <f t="shared" si="188"/>
        <v>202.91968118363499</v>
      </c>
    </row>
    <row r="1337" spans="1:21" x14ac:dyDescent="0.3">
      <c r="A1337" s="2">
        <v>42116</v>
      </c>
      <c r="B1337" s="1">
        <v>3881.93</v>
      </c>
      <c r="C1337" s="2">
        <f t="shared" si="180"/>
        <v>42116</v>
      </c>
      <c r="D1337" s="1">
        <f t="shared" si="181"/>
        <v>3881.93</v>
      </c>
      <c r="E1337" s="4">
        <f t="shared" si="182"/>
        <v>3839.0987999999993</v>
      </c>
      <c r="F1337" s="3">
        <f t="shared" si="183"/>
        <v>1.0111565766424142</v>
      </c>
      <c r="G1337" s="18">
        <f t="shared" si="184"/>
        <v>1</v>
      </c>
      <c r="H1337" s="3">
        <f t="shared" si="185"/>
        <v>5.1214996828190529E-3</v>
      </c>
      <c r="I1337" s="3">
        <f t="shared" si="186"/>
        <v>5.1214996828190529E-3</v>
      </c>
      <c r="K1337" s="12" t="str">
        <f>IF(AND(G1337=1,G1336&lt;&gt;1),MAX($K$50:K1336)+1,"")</f>
        <v/>
      </c>
      <c r="L1337" s="13" t="str">
        <f>IF(AND(G1337&lt;&gt;1,G1336=1),MAX($L$50:L1336)+1,"")</f>
        <v/>
      </c>
      <c r="M1337" s="13" t="str">
        <f>IF(AND(G1337=-1,G1336&lt;&gt;-1),MAX($M$50:M1336)+1,"")</f>
        <v/>
      </c>
      <c r="N1337" s="13" t="str">
        <f>IF(AND(G1337&lt;&gt;-1,G1336=-1),MAX($N$50:N1336)+1,"")</f>
        <v/>
      </c>
      <c r="T1337" s="7">
        <f t="shared" si="187"/>
        <v>128.98273101035258</v>
      </c>
      <c r="U1337" s="1">
        <f t="shared" si="188"/>
        <v>203.95893426645475</v>
      </c>
    </row>
    <row r="1338" spans="1:21" x14ac:dyDescent="0.3">
      <c r="A1338" s="2">
        <v>42117</v>
      </c>
      <c r="B1338" s="1">
        <v>3891.46</v>
      </c>
      <c r="C1338" s="2">
        <f t="shared" si="180"/>
        <v>42117</v>
      </c>
      <c r="D1338" s="1">
        <f t="shared" si="181"/>
        <v>3891.46</v>
      </c>
      <c r="E1338" s="4">
        <f t="shared" si="182"/>
        <v>3841.0355999999992</v>
      </c>
      <c r="F1338" s="3">
        <f t="shared" si="183"/>
        <v>1.0131278137593935</v>
      </c>
      <c r="G1338" s="18">
        <f t="shared" si="184"/>
        <v>1</v>
      </c>
      <c r="H1338" s="3">
        <f t="shared" si="185"/>
        <v>2.4549644120321901E-3</v>
      </c>
      <c r="I1338" s="3">
        <f t="shared" si="186"/>
        <v>2.4549644120321901E-3</v>
      </c>
      <c r="K1338" s="12" t="str">
        <f>IF(AND(G1338=1,G1337&lt;&gt;1),MAX($K$50:K1337)+1,"")</f>
        <v/>
      </c>
      <c r="L1338" s="13" t="str">
        <f>IF(AND(G1338&lt;&gt;1,G1337=1),MAX($L$50:L1337)+1,"")</f>
        <v/>
      </c>
      <c r="M1338" s="13" t="str">
        <f>IF(AND(G1338=-1,G1337&lt;&gt;-1),MAX($M$50:M1337)+1,"")</f>
        <v/>
      </c>
      <c r="N1338" s="13" t="str">
        <f>IF(AND(G1338&lt;&gt;-1,G1337=-1),MAX($N$50:N1337)+1,"")</f>
        <v/>
      </c>
      <c r="T1338" s="7">
        <f t="shared" si="187"/>
        <v>129.29937902474973</v>
      </c>
      <c r="U1338" s="1">
        <f t="shared" si="188"/>
        <v>204.45964619159491</v>
      </c>
    </row>
    <row r="1339" spans="1:21" x14ac:dyDescent="0.3">
      <c r="A1339" s="2">
        <v>42118</v>
      </c>
      <c r="B1339" s="1">
        <v>3900.24</v>
      </c>
      <c r="C1339" s="2">
        <f t="shared" si="180"/>
        <v>42118</v>
      </c>
      <c r="D1339" s="1">
        <f t="shared" si="181"/>
        <v>3900.24</v>
      </c>
      <c r="E1339" s="4">
        <f t="shared" si="182"/>
        <v>3843.1239999999998</v>
      </c>
      <c r="F1339" s="3">
        <f t="shared" si="183"/>
        <v>1.0148618675848087</v>
      </c>
      <c r="G1339" s="18">
        <f t="shared" si="184"/>
        <v>1</v>
      </c>
      <c r="H1339" s="3">
        <f t="shared" si="185"/>
        <v>2.2562226002580399E-3</v>
      </c>
      <c r="I1339" s="3">
        <f t="shared" si="186"/>
        <v>2.2562226002580399E-3</v>
      </c>
      <c r="K1339" s="12" t="str">
        <f>IF(AND(G1339=1,G1338&lt;&gt;1),MAX($K$50:K1338)+1,"")</f>
        <v/>
      </c>
      <c r="L1339" s="13" t="str">
        <f>IF(AND(G1339&lt;&gt;1,G1338=1),MAX($L$50:L1338)+1,"")</f>
        <v/>
      </c>
      <c r="M1339" s="13" t="str">
        <f>IF(AND(G1339=-1,G1338&lt;&gt;-1),MAX($M$50:M1338)+1,"")</f>
        <v/>
      </c>
      <c r="N1339" s="13" t="str">
        <f>IF(AND(G1339&lt;&gt;-1,G1338=-1),MAX($N$50:N1338)+1,"")</f>
        <v/>
      </c>
      <c r="T1339" s="7">
        <f t="shared" si="187"/>
        <v>129.59110720590471</v>
      </c>
      <c r="U1339" s="1">
        <f t="shared" si="188"/>
        <v>204.92095266617315</v>
      </c>
    </row>
    <row r="1340" spans="1:21" x14ac:dyDescent="0.3">
      <c r="A1340" s="2">
        <v>42121</v>
      </c>
      <c r="B1340" s="1">
        <v>3884.1</v>
      </c>
      <c r="C1340" s="2">
        <f t="shared" si="180"/>
        <v>42121</v>
      </c>
      <c r="D1340" s="1">
        <f t="shared" si="181"/>
        <v>3884.1</v>
      </c>
      <c r="E1340" s="4">
        <f t="shared" si="182"/>
        <v>3844.1389999999997</v>
      </c>
      <c r="F1340" s="3">
        <f t="shared" si="183"/>
        <v>1.010395305684836</v>
      </c>
      <c r="G1340" s="18">
        <f t="shared" si="184"/>
        <v>1</v>
      </c>
      <c r="H1340" s="3">
        <f t="shared" si="185"/>
        <v>-4.1382068795765559E-3</v>
      </c>
      <c r="I1340" s="3">
        <f t="shared" si="186"/>
        <v>-4.1382068795765559E-3</v>
      </c>
      <c r="K1340" s="12" t="str">
        <f>IF(AND(G1340=1,G1339&lt;&gt;1),MAX($K$50:K1339)+1,"")</f>
        <v/>
      </c>
      <c r="L1340" s="13" t="str">
        <f>IF(AND(G1340&lt;&gt;1,G1339=1),MAX($L$50:L1339)+1,"")</f>
        <v/>
      </c>
      <c r="M1340" s="13" t="str">
        <f>IF(AND(G1340=-1,G1339&lt;&gt;-1),MAX($M$50:M1339)+1,"")</f>
        <v/>
      </c>
      <c r="N1340" s="13" t="str">
        <f>IF(AND(G1340&lt;&gt;-1,G1339=-1),MAX($N$50:N1339)+1,"")</f>
        <v/>
      </c>
      <c r="T1340" s="7">
        <f t="shared" si="187"/>
        <v>129.05483239453329</v>
      </c>
      <c r="U1340" s="1">
        <f t="shared" si="188"/>
        <v>204.07294737008061</v>
      </c>
    </row>
    <row r="1341" spans="1:21" x14ac:dyDescent="0.3">
      <c r="A1341" s="2">
        <v>42122</v>
      </c>
      <c r="B1341" s="1">
        <v>3895.21</v>
      </c>
      <c r="C1341" s="2">
        <f t="shared" si="180"/>
        <v>42122</v>
      </c>
      <c r="D1341" s="1">
        <f t="shared" si="181"/>
        <v>3895.21</v>
      </c>
      <c r="E1341" s="4">
        <f t="shared" si="182"/>
        <v>3845.0573999999997</v>
      </c>
      <c r="F1341" s="3">
        <f t="shared" si="183"/>
        <v>1.0130433943586903</v>
      </c>
      <c r="G1341" s="18">
        <f t="shared" si="184"/>
        <v>1</v>
      </c>
      <c r="H1341" s="3">
        <f t="shared" si="185"/>
        <v>2.8603794958934614E-3</v>
      </c>
      <c r="I1341" s="3">
        <f t="shared" si="186"/>
        <v>2.8603794958934614E-3</v>
      </c>
      <c r="K1341" s="12" t="str">
        <f>IF(AND(G1341=1,G1340&lt;&gt;1),MAX($K$50:K1340)+1,"")</f>
        <v/>
      </c>
      <c r="L1341" s="13" t="str">
        <f>IF(AND(G1341&lt;&gt;1,G1340=1),MAX($L$50:L1340)+1,"")</f>
        <v/>
      </c>
      <c r="M1341" s="13" t="str">
        <f>IF(AND(G1341=-1,G1340&lt;&gt;-1),MAX($M$50:M1340)+1,"")</f>
        <v/>
      </c>
      <c r="N1341" s="13" t="str">
        <f>IF(AND(G1341&lt;&gt;-1,G1340=-1),MAX($N$50:N1340)+1,"")</f>
        <v/>
      </c>
      <c r="T1341" s="7">
        <f t="shared" si="187"/>
        <v>129.42397819096058</v>
      </c>
      <c r="U1341" s="1">
        <f t="shared" si="188"/>
        <v>204.65667344440453</v>
      </c>
    </row>
    <row r="1342" spans="1:21" x14ac:dyDescent="0.3">
      <c r="A1342" s="2">
        <v>42123</v>
      </c>
      <c r="B1342" s="1">
        <v>3880.9</v>
      </c>
      <c r="C1342" s="2">
        <f t="shared" si="180"/>
        <v>42123</v>
      </c>
      <c r="D1342" s="1">
        <f t="shared" si="181"/>
        <v>3880.9</v>
      </c>
      <c r="E1342" s="4">
        <f t="shared" si="182"/>
        <v>3845.5545999999995</v>
      </c>
      <c r="F1342" s="3">
        <f t="shared" si="183"/>
        <v>1.0091912360313389</v>
      </c>
      <c r="G1342" s="18">
        <f t="shared" si="184"/>
        <v>1</v>
      </c>
      <c r="H1342" s="3">
        <f t="shared" si="185"/>
        <v>-3.6737428790745152E-3</v>
      </c>
      <c r="I1342" s="3">
        <f t="shared" si="186"/>
        <v>-3.6737428790745152E-3</v>
      </c>
      <c r="K1342" s="12" t="str">
        <f>IF(AND(G1342=1,G1341&lt;&gt;1),MAX($K$50:K1341)+1,"")</f>
        <v/>
      </c>
      <c r="L1342" s="13" t="str">
        <f>IF(AND(G1342&lt;&gt;1,G1341=1),MAX($L$50:L1341)+1,"")</f>
        <v/>
      </c>
      <c r="M1342" s="13" t="str">
        <f>IF(AND(G1342=-1,G1341&lt;&gt;-1),MAX($M$50:M1341)+1,"")</f>
        <v/>
      </c>
      <c r="N1342" s="13" t="str">
        <f>IF(AND(G1342&lt;&gt;-1,G1341=-1),MAX($N$50:N1341)+1,"")</f>
        <v/>
      </c>
      <c r="T1342" s="7">
        <f t="shared" si="187"/>
        <v>128.94850777270005</v>
      </c>
      <c r="U1342" s="1">
        <f t="shared" si="188"/>
        <v>203.90481744768306</v>
      </c>
    </row>
    <row r="1343" spans="1:21" x14ac:dyDescent="0.3">
      <c r="A1343" s="2">
        <v>42124</v>
      </c>
      <c r="B1343" s="1">
        <v>3841.78</v>
      </c>
      <c r="C1343" s="2">
        <f t="shared" si="180"/>
        <v>42124</v>
      </c>
      <c r="D1343" s="1">
        <f t="shared" si="181"/>
        <v>3841.78</v>
      </c>
      <c r="E1343" s="4">
        <f t="shared" si="182"/>
        <v>3845.2901999999995</v>
      </c>
      <c r="F1343" s="3">
        <f t="shared" si="183"/>
        <v>0.99908714301979096</v>
      </c>
      <c r="G1343" s="18">
        <f t="shared" si="184"/>
        <v>1</v>
      </c>
      <c r="H1343" s="3">
        <f t="shared" si="185"/>
        <v>-1.0080136050915955E-2</v>
      </c>
      <c r="I1343" s="3">
        <f t="shared" si="186"/>
        <v>-1.0080136050915955E-2</v>
      </c>
      <c r="K1343" s="12" t="str">
        <f>IF(AND(G1343=1,G1342&lt;&gt;1),MAX($K$50:K1342)+1,"")</f>
        <v/>
      </c>
      <c r="L1343" s="13" t="str">
        <f>IF(AND(G1343&lt;&gt;1,G1342=1),MAX($L$50:L1342)+1,"")</f>
        <v/>
      </c>
      <c r="M1343" s="13" t="str">
        <f>IF(AND(G1343=-1,G1342&lt;&gt;-1),MAX($M$50:M1342)+1,"")</f>
        <v/>
      </c>
      <c r="N1343" s="13" t="str">
        <f>IF(AND(G1343&lt;&gt;-1,G1342=-1),MAX($N$50:N1342)+1,"")</f>
        <v/>
      </c>
      <c r="T1343" s="7">
        <f t="shared" si="187"/>
        <v>127.64868927078865</v>
      </c>
      <c r="U1343" s="1">
        <f t="shared" si="188"/>
        <v>201.84942914637321</v>
      </c>
    </row>
    <row r="1344" spans="1:21" x14ac:dyDescent="0.3">
      <c r="A1344" s="2">
        <v>42125</v>
      </c>
      <c r="B1344" s="1">
        <v>3883.75</v>
      </c>
      <c r="C1344" s="2">
        <f t="shared" si="180"/>
        <v>42125</v>
      </c>
      <c r="D1344" s="1">
        <f t="shared" si="181"/>
        <v>3883.75</v>
      </c>
      <c r="E1344" s="4">
        <f t="shared" si="182"/>
        <v>3845.9345999999996</v>
      </c>
      <c r="F1344" s="3">
        <f t="shared" si="183"/>
        <v>1.0098325644955066</v>
      </c>
      <c r="G1344" s="18">
        <f t="shared" si="184"/>
        <v>1</v>
      </c>
      <c r="H1344" s="3">
        <f t="shared" si="185"/>
        <v>1.0924623481823437E-2</v>
      </c>
      <c r="I1344" s="3">
        <f t="shared" si="186"/>
        <v>1.0924623481823437E-2</v>
      </c>
      <c r="K1344" s="12" t="str">
        <f>IF(AND(G1344=1,G1343&lt;&gt;1),MAX($K$50:K1343)+1,"")</f>
        <v/>
      </c>
      <c r="L1344" s="13" t="str">
        <f>IF(AND(G1344&lt;&gt;1,G1343=1),MAX($L$50:L1343)+1,"")</f>
        <v/>
      </c>
      <c r="M1344" s="13" t="str">
        <f>IF(AND(G1344=-1,G1343&lt;&gt;-1),MAX($M$50:M1343)+1,"")</f>
        <v/>
      </c>
      <c r="N1344" s="13" t="str">
        <f>IF(AND(G1344&lt;&gt;-1,G1343=-1),MAX($N$50:N1343)+1,"")</f>
        <v/>
      </c>
      <c r="T1344" s="7">
        <f t="shared" si="187"/>
        <v>129.04320313902028</v>
      </c>
      <c r="U1344" s="1">
        <f t="shared" si="188"/>
        <v>204.05455815981836</v>
      </c>
    </row>
    <row r="1345" spans="1:21" x14ac:dyDescent="0.3">
      <c r="A1345" s="2">
        <v>42128</v>
      </c>
      <c r="B1345" s="1">
        <v>3895.16</v>
      </c>
      <c r="C1345" s="2">
        <f t="shared" si="180"/>
        <v>42128</v>
      </c>
      <c r="D1345" s="1">
        <f t="shared" si="181"/>
        <v>3895.16</v>
      </c>
      <c r="E1345" s="4">
        <f t="shared" si="182"/>
        <v>3846.3257999999996</v>
      </c>
      <c r="F1345" s="3">
        <f t="shared" si="183"/>
        <v>1.0126963243727301</v>
      </c>
      <c r="G1345" s="18">
        <f t="shared" si="184"/>
        <v>1</v>
      </c>
      <c r="H1345" s="3">
        <f t="shared" si="185"/>
        <v>2.9378822014805017E-3</v>
      </c>
      <c r="I1345" s="3">
        <f t="shared" si="186"/>
        <v>2.9378822014805017E-3</v>
      </c>
      <c r="K1345" s="12" t="str">
        <f>IF(AND(G1345=1,G1344&lt;&gt;1),MAX($K$50:K1344)+1,"")</f>
        <v/>
      </c>
      <c r="L1345" s="13" t="str">
        <f>IF(AND(G1345&lt;&gt;1,G1344=1),MAX($L$50:L1344)+1,"")</f>
        <v/>
      </c>
      <c r="M1345" s="13" t="str">
        <f>IF(AND(G1345=-1,G1344&lt;&gt;-1),MAX($M$50:M1344)+1,"")</f>
        <v/>
      </c>
      <c r="N1345" s="13" t="str">
        <f>IF(AND(G1345&lt;&gt;-1,G1344=-1),MAX($N$50:N1344)+1,"")</f>
        <v/>
      </c>
      <c r="T1345" s="7">
        <f t="shared" si="187"/>
        <v>129.42231686874445</v>
      </c>
      <c r="U1345" s="1">
        <f t="shared" si="188"/>
        <v>204.65404641436703</v>
      </c>
    </row>
    <row r="1346" spans="1:21" x14ac:dyDescent="0.3">
      <c r="A1346" s="2">
        <v>42129</v>
      </c>
      <c r="B1346" s="1">
        <v>3849.41</v>
      </c>
      <c r="C1346" s="2">
        <f t="shared" si="180"/>
        <v>42129</v>
      </c>
      <c r="D1346" s="1">
        <f t="shared" si="181"/>
        <v>3849.41</v>
      </c>
      <c r="E1346" s="4">
        <f t="shared" si="182"/>
        <v>3845.8247999999994</v>
      </c>
      <c r="F1346" s="3">
        <f t="shared" si="183"/>
        <v>1.0009322317542912</v>
      </c>
      <c r="G1346" s="18">
        <f t="shared" si="184"/>
        <v>1</v>
      </c>
      <c r="H1346" s="3">
        <f t="shared" si="185"/>
        <v>-1.1745345505704496E-2</v>
      </c>
      <c r="I1346" s="3">
        <f t="shared" si="186"/>
        <v>-1.1745345505704496E-2</v>
      </c>
      <c r="K1346" s="12" t="str">
        <f>IF(AND(G1346=1,G1345&lt;&gt;1),MAX($K$50:K1345)+1,"")</f>
        <v/>
      </c>
      <c r="L1346" s="13" t="str">
        <f>IF(AND(G1346&lt;&gt;1,G1345=1),MAX($L$50:L1345)+1,"")</f>
        <v/>
      </c>
      <c r="M1346" s="13" t="str">
        <f>IF(AND(G1346=-1,G1345&lt;&gt;-1),MAX($M$50:M1345)+1,"")</f>
        <v/>
      </c>
      <c r="N1346" s="13" t="str">
        <f>IF(AND(G1346&lt;&gt;-1,G1345=-1),MAX($N$50:N1345)+1,"")</f>
        <v/>
      </c>
      <c r="T1346" s="7">
        <f t="shared" si="187"/>
        <v>127.90220704097227</v>
      </c>
      <c r="U1346" s="1">
        <f t="shared" si="188"/>
        <v>202.25031393008979</v>
      </c>
    </row>
    <row r="1347" spans="1:21" x14ac:dyDescent="0.3">
      <c r="A1347" s="2">
        <v>42130</v>
      </c>
      <c r="B1347" s="1">
        <v>3833.7</v>
      </c>
      <c r="C1347" s="2">
        <f t="shared" si="180"/>
        <v>42130</v>
      </c>
      <c r="D1347" s="1">
        <f t="shared" si="181"/>
        <v>3833.7</v>
      </c>
      <c r="E1347" s="4">
        <f t="shared" si="182"/>
        <v>3844.7933999999996</v>
      </c>
      <c r="F1347" s="3">
        <f t="shared" si="183"/>
        <v>0.9971146954216058</v>
      </c>
      <c r="G1347" s="18">
        <f t="shared" si="184"/>
        <v>1</v>
      </c>
      <c r="H1347" s="3">
        <f t="shared" si="185"/>
        <v>-4.0811449027253754E-3</v>
      </c>
      <c r="I1347" s="3">
        <f t="shared" si="186"/>
        <v>-4.0811449027253754E-3</v>
      </c>
      <c r="K1347" s="12" t="str">
        <f>IF(AND(G1347=1,G1346&lt;&gt;1),MAX($K$50:K1346)+1,"")</f>
        <v/>
      </c>
      <c r="L1347" s="13" t="str">
        <f>IF(AND(G1347&lt;&gt;1,G1346=1),MAX($L$50:L1346)+1,"")</f>
        <v/>
      </c>
      <c r="M1347" s="13" t="str">
        <f>IF(AND(G1347=-1,G1346&lt;&gt;-1),MAX($M$50:M1346)+1,"")</f>
        <v/>
      </c>
      <c r="N1347" s="13" t="str">
        <f>IF(AND(G1347&lt;&gt;-1,G1346=-1),MAX($N$50:N1346)+1,"")</f>
        <v/>
      </c>
      <c r="T1347" s="7">
        <f t="shared" si="187"/>
        <v>127.38021960065969</v>
      </c>
      <c r="U1347" s="1">
        <f t="shared" si="188"/>
        <v>201.4249010923194</v>
      </c>
    </row>
    <row r="1348" spans="1:21" x14ac:dyDescent="0.3">
      <c r="A1348" s="2">
        <v>42131</v>
      </c>
      <c r="B1348" s="1">
        <v>3849.13</v>
      </c>
      <c r="C1348" s="2">
        <f t="shared" si="180"/>
        <v>42131</v>
      </c>
      <c r="D1348" s="1">
        <f t="shared" si="181"/>
        <v>3849.13</v>
      </c>
      <c r="E1348" s="4">
        <f t="shared" si="182"/>
        <v>3844.1170000000002</v>
      </c>
      <c r="F1348" s="3">
        <f t="shared" si="183"/>
        <v>1.0013040706097134</v>
      </c>
      <c r="G1348" s="18">
        <f t="shared" si="184"/>
        <v>1</v>
      </c>
      <c r="H1348" s="3">
        <f t="shared" si="185"/>
        <v>4.0248324073350883E-3</v>
      </c>
      <c r="I1348" s="3">
        <f t="shared" si="186"/>
        <v>4.0248324073350883E-3</v>
      </c>
      <c r="K1348" s="12" t="str">
        <f>IF(AND(G1348=1,G1347&lt;&gt;1),MAX($K$50:K1347)+1,"")</f>
        <v/>
      </c>
      <c r="L1348" s="13" t="str">
        <f>IF(AND(G1348&lt;&gt;1,G1347=1),MAX($L$50:L1347)+1,"")</f>
        <v/>
      </c>
      <c r="M1348" s="13" t="str">
        <f>IF(AND(G1348=-1,G1347&lt;&gt;-1),MAX($M$50:M1347)+1,"")</f>
        <v/>
      </c>
      <c r="N1348" s="13" t="str">
        <f>IF(AND(G1348&lt;&gt;-1,G1347=-1),MAX($N$50:N1347)+1,"")</f>
        <v/>
      </c>
      <c r="T1348" s="7">
        <f t="shared" si="187"/>
        <v>127.89290363656188</v>
      </c>
      <c r="U1348" s="1">
        <f t="shared" si="188"/>
        <v>202.23560256188003</v>
      </c>
    </row>
    <row r="1349" spans="1:21" x14ac:dyDescent="0.3">
      <c r="A1349" s="2">
        <v>42132</v>
      </c>
      <c r="B1349" s="1">
        <v>3901.01</v>
      </c>
      <c r="C1349" s="2">
        <f t="shared" si="180"/>
        <v>42132</v>
      </c>
      <c r="D1349" s="1">
        <f t="shared" si="181"/>
        <v>3901.01</v>
      </c>
      <c r="E1349" s="4">
        <f t="shared" si="182"/>
        <v>3844.5801999999994</v>
      </c>
      <c r="F1349" s="3">
        <f t="shared" si="183"/>
        <v>1.0146777533734375</v>
      </c>
      <c r="G1349" s="18">
        <f t="shared" si="184"/>
        <v>1</v>
      </c>
      <c r="H1349" s="3">
        <f t="shared" si="185"/>
        <v>1.3478370436955878E-2</v>
      </c>
      <c r="I1349" s="3">
        <f t="shared" si="186"/>
        <v>1.3478370436955878E-2</v>
      </c>
      <c r="K1349" s="12" t="str">
        <f>IF(AND(G1349=1,G1348&lt;&gt;1),MAX($K$50:K1348)+1,"")</f>
        <v/>
      </c>
      <c r="L1349" s="13" t="str">
        <f>IF(AND(G1349&lt;&gt;1,G1348=1),MAX($L$50:L1348)+1,"")</f>
        <v/>
      </c>
      <c r="M1349" s="13" t="str">
        <f>IF(AND(G1349=-1,G1348&lt;&gt;-1),MAX($M$50:M1348)+1,"")</f>
        <v/>
      </c>
      <c r="N1349" s="13" t="str">
        <f>IF(AND(G1349&lt;&gt;-1,G1348=-1),MAX($N$50:N1348)+1,"")</f>
        <v/>
      </c>
      <c r="T1349" s="7">
        <f t="shared" si="187"/>
        <v>129.61669156803336</v>
      </c>
      <c r="U1349" s="1">
        <f t="shared" si="188"/>
        <v>204.96140892875005</v>
      </c>
    </row>
    <row r="1350" spans="1:21" x14ac:dyDescent="0.3">
      <c r="A1350" s="2">
        <v>42135</v>
      </c>
      <c r="B1350" s="1">
        <v>3881.93</v>
      </c>
      <c r="C1350" s="2">
        <f t="shared" si="180"/>
        <v>42135</v>
      </c>
      <c r="D1350" s="1">
        <f t="shared" si="181"/>
        <v>3881.93</v>
      </c>
      <c r="E1350" s="4">
        <f t="shared" si="182"/>
        <v>3844.8903999999998</v>
      </c>
      <c r="F1350" s="3">
        <f t="shared" si="183"/>
        <v>1.009633460553258</v>
      </c>
      <c r="G1350" s="18">
        <f t="shared" si="184"/>
        <v>1</v>
      </c>
      <c r="H1350" s="3">
        <f t="shared" si="185"/>
        <v>-4.891041038090238E-3</v>
      </c>
      <c r="I1350" s="3">
        <f t="shared" si="186"/>
        <v>-4.891041038090238E-3</v>
      </c>
      <c r="K1350" s="12" t="str">
        <f>IF(AND(G1350=1,G1349&lt;&gt;1),MAX($K$50:K1349)+1,"")</f>
        <v/>
      </c>
      <c r="L1350" s="13" t="str">
        <f>IF(AND(G1350&lt;&gt;1,G1349=1),MAX($L$50:L1349)+1,"")</f>
        <v/>
      </c>
      <c r="M1350" s="13" t="str">
        <f>IF(AND(G1350=-1,G1349&lt;&gt;-1),MAX($M$50:M1349)+1,"")</f>
        <v/>
      </c>
      <c r="N1350" s="13" t="str">
        <f>IF(AND(G1350&lt;&gt;-1,G1349=-1),MAX($N$50:N1349)+1,"")</f>
        <v/>
      </c>
      <c r="T1350" s="7">
        <f t="shared" si="187"/>
        <v>128.98273101035264</v>
      </c>
      <c r="U1350" s="1">
        <f t="shared" si="188"/>
        <v>203.95893426645475</v>
      </c>
    </row>
    <row r="1351" spans="1:21" x14ac:dyDescent="0.3">
      <c r="A1351" s="2">
        <v>42136</v>
      </c>
      <c r="B1351" s="1">
        <v>3870.69</v>
      </c>
      <c r="C1351" s="2">
        <f t="shared" si="180"/>
        <v>42136</v>
      </c>
      <c r="D1351" s="1">
        <f t="shared" si="181"/>
        <v>3870.69</v>
      </c>
      <c r="E1351" s="4">
        <f t="shared" si="182"/>
        <v>3844.4978000000001</v>
      </c>
      <c r="F1351" s="3">
        <f t="shared" si="183"/>
        <v>1.0068129054463237</v>
      </c>
      <c r="G1351" s="18">
        <f t="shared" si="184"/>
        <v>1</v>
      </c>
      <c r="H1351" s="3">
        <f t="shared" si="185"/>
        <v>-2.895466945565639E-3</v>
      </c>
      <c r="I1351" s="3">
        <f t="shared" si="186"/>
        <v>-2.895466945565639E-3</v>
      </c>
      <c r="K1351" s="12" t="str">
        <f>IF(AND(G1351=1,G1350&lt;&gt;1),MAX($K$50:K1350)+1,"")</f>
        <v/>
      </c>
      <c r="L1351" s="13" t="str">
        <f>IF(AND(G1351&lt;&gt;1,G1350=1),MAX($L$50:L1350)+1,"")</f>
        <v/>
      </c>
      <c r="M1351" s="13" t="str">
        <f>IF(AND(G1351=-1,G1350&lt;&gt;-1),MAX($M$50:M1350)+1,"")</f>
        <v/>
      </c>
      <c r="N1351" s="13" t="str">
        <f>IF(AND(G1351&lt;&gt;-1,G1350=-1),MAX($N$50:N1350)+1,"")</f>
        <v/>
      </c>
      <c r="T1351" s="7">
        <f t="shared" si="187"/>
        <v>128.60926577616337</v>
      </c>
      <c r="U1351" s="1">
        <f t="shared" si="188"/>
        <v>203.36837791403343</v>
      </c>
    </row>
    <row r="1352" spans="1:21" x14ac:dyDescent="0.3">
      <c r="A1352" s="2">
        <v>42137</v>
      </c>
      <c r="B1352" s="1">
        <v>3870.36</v>
      </c>
      <c r="C1352" s="2">
        <f t="shared" si="180"/>
        <v>42137</v>
      </c>
      <c r="D1352" s="1">
        <f t="shared" si="181"/>
        <v>3870.36</v>
      </c>
      <c r="E1352" s="4">
        <f t="shared" si="182"/>
        <v>3844.4507999999996</v>
      </c>
      <c r="F1352" s="3">
        <f t="shared" si="183"/>
        <v>1.0067393761418408</v>
      </c>
      <c r="G1352" s="18">
        <f t="shared" si="184"/>
        <v>1</v>
      </c>
      <c r="H1352" s="3">
        <f t="shared" si="185"/>
        <v>-8.525611712639769E-5</v>
      </c>
      <c r="I1352" s="3">
        <f t="shared" si="186"/>
        <v>-8.525611712639769E-5</v>
      </c>
      <c r="K1352" s="12" t="str">
        <f>IF(AND(G1352=1,G1351&lt;&gt;1),MAX($K$50:K1351)+1,"")</f>
        <v/>
      </c>
      <c r="L1352" s="13" t="str">
        <f>IF(AND(G1352&lt;&gt;1,G1351=1),MAX($L$50:L1351)+1,"")</f>
        <v/>
      </c>
      <c r="M1352" s="13" t="str">
        <f>IF(AND(G1352=-1,G1351&lt;&gt;-1),MAX($M$50:M1351)+1,"")</f>
        <v/>
      </c>
      <c r="N1352" s="13" t="str">
        <f>IF(AND(G1352&lt;&gt;-1,G1351=-1),MAX($N$50:N1351)+1,"")</f>
        <v/>
      </c>
      <c r="T1352" s="7">
        <f t="shared" si="187"/>
        <v>128.59830104953681</v>
      </c>
      <c r="U1352" s="1">
        <f t="shared" si="188"/>
        <v>203.3510395157862</v>
      </c>
    </row>
    <row r="1353" spans="1:21" x14ac:dyDescent="0.3">
      <c r="A1353" s="2">
        <v>42138</v>
      </c>
      <c r="B1353" s="1">
        <v>3912.52</v>
      </c>
      <c r="C1353" s="2">
        <f t="shared" si="180"/>
        <v>42138</v>
      </c>
      <c r="D1353" s="1">
        <f t="shared" si="181"/>
        <v>3912.52</v>
      </c>
      <c r="E1353" s="4">
        <f t="shared" si="182"/>
        <v>3845.570999999999</v>
      </c>
      <c r="F1353" s="3">
        <f t="shared" si="183"/>
        <v>1.0174093782171754</v>
      </c>
      <c r="G1353" s="18">
        <f t="shared" si="184"/>
        <v>1</v>
      </c>
      <c r="H1353" s="3">
        <f t="shared" si="185"/>
        <v>1.0893043541169156E-2</v>
      </c>
      <c r="I1353" s="3">
        <f t="shared" si="186"/>
        <v>1.0893043541169156E-2</v>
      </c>
      <c r="K1353" s="12" t="str">
        <f>IF(AND(G1353=1,G1352&lt;&gt;1),MAX($K$50:K1352)+1,"")</f>
        <v/>
      </c>
      <c r="L1353" s="13" t="str">
        <f>IF(AND(G1353&lt;&gt;1,G1352=1),MAX($L$50:L1352)+1,"")</f>
        <v/>
      </c>
      <c r="M1353" s="13" t="str">
        <f>IF(AND(G1353=-1,G1352&lt;&gt;-1),MAX($M$50:M1352)+1,"")</f>
        <v/>
      </c>
      <c r="N1353" s="13" t="str">
        <f>IF(AND(G1353&lt;&gt;-1,G1352=-1),MAX($N$50:N1352)+1,"")</f>
        <v/>
      </c>
      <c r="T1353" s="7">
        <f t="shared" si="187"/>
        <v>129.9991279421898</v>
      </c>
      <c r="U1353" s="1">
        <f t="shared" si="188"/>
        <v>205.5661512433737</v>
      </c>
    </row>
    <row r="1354" spans="1:21" x14ac:dyDescent="0.3">
      <c r="A1354" s="2">
        <v>42139</v>
      </c>
      <c r="B1354" s="1">
        <v>3915.99</v>
      </c>
      <c r="C1354" s="2">
        <f t="shared" si="180"/>
        <v>42139</v>
      </c>
      <c r="D1354" s="1">
        <f t="shared" si="181"/>
        <v>3915.99</v>
      </c>
      <c r="E1354" s="4">
        <f t="shared" si="182"/>
        <v>3846.6649999999995</v>
      </c>
      <c r="F1354" s="3">
        <f t="shared" si="183"/>
        <v>1.018022104862264</v>
      </c>
      <c r="G1354" s="18">
        <f t="shared" si="184"/>
        <v>1</v>
      </c>
      <c r="H1354" s="3">
        <f t="shared" si="185"/>
        <v>8.8689642481054598E-4</v>
      </c>
      <c r="I1354" s="3">
        <f t="shared" si="186"/>
        <v>8.8689642481054598E-4</v>
      </c>
      <c r="K1354" s="12" t="str">
        <f>IF(AND(G1354=1,G1353&lt;&gt;1),MAX($K$50:K1353)+1,"")</f>
        <v/>
      </c>
      <c r="L1354" s="13" t="str">
        <f>IF(AND(G1354&lt;&gt;1,G1353=1),MAX($L$50:L1353)+1,"")</f>
        <v/>
      </c>
      <c r="M1354" s="13" t="str">
        <f>IF(AND(G1354=-1,G1353&lt;&gt;-1),MAX($M$50:M1353)+1,"")</f>
        <v/>
      </c>
      <c r="N1354" s="13" t="str">
        <f>IF(AND(G1354&lt;&gt;-1,G1353=-1),MAX($N$50:N1353)+1,"")</f>
        <v/>
      </c>
      <c r="T1354" s="7">
        <f t="shared" si="187"/>
        <v>130.11442370399021</v>
      </c>
      <c r="U1354" s="1">
        <f t="shared" si="188"/>
        <v>205.74846712797353</v>
      </c>
    </row>
    <row r="1355" spans="1:21" x14ac:dyDescent="0.3">
      <c r="A1355" s="2">
        <v>42142</v>
      </c>
      <c r="B1355" s="1">
        <v>3928.15</v>
      </c>
      <c r="C1355" s="2">
        <f t="shared" si="180"/>
        <v>42142</v>
      </c>
      <c r="D1355" s="1">
        <f t="shared" si="181"/>
        <v>3928.15</v>
      </c>
      <c r="E1355" s="4">
        <f t="shared" si="182"/>
        <v>3849.087199999999</v>
      </c>
      <c r="F1355" s="3">
        <f t="shared" si="183"/>
        <v>1.0205406622120696</v>
      </c>
      <c r="G1355" s="18">
        <f t="shared" si="184"/>
        <v>1</v>
      </c>
      <c r="H1355" s="3">
        <f t="shared" si="185"/>
        <v>3.1052173269083827E-3</v>
      </c>
      <c r="I1355" s="3">
        <f t="shared" si="186"/>
        <v>3.1052173269083827E-3</v>
      </c>
      <c r="K1355" s="12" t="str">
        <f>IF(AND(G1355=1,G1354&lt;&gt;1),MAX($K$50:K1354)+1,"")</f>
        <v/>
      </c>
      <c r="L1355" s="13" t="str">
        <f>IF(AND(G1355&lt;&gt;1,G1354=1),MAX($L$50:L1354)+1,"")</f>
        <v/>
      </c>
      <c r="M1355" s="13" t="str">
        <f>IF(AND(G1355=-1,G1354&lt;&gt;-1),MAX($M$50:M1354)+1,"")</f>
        <v/>
      </c>
      <c r="N1355" s="13" t="str">
        <f>IF(AND(G1355&lt;&gt;-1,G1354=-1),MAX($N$50:N1354)+1,"")</f>
        <v/>
      </c>
      <c r="T1355" s="7">
        <f t="shared" si="187"/>
        <v>130.51845726695655</v>
      </c>
      <c r="U1355" s="1">
        <f t="shared" si="188"/>
        <v>206.38736083308416</v>
      </c>
    </row>
    <row r="1356" spans="1:21" x14ac:dyDescent="0.3">
      <c r="A1356" s="2">
        <v>42143</v>
      </c>
      <c r="B1356" s="1">
        <v>3926.41</v>
      </c>
      <c r="C1356" s="2">
        <f t="shared" si="180"/>
        <v>42143</v>
      </c>
      <c r="D1356" s="1">
        <f t="shared" si="181"/>
        <v>3926.41</v>
      </c>
      <c r="E1356" s="4">
        <f t="shared" si="182"/>
        <v>3851.1669999999995</v>
      </c>
      <c r="F1356" s="3">
        <f t="shared" si="183"/>
        <v>1.0195377141526194</v>
      </c>
      <c r="G1356" s="18">
        <f t="shared" si="184"/>
        <v>1</v>
      </c>
      <c r="H1356" s="3">
        <f t="shared" si="185"/>
        <v>-4.4295660807258663E-4</v>
      </c>
      <c r="I1356" s="3">
        <f t="shared" si="186"/>
        <v>-4.4295660807258663E-4</v>
      </c>
      <c r="K1356" s="12" t="str">
        <f>IF(AND(G1356=1,G1355&lt;&gt;1),MAX($K$50:K1355)+1,"")</f>
        <v/>
      </c>
      <c r="L1356" s="13" t="str">
        <f>IF(AND(G1356&lt;&gt;1,G1355=1),MAX($L$50:L1355)+1,"")</f>
        <v/>
      </c>
      <c r="M1356" s="13" t="str">
        <f>IF(AND(G1356=-1,G1355&lt;&gt;-1),MAX($M$50:M1355)+1,"")</f>
        <v/>
      </c>
      <c r="N1356" s="13" t="str">
        <f>IF(AND(G1356&lt;&gt;-1,G1355=-1),MAX($N$50:N1355)+1,"")</f>
        <v/>
      </c>
      <c r="T1356" s="7">
        <f t="shared" si="187"/>
        <v>130.46064325383472</v>
      </c>
      <c r="U1356" s="1">
        <f t="shared" si="188"/>
        <v>206.2959401877805</v>
      </c>
    </row>
    <row r="1357" spans="1:21" x14ac:dyDescent="0.3">
      <c r="A1357" s="2">
        <v>42144</v>
      </c>
      <c r="B1357" s="1">
        <v>3923.18</v>
      </c>
      <c r="C1357" s="2">
        <f t="shared" si="180"/>
        <v>42144</v>
      </c>
      <c r="D1357" s="1">
        <f t="shared" si="181"/>
        <v>3923.18</v>
      </c>
      <c r="E1357" s="4">
        <f t="shared" si="182"/>
        <v>3854.4739999999997</v>
      </c>
      <c r="F1357" s="3">
        <f t="shared" si="183"/>
        <v>1.0178250002464668</v>
      </c>
      <c r="G1357" s="18">
        <f t="shared" si="184"/>
        <v>1</v>
      </c>
      <c r="H1357" s="3">
        <f t="shared" si="185"/>
        <v>-8.2263441668084525E-4</v>
      </c>
      <c r="I1357" s="3">
        <f t="shared" si="186"/>
        <v>-8.2263441668084525E-4</v>
      </c>
      <c r="K1357" s="12" t="str">
        <f>IF(AND(G1357=1,G1356&lt;&gt;1),MAX($K$50:K1356)+1,"")</f>
        <v/>
      </c>
      <c r="L1357" s="13" t="str">
        <f>IF(AND(G1357&lt;&gt;1,G1356=1),MAX($L$50:L1356)+1,"")</f>
        <v/>
      </c>
      <c r="M1357" s="13" t="str">
        <f>IF(AND(G1357=-1,G1356&lt;&gt;-1),MAX($M$50:M1356)+1,"")</f>
        <v/>
      </c>
      <c r="N1357" s="13" t="str">
        <f>IF(AND(G1357&lt;&gt;-1,G1356=-1),MAX($N$50:N1356)+1,"")</f>
        <v/>
      </c>
      <c r="T1357" s="7">
        <f t="shared" si="187"/>
        <v>130.3533218386718</v>
      </c>
      <c r="U1357" s="1">
        <f t="shared" si="188"/>
        <v>206.12623404736047</v>
      </c>
    </row>
    <row r="1358" spans="1:21" x14ac:dyDescent="0.3">
      <c r="A1358" s="2">
        <v>42145</v>
      </c>
      <c r="B1358" s="1">
        <v>3932.9</v>
      </c>
      <c r="C1358" s="2">
        <f t="shared" si="180"/>
        <v>42145</v>
      </c>
      <c r="D1358" s="1">
        <f t="shared" si="181"/>
        <v>3932.9</v>
      </c>
      <c r="E1358" s="4">
        <f t="shared" si="182"/>
        <v>3858.1079999999997</v>
      </c>
      <c r="F1358" s="3">
        <f t="shared" si="183"/>
        <v>1.0193856677936439</v>
      </c>
      <c r="G1358" s="18">
        <f t="shared" si="184"/>
        <v>1</v>
      </c>
      <c r="H1358" s="3">
        <f t="shared" si="185"/>
        <v>2.4775819615721062E-3</v>
      </c>
      <c r="I1358" s="3">
        <f t="shared" si="186"/>
        <v>2.4775819615721062E-3</v>
      </c>
      <c r="K1358" s="12" t="str">
        <f>IF(AND(G1358=1,G1357&lt;&gt;1),MAX($K$50:K1357)+1,"")</f>
        <v/>
      </c>
      <c r="L1358" s="13" t="str">
        <f>IF(AND(G1358&lt;&gt;1,G1357=1),MAX($L$50:L1357)+1,"")</f>
        <v/>
      </c>
      <c r="M1358" s="13" t="str">
        <f>IF(AND(G1358=-1,G1357&lt;&gt;-1),MAX($M$50:M1357)+1,"")</f>
        <v/>
      </c>
      <c r="N1358" s="13" t="str">
        <f>IF(AND(G1358&lt;&gt;-1,G1357=-1),MAX($N$50:N1357)+1,"")</f>
        <v/>
      </c>
      <c r="T1358" s="7">
        <f t="shared" si="187"/>
        <v>130.67628287749031</v>
      </c>
      <c r="U1358" s="1">
        <f t="shared" si="188"/>
        <v>206.63692868664299</v>
      </c>
    </row>
    <row r="1359" spans="1:21" x14ac:dyDescent="0.3">
      <c r="A1359" s="2">
        <v>42146</v>
      </c>
      <c r="B1359" s="1">
        <v>3924.16</v>
      </c>
      <c r="C1359" s="2">
        <f t="shared" si="180"/>
        <v>42146</v>
      </c>
      <c r="D1359" s="1">
        <f t="shared" si="181"/>
        <v>3924.16</v>
      </c>
      <c r="E1359" s="4">
        <f t="shared" si="182"/>
        <v>3860.6025999999997</v>
      </c>
      <c r="F1359" s="3">
        <f t="shared" si="183"/>
        <v>1.0164630775516754</v>
      </c>
      <c r="G1359" s="18">
        <f t="shared" si="184"/>
        <v>1</v>
      </c>
      <c r="H1359" s="3">
        <f t="shared" si="185"/>
        <v>-2.2222787256224175E-3</v>
      </c>
      <c r="I1359" s="3">
        <f t="shared" si="186"/>
        <v>-2.2222787256224175E-3</v>
      </c>
      <c r="K1359" s="12" t="str">
        <f>IF(AND(G1359=1,G1358&lt;&gt;1),MAX($K$50:K1358)+1,"")</f>
        <v/>
      </c>
      <c r="L1359" s="13" t="str">
        <f>IF(AND(G1359&lt;&gt;1,G1358=1),MAX($L$50:L1358)+1,"")</f>
        <v/>
      </c>
      <c r="M1359" s="13" t="str">
        <f>IF(AND(G1359=-1,G1358&lt;&gt;-1),MAX($M$50:M1358)+1,"")</f>
        <v/>
      </c>
      <c r="N1359" s="13" t="str">
        <f>IF(AND(G1359&lt;&gt;-1,G1358=-1),MAX($N$50:N1358)+1,"")</f>
        <v/>
      </c>
      <c r="T1359" s="7">
        <f t="shared" si="187"/>
        <v>130.38588375410825</v>
      </c>
      <c r="U1359" s="1">
        <f t="shared" si="188"/>
        <v>206.17772383609471</v>
      </c>
    </row>
    <row r="1360" spans="1:21" x14ac:dyDescent="0.3">
      <c r="A1360" s="2">
        <v>42150</v>
      </c>
      <c r="B1360" s="1">
        <v>3883.88</v>
      </c>
      <c r="C1360" s="2">
        <f t="shared" si="180"/>
        <v>42150</v>
      </c>
      <c r="D1360" s="1">
        <f t="shared" si="181"/>
        <v>3883.88</v>
      </c>
      <c r="E1360" s="4">
        <f t="shared" si="182"/>
        <v>3862.7513999999996</v>
      </c>
      <c r="F1360" s="3">
        <f t="shared" si="183"/>
        <v>1.0054698316852595</v>
      </c>
      <c r="G1360" s="18">
        <f t="shared" si="184"/>
        <v>1</v>
      </c>
      <c r="H1360" s="3">
        <f t="shared" si="185"/>
        <v>-1.0264617140993137E-2</v>
      </c>
      <c r="I1360" s="3">
        <f t="shared" si="186"/>
        <v>-1.0264617140993137E-2</v>
      </c>
      <c r="K1360" s="12" t="str">
        <f>IF(AND(G1360=1,G1359&lt;&gt;1),MAX($K$50:K1359)+1,"")</f>
        <v/>
      </c>
      <c r="L1360" s="13" t="str">
        <f>IF(AND(G1360&lt;&gt;1,G1359=1),MAX($L$50:L1359)+1,"")</f>
        <v/>
      </c>
      <c r="M1360" s="13" t="str">
        <f>IF(AND(G1360=-1,G1359&lt;&gt;-1),MAX($M$50:M1359)+1,"")</f>
        <v/>
      </c>
      <c r="N1360" s="13" t="str">
        <f>IF(AND(G1360&lt;&gt;-1,G1359=-1),MAX($N$50:N1359)+1,"")</f>
        <v/>
      </c>
      <c r="T1360" s="7">
        <f t="shared" si="187"/>
        <v>129.04752257678228</v>
      </c>
      <c r="U1360" s="1">
        <f t="shared" si="188"/>
        <v>204.06138843791578</v>
      </c>
    </row>
    <row r="1361" spans="1:21" x14ac:dyDescent="0.3">
      <c r="A1361" s="2">
        <v>42151</v>
      </c>
      <c r="B1361" s="1">
        <v>3920.11</v>
      </c>
      <c r="C1361" s="2">
        <f t="shared" si="180"/>
        <v>42151</v>
      </c>
      <c r="D1361" s="1">
        <f t="shared" si="181"/>
        <v>3920.11</v>
      </c>
      <c r="E1361" s="4">
        <f t="shared" si="182"/>
        <v>3864.6011999999992</v>
      </c>
      <c r="F1361" s="3">
        <f t="shared" si="183"/>
        <v>1.0143633966681997</v>
      </c>
      <c r="G1361" s="18">
        <f t="shared" si="184"/>
        <v>1</v>
      </c>
      <c r="H1361" s="3">
        <f t="shared" si="185"/>
        <v>9.328300565413894E-3</v>
      </c>
      <c r="I1361" s="3">
        <f t="shared" si="186"/>
        <v>9.328300565413894E-3</v>
      </c>
      <c r="K1361" s="12" t="str">
        <f>IF(AND(G1361=1,G1360&lt;&gt;1),MAX($K$50:K1360)+1,"")</f>
        <v/>
      </c>
      <c r="L1361" s="13" t="str">
        <f>IF(AND(G1361&lt;&gt;1,G1360=1),MAX($L$50:L1360)+1,"")</f>
        <v/>
      </c>
      <c r="M1361" s="13" t="str">
        <f>IF(AND(G1361=-1,G1360&lt;&gt;-1),MAX($M$50:M1360)+1,"")</f>
        <v/>
      </c>
      <c r="N1361" s="13" t="str">
        <f>IF(AND(G1361&lt;&gt;-1,G1360=-1),MAX($N$50:N1360)+1,"")</f>
        <v/>
      </c>
      <c r="T1361" s="7">
        <f t="shared" si="187"/>
        <v>130.25131665460054</v>
      </c>
      <c r="U1361" s="1">
        <f t="shared" si="188"/>
        <v>205.96493440306034</v>
      </c>
    </row>
    <row r="1362" spans="1:21" x14ac:dyDescent="0.3">
      <c r="A1362" s="2">
        <v>42152</v>
      </c>
      <c r="B1362" s="1">
        <v>3915.82</v>
      </c>
      <c r="C1362" s="2">
        <f t="shared" si="180"/>
        <v>42152</v>
      </c>
      <c r="D1362" s="1">
        <f t="shared" si="181"/>
        <v>3915.82</v>
      </c>
      <c r="E1362" s="4">
        <f t="shared" si="182"/>
        <v>3866.6193999999996</v>
      </c>
      <c r="F1362" s="3">
        <f t="shared" si="183"/>
        <v>1.0127244486488638</v>
      </c>
      <c r="G1362" s="18">
        <f t="shared" si="184"/>
        <v>1</v>
      </c>
      <c r="H1362" s="3">
        <f t="shared" si="185"/>
        <v>-1.0943570461032781E-3</v>
      </c>
      <c r="I1362" s="3">
        <f t="shared" si="186"/>
        <v>-1.0943570461032781E-3</v>
      </c>
      <c r="K1362" s="12" t="str">
        <f>IF(AND(G1362=1,G1361&lt;&gt;1),MAX($K$50:K1361)+1,"")</f>
        <v/>
      </c>
      <c r="L1362" s="13" t="str">
        <f>IF(AND(G1362&lt;&gt;1,G1361=1),MAX($L$50:L1361)+1,"")</f>
        <v/>
      </c>
      <c r="M1362" s="13" t="str">
        <f>IF(AND(G1362=-1,G1361&lt;&gt;-1),MAX($M$50:M1361)+1,"")</f>
        <v/>
      </c>
      <c r="N1362" s="13" t="str">
        <f>IF(AND(G1362&lt;&gt;-1,G1361=-1),MAX($N$50:N1361)+1,"")</f>
        <v/>
      </c>
      <c r="T1362" s="7">
        <f t="shared" si="187"/>
        <v>130.10877520845534</v>
      </c>
      <c r="U1362" s="1">
        <f t="shared" si="188"/>
        <v>205.73953522584614</v>
      </c>
    </row>
    <row r="1363" spans="1:21" x14ac:dyDescent="0.3">
      <c r="A1363" s="2">
        <v>42153</v>
      </c>
      <c r="B1363" s="1">
        <v>3891.18</v>
      </c>
      <c r="C1363" s="2">
        <f t="shared" si="180"/>
        <v>42153</v>
      </c>
      <c r="D1363" s="1">
        <f t="shared" si="181"/>
        <v>3891.18</v>
      </c>
      <c r="E1363" s="4">
        <f t="shared" si="182"/>
        <v>3867.2151999999992</v>
      </c>
      <c r="F1363" s="3">
        <f t="shared" si="183"/>
        <v>1.0061969139964078</v>
      </c>
      <c r="G1363" s="18">
        <f t="shared" si="184"/>
        <v>1</v>
      </c>
      <c r="H1363" s="3">
        <f t="shared" si="185"/>
        <v>-6.2924240644360863E-3</v>
      </c>
      <c r="I1363" s="3">
        <f t="shared" si="186"/>
        <v>-6.2924240644360863E-3</v>
      </c>
      <c r="K1363" s="12" t="str">
        <f>IF(AND(G1363=1,G1362&lt;&gt;1),MAX($K$50:K1362)+1,"")</f>
        <v/>
      </c>
      <c r="L1363" s="13" t="str">
        <f>IF(AND(G1363&lt;&gt;1,G1362=1),MAX($L$50:L1362)+1,"")</f>
        <v/>
      </c>
      <c r="M1363" s="13" t="str">
        <f>IF(AND(G1363=-1,G1362&lt;&gt;-1),MAX($M$50:M1362)+1,"")</f>
        <v/>
      </c>
      <c r="N1363" s="13" t="str">
        <f>IF(AND(G1363&lt;&gt;-1,G1362=-1),MAX($N$50:N1362)+1,"")</f>
        <v/>
      </c>
      <c r="T1363" s="7">
        <f t="shared" si="187"/>
        <v>129.29007562033937</v>
      </c>
      <c r="U1363" s="1">
        <f t="shared" si="188"/>
        <v>204.44493482338513</v>
      </c>
    </row>
    <row r="1364" spans="1:21" x14ac:dyDescent="0.3">
      <c r="A1364" s="2">
        <v>42156</v>
      </c>
      <c r="B1364" s="1">
        <v>3899.59</v>
      </c>
      <c r="C1364" s="2">
        <f t="shared" si="180"/>
        <v>42156</v>
      </c>
      <c r="D1364" s="1">
        <f t="shared" si="181"/>
        <v>3899.59</v>
      </c>
      <c r="E1364" s="4">
        <f t="shared" si="182"/>
        <v>3868.3545999999992</v>
      </c>
      <c r="F1364" s="3">
        <f t="shared" si="183"/>
        <v>1.0080745958501325</v>
      </c>
      <c r="G1364" s="18">
        <f t="shared" si="184"/>
        <v>1</v>
      </c>
      <c r="H1364" s="3">
        <f t="shared" si="185"/>
        <v>2.1612981152248079E-3</v>
      </c>
      <c r="I1364" s="3">
        <f t="shared" si="186"/>
        <v>2.1612981152248079E-3</v>
      </c>
      <c r="K1364" s="12" t="str">
        <f>IF(AND(G1364=1,G1363&lt;&gt;1),MAX($K$50:K1363)+1,"")</f>
        <v/>
      </c>
      <c r="L1364" s="13" t="str">
        <f>IF(AND(G1364&lt;&gt;1,G1363=1),MAX($L$50:L1363)+1,"")</f>
        <v/>
      </c>
      <c r="M1364" s="13" t="str">
        <f>IF(AND(G1364=-1,G1363&lt;&gt;-1),MAX($M$50:M1363)+1,"")</f>
        <v/>
      </c>
      <c r="N1364" s="13" t="str">
        <f>IF(AND(G1364&lt;&gt;-1,G1363=-1),MAX($N$50:N1363)+1,"")</f>
        <v/>
      </c>
      <c r="T1364" s="7">
        <f t="shared" si="187"/>
        <v>129.56951001709487</v>
      </c>
      <c r="U1364" s="1">
        <f t="shared" si="188"/>
        <v>204.88680127568617</v>
      </c>
    </row>
    <row r="1365" spans="1:21" x14ac:dyDescent="0.3">
      <c r="A1365" s="2">
        <v>42157</v>
      </c>
      <c r="B1365" s="1">
        <v>3895.85</v>
      </c>
      <c r="C1365" s="2">
        <f t="shared" si="180"/>
        <v>42157</v>
      </c>
      <c r="D1365" s="1">
        <f t="shared" si="181"/>
        <v>3895.85</v>
      </c>
      <c r="E1365" s="4">
        <f t="shared" si="182"/>
        <v>3868.7263999999996</v>
      </c>
      <c r="F1365" s="3">
        <f t="shared" si="183"/>
        <v>1.0070109894563752</v>
      </c>
      <c r="G1365" s="18">
        <f t="shared" si="184"/>
        <v>1</v>
      </c>
      <c r="H1365" s="3">
        <f t="shared" si="185"/>
        <v>-9.5907518482718501E-4</v>
      </c>
      <c r="I1365" s="3">
        <f t="shared" si="186"/>
        <v>-9.5907518482718501E-4</v>
      </c>
      <c r="K1365" s="12" t="str">
        <f>IF(AND(G1365=1,G1364&lt;&gt;1),MAX($K$50:K1364)+1,"")</f>
        <v/>
      </c>
      <c r="L1365" s="13" t="str">
        <f>IF(AND(G1365&lt;&gt;1,G1364=1),MAX($L$50:L1364)+1,"")</f>
        <v/>
      </c>
      <c r="M1365" s="13" t="str">
        <f>IF(AND(G1365=-1,G1364&lt;&gt;-1),MAX($M$50:M1364)+1,"")</f>
        <v/>
      </c>
      <c r="N1365" s="13" t="str">
        <f>IF(AND(G1365&lt;&gt;-1,G1364=-1),MAX($N$50:N1364)+1,"")</f>
        <v/>
      </c>
      <c r="T1365" s="7">
        <f t="shared" si="187"/>
        <v>129.44524311532726</v>
      </c>
      <c r="U1365" s="1">
        <f t="shared" si="188"/>
        <v>204.69029942888403</v>
      </c>
    </row>
    <row r="1366" spans="1:21" x14ac:dyDescent="0.3">
      <c r="A1366" s="2">
        <v>42158</v>
      </c>
      <c r="B1366" s="1">
        <v>3904.83</v>
      </c>
      <c r="C1366" s="2">
        <f t="shared" si="180"/>
        <v>42158</v>
      </c>
      <c r="D1366" s="1">
        <f t="shared" si="181"/>
        <v>3904.83</v>
      </c>
      <c r="E1366" s="4">
        <f t="shared" si="182"/>
        <v>3869.4131999999981</v>
      </c>
      <c r="F1366" s="3">
        <f t="shared" si="183"/>
        <v>1.0091530157595994</v>
      </c>
      <c r="G1366" s="18">
        <f t="shared" si="184"/>
        <v>1</v>
      </c>
      <c r="H1366" s="3">
        <f t="shared" si="185"/>
        <v>2.3050168769331858E-3</v>
      </c>
      <c r="I1366" s="3">
        <f t="shared" si="186"/>
        <v>2.3050168769331858E-3</v>
      </c>
      <c r="K1366" s="12" t="str">
        <f>IF(AND(G1366=1,G1365&lt;&gt;1),MAX($K$50:K1365)+1,"")</f>
        <v/>
      </c>
      <c r="L1366" s="13" t="str">
        <f>IF(AND(G1366&lt;&gt;1,G1365=1),MAX($L$50:L1365)+1,"")</f>
        <v/>
      </c>
      <c r="M1366" s="13" t="str">
        <f>IF(AND(G1366=-1,G1365&lt;&gt;-1),MAX($M$50:M1365)+1,"")</f>
        <v/>
      </c>
      <c r="N1366" s="13" t="str">
        <f>IF(AND(G1366&lt;&gt;-1,G1365=-1),MAX($N$50:N1365)+1,"")</f>
        <v/>
      </c>
      <c r="T1366" s="7">
        <f t="shared" si="187"/>
        <v>129.74361658534681</v>
      </c>
      <c r="U1366" s="1">
        <f t="shared" si="188"/>
        <v>205.16211402361211</v>
      </c>
    </row>
    <row r="1367" spans="1:21" x14ac:dyDescent="0.3">
      <c r="A1367" s="2">
        <v>42159</v>
      </c>
      <c r="B1367" s="1">
        <v>3871.23</v>
      </c>
      <c r="C1367" s="2">
        <f t="shared" si="180"/>
        <v>42159</v>
      </c>
      <c r="D1367" s="1">
        <f t="shared" si="181"/>
        <v>3871.23</v>
      </c>
      <c r="E1367" s="4">
        <f t="shared" si="182"/>
        <v>3869.8967999999995</v>
      </c>
      <c r="F1367" s="3">
        <f t="shared" si="183"/>
        <v>1.0003445053108395</v>
      </c>
      <c r="G1367" s="18">
        <f t="shared" si="184"/>
        <v>1</v>
      </c>
      <c r="H1367" s="3">
        <f t="shared" si="185"/>
        <v>-8.6047279907192076E-3</v>
      </c>
      <c r="I1367" s="3">
        <f t="shared" si="186"/>
        <v>-8.6047279907192076E-3</v>
      </c>
      <c r="K1367" s="12" t="str">
        <f>IF(AND(G1367=1,G1366&lt;&gt;1),MAX($K$50:K1366)+1,"")</f>
        <v/>
      </c>
      <c r="L1367" s="13" t="str">
        <f>IF(AND(G1367&lt;&gt;1,G1366=1),MAX($L$50:L1366)+1,"")</f>
        <v/>
      </c>
      <c r="M1367" s="13" t="str">
        <f>IF(AND(G1367=-1,G1366&lt;&gt;-1),MAX($M$50:M1366)+1,"")</f>
        <v/>
      </c>
      <c r="N1367" s="13" t="str">
        <f>IF(AND(G1367&lt;&gt;-1,G1366=-1),MAX($N$50:N1366)+1,"")</f>
        <v/>
      </c>
      <c r="T1367" s="7">
        <f t="shared" si="187"/>
        <v>128.62720805609774</v>
      </c>
      <c r="U1367" s="1">
        <f t="shared" si="188"/>
        <v>203.39674983843801</v>
      </c>
    </row>
    <row r="1368" spans="1:21" x14ac:dyDescent="0.3">
      <c r="A1368" s="2">
        <v>42160</v>
      </c>
      <c r="B1368" s="1">
        <v>3865.83</v>
      </c>
      <c r="C1368" s="2">
        <f t="shared" si="180"/>
        <v>42160</v>
      </c>
      <c r="D1368" s="1">
        <f t="shared" si="181"/>
        <v>3865.83</v>
      </c>
      <c r="E1368" s="4">
        <f t="shared" si="182"/>
        <v>3871.3907999999992</v>
      </c>
      <c r="F1368" s="3">
        <f t="shared" si="183"/>
        <v>0.99856361698230023</v>
      </c>
      <c r="G1368" s="18">
        <f t="shared" si="184"/>
        <v>1</v>
      </c>
      <c r="H1368" s="3">
        <f t="shared" si="185"/>
        <v>-1.394905495152754E-3</v>
      </c>
      <c r="I1368" s="3">
        <f t="shared" si="186"/>
        <v>-1.394905495152754E-3</v>
      </c>
      <c r="K1368" s="12" t="str">
        <f>IF(AND(G1368=1,G1367&lt;&gt;1),MAX($K$50:K1367)+1,"")</f>
        <v/>
      </c>
      <c r="L1368" s="13" t="str">
        <f>IF(AND(G1368&lt;&gt;1,G1367=1),MAX($L$50:L1367)+1,"")</f>
        <v/>
      </c>
      <c r="M1368" s="13" t="str">
        <f>IF(AND(G1368=-1,G1367&lt;&gt;-1),MAX($M$50:M1367)+1,"")</f>
        <v/>
      </c>
      <c r="N1368" s="13" t="str">
        <f>IF(AND(G1368&lt;&gt;-1,G1367=-1),MAX($N$50:N1367)+1,"")</f>
        <v/>
      </c>
      <c r="T1368" s="7">
        <f t="shared" si="187"/>
        <v>128.44778525675414</v>
      </c>
      <c r="U1368" s="1">
        <f t="shared" si="188"/>
        <v>203.11303059439217</v>
      </c>
    </row>
    <row r="1369" spans="1:21" x14ac:dyDescent="0.3">
      <c r="A1369" s="2">
        <v>42163</v>
      </c>
      <c r="B1369" s="1">
        <v>3841.45</v>
      </c>
      <c r="C1369" s="2">
        <f t="shared" si="180"/>
        <v>42163</v>
      </c>
      <c r="D1369" s="1">
        <f t="shared" si="181"/>
        <v>3841.45</v>
      </c>
      <c r="E1369" s="4">
        <f t="shared" si="182"/>
        <v>3872.5755999999992</v>
      </c>
      <c r="F1369" s="3">
        <f t="shared" si="183"/>
        <v>0.99196255845851034</v>
      </c>
      <c r="G1369" s="18">
        <f t="shared" si="184"/>
        <v>1</v>
      </c>
      <c r="H1369" s="3">
        <f t="shared" si="185"/>
        <v>-6.306537017923719E-3</v>
      </c>
      <c r="I1369" s="3">
        <f t="shared" si="186"/>
        <v>-6.306537017923719E-3</v>
      </c>
      <c r="K1369" s="12" t="str">
        <f>IF(AND(G1369=1,G1368&lt;&gt;1),MAX($K$50:K1368)+1,"")</f>
        <v/>
      </c>
      <c r="L1369" s="13" t="str">
        <f>IF(AND(G1369&lt;&gt;1,G1368=1),MAX($L$50:L1368)+1,"")</f>
        <v/>
      </c>
      <c r="M1369" s="13" t="str">
        <f>IF(AND(G1369=-1,G1368&lt;&gt;-1),MAX($M$50:M1368)+1,"")</f>
        <v/>
      </c>
      <c r="N1369" s="13" t="str">
        <f>IF(AND(G1369&lt;&gt;-1,G1368=-1),MAX($N$50:N1368)+1,"")</f>
        <v/>
      </c>
      <c r="T1369" s="7">
        <f t="shared" si="187"/>
        <v>127.63772454416211</v>
      </c>
      <c r="U1369" s="1">
        <f t="shared" si="188"/>
        <v>201.83209074812595</v>
      </c>
    </row>
    <row r="1370" spans="1:21" x14ac:dyDescent="0.3">
      <c r="A1370" s="2">
        <v>42164</v>
      </c>
      <c r="B1370" s="1">
        <v>3843.16</v>
      </c>
      <c r="C1370" s="2">
        <f t="shared" si="180"/>
        <v>42164</v>
      </c>
      <c r="D1370" s="1">
        <f t="shared" si="181"/>
        <v>3843.16</v>
      </c>
      <c r="E1370" s="4">
        <f t="shared" si="182"/>
        <v>3873.6008000000002</v>
      </c>
      <c r="F1370" s="3">
        <f t="shared" si="183"/>
        <v>0.99214147208974135</v>
      </c>
      <c r="G1370" s="18">
        <f t="shared" si="184"/>
        <v>1</v>
      </c>
      <c r="H1370" s="3">
        <f t="shared" si="185"/>
        <v>4.4514441161536134E-4</v>
      </c>
      <c r="I1370" s="3">
        <f t="shared" si="186"/>
        <v>4.4514441161536134E-4</v>
      </c>
      <c r="K1370" s="12" t="str">
        <f>IF(AND(G1370=1,G1369&lt;&gt;1),MAX($K$50:K1369)+1,"")</f>
        <v/>
      </c>
      <c r="L1370" s="13" t="str">
        <f>IF(AND(G1370&lt;&gt;1,G1369=1),MAX($L$50:L1369)+1,"")</f>
        <v/>
      </c>
      <c r="M1370" s="13" t="str">
        <f>IF(AND(G1370=-1,G1369&lt;&gt;-1),MAX($M$50:M1369)+1,"")</f>
        <v/>
      </c>
      <c r="N1370" s="13" t="str">
        <f>IF(AND(G1370&lt;&gt;-1,G1369=-1),MAX($N$50:N1369)+1,"")</f>
        <v/>
      </c>
      <c r="T1370" s="7">
        <f t="shared" si="187"/>
        <v>127.69454176395425</v>
      </c>
      <c r="U1370" s="1">
        <f t="shared" si="188"/>
        <v>201.92193517540713</v>
      </c>
    </row>
    <row r="1371" spans="1:21" x14ac:dyDescent="0.3">
      <c r="A1371" s="2">
        <v>42165</v>
      </c>
      <c r="B1371" s="1">
        <v>3889.7</v>
      </c>
      <c r="C1371" s="2">
        <f t="shared" si="180"/>
        <v>42165</v>
      </c>
      <c r="D1371" s="1">
        <f t="shared" si="181"/>
        <v>3889.7</v>
      </c>
      <c r="E1371" s="4">
        <f t="shared" si="182"/>
        <v>3874.6218000000003</v>
      </c>
      <c r="F1371" s="3">
        <f t="shared" si="183"/>
        <v>1.003891528200249</v>
      </c>
      <c r="G1371" s="18">
        <f t="shared" si="184"/>
        <v>1</v>
      </c>
      <c r="H1371" s="3">
        <f t="shared" si="185"/>
        <v>1.2109826288783099E-2</v>
      </c>
      <c r="I1371" s="3">
        <f t="shared" si="186"/>
        <v>1.2109826288783099E-2</v>
      </c>
      <c r="K1371" s="12" t="str">
        <f>IF(AND(G1371=1,G1370&lt;&gt;1),MAX($K$50:K1370)+1,"")</f>
        <v/>
      </c>
      <c r="L1371" s="13" t="str">
        <f>IF(AND(G1371&lt;&gt;1,G1370=1),MAX($L$50:L1370)+1,"")</f>
        <v/>
      </c>
      <c r="M1371" s="13" t="str">
        <f>IF(AND(G1371=-1,G1370&lt;&gt;-1),MAX($M$50:M1370)+1,"")</f>
        <v/>
      </c>
      <c r="N1371" s="13" t="str">
        <f>IF(AND(G1371&lt;&gt;-1,G1370=-1),MAX($N$50:N1370)+1,"")</f>
        <v/>
      </c>
      <c r="T1371" s="7">
        <f t="shared" si="187"/>
        <v>129.24090048274149</v>
      </c>
      <c r="U1371" s="1">
        <f t="shared" si="188"/>
        <v>204.36717473427626</v>
      </c>
    </row>
    <row r="1372" spans="1:21" x14ac:dyDescent="0.3">
      <c r="A1372" s="2">
        <v>42166</v>
      </c>
      <c r="B1372" s="1">
        <v>3897.59</v>
      </c>
      <c r="C1372" s="2">
        <f t="shared" si="180"/>
        <v>42166</v>
      </c>
      <c r="D1372" s="1">
        <f t="shared" si="181"/>
        <v>3897.59</v>
      </c>
      <c r="E1372" s="4">
        <f t="shared" si="182"/>
        <v>3876.4682000000003</v>
      </c>
      <c r="F1372" s="3">
        <f t="shared" si="183"/>
        <v>1.0054487226284998</v>
      </c>
      <c r="G1372" s="18">
        <f t="shared" si="184"/>
        <v>1</v>
      </c>
      <c r="H1372" s="3">
        <f t="shared" si="185"/>
        <v>2.0284340694656233E-3</v>
      </c>
      <c r="I1372" s="3">
        <f t="shared" si="186"/>
        <v>2.0284340694656233E-3</v>
      </c>
      <c r="K1372" s="12" t="str">
        <f>IF(AND(G1372=1,G1371&lt;&gt;1),MAX($K$50:K1371)+1,"")</f>
        <v/>
      </c>
      <c r="L1372" s="13" t="str">
        <f>IF(AND(G1372&lt;&gt;1,G1371=1),MAX($L$50:L1371)+1,"")</f>
        <v/>
      </c>
      <c r="M1372" s="13" t="str">
        <f>IF(AND(G1372=-1,G1371&lt;&gt;-1),MAX($M$50:M1371)+1,"")</f>
        <v/>
      </c>
      <c r="N1372" s="13" t="str">
        <f>IF(AND(G1372&lt;&gt;-1,G1371=-1),MAX($N$50:N1371)+1,"")</f>
        <v/>
      </c>
      <c r="T1372" s="7">
        <f t="shared" si="187"/>
        <v>129.50305712844911</v>
      </c>
      <c r="U1372" s="1">
        <f t="shared" si="188"/>
        <v>204.78172007418769</v>
      </c>
    </row>
    <row r="1373" spans="1:21" x14ac:dyDescent="0.3">
      <c r="A1373" s="2">
        <v>42167</v>
      </c>
      <c r="B1373" s="1">
        <v>3870.56</v>
      </c>
      <c r="C1373" s="2">
        <f t="shared" si="180"/>
        <v>42167</v>
      </c>
      <c r="D1373" s="1">
        <f t="shared" si="181"/>
        <v>3870.56</v>
      </c>
      <c r="E1373" s="4">
        <f t="shared" si="182"/>
        <v>3878.0661999999998</v>
      </c>
      <c r="F1373" s="3">
        <f t="shared" si="183"/>
        <v>0.99806444768787084</v>
      </c>
      <c r="G1373" s="18">
        <f t="shared" si="184"/>
        <v>1</v>
      </c>
      <c r="H1373" s="3">
        <f t="shared" si="185"/>
        <v>-6.9350547389541717E-3</v>
      </c>
      <c r="I1373" s="3">
        <f t="shared" si="186"/>
        <v>-6.9350547389541717E-3</v>
      </c>
      <c r="K1373" s="12" t="str">
        <f>IF(AND(G1373=1,G1372&lt;&gt;1),MAX($K$50:K1372)+1,"")</f>
        <v/>
      </c>
      <c r="L1373" s="13" t="str">
        <f>IF(AND(G1373&lt;&gt;1,G1372=1),MAX($L$50:L1372)+1,"")</f>
        <v/>
      </c>
      <c r="M1373" s="13" t="str">
        <f>IF(AND(G1373=-1,G1372&lt;&gt;-1),MAX($M$50:M1372)+1,"")</f>
        <v/>
      </c>
      <c r="N1373" s="13" t="str">
        <f>IF(AND(G1373&lt;&gt;-1,G1372=-1),MAX($N$50:N1372)+1,"")</f>
        <v/>
      </c>
      <c r="T1373" s="7">
        <f t="shared" si="187"/>
        <v>128.60494633840142</v>
      </c>
      <c r="U1373" s="1">
        <f t="shared" si="188"/>
        <v>203.36154763593603</v>
      </c>
    </row>
    <row r="1374" spans="1:21" x14ac:dyDescent="0.3">
      <c r="A1374" s="2">
        <v>42170</v>
      </c>
      <c r="B1374" s="1">
        <v>3852.75</v>
      </c>
      <c r="C1374" s="2">
        <f t="shared" si="180"/>
        <v>42170</v>
      </c>
      <c r="D1374" s="1">
        <f t="shared" si="181"/>
        <v>3852.75</v>
      </c>
      <c r="E1374" s="4">
        <f t="shared" si="182"/>
        <v>3879.0384000000004</v>
      </c>
      <c r="F1374" s="3">
        <f t="shared" si="183"/>
        <v>0.99322295958709761</v>
      </c>
      <c r="G1374" s="18">
        <f t="shared" si="184"/>
        <v>1</v>
      </c>
      <c r="H1374" s="3">
        <f t="shared" si="185"/>
        <v>-4.601401347608558E-3</v>
      </c>
      <c r="I1374" s="3">
        <f t="shared" si="186"/>
        <v>-4.601401347608558E-3</v>
      </c>
      <c r="K1374" s="12" t="str">
        <f>IF(AND(G1374=1,G1373&lt;&gt;1),MAX($K$50:K1373)+1,"")</f>
        <v/>
      </c>
      <c r="L1374" s="13" t="str">
        <f>IF(AND(G1374&lt;&gt;1,G1373=1),MAX($L$50:L1373)+1,"")</f>
        <v/>
      </c>
      <c r="M1374" s="13" t="str">
        <f>IF(AND(G1374=-1,G1373&lt;&gt;-1),MAX($M$50:M1373)+1,"")</f>
        <v/>
      </c>
      <c r="N1374" s="13" t="str">
        <f>IF(AND(G1374&lt;&gt;-1,G1373=-1),MAX($N$50:N1373)+1,"")</f>
        <v/>
      </c>
      <c r="T1374" s="7">
        <f t="shared" si="187"/>
        <v>128.01318336501078</v>
      </c>
      <c r="U1374" s="1">
        <f t="shared" si="188"/>
        <v>202.42579953659225</v>
      </c>
    </row>
    <row r="1375" spans="1:21" x14ac:dyDescent="0.3">
      <c r="A1375" s="2">
        <v>42171</v>
      </c>
      <c r="B1375" s="1">
        <v>3874.73</v>
      </c>
      <c r="C1375" s="2">
        <f t="shared" si="180"/>
        <v>42171</v>
      </c>
      <c r="D1375" s="1">
        <f t="shared" si="181"/>
        <v>3874.73</v>
      </c>
      <c r="E1375" s="4">
        <f t="shared" si="182"/>
        <v>3879.9467999999997</v>
      </c>
      <c r="F1375" s="3">
        <f t="shared" si="183"/>
        <v>0.99865544548188145</v>
      </c>
      <c r="G1375" s="18">
        <f t="shared" si="184"/>
        <v>1</v>
      </c>
      <c r="H1375" s="3">
        <f t="shared" si="185"/>
        <v>5.7050158977354215E-3</v>
      </c>
      <c r="I1375" s="3">
        <f t="shared" si="186"/>
        <v>5.7050158977354215E-3</v>
      </c>
      <c r="K1375" s="12" t="str">
        <f>IF(AND(G1375=1,G1374&lt;&gt;1),MAX($K$50:K1374)+1,"")</f>
        <v/>
      </c>
      <c r="L1375" s="13" t="str">
        <f>IF(AND(G1375&lt;&gt;1,G1374=1),MAX($L$50:L1374)+1,"")</f>
        <v/>
      </c>
      <c r="M1375" s="13" t="str">
        <f>IF(AND(G1375=-1,G1374&lt;&gt;-1),MAX($M$50:M1374)+1,"")</f>
        <v/>
      </c>
      <c r="N1375" s="13" t="str">
        <f>IF(AND(G1375&lt;&gt;-1,G1374=-1),MAX($N$50:N1374)+1,"")</f>
        <v/>
      </c>
      <c r="T1375" s="7">
        <f t="shared" si="187"/>
        <v>128.74350061122789</v>
      </c>
      <c r="U1375" s="1">
        <f t="shared" si="188"/>
        <v>203.58064194106029</v>
      </c>
    </row>
    <row r="1376" spans="1:21" x14ac:dyDescent="0.3">
      <c r="A1376" s="2">
        <v>42172</v>
      </c>
      <c r="B1376" s="1">
        <v>3882.49</v>
      </c>
      <c r="C1376" s="2">
        <f t="shared" si="180"/>
        <v>42172</v>
      </c>
      <c r="D1376" s="1">
        <f t="shared" si="181"/>
        <v>3882.49</v>
      </c>
      <c r="E1376" s="4">
        <f t="shared" si="182"/>
        <v>3881.1668</v>
      </c>
      <c r="F1376" s="3">
        <f t="shared" si="183"/>
        <v>1.0003409284032831</v>
      </c>
      <c r="G1376" s="18">
        <f t="shared" si="184"/>
        <v>1</v>
      </c>
      <c r="H1376" s="3">
        <f t="shared" si="185"/>
        <v>2.0027201895356228E-3</v>
      </c>
      <c r="I1376" s="3">
        <f t="shared" si="186"/>
        <v>2.0027201895356228E-3</v>
      </c>
      <c r="K1376" s="12" t="str">
        <f>IF(AND(G1376=1,G1375&lt;&gt;1),MAX($K$50:K1375)+1,"")</f>
        <v/>
      </c>
      <c r="L1376" s="13" t="str">
        <f>IF(AND(G1376&lt;&gt;1,G1375=1),MAX($L$50:L1375)+1,"")</f>
        <v/>
      </c>
      <c r="M1376" s="13" t="str">
        <f>IF(AND(G1376=-1,G1375&lt;&gt;-1),MAX($M$50:M1375)+1,"")</f>
        <v/>
      </c>
      <c r="N1376" s="13" t="str">
        <f>IF(AND(G1376&lt;&gt;-1,G1375=-1),MAX($N$50:N1375)+1,"")</f>
        <v/>
      </c>
      <c r="T1376" s="7">
        <f t="shared" si="187"/>
        <v>129.00133781917347</v>
      </c>
      <c r="U1376" s="1">
        <f t="shared" si="188"/>
        <v>203.9883570028743</v>
      </c>
    </row>
    <row r="1377" spans="1:21" x14ac:dyDescent="0.3">
      <c r="A1377" s="2">
        <v>42173</v>
      </c>
      <c r="B1377" s="1">
        <v>3921.43</v>
      </c>
      <c r="C1377" s="2">
        <f t="shared" si="180"/>
        <v>42173</v>
      </c>
      <c r="D1377" s="1">
        <f t="shared" si="181"/>
        <v>3921.43</v>
      </c>
      <c r="E1377" s="4">
        <f t="shared" si="182"/>
        <v>3882.9313999999999</v>
      </c>
      <c r="F1377" s="3">
        <f t="shared" si="183"/>
        <v>1.0099148287811626</v>
      </c>
      <c r="G1377" s="18">
        <f t="shared" si="184"/>
        <v>1</v>
      </c>
      <c r="H1377" s="3">
        <f t="shared" si="185"/>
        <v>1.0029645923105956E-2</v>
      </c>
      <c r="I1377" s="3">
        <f t="shared" si="186"/>
        <v>1.0029645923105956E-2</v>
      </c>
      <c r="K1377" s="12" t="str">
        <f>IF(AND(G1377=1,G1376&lt;&gt;1),MAX($K$50:K1376)+1,"")</f>
        <v/>
      </c>
      <c r="L1377" s="13" t="str">
        <f>IF(AND(G1377&lt;&gt;1,G1376=1),MAX($L$50:L1376)+1,"")</f>
        <v/>
      </c>
      <c r="M1377" s="13" t="str">
        <f>IF(AND(G1377=-1,G1376&lt;&gt;-1),MAX($M$50:M1376)+1,"")</f>
        <v/>
      </c>
      <c r="N1377" s="13" t="str">
        <f>IF(AND(G1377&lt;&gt;-1,G1376=-1),MAX($N$50:N1376)+1,"")</f>
        <v/>
      </c>
      <c r="T1377" s="7">
        <f t="shared" si="187"/>
        <v>130.29517556110676</v>
      </c>
      <c r="U1377" s="1">
        <f t="shared" si="188"/>
        <v>206.03428799604927</v>
      </c>
    </row>
    <row r="1378" spans="1:21" x14ac:dyDescent="0.3">
      <c r="A1378" s="2">
        <v>42174</v>
      </c>
      <c r="B1378" s="1">
        <v>3900.64</v>
      </c>
      <c r="C1378" s="2">
        <f t="shared" si="180"/>
        <v>42174</v>
      </c>
      <c r="D1378" s="1">
        <f t="shared" si="181"/>
        <v>3900.64</v>
      </c>
      <c r="E1378" s="4">
        <f t="shared" si="182"/>
        <v>3883.9384000000005</v>
      </c>
      <c r="F1378" s="3">
        <f t="shared" si="183"/>
        <v>1.0043001711870609</v>
      </c>
      <c r="G1378" s="18">
        <f t="shared" si="184"/>
        <v>1</v>
      </c>
      <c r="H1378" s="3">
        <f t="shared" si="185"/>
        <v>-5.3016374128825872E-3</v>
      </c>
      <c r="I1378" s="3">
        <f t="shared" si="186"/>
        <v>-5.3016374128825872E-3</v>
      </c>
      <c r="K1378" s="12" t="str">
        <f>IF(AND(G1378=1,G1377&lt;&gt;1),MAX($K$50:K1377)+1,"")</f>
        <v/>
      </c>
      <c r="L1378" s="13" t="str">
        <f>IF(AND(G1378&lt;&gt;1,G1377=1),MAX($L$50:L1377)+1,"")</f>
        <v/>
      </c>
      <c r="M1378" s="13" t="str">
        <f>IF(AND(G1378=-1,G1377&lt;&gt;-1),MAX($M$50:M1377)+1,"")</f>
        <v/>
      </c>
      <c r="N1378" s="13" t="str">
        <f>IF(AND(G1378&lt;&gt;-1,G1377=-1),MAX($N$50:N1377)+1,"")</f>
        <v/>
      </c>
      <c r="T1378" s="7">
        <f t="shared" si="187"/>
        <v>129.60439778363389</v>
      </c>
      <c r="U1378" s="1">
        <f t="shared" si="188"/>
        <v>204.94196890647279</v>
      </c>
    </row>
    <row r="1379" spans="1:21" x14ac:dyDescent="0.3">
      <c r="A1379" s="2">
        <v>42177</v>
      </c>
      <c r="B1379" s="1">
        <v>3924.41</v>
      </c>
      <c r="C1379" s="2">
        <f t="shared" si="180"/>
        <v>42177</v>
      </c>
      <c r="D1379" s="1">
        <f t="shared" si="181"/>
        <v>3924.41</v>
      </c>
      <c r="E1379" s="4">
        <f t="shared" si="182"/>
        <v>3885.0204000000003</v>
      </c>
      <c r="F1379" s="3">
        <f t="shared" si="183"/>
        <v>1.0101388399401969</v>
      </c>
      <c r="G1379" s="18">
        <f t="shared" si="184"/>
        <v>1</v>
      </c>
      <c r="H1379" s="3">
        <f t="shared" si="185"/>
        <v>6.0938717748881821E-3</v>
      </c>
      <c r="I1379" s="3">
        <f t="shared" si="186"/>
        <v>6.0938717748881821E-3</v>
      </c>
      <c r="K1379" s="12" t="str">
        <f>IF(AND(G1379=1,G1378&lt;&gt;1),MAX($K$50:K1378)+1,"")</f>
        <v/>
      </c>
      <c r="L1379" s="13" t="str">
        <f>IF(AND(G1379&lt;&gt;1,G1378=1),MAX($L$50:L1378)+1,"")</f>
        <v/>
      </c>
      <c r="M1379" s="13" t="str">
        <f>IF(AND(G1379=-1,G1378&lt;&gt;-1),MAX($M$50:M1378)+1,"")</f>
        <v/>
      </c>
      <c r="N1379" s="13" t="str">
        <f>IF(AND(G1379&lt;&gt;-1,G1378=-1),MAX($N$50:N1378)+1,"")</f>
        <v/>
      </c>
      <c r="T1379" s="7">
        <f t="shared" si="187"/>
        <v>130.39419036518896</v>
      </c>
      <c r="U1379" s="1">
        <f t="shared" si="188"/>
        <v>206.19085898628197</v>
      </c>
    </row>
    <row r="1380" spans="1:21" x14ac:dyDescent="0.3">
      <c r="A1380" s="2">
        <v>42178</v>
      </c>
      <c r="B1380" s="1">
        <v>3927.23</v>
      </c>
      <c r="C1380" s="2">
        <f t="shared" si="180"/>
        <v>42178</v>
      </c>
      <c r="D1380" s="1">
        <f t="shared" si="181"/>
        <v>3927.23</v>
      </c>
      <c r="E1380" s="4">
        <f t="shared" si="182"/>
        <v>3886.5064000000007</v>
      </c>
      <c r="F1380" s="3">
        <f t="shared" si="183"/>
        <v>1.0104782022229526</v>
      </c>
      <c r="G1380" s="18">
        <f t="shared" si="184"/>
        <v>1</v>
      </c>
      <c r="H1380" s="3">
        <f t="shared" si="185"/>
        <v>7.1857935332952927E-4</v>
      </c>
      <c r="I1380" s="3">
        <f t="shared" si="186"/>
        <v>7.1857935332952927E-4</v>
      </c>
      <c r="K1380" s="12" t="str">
        <f>IF(AND(G1380=1,G1379&lt;&gt;1),MAX($K$50:K1379)+1,"")</f>
        <v/>
      </c>
      <c r="L1380" s="13" t="str">
        <f>IF(AND(G1380&lt;&gt;1,G1379=1),MAX($L$50:L1379)+1,"")</f>
        <v/>
      </c>
      <c r="M1380" s="13" t="str">
        <f>IF(AND(G1380=-1,G1379&lt;&gt;-1),MAX($M$50:M1379)+1,"")</f>
        <v/>
      </c>
      <c r="N1380" s="13" t="str">
        <f>IF(AND(G1380&lt;&gt;-1,G1379=-1),MAX($N$50:N1379)+1,"")</f>
        <v/>
      </c>
      <c r="T1380" s="7">
        <f t="shared" si="187"/>
        <v>130.48788893817951</v>
      </c>
      <c r="U1380" s="1">
        <f t="shared" si="188"/>
        <v>206.33902348039481</v>
      </c>
    </row>
    <row r="1381" spans="1:21" x14ac:dyDescent="0.3">
      <c r="A1381" s="2">
        <v>42179</v>
      </c>
      <c r="B1381" s="1">
        <v>3898.47</v>
      </c>
      <c r="C1381" s="2">
        <f t="shared" si="180"/>
        <v>42179</v>
      </c>
      <c r="D1381" s="1">
        <f t="shared" si="181"/>
        <v>3898.47</v>
      </c>
      <c r="E1381" s="4">
        <f t="shared" si="182"/>
        <v>3887.2914000000001</v>
      </c>
      <c r="F1381" s="3">
        <f t="shared" si="183"/>
        <v>1.0028756784222557</v>
      </c>
      <c r="G1381" s="18">
        <f t="shared" si="184"/>
        <v>1</v>
      </c>
      <c r="H1381" s="3">
        <f t="shared" si="185"/>
        <v>-7.3232278221545544E-3</v>
      </c>
      <c r="I1381" s="3">
        <f t="shared" si="186"/>
        <v>-7.3232278221545544E-3</v>
      </c>
      <c r="K1381" s="12" t="str">
        <f>IF(AND(G1381=1,G1380&lt;&gt;1),MAX($K$50:K1380)+1,"")</f>
        <v/>
      </c>
      <c r="L1381" s="13" t="str">
        <f>IF(AND(G1381&lt;&gt;1,G1380=1),MAX($L$50:L1380)+1,"")</f>
        <v/>
      </c>
      <c r="M1381" s="13" t="str">
        <f>IF(AND(G1381=-1,G1380&lt;&gt;-1),MAX($M$50:M1380)+1,"")</f>
        <v/>
      </c>
      <c r="N1381" s="13" t="str">
        <f>IF(AND(G1381&lt;&gt;-1,G1380=-1),MAX($N$50:N1380)+1,"")</f>
        <v/>
      </c>
      <c r="T1381" s="7">
        <f t="shared" si="187"/>
        <v>129.53229639945323</v>
      </c>
      <c r="U1381" s="1">
        <f t="shared" si="188"/>
        <v>204.82795580284699</v>
      </c>
    </row>
    <row r="1382" spans="1:21" x14ac:dyDescent="0.3">
      <c r="A1382" s="2">
        <v>42180</v>
      </c>
      <c r="B1382" s="1">
        <v>3887.04</v>
      </c>
      <c r="C1382" s="2">
        <f t="shared" si="180"/>
        <v>42180</v>
      </c>
      <c r="D1382" s="1">
        <f t="shared" si="181"/>
        <v>3887.04</v>
      </c>
      <c r="E1382" s="4">
        <f t="shared" si="182"/>
        <v>3887.4502000000007</v>
      </c>
      <c r="F1382" s="3">
        <f t="shared" si="183"/>
        <v>0.99989448096338296</v>
      </c>
      <c r="G1382" s="18">
        <f t="shared" si="184"/>
        <v>1</v>
      </c>
      <c r="H1382" s="3">
        <f t="shared" si="185"/>
        <v>-2.9319194453207853E-3</v>
      </c>
      <c r="I1382" s="3">
        <f t="shared" si="186"/>
        <v>-2.9319194453207853E-3</v>
      </c>
      <c r="K1382" s="12" t="str">
        <f>IF(AND(G1382=1,G1381&lt;&gt;1),MAX($K$50:K1381)+1,"")</f>
        <v/>
      </c>
      <c r="L1382" s="13" t="str">
        <f>IF(AND(G1382&lt;&gt;1,G1381=1),MAX($L$50:L1381)+1,"")</f>
        <v/>
      </c>
      <c r="M1382" s="13" t="str">
        <f>IF(AND(G1382=-1,G1381&lt;&gt;-1),MAX($M$50:M1381)+1,"")</f>
        <v/>
      </c>
      <c r="N1382" s="13" t="str">
        <f>IF(AND(G1382&lt;&gt;-1,G1381=-1),MAX($N$50:N1381)+1,"")</f>
        <v/>
      </c>
      <c r="T1382" s="7">
        <f t="shared" si="187"/>
        <v>129.15251814084263</v>
      </c>
      <c r="U1382" s="1">
        <f t="shared" si="188"/>
        <v>204.22741673628332</v>
      </c>
    </row>
    <row r="1383" spans="1:21" x14ac:dyDescent="0.3">
      <c r="A1383" s="2">
        <v>42181</v>
      </c>
      <c r="B1383" s="1">
        <v>3886.21</v>
      </c>
      <c r="C1383" s="2">
        <f t="shared" si="180"/>
        <v>42181</v>
      </c>
      <c r="D1383" s="1">
        <f t="shared" si="181"/>
        <v>3886.21</v>
      </c>
      <c r="E1383" s="4">
        <f t="shared" si="182"/>
        <v>3887.6510000000007</v>
      </c>
      <c r="F1383" s="3">
        <f t="shared" si="183"/>
        <v>0.99962933915621521</v>
      </c>
      <c r="G1383" s="18">
        <f t="shared" si="184"/>
        <v>1</v>
      </c>
      <c r="H1383" s="3">
        <f t="shared" si="185"/>
        <v>-2.1353008973412635E-4</v>
      </c>
      <c r="I1383" s="3">
        <f t="shared" si="186"/>
        <v>-2.1353008973412635E-4</v>
      </c>
      <c r="K1383" s="12" t="str">
        <f>IF(AND(G1383=1,G1382&lt;&gt;1),MAX($K$50:K1382)+1,"")</f>
        <v/>
      </c>
      <c r="L1383" s="13" t="str">
        <f>IF(AND(G1383&lt;&gt;1,G1382=1),MAX($L$50:L1382)+1,"")</f>
        <v/>
      </c>
      <c r="M1383" s="13" t="str">
        <f>IF(AND(G1383=-1,G1382&lt;&gt;-1),MAX($M$50:M1382)+1,"")</f>
        <v/>
      </c>
      <c r="N1383" s="13" t="str">
        <f>IF(AND(G1383&lt;&gt;-1,G1382=-1),MAX($N$50:N1382)+1,"")</f>
        <v/>
      </c>
      <c r="T1383" s="7">
        <f t="shared" si="187"/>
        <v>129.12494019205462</v>
      </c>
      <c r="U1383" s="1">
        <f t="shared" si="188"/>
        <v>204.18380803766146</v>
      </c>
    </row>
    <row r="1384" spans="1:21" x14ac:dyDescent="0.3">
      <c r="A1384" s="2">
        <v>42184</v>
      </c>
      <c r="B1384" s="1">
        <v>3805.5</v>
      </c>
      <c r="C1384" s="2">
        <f t="shared" si="180"/>
        <v>42184</v>
      </c>
      <c r="D1384" s="1">
        <f t="shared" si="181"/>
        <v>3805.5</v>
      </c>
      <c r="E1384" s="4">
        <f t="shared" si="182"/>
        <v>3887.1144000000004</v>
      </c>
      <c r="F1384" s="3">
        <f t="shared" si="183"/>
        <v>0.97900385952108837</v>
      </c>
      <c r="G1384" s="18">
        <f t="shared" si="184"/>
        <v>1</v>
      </c>
      <c r="H1384" s="3">
        <f t="shared" si="185"/>
        <v>-2.0768306396206082E-2</v>
      </c>
      <c r="I1384" s="3">
        <f t="shared" si="186"/>
        <v>-2.0768306396206082E-2</v>
      </c>
      <c r="K1384" s="12" t="str">
        <f>IF(AND(G1384=1,G1383&lt;&gt;1),MAX($K$50:K1383)+1,"")</f>
        <v/>
      </c>
      <c r="L1384" s="13" t="str">
        <f>IF(AND(G1384&lt;&gt;1,G1383=1),MAX($L$50:L1383)+1,"")</f>
        <v/>
      </c>
      <c r="M1384" s="13" t="str">
        <f>IF(AND(G1384=-1,G1383&lt;&gt;-1),MAX($M$50:M1383)+1,"")</f>
        <v/>
      </c>
      <c r="N1384" s="13" t="str">
        <f>IF(AND(G1384&lt;&gt;-1,G1383=-1),MAX($N$50:N1383)+1,"")</f>
        <v/>
      </c>
      <c r="T1384" s="7">
        <f t="shared" si="187"/>
        <v>126.44323387075424</v>
      </c>
      <c r="U1384" s="1">
        <f t="shared" si="188"/>
        <v>199.94325615119121</v>
      </c>
    </row>
    <row r="1385" spans="1:21" x14ac:dyDescent="0.3">
      <c r="A1385" s="2">
        <v>42185</v>
      </c>
      <c r="B1385" s="1">
        <v>3815.85</v>
      </c>
      <c r="C1385" s="2">
        <f t="shared" si="180"/>
        <v>42185</v>
      </c>
      <c r="D1385" s="1">
        <f t="shared" si="181"/>
        <v>3815.85</v>
      </c>
      <c r="E1385" s="4">
        <f t="shared" si="182"/>
        <v>3886.0750000000012</v>
      </c>
      <c r="F1385" s="3">
        <f t="shared" si="183"/>
        <v>0.98192906724651452</v>
      </c>
      <c r="G1385" s="18">
        <f t="shared" si="184"/>
        <v>1</v>
      </c>
      <c r="H1385" s="3">
        <f t="shared" si="185"/>
        <v>2.7197477335434428E-3</v>
      </c>
      <c r="I1385" s="3">
        <f t="shared" si="186"/>
        <v>2.7197477335434428E-3</v>
      </c>
      <c r="K1385" s="12" t="str">
        <f>IF(AND(G1385=1,G1384&lt;&gt;1),MAX($K$50:K1384)+1,"")</f>
        <v/>
      </c>
      <c r="L1385" s="13" t="str">
        <f>IF(AND(G1385&lt;&gt;1,G1384=1),MAX($L$50:L1384)+1,"")</f>
        <v/>
      </c>
      <c r="M1385" s="13" t="str">
        <f>IF(AND(G1385=-1,G1384&lt;&gt;-1),MAX($M$50:M1384)+1,"")</f>
        <v/>
      </c>
      <c r="N1385" s="13" t="str">
        <f>IF(AND(G1385&lt;&gt;-1,G1384=-1),MAX($N$50:N1384)+1,"")</f>
        <v/>
      </c>
      <c r="T1385" s="7">
        <f t="shared" si="187"/>
        <v>126.78712756949614</v>
      </c>
      <c r="U1385" s="1">
        <f t="shared" si="188"/>
        <v>200.48705136894574</v>
      </c>
    </row>
    <row r="1386" spans="1:21" x14ac:dyDescent="0.3">
      <c r="A1386" s="2">
        <v>42186</v>
      </c>
      <c r="B1386" s="1">
        <v>3843.26</v>
      </c>
      <c r="C1386" s="2">
        <f t="shared" si="180"/>
        <v>42186</v>
      </c>
      <c r="D1386" s="1">
        <f t="shared" si="181"/>
        <v>3843.26</v>
      </c>
      <c r="E1386" s="4">
        <f t="shared" si="182"/>
        <v>3885.697200000001</v>
      </c>
      <c r="F1386" s="3">
        <f t="shared" si="183"/>
        <v>0.98907861374272787</v>
      </c>
      <c r="G1386" s="18">
        <f t="shared" si="184"/>
        <v>1</v>
      </c>
      <c r="H1386" s="3">
        <f t="shared" si="185"/>
        <v>7.1831964044708485E-3</v>
      </c>
      <c r="I1386" s="3">
        <f t="shared" si="186"/>
        <v>7.1831964044708485E-3</v>
      </c>
      <c r="K1386" s="12" t="str">
        <f>IF(AND(G1386=1,G1385&lt;&gt;1),MAX($K$50:K1385)+1,"")</f>
        <v/>
      </c>
      <c r="L1386" s="13" t="str">
        <f>IF(AND(G1386&lt;&gt;1,G1385=1),MAX($L$50:L1385)+1,"")</f>
        <v/>
      </c>
      <c r="M1386" s="13" t="str">
        <f>IF(AND(G1386=-1,G1385&lt;&gt;-1),MAX($M$50:M1385)+1,"")</f>
        <v/>
      </c>
      <c r="N1386" s="13" t="str">
        <f>IF(AND(G1386&lt;&gt;-1,G1385=-1),MAX($N$50:N1385)+1,"")</f>
        <v/>
      </c>
      <c r="T1386" s="7">
        <f t="shared" si="187"/>
        <v>127.69786440838652</v>
      </c>
      <c r="U1386" s="1">
        <f t="shared" si="188"/>
        <v>201.9271892354821</v>
      </c>
    </row>
    <row r="1387" spans="1:21" x14ac:dyDescent="0.3">
      <c r="A1387" s="2">
        <v>42187</v>
      </c>
      <c r="B1387" s="1">
        <v>3842.06</v>
      </c>
      <c r="C1387" s="2">
        <f t="shared" si="180"/>
        <v>42187</v>
      </c>
      <c r="D1387" s="1">
        <f t="shared" si="181"/>
        <v>3842.06</v>
      </c>
      <c r="E1387" s="4">
        <f t="shared" si="182"/>
        <v>3884.8998000000006</v>
      </c>
      <c r="F1387" s="3">
        <f t="shared" si="183"/>
        <v>0.9889727400433852</v>
      </c>
      <c r="G1387" s="18">
        <f t="shared" si="184"/>
        <v>1</v>
      </c>
      <c r="H1387" s="3">
        <f t="shared" si="185"/>
        <v>-3.1223492555809695E-4</v>
      </c>
      <c r="I1387" s="3">
        <f t="shared" si="186"/>
        <v>-3.1223492555809695E-4</v>
      </c>
      <c r="K1387" s="12" t="str">
        <f>IF(AND(G1387=1,G1386&lt;&gt;1),MAX($K$50:K1386)+1,"")</f>
        <v/>
      </c>
      <c r="L1387" s="13" t="str">
        <f>IF(AND(G1387&lt;&gt;1,G1386=1),MAX($L$50:L1386)+1,"")</f>
        <v/>
      </c>
      <c r="M1387" s="13" t="str">
        <f>IF(AND(G1387=-1,G1386&lt;&gt;-1),MAX($M$50:M1386)+1,"")</f>
        <v/>
      </c>
      <c r="N1387" s="13" t="str">
        <f>IF(AND(G1387&lt;&gt;-1,G1386=-1),MAX($N$50:N1386)+1,"")</f>
        <v/>
      </c>
      <c r="T1387" s="7">
        <f t="shared" si="187"/>
        <v>127.65799267519904</v>
      </c>
      <c r="U1387" s="1">
        <f t="shared" si="188"/>
        <v>201.864140514583</v>
      </c>
    </row>
    <row r="1388" spans="1:21" x14ac:dyDescent="0.3">
      <c r="A1388" s="2">
        <v>42191</v>
      </c>
      <c r="B1388" s="1">
        <v>3827.35</v>
      </c>
      <c r="C1388" s="2">
        <f t="shared" si="180"/>
        <v>42191</v>
      </c>
      <c r="D1388" s="1">
        <f t="shared" si="181"/>
        <v>3827.35</v>
      </c>
      <c r="E1388" s="4">
        <f t="shared" si="182"/>
        <v>3883.6176000000005</v>
      </c>
      <c r="F1388" s="3">
        <f t="shared" si="183"/>
        <v>0.98551154984981004</v>
      </c>
      <c r="G1388" s="18">
        <f t="shared" si="184"/>
        <v>1</v>
      </c>
      <c r="H1388" s="3">
        <f t="shared" si="185"/>
        <v>-3.8286752419275372E-3</v>
      </c>
      <c r="I1388" s="3">
        <f t="shared" si="186"/>
        <v>-3.8286752419275372E-3</v>
      </c>
      <c r="K1388" s="12" t="str">
        <f>IF(AND(G1388=1,G1387&lt;&gt;1),MAX($K$50:K1387)+1,"")</f>
        <v/>
      </c>
      <c r="L1388" s="13" t="str">
        <f>IF(AND(G1388&lt;&gt;1,G1387=1),MAX($L$50:L1387)+1,"")</f>
        <v/>
      </c>
      <c r="M1388" s="13" t="str">
        <f>IF(AND(G1388=-1,G1387&lt;&gt;-1),MAX($M$50:M1387)+1,"")</f>
        <v/>
      </c>
      <c r="N1388" s="13" t="str">
        <f>IF(AND(G1388&lt;&gt;-1,G1387=-1),MAX($N$50:N1387)+1,"")</f>
        <v/>
      </c>
      <c r="T1388" s="7">
        <f t="shared" si="187"/>
        <v>127.16923167920933</v>
      </c>
      <c r="U1388" s="1">
        <f t="shared" si="188"/>
        <v>201.09126827756185</v>
      </c>
    </row>
    <row r="1389" spans="1:21" x14ac:dyDescent="0.3">
      <c r="A1389" s="2">
        <v>42192</v>
      </c>
      <c r="B1389" s="1">
        <v>3850.66</v>
      </c>
      <c r="C1389" s="2">
        <f t="shared" si="180"/>
        <v>42192</v>
      </c>
      <c r="D1389" s="1">
        <f t="shared" si="181"/>
        <v>3850.66</v>
      </c>
      <c r="E1389" s="4">
        <f t="shared" si="182"/>
        <v>3882.6260000000011</v>
      </c>
      <c r="F1389" s="3">
        <f t="shared" si="183"/>
        <v>0.99176691239382797</v>
      </c>
      <c r="G1389" s="18">
        <f t="shared" si="184"/>
        <v>1</v>
      </c>
      <c r="H1389" s="3">
        <f t="shared" si="185"/>
        <v>6.0903758475185921E-3</v>
      </c>
      <c r="I1389" s="3">
        <f t="shared" si="186"/>
        <v>6.0903758475185921E-3</v>
      </c>
      <c r="K1389" s="12" t="str">
        <f>IF(AND(G1389=1,G1388&lt;&gt;1),MAX($K$50:K1388)+1,"")</f>
        <v/>
      </c>
      <c r="L1389" s="13" t="str">
        <f>IF(AND(G1389&lt;&gt;1,G1388=1),MAX($L$50:L1388)+1,"")</f>
        <v/>
      </c>
      <c r="M1389" s="13" t="str">
        <f>IF(AND(G1389=-1,G1388&lt;&gt;-1),MAX($M$50:M1388)+1,"")</f>
        <v/>
      </c>
      <c r="N1389" s="13" t="str">
        <f>IF(AND(G1389&lt;&gt;-1,G1388=-1),MAX($N$50:N1388)+1,"")</f>
        <v/>
      </c>
      <c r="T1389" s="7">
        <f t="shared" si="187"/>
        <v>127.94374009637589</v>
      </c>
      <c r="U1389" s="1">
        <f t="shared" si="188"/>
        <v>202.31598968102637</v>
      </c>
    </row>
    <row r="1390" spans="1:21" x14ac:dyDescent="0.3">
      <c r="A1390" s="2">
        <v>42193</v>
      </c>
      <c r="B1390" s="1">
        <v>3787.67</v>
      </c>
      <c r="C1390" s="2">
        <f t="shared" si="180"/>
        <v>42193</v>
      </c>
      <c r="D1390" s="1">
        <f t="shared" si="181"/>
        <v>3787.67</v>
      </c>
      <c r="E1390" s="4">
        <f t="shared" si="182"/>
        <v>3880.6974000000009</v>
      </c>
      <c r="F1390" s="3">
        <f t="shared" si="183"/>
        <v>0.97602817472962444</v>
      </c>
      <c r="G1390" s="18">
        <f t="shared" si="184"/>
        <v>1</v>
      </c>
      <c r="H1390" s="3">
        <f t="shared" si="185"/>
        <v>-1.6358234692234519E-2</v>
      </c>
      <c r="I1390" s="3">
        <f t="shared" si="186"/>
        <v>-1.6358234692234519E-2</v>
      </c>
      <c r="K1390" s="12" t="str">
        <f>IF(AND(G1390=1,G1389&lt;&gt;1),MAX($K$50:K1389)+1,"")</f>
        <v/>
      </c>
      <c r="L1390" s="13" t="str">
        <f>IF(AND(G1390&lt;&gt;1,G1389=1),MAX($L$50:L1389)+1,"")</f>
        <v/>
      </c>
      <c r="M1390" s="13" t="str">
        <f>IF(AND(G1390=-1,G1389&lt;&gt;-1),MAX($M$50:M1389)+1,"")</f>
        <v/>
      </c>
      <c r="N1390" s="13" t="str">
        <f>IF(AND(G1390&lt;&gt;-1,G1389=-1),MAX($N$50:N1389)+1,"")</f>
        <v/>
      </c>
      <c r="T1390" s="7">
        <f t="shared" si="187"/>
        <v>125.85080636847712</v>
      </c>
      <c r="U1390" s="1">
        <f t="shared" si="188"/>
        <v>199.00645723983243</v>
      </c>
    </row>
    <row r="1391" spans="1:21" x14ac:dyDescent="0.3">
      <c r="A1391" s="2">
        <v>42194</v>
      </c>
      <c r="B1391" s="1">
        <v>3796.26</v>
      </c>
      <c r="C1391" s="2">
        <f t="shared" si="180"/>
        <v>42194</v>
      </c>
      <c r="D1391" s="1">
        <f t="shared" si="181"/>
        <v>3796.26</v>
      </c>
      <c r="E1391" s="4">
        <f t="shared" si="182"/>
        <v>3878.7184000000016</v>
      </c>
      <c r="F1391" s="3">
        <f t="shared" si="183"/>
        <v>0.97874081294481152</v>
      </c>
      <c r="G1391" s="18">
        <f t="shared" si="184"/>
        <v>1</v>
      </c>
      <c r="H1391" s="3">
        <f t="shared" si="185"/>
        <v>2.267885005821535E-3</v>
      </c>
      <c r="I1391" s="3">
        <f t="shared" si="186"/>
        <v>2.267885005821535E-3</v>
      </c>
      <c r="K1391" s="12" t="str">
        <f>IF(AND(G1391=1,G1390&lt;&gt;1),MAX($K$50:K1390)+1,"")</f>
        <v/>
      </c>
      <c r="L1391" s="13" t="str">
        <f>IF(AND(G1391&lt;&gt;1,G1390=1),MAX($L$50:L1390)+1,"")</f>
        <v/>
      </c>
      <c r="M1391" s="13" t="str">
        <f>IF(AND(G1391=-1,G1390&lt;&gt;-1),MAX($M$50:M1390)+1,"")</f>
        <v/>
      </c>
      <c r="N1391" s="13" t="str">
        <f>IF(AND(G1391&lt;&gt;-1,G1390=-1),MAX($N$50:N1390)+1,"")</f>
        <v/>
      </c>
      <c r="T1391" s="7">
        <f t="shared" si="187"/>
        <v>126.13622152521074</v>
      </c>
      <c r="U1391" s="1">
        <f t="shared" si="188"/>
        <v>199.45778100026831</v>
      </c>
    </row>
    <row r="1392" spans="1:21" x14ac:dyDescent="0.3">
      <c r="A1392" s="2">
        <v>42195</v>
      </c>
      <c r="B1392" s="1">
        <v>3843.1</v>
      </c>
      <c r="C1392" s="2">
        <f t="shared" si="180"/>
        <v>42195</v>
      </c>
      <c r="D1392" s="1">
        <f t="shared" si="181"/>
        <v>3843.1</v>
      </c>
      <c r="E1392" s="4">
        <f t="shared" si="182"/>
        <v>3877.9624000000017</v>
      </c>
      <c r="F1392" s="3">
        <f t="shared" si="183"/>
        <v>0.99101012428588742</v>
      </c>
      <c r="G1392" s="18">
        <f t="shared" si="184"/>
        <v>1</v>
      </c>
      <c r="H1392" s="3">
        <f t="shared" si="185"/>
        <v>1.2338459431124216E-2</v>
      </c>
      <c r="I1392" s="3">
        <f t="shared" si="186"/>
        <v>1.2338459431124216E-2</v>
      </c>
      <c r="K1392" s="12" t="str">
        <f>IF(AND(G1392=1,G1391&lt;&gt;1),MAX($K$50:K1391)+1,"")</f>
        <v/>
      </c>
      <c r="L1392" s="13" t="str">
        <f>IF(AND(G1392&lt;&gt;1,G1391=1),MAX($L$50:L1391)+1,"")</f>
        <v/>
      </c>
      <c r="M1392" s="13" t="str">
        <f>IF(AND(G1392=-1,G1391&lt;&gt;-1),MAX($M$50:M1391)+1,"")</f>
        <v/>
      </c>
      <c r="N1392" s="13" t="str">
        <f>IF(AND(G1392&lt;&gt;-1,G1391=-1),MAX($N$50:N1391)+1,"")</f>
        <v/>
      </c>
      <c r="T1392" s="7">
        <f t="shared" si="187"/>
        <v>127.69254817729485</v>
      </c>
      <c r="U1392" s="1">
        <f t="shared" si="188"/>
        <v>201.91878273936217</v>
      </c>
    </row>
    <row r="1393" spans="1:21" x14ac:dyDescent="0.3">
      <c r="A1393" s="2">
        <v>42198</v>
      </c>
      <c r="B1393" s="1">
        <v>3885.97</v>
      </c>
      <c r="C1393" s="2">
        <f t="shared" si="180"/>
        <v>42198</v>
      </c>
      <c r="D1393" s="1">
        <f t="shared" si="181"/>
        <v>3885.97</v>
      </c>
      <c r="E1393" s="4">
        <f t="shared" si="182"/>
        <v>3878.8462000000018</v>
      </c>
      <c r="F1393" s="3">
        <f t="shared" si="183"/>
        <v>1.0018365770728415</v>
      </c>
      <c r="G1393" s="18">
        <f t="shared" si="184"/>
        <v>1</v>
      </c>
      <c r="H1393" s="3">
        <f t="shared" si="185"/>
        <v>1.1155057115349587E-2</v>
      </c>
      <c r="I1393" s="3">
        <f t="shared" si="186"/>
        <v>1.1155057115349587E-2</v>
      </c>
      <c r="K1393" s="12" t="str">
        <f>IF(AND(G1393=1,G1392&lt;&gt;1),MAX($K$50:K1392)+1,"")</f>
        <v/>
      </c>
      <c r="L1393" s="13" t="str">
        <f>IF(AND(G1393&lt;&gt;1,G1392=1),MAX($L$50:L1392)+1,"")</f>
        <v/>
      </c>
      <c r="M1393" s="13" t="str">
        <f>IF(AND(G1393=-1,G1392&lt;&gt;-1),MAX($M$50:M1392)+1,"")</f>
        <v/>
      </c>
      <c r="N1393" s="13" t="str">
        <f>IF(AND(G1393&lt;&gt;-1,G1392=-1),MAX($N$50:N1392)+1,"")</f>
        <v/>
      </c>
      <c r="T1393" s="7">
        <f t="shared" si="187"/>
        <v>129.1169658454171</v>
      </c>
      <c r="U1393" s="1">
        <f t="shared" si="188"/>
        <v>204.17119829348161</v>
      </c>
    </row>
    <row r="1394" spans="1:21" x14ac:dyDescent="0.3">
      <c r="A1394" s="2">
        <v>42199</v>
      </c>
      <c r="B1394" s="1">
        <v>3903.31</v>
      </c>
      <c r="C1394" s="2">
        <f t="shared" si="180"/>
        <v>42199</v>
      </c>
      <c r="D1394" s="1">
        <f t="shared" si="181"/>
        <v>3903.31</v>
      </c>
      <c r="E1394" s="4">
        <f t="shared" si="182"/>
        <v>3879.2374000000009</v>
      </c>
      <c r="F1394" s="3">
        <f t="shared" si="183"/>
        <v>1.0062054980187598</v>
      </c>
      <c r="G1394" s="18">
        <f t="shared" si="184"/>
        <v>1</v>
      </c>
      <c r="H1394" s="3">
        <f t="shared" si="185"/>
        <v>4.4622063474499818E-3</v>
      </c>
      <c r="I1394" s="3">
        <f t="shared" si="186"/>
        <v>4.4622063474499818E-3</v>
      </c>
      <c r="K1394" s="12" t="str">
        <f>IF(AND(G1394=1,G1393&lt;&gt;1),MAX($K$50:K1393)+1,"")</f>
        <v/>
      </c>
      <c r="L1394" s="13" t="str">
        <f>IF(AND(G1394&lt;&gt;1,G1393=1),MAX($L$50:L1393)+1,"")</f>
        <v/>
      </c>
      <c r="M1394" s="13" t="str">
        <f>IF(AND(G1394=-1,G1393&lt;&gt;-1),MAX($M$50:M1393)+1,"")</f>
        <v/>
      </c>
      <c r="N1394" s="13" t="str">
        <f>IF(AND(G1394&lt;&gt;-1,G1393=-1),MAX($N$50:N1393)+1,"")</f>
        <v/>
      </c>
      <c r="T1394" s="7">
        <f t="shared" si="187"/>
        <v>129.69311238997599</v>
      </c>
      <c r="U1394" s="1">
        <f t="shared" si="188"/>
        <v>205.08225231047322</v>
      </c>
    </row>
    <row r="1395" spans="1:21" x14ac:dyDescent="0.3">
      <c r="A1395" s="2">
        <v>42200</v>
      </c>
      <c r="B1395" s="1">
        <v>3900.5</v>
      </c>
      <c r="C1395" s="2">
        <f t="shared" si="180"/>
        <v>42200</v>
      </c>
      <c r="D1395" s="1">
        <f t="shared" si="181"/>
        <v>3900.5</v>
      </c>
      <c r="E1395" s="4">
        <f t="shared" si="182"/>
        <v>3879.3442000000009</v>
      </c>
      <c r="F1395" s="3">
        <f t="shared" si="183"/>
        <v>1.0054534475182684</v>
      </c>
      <c r="G1395" s="18">
        <f t="shared" si="184"/>
        <v>1</v>
      </c>
      <c r="H1395" s="3">
        <f t="shared" si="185"/>
        <v>-7.1990182691095139E-4</v>
      </c>
      <c r="I1395" s="3">
        <f t="shared" si="186"/>
        <v>-7.1990182691095139E-4</v>
      </c>
      <c r="K1395" s="12" t="str">
        <f>IF(AND(G1395=1,G1394&lt;&gt;1),MAX($K$50:K1394)+1,"")</f>
        <v/>
      </c>
      <c r="L1395" s="13" t="str">
        <f>IF(AND(G1395&lt;&gt;1,G1394=1),MAX($L$50:L1394)+1,"")</f>
        <v/>
      </c>
      <c r="M1395" s="13" t="str">
        <f>IF(AND(G1395=-1,G1394&lt;&gt;-1),MAX($M$50:M1394)+1,"")</f>
        <v/>
      </c>
      <c r="N1395" s="13" t="str">
        <f>IF(AND(G1395&lt;&gt;-1,G1394=-1),MAX($N$50:N1394)+1,"")</f>
        <v/>
      </c>
      <c r="T1395" s="7">
        <f t="shared" si="187"/>
        <v>129.59974608142869</v>
      </c>
      <c r="U1395" s="1">
        <f t="shared" si="188"/>
        <v>204.93461322236789</v>
      </c>
    </row>
    <row r="1396" spans="1:21" x14ac:dyDescent="0.3">
      <c r="A1396" s="2">
        <v>42201</v>
      </c>
      <c r="B1396" s="1">
        <v>3931.85</v>
      </c>
      <c r="C1396" s="2">
        <f t="shared" ref="C1396:C1459" si="189">A1396</f>
        <v>42201</v>
      </c>
      <c r="D1396" s="1">
        <f t="shared" ref="D1396:D1459" si="190">B1396</f>
        <v>3931.85</v>
      </c>
      <c r="E1396" s="4">
        <f t="shared" ref="E1396:E1459" si="191">AVERAGE(B1347:B1396)</f>
        <v>3880.9930000000008</v>
      </c>
      <c r="F1396" s="3">
        <f t="shared" ref="F1396:F1459" si="192">D1396/E1396</f>
        <v>1.0131041205176095</v>
      </c>
      <c r="G1396" s="18">
        <f t="shared" ref="G1396:G1459" si="193">IF(F1396&gt;=$Q$51,1,IF(F1396&lt;=$Q$52,-1,0))</f>
        <v>1</v>
      </c>
      <c r="H1396" s="3">
        <f t="shared" si="185"/>
        <v>8.0374310985771302E-3</v>
      </c>
      <c r="I1396" s="3">
        <f t="shared" si="186"/>
        <v>8.0374310985771302E-3</v>
      </c>
      <c r="K1396" s="12" t="str">
        <f>IF(AND(G1396=1,G1395&lt;&gt;1),MAX($K$50:K1395)+1,"")</f>
        <v/>
      </c>
      <c r="L1396" s="13" t="str">
        <f>IF(AND(G1396&lt;&gt;1,G1395=1),MAX($L$50:L1395)+1,"")</f>
        <v/>
      </c>
      <c r="M1396" s="13" t="str">
        <f>IF(AND(G1396=-1,G1395&lt;&gt;-1),MAX($M$50:M1395)+1,"")</f>
        <v/>
      </c>
      <c r="N1396" s="13" t="str">
        <f>IF(AND(G1396&lt;&gt;-1,G1395=-1),MAX($N$50:N1395)+1,"")</f>
        <v/>
      </c>
      <c r="T1396" s="7">
        <f t="shared" si="187"/>
        <v>130.64139511095127</v>
      </c>
      <c r="U1396" s="1">
        <f t="shared" si="188"/>
        <v>206.58176105585622</v>
      </c>
    </row>
    <row r="1397" spans="1:21" x14ac:dyDescent="0.3">
      <c r="A1397" s="2">
        <v>42202</v>
      </c>
      <c r="B1397" s="1">
        <v>3936.22</v>
      </c>
      <c r="C1397" s="2">
        <f t="shared" si="189"/>
        <v>42202</v>
      </c>
      <c r="D1397" s="1">
        <f t="shared" si="190"/>
        <v>3936.22</v>
      </c>
      <c r="E1397" s="4">
        <f t="shared" si="191"/>
        <v>3883.0434000000009</v>
      </c>
      <c r="F1397" s="3">
        <f t="shared" si="192"/>
        <v>1.0136945675137186</v>
      </c>
      <c r="G1397" s="18">
        <f t="shared" si="193"/>
        <v>1</v>
      </c>
      <c r="H1397" s="3">
        <f t="shared" ref="H1397:H1460" si="194">D1397/D1396-1</f>
        <v>1.1114360924247002E-3</v>
      </c>
      <c r="I1397" s="3">
        <f t="shared" ref="I1397:I1460" si="195">G1396*H1397</f>
        <v>1.1114360924247002E-3</v>
      </c>
      <c r="K1397" s="12" t="str">
        <f>IF(AND(G1397=1,G1396&lt;&gt;1),MAX($K$50:K1396)+1,"")</f>
        <v/>
      </c>
      <c r="L1397" s="13" t="str">
        <f>IF(AND(G1397&lt;&gt;1,G1396=1),MAX($L$50:L1396)+1,"")</f>
        <v/>
      </c>
      <c r="M1397" s="13" t="str">
        <f>IF(AND(G1397=-1,G1396&lt;&gt;-1),MAX($M$50:M1396)+1,"")</f>
        <v/>
      </c>
      <c r="N1397" s="13" t="str">
        <f>IF(AND(G1397&lt;&gt;-1,G1396=-1),MAX($N$50:N1396)+1,"")</f>
        <v/>
      </c>
      <c r="T1397" s="7">
        <f t="shared" ref="T1397:T1460" si="196">T1396*(1+I1397)</f>
        <v>130.78659467264228</v>
      </c>
      <c r="U1397" s="1">
        <f t="shared" ref="U1397:U1460" si="197">U1396*D1397/D1396</f>
        <v>206.81136348113034</v>
      </c>
    </row>
    <row r="1398" spans="1:21" x14ac:dyDescent="0.3">
      <c r="A1398" s="2">
        <v>42205</v>
      </c>
      <c r="B1398" s="1">
        <v>3939.35</v>
      </c>
      <c r="C1398" s="2">
        <f t="shared" si="189"/>
        <v>42205</v>
      </c>
      <c r="D1398" s="1">
        <f t="shared" si="190"/>
        <v>3939.35</v>
      </c>
      <c r="E1398" s="4">
        <f t="shared" si="191"/>
        <v>3884.8478000000009</v>
      </c>
      <c r="F1398" s="3">
        <f t="shared" si="192"/>
        <v>1.0140294299303048</v>
      </c>
      <c r="G1398" s="18">
        <f t="shared" si="193"/>
        <v>1</v>
      </c>
      <c r="H1398" s="3">
        <f t="shared" si="194"/>
        <v>7.9517913124771411E-4</v>
      </c>
      <c r="I1398" s="3">
        <f t="shared" si="195"/>
        <v>7.9517913124771411E-4</v>
      </c>
      <c r="K1398" s="12" t="str">
        <f>IF(AND(G1398=1,G1397&lt;&gt;1),MAX($K$50:K1397)+1,"")</f>
        <v/>
      </c>
      <c r="L1398" s="13" t="str">
        <f>IF(AND(G1398&lt;&gt;1,G1397=1),MAX($L$50:L1397)+1,"")</f>
        <v/>
      </c>
      <c r="M1398" s="13" t="str">
        <f>IF(AND(G1398=-1,G1397&lt;&gt;-1),MAX($M$50:M1397)+1,"")</f>
        <v/>
      </c>
      <c r="N1398" s="13" t="str">
        <f>IF(AND(G1398&lt;&gt;-1,G1397=-1),MAX($N$50:N1397)+1,"")</f>
        <v/>
      </c>
      <c r="T1398" s="7">
        <f t="shared" si="196"/>
        <v>130.89059344337292</v>
      </c>
      <c r="U1398" s="1">
        <f t="shared" si="197"/>
        <v>206.97581556147543</v>
      </c>
    </row>
    <row r="1399" spans="1:21" x14ac:dyDescent="0.3">
      <c r="A1399" s="2">
        <v>42206</v>
      </c>
      <c r="B1399" s="1">
        <v>3922.7</v>
      </c>
      <c r="C1399" s="2">
        <f t="shared" si="189"/>
        <v>42206</v>
      </c>
      <c r="D1399" s="1">
        <f t="shared" si="190"/>
        <v>3922.7</v>
      </c>
      <c r="E1399" s="4">
        <f t="shared" si="191"/>
        <v>3885.2816000000007</v>
      </c>
      <c r="F1399" s="3">
        <f t="shared" si="192"/>
        <v>1.0096308077128822</v>
      </c>
      <c r="G1399" s="18">
        <f t="shared" si="193"/>
        <v>1</v>
      </c>
      <c r="H1399" s="3">
        <f t="shared" si="194"/>
        <v>-4.2265856042240646E-3</v>
      </c>
      <c r="I1399" s="3">
        <f t="shared" si="195"/>
        <v>-4.2265856042240646E-3</v>
      </c>
      <c r="K1399" s="12" t="str">
        <f>IF(AND(G1399=1,G1398&lt;&gt;1),MAX($K$50:K1398)+1,"")</f>
        <v/>
      </c>
      <c r="L1399" s="13" t="str">
        <f>IF(AND(G1399&lt;&gt;1,G1398=1),MAX($L$50:L1398)+1,"")</f>
        <v/>
      </c>
      <c r="M1399" s="13" t="str">
        <f>IF(AND(G1399=-1,G1398&lt;&gt;-1),MAX($M$50:M1398)+1,"")</f>
        <v/>
      </c>
      <c r="N1399" s="13" t="str">
        <f>IF(AND(G1399&lt;&gt;-1,G1398=-1),MAX($N$50:N1398)+1,"")</f>
        <v/>
      </c>
      <c r="T1399" s="7">
        <f t="shared" si="196"/>
        <v>130.33737314539681</v>
      </c>
      <c r="U1399" s="1">
        <f t="shared" si="197"/>
        <v>206.10101455900076</v>
      </c>
    </row>
    <row r="1400" spans="1:21" x14ac:dyDescent="0.3">
      <c r="A1400" s="2">
        <v>42207</v>
      </c>
      <c r="B1400" s="1">
        <v>3913.75</v>
      </c>
      <c r="C1400" s="2">
        <f t="shared" si="189"/>
        <v>42207</v>
      </c>
      <c r="D1400" s="1">
        <f t="shared" si="190"/>
        <v>3913.75</v>
      </c>
      <c r="E1400" s="4">
        <f t="shared" si="191"/>
        <v>3885.918000000001</v>
      </c>
      <c r="F1400" s="3">
        <f t="shared" si="192"/>
        <v>1.0071622715662036</v>
      </c>
      <c r="G1400" s="18">
        <f t="shared" si="193"/>
        <v>1</v>
      </c>
      <c r="H1400" s="3">
        <f t="shared" si="194"/>
        <v>-2.2815917607770242E-3</v>
      </c>
      <c r="I1400" s="3">
        <f t="shared" si="195"/>
        <v>-2.2815917607770242E-3</v>
      </c>
      <c r="K1400" s="12" t="str">
        <f>IF(AND(G1400=1,G1399&lt;&gt;1),MAX($K$50:K1399)+1,"")</f>
        <v/>
      </c>
      <c r="L1400" s="13" t="str">
        <f>IF(AND(G1400&lt;&gt;1,G1399=1),MAX($L$50:L1399)+1,"")</f>
        <v/>
      </c>
      <c r="M1400" s="13" t="str">
        <f>IF(AND(G1400=-1,G1399&lt;&gt;-1),MAX($M$50:M1399)+1,"")</f>
        <v/>
      </c>
      <c r="N1400" s="13" t="str">
        <f>IF(AND(G1400&lt;&gt;-1,G1399=-1),MAX($N$50:N1399)+1,"")</f>
        <v/>
      </c>
      <c r="T1400" s="7">
        <f t="shared" si="196"/>
        <v>130.03999646870696</v>
      </c>
      <c r="U1400" s="1">
        <f t="shared" si="197"/>
        <v>205.63077618229516</v>
      </c>
    </row>
    <row r="1401" spans="1:21" x14ac:dyDescent="0.3">
      <c r="A1401" s="2">
        <v>42208</v>
      </c>
      <c r="B1401" s="1">
        <v>3891.79</v>
      </c>
      <c r="C1401" s="2">
        <f t="shared" si="189"/>
        <v>42208</v>
      </c>
      <c r="D1401" s="1">
        <f t="shared" si="190"/>
        <v>3891.79</v>
      </c>
      <c r="E1401" s="4">
        <f t="shared" si="191"/>
        <v>3886.3400000000011</v>
      </c>
      <c r="F1401" s="3">
        <f t="shared" si="192"/>
        <v>1.0014023477101845</v>
      </c>
      <c r="G1401" s="18">
        <f t="shared" si="193"/>
        <v>1</v>
      </c>
      <c r="H1401" s="3">
        <f t="shared" si="194"/>
        <v>-5.6109869051421679E-3</v>
      </c>
      <c r="I1401" s="3">
        <f t="shared" si="195"/>
        <v>-5.6109869051421679E-3</v>
      </c>
      <c r="K1401" s="12" t="str">
        <f>IF(AND(G1401=1,G1400&lt;&gt;1),MAX($K$50:K1400)+1,"")</f>
        <v/>
      </c>
      <c r="L1401" s="13" t="str">
        <f>IF(AND(G1401&lt;&gt;1,G1400=1),MAX($L$50:L1400)+1,"")</f>
        <v/>
      </c>
      <c r="M1401" s="13" t="str">
        <f>IF(AND(G1401=-1,G1400&lt;&gt;-1),MAX($M$50:M1400)+1,"")</f>
        <v/>
      </c>
      <c r="N1401" s="13" t="str">
        <f>IF(AND(G1401&lt;&gt;-1,G1400=-1),MAX($N$50:N1400)+1,"")</f>
        <v/>
      </c>
      <c r="T1401" s="7">
        <f t="shared" si="196"/>
        <v>129.31034375137631</v>
      </c>
      <c r="U1401" s="1">
        <f t="shared" si="197"/>
        <v>204.47698458984209</v>
      </c>
    </row>
    <row r="1402" spans="1:21" x14ac:dyDescent="0.3">
      <c r="A1402" s="2">
        <v>42209</v>
      </c>
      <c r="B1402" s="1">
        <v>3850.15</v>
      </c>
      <c r="C1402" s="2">
        <f t="shared" si="189"/>
        <v>42209</v>
      </c>
      <c r="D1402" s="1">
        <f t="shared" si="190"/>
        <v>3850.15</v>
      </c>
      <c r="E1402" s="4">
        <f t="shared" si="191"/>
        <v>3885.9358000000011</v>
      </c>
      <c r="F1402" s="3">
        <f t="shared" si="192"/>
        <v>0.99079094410154667</v>
      </c>
      <c r="G1402" s="18">
        <f t="shared" si="193"/>
        <v>1</v>
      </c>
      <c r="H1402" s="3">
        <f t="shared" si="194"/>
        <v>-1.0699446784127598E-2</v>
      </c>
      <c r="I1402" s="3">
        <f t="shared" si="195"/>
        <v>-1.0699446784127598E-2</v>
      </c>
      <c r="K1402" s="12" t="str">
        <f>IF(AND(G1402=1,G1401&lt;&gt;1),MAX($K$50:K1401)+1,"")</f>
        <v/>
      </c>
      <c r="L1402" s="13" t="str">
        <f>IF(AND(G1402&lt;&gt;1,G1401=1),MAX($L$50:L1401)+1,"")</f>
        <v/>
      </c>
      <c r="M1402" s="13" t="str">
        <f>IF(AND(G1402=-1,G1401&lt;&gt;-1),MAX($M$50:M1401)+1,"")</f>
        <v/>
      </c>
      <c r="N1402" s="13" t="str">
        <f>IF(AND(G1402&lt;&gt;-1,G1401=-1),MAX($N$50:N1401)+1,"")</f>
        <v/>
      </c>
      <c r="T1402" s="7">
        <f t="shared" si="196"/>
        <v>127.92679460977121</v>
      </c>
      <c r="U1402" s="1">
        <f t="shared" si="197"/>
        <v>202.28919397464418</v>
      </c>
    </row>
    <row r="1403" spans="1:21" x14ac:dyDescent="0.3">
      <c r="A1403" s="2">
        <v>42212</v>
      </c>
      <c r="B1403" s="1">
        <v>3827.93</v>
      </c>
      <c r="C1403" s="2">
        <f t="shared" si="189"/>
        <v>42212</v>
      </c>
      <c r="D1403" s="1">
        <f t="shared" si="190"/>
        <v>3827.93</v>
      </c>
      <c r="E1403" s="4">
        <f t="shared" si="191"/>
        <v>3884.2440000000015</v>
      </c>
      <c r="F1403" s="3">
        <f t="shared" si="192"/>
        <v>0.98550194066078201</v>
      </c>
      <c r="G1403" s="18">
        <f t="shared" si="193"/>
        <v>1</v>
      </c>
      <c r="H1403" s="3">
        <f t="shared" si="194"/>
        <v>-5.7712037193357046E-3</v>
      </c>
      <c r="I1403" s="3">
        <f t="shared" si="195"/>
        <v>-5.7712037193357046E-3</v>
      </c>
      <c r="K1403" s="12" t="str">
        <f>IF(AND(G1403=1,G1402&lt;&gt;1),MAX($K$50:K1402)+1,"")</f>
        <v/>
      </c>
      <c r="L1403" s="13" t="str">
        <f>IF(AND(G1403&lt;&gt;1,G1402=1),MAX($L$50:L1402)+1,"")</f>
        <v/>
      </c>
      <c r="M1403" s="13" t="str">
        <f>IF(AND(G1403=-1,G1402&lt;&gt;-1),MAX($M$50:M1402)+1,"")</f>
        <v/>
      </c>
      <c r="N1403" s="13" t="str">
        <f>IF(AND(G1403&lt;&gt;-1,G1402=-1),MAX($N$50:N1402)+1,"")</f>
        <v/>
      </c>
      <c r="T1403" s="7">
        <f t="shared" si="196"/>
        <v>127.1885030169166</v>
      </c>
      <c r="U1403" s="1">
        <f t="shared" si="197"/>
        <v>201.12174182599631</v>
      </c>
    </row>
    <row r="1404" spans="1:21" x14ac:dyDescent="0.3">
      <c r="A1404" s="2">
        <v>42213</v>
      </c>
      <c r="B1404" s="1">
        <v>3875.37</v>
      </c>
      <c r="C1404" s="2">
        <f t="shared" si="189"/>
        <v>42213</v>
      </c>
      <c r="D1404" s="1">
        <f t="shared" si="190"/>
        <v>3875.37</v>
      </c>
      <c r="E1404" s="4">
        <f t="shared" si="191"/>
        <v>3883.4316000000008</v>
      </c>
      <c r="F1404" s="3">
        <f t="shared" si="192"/>
        <v>0.99792410403211407</v>
      </c>
      <c r="G1404" s="18">
        <f t="shared" si="193"/>
        <v>1</v>
      </c>
      <c r="H1404" s="3">
        <f t="shared" si="194"/>
        <v>1.2393121086331282E-2</v>
      </c>
      <c r="I1404" s="3">
        <f t="shared" si="195"/>
        <v>1.2393121086331282E-2</v>
      </c>
      <c r="K1404" s="12" t="str">
        <f>IF(AND(G1404=1,G1403&lt;&gt;1),MAX($K$50:K1403)+1,"")</f>
        <v/>
      </c>
      <c r="L1404" s="13" t="str">
        <f>IF(AND(G1404&lt;&gt;1,G1403=1),MAX($L$50:L1403)+1,"")</f>
        <v/>
      </c>
      <c r="M1404" s="13" t="str">
        <f>IF(AND(G1404=-1,G1403&lt;&gt;-1),MAX($M$50:M1403)+1,"")</f>
        <v/>
      </c>
      <c r="N1404" s="13" t="str">
        <f>IF(AND(G1404&lt;&gt;-1,G1403=-1),MAX($N$50:N1403)+1,"")</f>
        <v/>
      </c>
      <c r="T1404" s="7">
        <f t="shared" si="196"/>
        <v>128.76476553559445</v>
      </c>
      <c r="U1404" s="1">
        <f t="shared" si="197"/>
        <v>203.61426792553976</v>
      </c>
    </row>
    <row r="1405" spans="1:21" x14ac:dyDescent="0.3">
      <c r="A1405" s="2">
        <v>42214</v>
      </c>
      <c r="B1405" s="1">
        <v>3904.21</v>
      </c>
      <c r="C1405" s="2">
        <f t="shared" si="189"/>
        <v>42214</v>
      </c>
      <c r="D1405" s="1">
        <f t="shared" si="190"/>
        <v>3904.21</v>
      </c>
      <c r="E1405" s="4">
        <f t="shared" si="191"/>
        <v>3882.9528000000005</v>
      </c>
      <c r="F1405" s="3">
        <f t="shared" si="192"/>
        <v>1.00547449353492</v>
      </c>
      <c r="G1405" s="18">
        <f t="shared" si="193"/>
        <v>1</v>
      </c>
      <c r="H1405" s="3">
        <f t="shared" si="194"/>
        <v>7.4418700666001314E-3</v>
      </c>
      <c r="I1405" s="3">
        <f t="shared" si="195"/>
        <v>7.4418700666001314E-3</v>
      </c>
      <c r="K1405" s="12" t="str">
        <f>IF(AND(G1405=1,G1404&lt;&gt;1),MAX($K$50:K1404)+1,"")</f>
        <v/>
      </c>
      <c r="L1405" s="13" t="str">
        <f>IF(AND(G1405&lt;&gt;1,G1404=1),MAX($L$50:L1404)+1,"")</f>
        <v/>
      </c>
      <c r="M1405" s="13" t="str">
        <f>IF(AND(G1405=-1,G1404&lt;&gt;-1),MAX($M$50:M1404)+1,"")</f>
        <v/>
      </c>
      <c r="N1405" s="13" t="str">
        <f>IF(AND(G1405&lt;&gt;-1,G1404=-1),MAX($N$50:N1404)+1,"")</f>
        <v/>
      </c>
      <c r="T1405" s="7">
        <f t="shared" si="196"/>
        <v>129.72301618986657</v>
      </c>
      <c r="U1405" s="1">
        <f t="shared" si="197"/>
        <v>205.12953885114752</v>
      </c>
    </row>
    <row r="1406" spans="1:21" x14ac:dyDescent="0.3">
      <c r="A1406" s="2">
        <v>42215</v>
      </c>
      <c r="B1406" s="1">
        <v>3904.64</v>
      </c>
      <c r="C1406" s="2">
        <f t="shared" si="189"/>
        <v>42215</v>
      </c>
      <c r="D1406" s="1">
        <f t="shared" si="190"/>
        <v>3904.64</v>
      </c>
      <c r="E1406" s="4">
        <f t="shared" si="191"/>
        <v>3882.5174000000006</v>
      </c>
      <c r="F1406" s="3">
        <f t="shared" si="192"/>
        <v>1.005698004083639</v>
      </c>
      <c r="G1406" s="18">
        <f t="shared" si="193"/>
        <v>1</v>
      </c>
      <c r="H1406" s="3">
        <f t="shared" si="194"/>
        <v>1.1013751821753459E-4</v>
      </c>
      <c r="I1406" s="3">
        <f t="shared" si="195"/>
        <v>1.1013751821753459E-4</v>
      </c>
      <c r="K1406" s="12" t="str">
        <f>IF(AND(G1406=1,G1405&lt;&gt;1),MAX($K$50:K1405)+1,"")</f>
        <v/>
      </c>
      <c r="L1406" s="13" t="str">
        <f>IF(AND(G1406&lt;&gt;1,G1405=1),MAX($L$50:L1405)+1,"")</f>
        <v/>
      </c>
      <c r="M1406" s="13" t="str">
        <f>IF(AND(G1406=-1,G1405&lt;&gt;-1),MAX($M$50:M1405)+1,"")</f>
        <v/>
      </c>
      <c r="N1406" s="13" t="str">
        <f>IF(AND(G1406&lt;&gt;-1,G1405=-1),MAX($N$50:N1405)+1,"")</f>
        <v/>
      </c>
      <c r="T1406" s="7">
        <f t="shared" si="196"/>
        <v>129.73730356092543</v>
      </c>
      <c r="U1406" s="1">
        <f t="shared" si="197"/>
        <v>205.15213130946967</v>
      </c>
    </row>
    <row r="1407" spans="1:21" x14ac:dyDescent="0.3">
      <c r="A1407" s="2">
        <v>42216</v>
      </c>
      <c r="B1407" s="1">
        <v>3895.8</v>
      </c>
      <c r="C1407" s="2">
        <f t="shared" si="189"/>
        <v>42216</v>
      </c>
      <c r="D1407" s="1">
        <f t="shared" si="190"/>
        <v>3895.8</v>
      </c>
      <c r="E1407" s="4">
        <f t="shared" si="191"/>
        <v>3881.9698000000003</v>
      </c>
      <c r="F1407" s="3">
        <f t="shared" si="192"/>
        <v>1.0035626758353453</v>
      </c>
      <c r="G1407" s="18">
        <f t="shared" si="193"/>
        <v>1</v>
      </c>
      <c r="H1407" s="3">
        <f t="shared" si="194"/>
        <v>-2.2639731191607115E-3</v>
      </c>
      <c r="I1407" s="3">
        <f t="shared" si="195"/>
        <v>-2.2639731191607115E-3</v>
      </c>
      <c r="K1407" s="12" t="str">
        <f>IF(AND(G1407=1,G1406&lt;&gt;1),MAX($K$50:K1406)+1,"")</f>
        <v/>
      </c>
      <c r="L1407" s="13" t="str">
        <f>IF(AND(G1407&lt;&gt;1,G1406=1),MAX($L$50:L1406)+1,"")</f>
        <v/>
      </c>
      <c r="M1407" s="13" t="str">
        <f>IF(AND(G1407=-1,G1406&lt;&gt;-1),MAX($M$50:M1406)+1,"")</f>
        <v/>
      </c>
      <c r="N1407" s="13" t="str">
        <f>IF(AND(G1407&lt;&gt;-1,G1406=-1),MAX($N$50:N1406)+1,"")</f>
        <v/>
      </c>
      <c r="T1407" s="7">
        <f t="shared" si="196"/>
        <v>129.44358179311109</v>
      </c>
      <c r="U1407" s="1">
        <f t="shared" si="197"/>
        <v>204.6876723988465</v>
      </c>
    </row>
    <row r="1408" spans="1:21" x14ac:dyDescent="0.3">
      <c r="A1408" s="2">
        <v>42219</v>
      </c>
      <c r="B1408" s="1">
        <v>3885.07</v>
      </c>
      <c r="C1408" s="2">
        <f t="shared" si="189"/>
        <v>42219</v>
      </c>
      <c r="D1408" s="1">
        <f t="shared" si="190"/>
        <v>3885.07</v>
      </c>
      <c r="E1408" s="4">
        <f t="shared" si="191"/>
        <v>3881.0131999999999</v>
      </c>
      <c r="F1408" s="3">
        <f t="shared" si="192"/>
        <v>1.0010452940484718</v>
      </c>
      <c r="G1408" s="18">
        <f t="shared" si="193"/>
        <v>1</v>
      </c>
      <c r="H1408" s="3">
        <f t="shared" si="194"/>
        <v>-2.7542481646901651E-3</v>
      </c>
      <c r="I1408" s="3">
        <f t="shared" si="195"/>
        <v>-2.7542481646901651E-3</v>
      </c>
      <c r="K1408" s="12" t="str">
        <f>IF(AND(G1408=1,G1407&lt;&gt;1),MAX($K$50:K1407)+1,"")</f>
        <v/>
      </c>
      <c r="L1408" s="13" t="str">
        <f>IF(AND(G1408&lt;&gt;1,G1407=1),MAX($L$50:L1407)+1,"")</f>
        <v/>
      </c>
      <c r="M1408" s="13" t="str">
        <f>IF(AND(G1408=-1,G1407&lt;&gt;-1),MAX($M$50:M1407)+1,"")</f>
        <v/>
      </c>
      <c r="N1408" s="13" t="str">
        <f>IF(AND(G1408&lt;&gt;-1,G1407=-1),MAX($N$50:N1407)+1,"")</f>
        <v/>
      </c>
      <c r="T1408" s="7">
        <f t="shared" si="196"/>
        <v>129.08706204552649</v>
      </c>
      <c r="U1408" s="1">
        <f t="shared" si="197"/>
        <v>204.12391175280729</v>
      </c>
    </row>
    <row r="1409" spans="1:21" x14ac:dyDescent="0.3">
      <c r="A1409" s="2">
        <v>42220</v>
      </c>
      <c r="B1409" s="1">
        <v>3876.44</v>
      </c>
      <c r="C1409" s="2">
        <f t="shared" si="189"/>
        <v>42220</v>
      </c>
      <c r="D1409" s="1">
        <f t="shared" si="190"/>
        <v>3876.44</v>
      </c>
      <c r="E1409" s="4">
        <f t="shared" si="191"/>
        <v>3880.0588000000002</v>
      </c>
      <c r="F1409" s="3">
        <f t="shared" si="192"/>
        <v>0.99906733372184975</v>
      </c>
      <c r="G1409" s="18">
        <f t="shared" si="193"/>
        <v>1</v>
      </c>
      <c r="H1409" s="3">
        <f t="shared" si="194"/>
        <v>-2.2213241975048703E-3</v>
      </c>
      <c r="I1409" s="3">
        <f t="shared" si="195"/>
        <v>-2.2213241975048703E-3</v>
      </c>
      <c r="K1409" s="12" t="str">
        <f>IF(AND(G1409=1,G1408&lt;&gt;1),MAX($K$50:K1408)+1,"")</f>
        <v/>
      </c>
      <c r="L1409" s="13" t="str">
        <f>IF(AND(G1409&lt;&gt;1,G1408=1),MAX($L$50:L1408)+1,"")</f>
        <v/>
      </c>
      <c r="M1409" s="13" t="str">
        <f>IF(AND(G1409=-1,G1408&lt;&gt;-1),MAX($M$50:M1408)+1,"")</f>
        <v/>
      </c>
      <c r="N1409" s="13" t="str">
        <f>IF(AND(G1409&lt;&gt;-1,G1408=-1),MAX($N$50:N1408)+1,"")</f>
        <v/>
      </c>
      <c r="T1409" s="7">
        <f t="shared" si="196"/>
        <v>128.80031783101995</v>
      </c>
      <c r="U1409" s="1">
        <f t="shared" si="197"/>
        <v>203.67048636834144</v>
      </c>
    </row>
    <row r="1410" spans="1:21" x14ac:dyDescent="0.3">
      <c r="A1410" s="2">
        <v>42221</v>
      </c>
      <c r="B1410" s="1">
        <v>3889.99</v>
      </c>
      <c r="C1410" s="2">
        <f t="shared" si="189"/>
        <v>42221</v>
      </c>
      <c r="D1410" s="1">
        <f t="shared" si="190"/>
        <v>3889.99</v>
      </c>
      <c r="E1410" s="4">
        <f t="shared" si="191"/>
        <v>3880.1809999999996</v>
      </c>
      <c r="F1410" s="3">
        <f t="shared" si="192"/>
        <v>1.0025279748547813</v>
      </c>
      <c r="G1410" s="18">
        <f t="shared" si="193"/>
        <v>1</v>
      </c>
      <c r="H1410" s="3">
        <f t="shared" si="194"/>
        <v>3.4954752298499425E-3</v>
      </c>
      <c r="I1410" s="3">
        <f t="shared" si="195"/>
        <v>3.4954752298499425E-3</v>
      </c>
      <c r="K1410" s="12" t="str">
        <f>IF(AND(G1410=1,G1409&lt;&gt;1),MAX($K$50:K1409)+1,"")</f>
        <v/>
      </c>
      <c r="L1410" s="13" t="str">
        <f>IF(AND(G1410&lt;&gt;1,G1409=1),MAX($L$50:L1409)+1,"")</f>
        <v/>
      </c>
      <c r="M1410" s="13" t="str">
        <f>IF(AND(G1410=-1,G1409&lt;&gt;-1),MAX($M$50:M1409)+1,"")</f>
        <v/>
      </c>
      <c r="N1410" s="13" t="str">
        <f>IF(AND(G1410&lt;&gt;-1,G1409=-1),MAX($N$50:N1409)+1,"")</f>
        <v/>
      </c>
      <c r="T1410" s="7">
        <f t="shared" si="196"/>
        <v>129.25053615159507</v>
      </c>
      <c r="U1410" s="1">
        <f t="shared" si="197"/>
        <v>204.38241150849348</v>
      </c>
    </row>
    <row r="1411" spans="1:21" x14ac:dyDescent="0.3">
      <c r="A1411" s="2">
        <v>42222</v>
      </c>
      <c r="B1411" s="1">
        <v>3860.92</v>
      </c>
      <c r="C1411" s="2">
        <f t="shared" si="189"/>
        <v>42222</v>
      </c>
      <c r="D1411" s="1">
        <f t="shared" si="190"/>
        <v>3860.92</v>
      </c>
      <c r="E1411" s="4">
        <f t="shared" si="191"/>
        <v>3878.9972000000002</v>
      </c>
      <c r="F1411" s="3">
        <f t="shared" si="192"/>
        <v>0.99533972336974097</v>
      </c>
      <c r="G1411" s="18">
        <f t="shared" si="193"/>
        <v>1</v>
      </c>
      <c r="H1411" s="3">
        <f t="shared" si="194"/>
        <v>-7.4730269229482671E-3</v>
      </c>
      <c r="I1411" s="3">
        <f t="shared" si="195"/>
        <v>-7.4730269229482671E-3</v>
      </c>
      <c r="K1411" s="12" t="str">
        <f>IF(AND(G1411=1,G1410&lt;&gt;1),MAX($K$50:K1410)+1,"")</f>
        <v/>
      </c>
      <c r="L1411" s="13" t="str">
        <f>IF(AND(G1411&lt;&gt;1,G1410=1),MAX($L$50:L1410)+1,"")</f>
        <v/>
      </c>
      <c r="M1411" s="13" t="str">
        <f>IF(AND(G1411=-1,G1410&lt;&gt;-1),MAX($M$50:M1410)+1,"")</f>
        <v/>
      </c>
      <c r="N1411" s="13" t="str">
        <f>IF(AND(G1411&lt;&gt;-1,G1410=-1),MAX($N$50:N1410)+1,"")</f>
        <v/>
      </c>
      <c r="T1411" s="7">
        <f t="shared" si="196"/>
        <v>128.2846434151287</v>
      </c>
      <c r="U1411" s="1">
        <f t="shared" si="197"/>
        <v>202.85505624471341</v>
      </c>
    </row>
    <row r="1412" spans="1:21" x14ac:dyDescent="0.3">
      <c r="A1412" s="2">
        <v>42223</v>
      </c>
      <c r="B1412" s="1">
        <v>3849.96</v>
      </c>
      <c r="C1412" s="2">
        <f t="shared" si="189"/>
        <v>42223</v>
      </c>
      <c r="D1412" s="1">
        <f t="shared" si="190"/>
        <v>3849.96</v>
      </c>
      <c r="E1412" s="4">
        <f t="shared" si="191"/>
        <v>3877.68</v>
      </c>
      <c r="F1412" s="3">
        <f t="shared" si="192"/>
        <v>0.99285139567989111</v>
      </c>
      <c r="G1412" s="18">
        <f t="shared" si="193"/>
        <v>1</v>
      </c>
      <c r="H1412" s="3">
        <f t="shared" si="194"/>
        <v>-2.8387016565999401E-3</v>
      </c>
      <c r="I1412" s="3">
        <f t="shared" si="195"/>
        <v>-2.8387016565999401E-3</v>
      </c>
      <c r="K1412" s="12" t="str">
        <f>IF(AND(G1412=1,G1411&lt;&gt;1),MAX($K$50:K1411)+1,"")</f>
        <v/>
      </c>
      <c r="L1412" s="13" t="str">
        <f>IF(AND(G1412&lt;&gt;1,G1411=1),MAX($L$50:L1411)+1,"")</f>
        <v/>
      </c>
      <c r="M1412" s="13" t="str">
        <f>IF(AND(G1412=-1,G1411&lt;&gt;-1),MAX($M$50:M1411)+1,"")</f>
        <v/>
      </c>
      <c r="N1412" s="13" t="str">
        <f>IF(AND(G1412&lt;&gt;-1,G1411=-1),MAX($N$50:N1411)+1,"")</f>
        <v/>
      </c>
      <c r="T1412" s="7">
        <f t="shared" si="196"/>
        <v>127.92048158534983</v>
      </c>
      <c r="U1412" s="1">
        <f t="shared" si="197"/>
        <v>202.27921126050185</v>
      </c>
    </row>
    <row r="1413" spans="1:21" x14ac:dyDescent="0.3">
      <c r="A1413" s="2">
        <v>42226</v>
      </c>
      <c r="B1413" s="1">
        <v>3899.36</v>
      </c>
      <c r="C1413" s="2">
        <f t="shared" si="189"/>
        <v>42226</v>
      </c>
      <c r="D1413" s="1">
        <f t="shared" si="190"/>
        <v>3899.36</v>
      </c>
      <c r="E1413" s="4">
        <f t="shared" si="191"/>
        <v>3877.8435999999997</v>
      </c>
      <c r="F1413" s="3">
        <f t="shared" si="192"/>
        <v>1.0055485476515866</v>
      </c>
      <c r="G1413" s="18">
        <f t="shared" si="193"/>
        <v>1</v>
      </c>
      <c r="H1413" s="3">
        <f t="shared" si="194"/>
        <v>1.2831302143399004E-2</v>
      </c>
      <c r="I1413" s="3">
        <f t="shared" si="195"/>
        <v>1.2831302143399004E-2</v>
      </c>
      <c r="K1413" s="12" t="str">
        <f>IF(AND(G1413=1,G1412&lt;&gt;1),MAX($K$50:K1412)+1,"")</f>
        <v/>
      </c>
      <c r="L1413" s="13" t="str">
        <f>IF(AND(G1413&lt;&gt;1,G1412=1),MAX($L$50:L1412)+1,"")</f>
        <v/>
      </c>
      <c r="M1413" s="13" t="str">
        <f>IF(AND(G1413=-1,G1412&lt;&gt;-1),MAX($M$50:M1412)+1,"")</f>
        <v/>
      </c>
      <c r="N1413" s="13" t="str">
        <f>IF(AND(G1413&lt;&gt;-1,G1412=-1),MAX($N$50:N1412)+1,"")</f>
        <v/>
      </c>
      <c r="T1413" s="7">
        <f t="shared" si="196"/>
        <v>129.56186793490056</v>
      </c>
      <c r="U1413" s="1">
        <f t="shared" si="197"/>
        <v>204.87471693751377</v>
      </c>
    </row>
    <row r="1414" spans="1:21" x14ac:dyDescent="0.3">
      <c r="A1414" s="2">
        <v>42227</v>
      </c>
      <c r="B1414" s="1">
        <v>3862.81</v>
      </c>
      <c r="C1414" s="2">
        <f t="shared" si="189"/>
        <v>42227</v>
      </c>
      <c r="D1414" s="1">
        <f t="shared" si="190"/>
        <v>3862.81</v>
      </c>
      <c r="E1414" s="4">
        <f t="shared" si="191"/>
        <v>3877.1079999999997</v>
      </c>
      <c r="F1414" s="3">
        <f t="shared" si="192"/>
        <v>0.99631219971174401</v>
      </c>
      <c r="G1414" s="18">
        <f t="shared" si="193"/>
        <v>1</v>
      </c>
      <c r="H1414" s="3">
        <f t="shared" si="194"/>
        <v>-9.3733330597841613E-3</v>
      </c>
      <c r="I1414" s="3">
        <f t="shared" si="195"/>
        <v>-9.3733330597841613E-3</v>
      </c>
      <c r="K1414" s="12" t="str">
        <f>IF(AND(G1414=1,G1413&lt;&gt;1),MAX($K$50:K1413)+1,"")</f>
        <v/>
      </c>
      <c r="L1414" s="13" t="str">
        <f>IF(AND(G1414&lt;&gt;1,G1413=1),MAX($L$50:L1413)+1,"")</f>
        <v/>
      </c>
      <c r="M1414" s="13" t="str">
        <f>IF(AND(G1414=-1,G1413&lt;&gt;-1),MAX($M$50:M1413)+1,"")</f>
        <v/>
      </c>
      <c r="N1414" s="13" t="str">
        <f>IF(AND(G1414&lt;&gt;-1,G1413=-1),MAX($N$50:N1413)+1,"")</f>
        <v/>
      </c>
      <c r="T1414" s="7">
        <f t="shared" si="196"/>
        <v>128.34744139489896</v>
      </c>
      <c r="U1414" s="1">
        <f t="shared" si="197"/>
        <v>202.95435798012943</v>
      </c>
    </row>
    <row r="1415" spans="1:21" x14ac:dyDescent="0.3">
      <c r="A1415" s="2">
        <v>42228</v>
      </c>
      <c r="B1415" s="1">
        <v>3867.37</v>
      </c>
      <c r="C1415" s="2">
        <f t="shared" si="189"/>
        <v>42228</v>
      </c>
      <c r="D1415" s="1">
        <f t="shared" si="190"/>
        <v>3867.37</v>
      </c>
      <c r="E1415" s="4">
        <f t="shared" si="191"/>
        <v>3876.5384000000004</v>
      </c>
      <c r="F1415" s="3">
        <f t="shared" si="192"/>
        <v>0.99763490025018187</v>
      </c>
      <c r="G1415" s="18">
        <f t="shared" si="193"/>
        <v>1</v>
      </c>
      <c r="H1415" s="3">
        <f t="shared" si="194"/>
        <v>1.1804877796215418E-3</v>
      </c>
      <c r="I1415" s="3">
        <f t="shared" si="195"/>
        <v>1.1804877796215418E-3</v>
      </c>
      <c r="K1415" s="12" t="str">
        <f>IF(AND(G1415=1,G1414&lt;&gt;1),MAX($K$50:K1414)+1,"")</f>
        <v/>
      </c>
      <c r="L1415" s="13" t="str">
        <f>IF(AND(G1415&lt;&gt;1,G1414=1),MAX($L$50:L1414)+1,"")</f>
        <v/>
      </c>
      <c r="M1415" s="13" t="str">
        <f>IF(AND(G1415=-1,G1414&lt;&gt;-1),MAX($M$50:M1414)+1,"")</f>
        <v/>
      </c>
      <c r="N1415" s="13" t="str">
        <f>IF(AND(G1415&lt;&gt;-1,G1414=-1),MAX($N$50:N1414)+1,"")</f>
        <v/>
      </c>
      <c r="T1415" s="7">
        <f t="shared" si="196"/>
        <v>128.49895398101134</v>
      </c>
      <c r="U1415" s="1">
        <f t="shared" si="197"/>
        <v>203.19394311954591</v>
      </c>
    </row>
    <row r="1416" spans="1:21" x14ac:dyDescent="0.3">
      <c r="A1416" s="2">
        <v>42229</v>
      </c>
      <c r="B1416" s="1">
        <v>3863.03</v>
      </c>
      <c r="C1416" s="2">
        <f t="shared" si="189"/>
        <v>42229</v>
      </c>
      <c r="D1416" s="1">
        <f t="shared" si="190"/>
        <v>3863.03</v>
      </c>
      <c r="E1416" s="4">
        <f t="shared" si="191"/>
        <v>3875.7024000000001</v>
      </c>
      <c r="F1416" s="3">
        <f t="shared" si="192"/>
        <v>0.9967302959071368</v>
      </c>
      <c r="G1416" s="18">
        <f t="shared" si="193"/>
        <v>1</v>
      </c>
      <c r="H1416" s="3">
        <f t="shared" si="194"/>
        <v>-1.1222096670345794E-3</v>
      </c>
      <c r="I1416" s="3">
        <f t="shared" si="195"/>
        <v>-1.1222096670345794E-3</v>
      </c>
      <c r="K1416" s="12" t="str">
        <f>IF(AND(G1416=1,G1415&lt;&gt;1),MAX($K$50:K1415)+1,"")</f>
        <v/>
      </c>
      <c r="L1416" s="13" t="str">
        <f>IF(AND(G1416&lt;&gt;1,G1415=1),MAX($L$50:L1415)+1,"")</f>
        <v/>
      </c>
      <c r="M1416" s="13" t="str">
        <f>IF(AND(G1416=-1,G1415&lt;&gt;-1),MAX($M$50:M1415)+1,"")</f>
        <v/>
      </c>
      <c r="N1416" s="13" t="str">
        <f>IF(AND(G1416&lt;&gt;-1,G1415=-1),MAX($N$50:N1415)+1,"")</f>
        <v/>
      </c>
      <c r="T1416" s="7">
        <f t="shared" si="196"/>
        <v>128.35475121265003</v>
      </c>
      <c r="U1416" s="1">
        <f t="shared" si="197"/>
        <v>202.96591691229426</v>
      </c>
    </row>
    <row r="1417" spans="1:21" x14ac:dyDescent="0.3">
      <c r="A1417" s="2">
        <v>42230</v>
      </c>
      <c r="B1417" s="1">
        <v>3878.16</v>
      </c>
      <c r="C1417" s="2">
        <f t="shared" si="189"/>
        <v>42230</v>
      </c>
      <c r="D1417" s="1">
        <f t="shared" si="190"/>
        <v>3878.16</v>
      </c>
      <c r="E1417" s="4">
        <f t="shared" si="191"/>
        <v>3875.8409999999999</v>
      </c>
      <c r="F1417" s="3">
        <f t="shared" si="192"/>
        <v>1.0005983217577812</v>
      </c>
      <c r="G1417" s="18">
        <f t="shared" si="193"/>
        <v>1</v>
      </c>
      <c r="H1417" s="3">
        <f t="shared" si="194"/>
        <v>3.9166146781153266E-3</v>
      </c>
      <c r="I1417" s="3">
        <f t="shared" si="195"/>
        <v>3.9166146781153266E-3</v>
      </c>
      <c r="K1417" s="12" t="str">
        <f>IF(AND(G1417=1,G1416&lt;&gt;1),MAX($K$50:K1416)+1,"")</f>
        <v/>
      </c>
      <c r="L1417" s="13" t="str">
        <f>IF(AND(G1417&lt;&gt;1,G1416=1),MAX($L$50:L1416)+1,"")</f>
        <v/>
      </c>
      <c r="M1417" s="13" t="str">
        <f>IF(AND(G1417=-1,G1416&lt;&gt;-1),MAX($M$50:M1416)+1,"")</f>
        <v/>
      </c>
      <c r="N1417" s="13" t="str">
        <f>IF(AND(G1417&lt;&gt;-1,G1416=-1),MAX($N$50:N1416)+1,"")</f>
        <v/>
      </c>
      <c r="T1417" s="7">
        <f t="shared" si="196"/>
        <v>128.85746731525535</v>
      </c>
      <c r="U1417" s="1">
        <f t="shared" si="197"/>
        <v>203.76085620163011</v>
      </c>
    </row>
    <row r="1418" spans="1:21" x14ac:dyDescent="0.3">
      <c r="A1418" s="2">
        <v>42233</v>
      </c>
      <c r="B1418" s="1">
        <v>3899.1</v>
      </c>
      <c r="C1418" s="2">
        <f t="shared" si="189"/>
        <v>42233</v>
      </c>
      <c r="D1418" s="1">
        <f t="shared" si="190"/>
        <v>3899.1</v>
      </c>
      <c r="E1418" s="4">
        <f t="shared" si="191"/>
        <v>3876.5063999999998</v>
      </c>
      <c r="F1418" s="3">
        <f t="shared" si="192"/>
        <v>1.0058283406935689</v>
      </c>
      <c r="G1418" s="18">
        <f t="shared" si="193"/>
        <v>1</v>
      </c>
      <c r="H1418" s="3">
        <f t="shared" si="194"/>
        <v>5.3994677888482556E-3</v>
      </c>
      <c r="I1418" s="3">
        <f t="shared" si="195"/>
        <v>5.3994677888482556E-3</v>
      </c>
      <c r="K1418" s="12" t="str">
        <f>IF(AND(G1418=1,G1417&lt;&gt;1),MAX($K$50:K1417)+1,"")</f>
        <v/>
      </c>
      <c r="L1418" s="13" t="str">
        <f>IF(AND(G1418&lt;&gt;1,G1417=1),MAX($L$50:L1417)+1,"")</f>
        <v/>
      </c>
      <c r="M1418" s="13" t="str">
        <f>IF(AND(G1418=-1,G1417&lt;&gt;-1),MAX($M$50:M1417)+1,"")</f>
        <v/>
      </c>
      <c r="N1418" s="13" t="str">
        <f>IF(AND(G1418&lt;&gt;-1,G1417=-1),MAX($N$50:N1417)+1,"")</f>
        <v/>
      </c>
      <c r="T1418" s="7">
        <f t="shared" si="196"/>
        <v>129.55322905937663</v>
      </c>
      <c r="U1418" s="1">
        <f t="shared" si="197"/>
        <v>204.86105638131897</v>
      </c>
    </row>
    <row r="1419" spans="1:21" x14ac:dyDescent="0.3">
      <c r="A1419" s="2">
        <v>42234</v>
      </c>
      <c r="B1419" s="1">
        <v>3889.6</v>
      </c>
      <c r="C1419" s="2">
        <f t="shared" si="189"/>
        <v>42234</v>
      </c>
      <c r="D1419" s="1">
        <f t="shared" si="190"/>
        <v>3889.6</v>
      </c>
      <c r="E1419" s="4">
        <f t="shared" si="191"/>
        <v>3877.4694</v>
      </c>
      <c r="F1419" s="3">
        <f t="shared" si="192"/>
        <v>1.003128483747673</v>
      </c>
      <c r="G1419" s="18">
        <f t="shared" si="193"/>
        <v>1</v>
      </c>
      <c r="H1419" s="3">
        <f t="shared" si="194"/>
        <v>-2.4364596958272866E-3</v>
      </c>
      <c r="I1419" s="3">
        <f t="shared" si="195"/>
        <v>-2.4364596958272866E-3</v>
      </c>
      <c r="K1419" s="12" t="str">
        <f>IF(AND(G1419=1,G1418&lt;&gt;1),MAX($K$50:K1418)+1,"")</f>
        <v/>
      </c>
      <c r="L1419" s="13" t="str">
        <f>IF(AND(G1419&lt;&gt;1,G1418=1),MAX($L$50:L1418)+1,"")</f>
        <v/>
      </c>
      <c r="M1419" s="13" t="str">
        <f>IF(AND(G1419=-1,G1418&lt;&gt;-1),MAX($M$50:M1418)+1,"")</f>
        <v/>
      </c>
      <c r="N1419" s="13" t="str">
        <f>IF(AND(G1419&lt;&gt;-1,G1418=-1),MAX($N$50:N1418)+1,"")</f>
        <v/>
      </c>
      <c r="T1419" s="7">
        <f t="shared" si="196"/>
        <v>129.23757783830919</v>
      </c>
      <c r="U1419" s="1">
        <f t="shared" si="197"/>
        <v>204.36192067420129</v>
      </c>
    </row>
    <row r="1420" spans="1:21" x14ac:dyDescent="0.3">
      <c r="A1420" s="2">
        <v>42235</v>
      </c>
      <c r="B1420" s="1">
        <v>3857.74</v>
      </c>
      <c r="C1420" s="2">
        <f t="shared" si="189"/>
        <v>42235</v>
      </c>
      <c r="D1420" s="1">
        <f t="shared" si="190"/>
        <v>3857.74</v>
      </c>
      <c r="E1420" s="4">
        <f t="shared" si="191"/>
        <v>3877.761</v>
      </c>
      <c r="F1420" s="3">
        <f t="shared" si="192"/>
        <v>0.9948369690653962</v>
      </c>
      <c r="G1420" s="18">
        <f t="shared" si="193"/>
        <v>1</v>
      </c>
      <c r="H1420" s="3">
        <f t="shared" si="194"/>
        <v>-8.1910736322501343E-3</v>
      </c>
      <c r="I1420" s="3">
        <f t="shared" si="195"/>
        <v>-8.1910736322501343E-3</v>
      </c>
      <c r="K1420" s="12" t="str">
        <f>IF(AND(G1420=1,G1419&lt;&gt;1),MAX($K$50:K1419)+1,"")</f>
        <v/>
      </c>
      <c r="L1420" s="13" t="str">
        <f>IF(AND(G1420&lt;&gt;1,G1419=1),MAX($L$50:L1419)+1,"")</f>
        <v/>
      </c>
      <c r="M1420" s="13" t="str">
        <f>IF(AND(G1420=-1,G1419&lt;&gt;-1),MAX($M$50:M1419)+1,"")</f>
        <v/>
      </c>
      <c r="N1420" s="13" t="str">
        <f>IF(AND(G1420&lt;&gt;-1,G1419=-1),MAX($N$50:N1419)+1,"")</f>
        <v/>
      </c>
      <c r="T1420" s="7">
        <f t="shared" si="196"/>
        <v>128.17898332218195</v>
      </c>
      <c r="U1420" s="1">
        <f t="shared" si="197"/>
        <v>202.68797713433082</v>
      </c>
    </row>
    <row r="1421" spans="1:21" x14ac:dyDescent="0.3">
      <c r="A1421" s="2">
        <v>42236</v>
      </c>
      <c r="B1421" s="1">
        <v>3776.36</v>
      </c>
      <c r="C1421" s="2">
        <f t="shared" si="189"/>
        <v>42236</v>
      </c>
      <c r="D1421" s="1">
        <f t="shared" si="190"/>
        <v>3776.36</v>
      </c>
      <c r="E1421" s="4">
        <f t="shared" si="191"/>
        <v>3875.4941999999992</v>
      </c>
      <c r="F1421" s="3">
        <f t="shared" si="192"/>
        <v>0.97442024297185137</v>
      </c>
      <c r="G1421" s="18">
        <f t="shared" si="193"/>
        <v>1</v>
      </c>
      <c r="H1421" s="3">
        <f t="shared" si="194"/>
        <v>-2.1095252660884301E-2</v>
      </c>
      <c r="I1421" s="3">
        <f t="shared" si="195"/>
        <v>-2.1095252660884301E-2</v>
      </c>
      <c r="K1421" s="12" t="str">
        <f>IF(AND(G1421=1,G1420&lt;&gt;1),MAX($K$50:K1420)+1,"")</f>
        <v/>
      </c>
      <c r="L1421" s="13" t="str">
        <f>IF(AND(G1421&lt;&gt;1,G1420=1),MAX($L$50:L1420)+1,"")</f>
        <v/>
      </c>
      <c r="M1421" s="13" t="str">
        <f>IF(AND(G1421=-1,G1420&lt;&gt;-1),MAX($M$50:M1420)+1,"")</f>
        <v/>
      </c>
      <c r="N1421" s="13" t="str">
        <f>IF(AND(G1421&lt;&gt;-1,G1420=-1),MAX($N$50:N1420)+1,"")</f>
        <v/>
      </c>
      <c r="T1421" s="7">
        <f t="shared" si="196"/>
        <v>125.47501528318524</v>
      </c>
      <c r="U1421" s="1">
        <f t="shared" si="197"/>
        <v>198.41222304535859</v>
      </c>
    </row>
    <row r="1422" spans="1:21" x14ac:dyDescent="0.3">
      <c r="A1422" s="2">
        <v>42237</v>
      </c>
      <c r="B1422" s="1">
        <v>3656.67</v>
      </c>
      <c r="C1422" s="2">
        <f t="shared" si="189"/>
        <v>42237</v>
      </c>
      <c r="D1422" s="1">
        <f t="shared" si="190"/>
        <v>3656.67</v>
      </c>
      <c r="E1422" s="4">
        <f t="shared" si="191"/>
        <v>3870.6757999999995</v>
      </c>
      <c r="F1422" s="3">
        <f t="shared" si="192"/>
        <v>0.94471099852899088</v>
      </c>
      <c r="G1422" s="18">
        <f t="shared" si="193"/>
        <v>-1</v>
      </c>
      <c r="H1422" s="3">
        <f t="shared" si="194"/>
        <v>-3.1694541833935386E-2</v>
      </c>
      <c r="I1422" s="3">
        <f t="shared" si="195"/>
        <v>-3.1694541833935386E-2</v>
      </c>
      <c r="K1422" s="12" t="str">
        <f>IF(AND(G1422=1,G1421&lt;&gt;1),MAX($K$50:K1421)+1,"")</f>
        <v/>
      </c>
      <c r="L1422" s="13">
        <f>IF(AND(G1422&lt;&gt;1,G1421=1),MAX($L$50:L1421)+1,"")</f>
        <v>13</v>
      </c>
      <c r="M1422" s="13">
        <f>IF(AND(G1422=-1,G1421&lt;&gt;-1),MAX($M$50:M1421)+1,"")</f>
        <v>13</v>
      </c>
      <c r="N1422" s="13" t="str">
        <f>IF(AND(G1422&lt;&gt;-1,G1421=-1),MAX($N$50:N1421)+1,"")</f>
        <v/>
      </c>
      <c r="T1422" s="7">
        <f t="shared" si="196"/>
        <v>121.49814216217865</v>
      </c>
      <c r="U1422" s="1">
        <f t="shared" si="197"/>
        <v>192.12363854168336</v>
      </c>
    </row>
    <row r="1423" spans="1:21" x14ac:dyDescent="0.3">
      <c r="A1423" s="2">
        <v>42240</v>
      </c>
      <c r="B1423" s="1">
        <v>3512.65</v>
      </c>
      <c r="C1423" s="2">
        <f t="shared" si="189"/>
        <v>42240</v>
      </c>
      <c r="D1423" s="1">
        <f t="shared" si="190"/>
        <v>3512.65</v>
      </c>
      <c r="E1423" s="4">
        <f t="shared" si="191"/>
        <v>3863.5175999999997</v>
      </c>
      <c r="F1423" s="3">
        <f t="shared" si="192"/>
        <v>0.90918441784761128</v>
      </c>
      <c r="G1423" s="18">
        <f t="shared" si="193"/>
        <v>-1</v>
      </c>
      <c r="H1423" s="3">
        <f t="shared" si="194"/>
        <v>-3.938556117998071E-2</v>
      </c>
      <c r="I1423" s="3">
        <f t="shared" si="195"/>
        <v>3.938556117998071E-2</v>
      </c>
      <c r="K1423" s="12" t="str">
        <f>IF(AND(G1423=1,G1422&lt;&gt;1),MAX($K$50:K1422)+1,"")</f>
        <v/>
      </c>
      <c r="L1423" s="13" t="str">
        <f>IF(AND(G1423&lt;&gt;1,G1422=1),MAX($L$50:L1422)+1,"")</f>
        <v/>
      </c>
      <c r="M1423" s="13" t="str">
        <f>IF(AND(G1423=-1,G1422&lt;&gt;-1),MAX($M$50:M1422)+1,"")</f>
        <v/>
      </c>
      <c r="N1423" s="13" t="str">
        <f>IF(AND(G1423&lt;&gt;-1,G1422=-1),MAX($N$50:N1422)+1,"")</f>
        <v/>
      </c>
      <c r="T1423" s="7">
        <f t="shared" si="196"/>
        <v>126.28341467356114</v>
      </c>
      <c r="U1423" s="1">
        <f t="shared" si="197"/>
        <v>184.55674122177939</v>
      </c>
    </row>
    <row r="1424" spans="1:21" x14ac:dyDescent="0.3">
      <c r="A1424" s="2">
        <v>42241</v>
      </c>
      <c r="B1424" s="1">
        <v>3465.19</v>
      </c>
      <c r="C1424" s="2">
        <f t="shared" si="189"/>
        <v>42241</v>
      </c>
      <c r="D1424" s="1">
        <f t="shared" si="190"/>
        <v>3465.19</v>
      </c>
      <c r="E1424" s="4">
        <f t="shared" si="191"/>
        <v>3855.7663999999995</v>
      </c>
      <c r="F1424" s="3">
        <f t="shared" si="192"/>
        <v>0.89870330318766212</v>
      </c>
      <c r="G1424" s="18">
        <f t="shared" si="193"/>
        <v>-1</v>
      </c>
      <c r="H1424" s="3">
        <f t="shared" si="194"/>
        <v>-1.3511166782913198E-2</v>
      </c>
      <c r="I1424" s="3">
        <f t="shared" si="195"/>
        <v>1.3511166782913198E-2</v>
      </c>
      <c r="K1424" s="12" t="str">
        <f>IF(AND(G1424=1,G1423&lt;&gt;1),MAX($K$50:K1423)+1,"")</f>
        <v/>
      </c>
      <c r="L1424" s="13" t="str">
        <f>IF(AND(G1424&lt;&gt;1,G1423=1),MAX($L$50:L1423)+1,"")</f>
        <v/>
      </c>
      <c r="M1424" s="13" t="str">
        <f>IF(AND(G1424=-1,G1423&lt;&gt;-1),MAX($M$50:M1423)+1,"")</f>
        <v/>
      </c>
      <c r="N1424" s="13" t="str">
        <f>IF(AND(G1424&lt;&gt;-1,G1423=-1),MAX($N$50:N1423)+1,"")</f>
        <v/>
      </c>
      <c r="T1424" s="7">
        <f t="shared" si="196"/>
        <v>127.9896509511314</v>
      </c>
      <c r="U1424" s="1">
        <f t="shared" si="197"/>
        <v>182.06316431022097</v>
      </c>
    </row>
    <row r="1425" spans="1:21" x14ac:dyDescent="0.3">
      <c r="A1425" s="2">
        <v>42242</v>
      </c>
      <c r="B1425" s="1">
        <v>3600.73</v>
      </c>
      <c r="C1425" s="2">
        <f t="shared" si="189"/>
        <v>42242</v>
      </c>
      <c r="D1425" s="1">
        <f t="shared" si="190"/>
        <v>3600.73</v>
      </c>
      <c r="E1425" s="4">
        <f t="shared" si="191"/>
        <v>3850.2863999999995</v>
      </c>
      <c r="F1425" s="3">
        <f t="shared" si="192"/>
        <v>0.93518497740843398</v>
      </c>
      <c r="G1425" s="18">
        <f t="shared" si="193"/>
        <v>-1</v>
      </c>
      <c r="H1425" s="3">
        <f t="shared" si="194"/>
        <v>3.9114738297178597E-2</v>
      </c>
      <c r="I1425" s="3">
        <f t="shared" si="195"/>
        <v>-3.9114738297178597E-2</v>
      </c>
      <c r="K1425" s="12" t="str">
        <f>IF(AND(G1425=1,G1424&lt;&gt;1),MAX($K$50:K1424)+1,"")</f>
        <v/>
      </c>
      <c r="L1425" s="13" t="str">
        <f>IF(AND(G1425&lt;&gt;1,G1424=1),MAX($L$50:L1424)+1,"")</f>
        <v/>
      </c>
      <c r="M1425" s="13" t="str">
        <f>IF(AND(G1425=-1,G1424&lt;&gt;-1),MAX($M$50:M1424)+1,"")</f>
        <v/>
      </c>
      <c r="N1425" s="13" t="str">
        <f>IF(AND(G1425&lt;&gt;-1,G1424=-1),MAX($N$50:N1424)+1,"")</f>
        <v/>
      </c>
      <c r="T1425" s="7">
        <f t="shared" si="196"/>
        <v>122.98336924943065</v>
      </c>
      <c r="U1425" s="1">
        <f t="shared" si="197"/>
        <v>189.18451733577146</v>
      </c>
    </row>
    <row r="1426" spans="1:21" x14ac:dyDescent="0.3">
      <c r="A1426" s="2">
        <v>42243</v>
      </c>
      <c r="B1426" s="1">
        <v>3688.6</v>
      </c>
      <c r="C1426" s="2">
        <f t="shared" si="189"/>
        <v>42243</v>
      </c>
      <c r="D1426" s="1">
        <f t="shared" si="190"/>
        <v>3688.6</v>
      </c>
      <c r="E1426" s="4">
        <f t="shared" si="191"/>
        <v>3846.4085999999998</v>
      </c>
      <c r="F1426" s="3">
        <f t="shared" si="192"/>
        <v>0.9589724814987155</v>
      </c>
      <c r="G1426" s="18">
        <f t="shared" si="193"/>
        <v>1</v>
      </c>
      <c r="H1426" s="3">
        <f t="shared" si="194"/>
        <v>2.4403384869179368E-2</v>
      </c>
      <c r="I1426" s="3">
        <f t="shared" si="195"/>
        <v>-2.4403384869179368E-2</v>
      </c>
      <c r="K1426" s="12">
        <f>IF(AND(G1426=1,G1425&lt;&gt;1),MAX($K$50:K1425)+1,"")</f>
        <v>14</v>
      </c>
      <c r="L1426" s="13" t="str">
        <f>IF(AND(G1426&lt;&gt;1,G1425=1),MAX($L$50:L1425)+1,"")</f>
        <v/>
      </c>
      <c r="M1426" s="13" t="str">
        <f>IF(AND(G1426=-1,G1425&lt;&gt;-1),MAX($M$50:M1425)+1,"")</f>
        <v/>
      </c>
      <c r="N1426" s="13">
        <f>IF(AND(G1426&lt;&gt;-1,G1425=-1),MAX($N$50:N1425)+1,"")</f>
        <v>13</v>
      </c>
      <c r="T1426" s="7">
        <f t="shared" si="196"/>
        <v>119.9821587571284</v>
      </c>
      <c r="U1426" s="1">
        <f t="shared" si="197"/>
        <v>193.80125992360621</v>
      </c>
    </row>
    <row r="1427" spans="1:21" x14ac:dyDescent="0.3">
      <c r="A1427" s="2">
        <v>42244</v>
      </c>
      <c r="B1427" s="1">
        <v>3691.3</v>
      </c>
      <c r="C1427" s="2">
        <f t="shared" si="189"/>
        <v>42244</v>
      </c>
      <c r="D1427" s="1">
        <f t="shared" si="190"/>
        <v>3691.3</v>
      </c>
      <c r="E1427" s="4">
        <f t="shared" si="191"/>
        <v>3841.8059999999996</v>
      </c>
      <c r="F1427" s="3">
        <f t="shared" si="192"/>
        <v>0.96082415405671207</v>
      </c>
      <c r="G1427" s="18">
        <f t="shared" si="193"/>
        <v>1</v>
      </c>
      <c r="H1427" s="3">
        <f t="shared" si="194"/>
        <v>7.3198503497273748E-4</v>
      </c>
      <c r="I1427" s="3">
        <f t="shared" si="195"/>
        <v>7.3198503497273748E-4</v>
      </c>
      <c r="K1427" s="12" t="str">
        <f>IF(AND(G1427=1,G1426&lt;&gt;1),MAX($K$50:K1426)+1,"")</f>
        <v/>
      </c>
      <c r="L1427" s="13" t="str">
        <f>IF(AND(G1427&lt;&gt;1,G1426=1),MAX($L$50:L1426)+1,"")</f>
        <v/>
      </c>
      <c r="M1427" s="13" t="str">
        <f>IF(AND(G1427=-1,G1426&lt;&gt;-1),MAX($M$50:M1426)+1,"")</f>
        <v/>
      </c>
      <c r="N1427" s="13" t="str">
        <f>IF(AND(G1427&lt;&gt;-1,G1426=-1),MAX($N$50:N1426)+1,"")</f>
        <v/>
      </c>
      <c r="T1427" s="7">
        <f t="shared" si="196"/>
        <v>120.06998390180235</v>
      </c>
      <c r="U1427" s="1">
        <f t="shared" si="197"/>
        <v>193.94311954562912</v>
      </c>
    </row>
    <row r="1428" spans="1:21" x14ac:dyDescent="0.3">
      <c r="A1428" s="2">
        <v>42247</v>
      </c>
      <c r="B1428" s="1">
        <v>3660.75</v>
      </c>
      <c r="C1428" s="2">
        <f t="shared" si="189"/>
        <v>42247</v>
      </c>
      <c r="D1428" s="1">
        <f t="shared" si="190"/>
        <v>3660.75</v>
      </c>
      <c r="E1428" s="4">
        <f t="shared" si="191"/>
        <v>3837.0081999999993</v>
      </c>
      <c r="F1428" s="3">
        <f t="shared" si="192"/>
        <v>0.95406363739332134</v>
      </c>
      <c r="G1428" s="18">
        <f t="shared" si="193"/>
        <v>1</v>
      </c>
      <c r="H1428" s="3">
        <f t="shared" si="194"/>
        <v>-8.2762170509035338E-3</v>
      </c>
      <c r="I1428" s="3">
        <f t="shared" si="195"/>
        <v>-8.2762170509035338E-3</v>
      </c>
      <c r="K1428" s="12" t="str">
        <f>IF(AND(G1428=1,G1427&lt;&gt;1),MAX($K$50:K1427)+1,"")</f>
        <v/>
      </c>
      <c r="L1428" s="13" t="str">
        <f>IF(AND(G1428&lt;&gt;1,G1427=1),MAX($L$50:L1427)+1,"")</f>
        <v/>
      </c>
      <c r="M1428" s="13" t="str">
        <f>IF(AND(G1428=-1,G1427&lt;&gt;-1),MAX($M$50:M1427)+1,"")</f>
        <v/>
      </c>
      <c r="N1428" s="13" t="str">
        <f>IF(AND(G1428&lt;&gt;-1,G1427=-1),MAX($N$50:N1427)+1,"")</f>
        <v/>
      </c>
      <c r="T1428" s="7">
        <f t="shared" si="196"/>
        <v>119.07625865373254</v>
      </c>
      <c r="U1428" s="1">
        <f t="shared" si="197"/>
        <v>192.33800419274016</v>
      </c>
    </row>
    <row r="1429" spans="1:21" x14ac:dyDescent="0.3">
      <c r="A1429" s="2">
        <v>42248</v>
      </c>
      <c r="B1429" s="1">
        <v>3552.65</v>
      </c>
      <c r="C1429" s="2">
        <f t="shared" si="189"/>
        <v>42248</v>
      </c>
      <c r="D1429" s="1">
        <f t="shared" si="190"/>
        <v>3552.65</v>
      </c>
      <c r="E1429" s="4">
        <f t="shared" si="191"/>
        <v>3829.5729999999999</v>
      </c>
      <c r="F1429" s="3">
        <f t="shared" si="192"/>
        <v>0.92768828274066073</v>
      </c>
      <c r="G1429" s="18">
        <f t="shared" si="193"/>
        <v>-1</v>
      </c>
      <c r="H1429" s="3">
        <f t="shared" si="194"/>
        <v>-2.9529468005190185E-2</v>
      </c>
      <c r="I1429" s="3">
        <f t="shared" si="195"/>
        <v>-2.9529468005190185E-2</v>
      </c>
      <c r="K1429" s="12" t="str">
        <f>IF(AND(G1429=1,G1428&lt;&gt;1),MAX($K$50:K1428)+1,"")</f>
        <v/>
      </c>
      <c r="L1429" s="13">
        <f>IF(AND(G1429&lt;&gt;1,G1428=1),MAX($L$50:L1428)+1,"")</f>
        <v>14</v>
      </c>
      <c r="M1429" s="13">
        <f>IF(AND(G1429=-1,G1428&lt;&gt;-1),MAX($M$50:M1428)+1,"")</f>
        <v>14</v>
      </c>
      <c r="N1429" s="13" t="str">
        <f>IF(AND(G1429&lt;&gt;-1,G1428=-1),MAX($N$50:N1428)+1,"")</f>
        <v/>
      </c>
      <c r="T1429" s="7">
        <f t="shared" si="196"/>
        <v>115.56000008363939</v>
      </c>
      <c r="U1429" s="1">
        <f t="shared" si="197"/>
        <v>186.65836525174851</v>
      </c>
    </row>
    <row r="1430" spans="1:21" x14ac:dyDescent="0.3">
      <c r="A1430" s="2">
        <v>42249</v>
      </c>
      <c r="B1430" s="1">
        <v>3618.25</v>
      </c>
      <c r="C1430" s="2">
        <f t="shared" si="189"/>
        <v>42249</v>
      </c>
      <c r="D1430" s="1">
        <f t="shared" si="190"/>
        <v>3618.25</v>
      </c>
      <c r="E1430" s="4">
        <f t="shared" si="191"/>
        <v>3823.3934000000004</v>
      </c>
      <c r="F1430" s="3">
        <f t="shared" si="192"/>
        <v>0.94634520214425222</v>
      </c>
      <c r="G1430" s="18">
        <f t="shared" si="193"/>
        <v>-1</v>
      </c>
      <c r="H1430" s="3">
        <f t="shared" si="194"/>
        <v>1.8465089440276916E-2</v>
      </c>
      <c r="I1430" s="3">
        <f t="shared" si="195"/>
        <v>-1.8465089440276916E-2</v>
      </c>
      <c r="K1430" s="12" t="str">
        <f>IF(AND(G1430=1,G1429&lt;&gt;1),MAX($K$50:K1429)+1,"")</f>
        <v/>
      </c>
      <c r="L1430" s="13" t="str">
        <f>IF(AND(G1430&lt;&gt;1,G1429=1),MAX($L$50:L1429)+1,"")</f>
        <v/>
      </c>
      <c r="M1430" s="13" t="str">
        <f>IF(AND(G1430=-1,G1429&lt;&gt;-1),MAX($M$50:M1429)+1,"")</f>
        <v/>
      </c>
      <c r="N1430" s="13" t="str">
        <f>IF(AND(G1430&lt;&gt;-1,G1429=-1),MAX($N$50:N1429)+1,"")</f>
        <v/>
      </c>
      <c r="T1430" s="7">
        <f t="shared" si="196"/>
        <v>113.42617434637658</v>
      </c>
      <c r="U1430" s="1">
        <f t="shared" si="197"/>
        <v>190.10502866089794</v>
      </c>
    </row>
    <row r="1431" spans="1:21" x14ac:dyDescent="0.3">
      <c r="A1431" s="2">
        <v>42250</v>
      </c>
      <c r="B1431" s="1">
        <v>3622.66</v>
      </c>
      <c r="C1431" s="2">
        <f t="shared" si="189"/>
        <v>42250</v>
      </c>
      <c r="D1431" s="1">
        <f t="shared" si="190"/>
        <v>3622.66</v>
      </c>
      <c r="E1431" s="4">
        <f t="shared" si="191"/>
        <v>3817.8772000000004</v>
      </c>
      <c r="F1431" s="3">
        <f t="shared" si="192"/>
        <v>0.94886760632322054</v>
      </c>
      <c r="G1431" s="18">
        <f t="shared" si="193"/>
        <v>-1</v>
      </c>
      <c r="H1431" s="3">
        <f t="shared" si="194"/>
        <v>1.2188212533683629E-3</v>
      </c>
      <c r="I1431" s="3">
        <f t="shared" si="195"/>
        <v>-1.2188212533683629E-3</v>
      </c>
      <c r="K1431" s="12" t="str">
        <f>IF(AND(G1431=1,G1430&lt;&gt;1),MAX($K$50:K1430)+1,"")</f>
        <v/>
      </c>
      <c r="L1431" s="13" t="str">
        <f>IF(AND(G1431&lt;&gt;1,G1430=1),MAX($L$50:L1430)+1,"")</f>
        <v/>
      </c>
      <c r="M1431" s="13" t="str">
        <f>IF(AND(G1431=-1,G1430&lt;&gt;-1),MAX($M$50:M1430)+1,"")</f>
        <v/>
      </c>
      <c r="N1431" s="13" t="str">
        <f>IF(AND(G1431&lt;&gt;-1,G1430=-1),MAX($N$50:N1430)+1,"")</f>
        <v/>
      </c>
      <c r="T1431" s="7">
        <f t="shared" si="196"/>
        <v>113.28792811439496</v>
      </c>
      <c r="U1431" s="1">
        <f t="shared" si="197"/>
        <v>190.33673271020206</v>
      </c>
    </row>
    <row r="1432" spans="1:21" x14ac:dyDescent="0.3">
      <c r="A1432" s="2">
        <v>42251</v>
      </c>
      <c r="B1432" s="1">
        <v>3567.41</v>
      </c>
      <c r="C1432" s="2">
        <f t="shared" si="189"/>
        <v>42251</v>
      </c>
      <c r="D1432" s="1">
        <f t="shared" si="190"/>
        <v>3567.41</v>
      </c>
      <c r="E1432" s="4">
        <f t="shared" si="191"/>
        <v>3811.4846000000002</v>
      </c>
      <c r="F1432" s="3">
        <f t="shared" si="192"/>
        <v>0.93596337762980852</v>
      </c>
      <c r="G1432" s="18">
        <f t="shared" si="193"/>
        <v>-1</v>
      </c>
      <c r="H1432" s="3">
        <f t="shared" si="194"/>
        <v>-1.5251224238542971E-2</v>
      </c>
      <c r="I1432" s="3">
        <f t="shared" si="195"/>
        <v>1.5251224238542971E-2</v>
      </c>
      <c r="K1432" s="12" t="str">
        <f>IF(AND(G1432=1,G1431&lt;&gt;1),MAX($K$50:K1431)+1,"")</f>
        <v/>
      </c>
      <c r="L1432" s="13" t="str">
        <f>IF(AND(G1432&lt;&gt;1,G1431=1),MAX($L$50:L1431)+1,"")</f>
        <v/>
      </c>
      <c r="M1432" s="13" t="str">
        <f>IF(AND(G1432=-1,G1431&lt;&gt;-1),MAX($M$50:M1431)+1,"")</f>
        <v/>
      </c>
      <c r="N1432" s="13" t="str">
        <f>IF(AND(G1432&lt;&gt;-1,G1431=-1),MAX($N$50:N1431)+1,"")</f>
        <v/>
      </c>
      <c r="T1432" s="7">
        <f t="shared" si="196"/>
        <v>115.01570770958753</v>
      </c>
      <c r="U1432" s="1">
        <f t="shared" si="197"/>
        <v>187.43386451880716</v>
      </c>
    </row>
    <row r="1433" spans="1:21" x14ac:dyDescent="0.3">
      <c r="A1433" s="2">
        <v>42255</v>
      </c>
      <c r="B1433" s="1">
        <v>3657.32</v>
      </c>
      <c r="C1433" s="2">
        <f t="shared" si="189"/>
        <v>42255</v>
      </c>
      <c r="D1433" s="1">
        <f t="shared" si="190"/>
        <v>3657.32</v>
      </c>
      <c r="E1433" s="4">
        <f t="shared" si="191"/>
        <v>3806.9067999999997</v>
      </c>
      <c r="F1433" s="3">
        <f t="shared" si="192"/>
        <v>0.96070647172134616</v>
      </c>
      <c r="G1433" s="18">
        <f t="shared" si="193"/>
        <v>1</v>
      </c>
      <c r="H1433" s="3">
        <f t="shared" si="194"/>
        <v>2.5203158594050201E-2</v>
      </c>
      <c r="I1433" s="3">
        <f t="shared" si="195"/>
        <v>-2.5203158594050201E-2</v>
      </c>
      <c r="K1433" s="12">
        <f>IF(AND(G1433=1,G1432&lt;&gt;1),MAX($K$50:K1432)+1,"")</f>
        <v>15</v>
      </c>
      <c r="L1433" s="13" t="str">
        <f>IF(AND(G1433&lt;&gt;1,G1432=1),MAX($L$50:L1432)+1,"")</f>
        <v/>
      </c>
      <c r="M1433" s="13" t="str">
        <f>IF(AND(G1433=-1,G1432&lt;&gt;-1),MAX($M$50:M1432)+1,"")</f>
        <v/>
      </c>
      <c r="N1433" s="13">
        <f>IF(AND(G1433&lt;&gt;-1,G1432=-1),MAX($N$50:N1432)+1,"")</f>
        <v>14</v>
      </c>
      <c r="T1433" s="7">
        <f t="shared" si="196"/>
        <v>112.11694858737587</v>
      </c>
      <c r="U1433" s="1">
        <f t="shared" si="197"/>
        <v>192.15778993217035</v>
      </c>
    </row>
    <row r="1434" spans="1:21" x14ac:dyDescent="0.3">
      <c r="A1434" s="2">
        <v>42256</v>
      </c>
      <c r="B1434" s="1">
        <v>3606.8</v>
      </c>
      <c r="C1434" s="2">
        <f t="shared" si="189"/>
        <v>42256</v>
      </c>
      <c r="D1434" s="1">
        <f t="shared" si="190"/>
        <v>3606.8</v>
      </c>
      <c r="E1434" s="4">
        <f t="shared" si="191"/>
        <v>3802.9327999999996</v>
      </c>
      <c r="F1434" s="3">
        <f t="shared" si="192"/>
        <v>0.94842590960324114</v>
      </c>
      <c r="G1434" s="18">
        <f t="shared" si="193"/>
        <v>-1</v>
      </c>
      <c r="H1434" s="3">
        <f t="shared" si="194"/>
        <v>-1.3813393413756536E-2</v>
      </c>
      <c r="I1434" s="3">
        <f t="shared" si="195"/>
        <v>-1.3813393413756536E-2</v>
      </c>
      <c r="K1434" s="12" t="str">
        <f>IF(AND(G1434=1,G1433&lt;&gt;1),MAX($K$50:K1433)+1,"")</f>
        <v/>
      </c>
      <c r="L1434" s="13">
        <f>IF(AND(G1434&lt;&gt;1,G1433=1),MAX($L$50:L1433)+1,"")</f>
        <v>15</v>
      </c>
      <c r="M1434" s="13">
        <f>IF(AND(G1434=-1,G1433&lt;&gt;-1),MAX($M$50:M1433)+1,"")</f>
        <v>15</v>
      </c>
      <c r="N1434" s="13" t="str">
        <f>IF(AND(G1434&lt;&gt;-1,G1433=-1),MAX($N$50:N1433)+1,"")</f>
        <v/>
      </c>
      <c r="T1434" s="7">
        <f t="shared" si="196"/>
        <v>110.56823306818853</v>
      </c>
      <c r="U1434" s="1">
        <f t="shared" si="197"/>
        <v>189.50343878231928</v>
      </c>
    </row>
    <row r="1435" spans="1:21" x14ac:dyDescent="0.3">
      <c r="A1435" s="2">
        <v>42257</v>
      </c>
      <c r="B1435" s="1">
        <v>3626.14</v>
      </c>
      <c r="C1435" s="2">
        <f t="shared" si="189"/>
        <v>42257</v>
      </c>
      <c r="D1435" s="1">
        <f t="shared" si="190"/>
        <v>3626.14</v>
      </c>
      <c r="E1435" s="4">
        <f t="shared" si="191"/>
        <v>3799.1386000000002</v>
      </c>
      <c r="F1435" s="3">
        <f t="shared" si="192"/>
        <v>0.95446373027822662</v>
      </c>
      <c r="G1435" s="18">
        <f t="shared" si="193"/>
        <v>1</v>
      </c>
      <c r="H1435" s="3">
        <f t="shared" si="194"/>
        <v>5.3620938227791903E-3</v>
      </c>
      <c r="I1435" s="3">
        <f t="shared" si="195"/>
        <v>-5.3620938227791903E-3</v>
      </c>
      <c r="K1435" s="12">
        <f>IF(AND(G1435=1,G1434&lt;&gt;1),MAX($K$50:K1434)+1,"")</f>
        <v>16</v>
      </c>
      <c r="L1435" s="13" t="str">
        <f>IF(AND(G1435&lt;&gt;1,G1434=1),MAX($L$50:L1434)+1,"")</f>
        <v/>
      </c>
      <c r="M1435" s="13" t="str">
        <f>IF(AND(G1435=-1,G1434&lt;&gt;-1),MAX($M$50:M1434)+1,"")</f>
        <v/>
      </c>
      <c r="N1435" s="13">
        <f>IF(AND(G1435&lt;&gt;-1,G1434=-1),MAX($N$50:N1434)+1,"")</f>
        <v>15</v>
      </c>
      <c r="T1435" s="7">
        <f t="shared" si="196"/>
        <v>109.975355828658</v>
      </c>
      <c r="U1435" s="1">
        <f t="shared" si="197"/>
        <v>190.51957400080934</v>
      </c>
    </row>
    <row r="1436" spans="1:21" x14ac:dyDescent="0.3">
      <c r="A1436" s="2">
        <v>42258</v>
      </c>
      <c r="B1436" s="1">
        <v>3643.54</v>
      </c>
      <c r="C1436" s="2">
        <f t="shared" si="189"/>
        <v>42258</v>
      </c>
      <c r="D1436" s="1">
        <f t="shared" si="190"/>
        <v>3643.54</v>
      </c>
      <c r="E1436" s="4">
        <f t="shared" si="191"/>
        <v>3795.1442000000011</v>
      </c>
      <c r="F1436" s="3">
        <f t="shared" si="192"/>
        <v>0.96005311207937738</v>
      </c>
      <c r="G1436" s="18">
        <f t="shared" si="193"/>
        <v>1</v>
      </c>
      <c r="H1436" s="3">
        <f t="shared" si="194"/>
        <v>4.798490957326651E-3</v>
      </c>
      <c r="I1436" s="3">
        <f t="shared" si="195"/>
        <v>4.798490957326651E-3</v>
      </c>
      <c r="K1436" s="12" t="str">
        <f>IF(AND(G1436=1,G1435&lt;&gt;1),MAX($K$50:K1435)+1,"")</f>
        <v/>
      </c>
      <c r="L1436" s="13" t="str">
        <f>IF(AND(G1436&lt;&gt;1,G1435=1),MAX($L$50:L1435)+1,"")</f>
        <v/>
      </c>
      <c r="M1436" s="13" t="str">
        <f>IF(AND(G1436=-1,G1435&lt;&gt;-1),MAX($M$50:M1435)+1,"")</f>
        <v/>
      </c>
      <c r="N1436" s="13" t="str">
        <f>IF(AND(G1436&lt;&gt;-1,G1435=-1),MAX($N$50:N1435)+1,"")</f>
        <v/>
      </c>
      <c r="T1436" s="7">
        <f t="shared" si="196"/>
        <v>110.50307157913059</v>
      </c>
      <c r="U1436" s="1">
        <f t="shared" si="197"/>
        <v>191.43378045384594</v>
      </c>
    </row>
    <row r="1437" spans="1:21" x14ac:dyDescent="0.3">
      <c r="A1437" s="2">
        <v>42261</v>
      </c>
      <c r="B1437" s="1">
        <v>3628.87</v>
      </c>
      <c r="C1437" s="2">
        <f t="shared" si="189"/>
        <v>42261</v>
      </c>
      <c r="D1437" s="1">
        <f t="shared" si="190"/>
        <v>3628.87</v>
      </c>
      <c r="E1437" s="4">
        <f t="shared" si="191"/>
        <v>3790.8804000000014</v>
      </c>
      <c r="F1437" s="3">
        <f t="shared" si="192"/>
        <v>0.95726312019761917</v>
      </c>
      <c r="G1437" s="18">
        <f t="shared" si="193"/>
        <v>1</v>
      </c>
      <c r="H1437" s="3">
        <f t="shared" si="194"/>
        <v>-4.0263040888806056E-3</v>
      </c>
      <c r="I1437" s="3">
        <f t="shared" si="195"/>
        <v>-4.0263040888806056E-3</v>
      </c>
      <c r="K1437" s="12" t="str">
        <f>IF(AND(G1437=1,G1436&lt;&gt;1),MAX($K$50:K1436)+1,"")</f>
        <v/>
      </c>
      <c r="L1437" s="13" t="str">
        <f>IF(AND(G1437&lt;&gt;1,G1436=1),MAX($L$50:L1436)+1,"")</f>
        <v/>
      </c>
      <c r="M1437" s="13" t="str">
        <f>IF(AND(G1437=-1,G1436&lt;&gt;-1),MAX($M$50:M1436)+1,"")</f>
        <v/>
      </c>
      <c r="N1437" s="13" t="str">
        <f>IF(AND(G1437&lt;&gt;-1,G1436=-1),MAX($N$50:N1436)+1,"")</f>
        <v/>
      </c>
      <c r="T1437" s="7">
        <f t="shared" si="196"/>
        <v>110.05815261019767</v>
      </c>
      <c r="U1437" s="1">
        <f t="shared" si="197"/>
        <v>190.66300984085476</v>
      </c>
    </row>
    <row r="1438" spans="1:21" x14ac:dyDescent="0.3">
      <c r="A1438" s="2">
        <v>42262</v>
      </c>
      <c r="B1438" s="1">
        <v>3675.48</v>
      </c>
      <c r="C1438" s="2">
        <f t="shared" si="189"/>
        <v>42262</v>
      </c>
      <c r="D1438" s="1">
        <f t="shared" si="190"/>
        <v>3675.48</v>
      </c>
      <c r="E1438" s="4">
        <f t="shared" si="191"/>
        <v>3787.8430000000017</v>
      </c>
      <c r="F1438" s="3">
        <f t="shared" si="192"/>
        <v>0.97033588773346691</v>
      </c>
      <c r="G1438" s="18">
        <f t="shared" si="193"/>
        <v>1</v>
      </c>
      <c r="H1438" s="3">
        <f t="shared" si="194"/>
        <v>1.2844218723734979E-2</v>
      </c>
      <c r="I1438" s="3">
        <f t="shared" si="195"/>
        <v>1.2844218723734979E-2</v>
      </c>
      <c r="K1438" s="12" t="str">
        <f>IF(AND(G1438=1,G1437&lt;&gt;1),MAX($K$50:K1437)+1,"")</f>
        <v/>
      </c>
      <c r="L1438" s="13" t="str">
        <f>IF(AND(G1438&lt;&gt;1,G1437=1),MAX($L$50:L1437)+1,"")</f>
        <v/>
      </c>
      <c r="M1438" s="13" t="str">
        <f>IF(AND(G1438=-1,G1437&lt;&gt;-1),MAX($M$50:M1437)+1,"")</f>
        <v/>
      </c>
      <c r="N1438" s="13" t="str">
        <f>IF(AND(G1438&lt;&gt;-1,G1437=-1),MAX($N$50:N1437)+1,"")</f>
        <v/>
      </c>
      <c r="T1438" s="7">
        <f t="shared" si="196"/>
        <v>111.47176359465325</v>
      </c>
      <c r="U1438" s="1">
        <f t="shared" si="197"/>
        <v>193.11192724177633</v>
      </c>
    </row>
    <row r="1439" spans="1:21" x14ac:dyDescent="0.3">
      <c r="A1439" s="2">
        <v>42263</v>
      </c>
      <c r="B1439" s="1">
        <v>3707.62</v>
      </c>
      <c r="C1439" s="2">
        <f t="shared" si="189"/>
        <v>42263</v>
      </c>
      <c r="D1439" s="1">
        <f t="shared" si="190"/>
        <v>3707.62</v>
      </c>
      <c r="E1439" s="4">
        <f t="shared" si="191"/>
        <v>3784.9822000000013</v>
      </c>
      <c r="F1439" s="3">
        <f t="shared" si="192"/>
        <v>0.97956074932135706</v>
      </c>
      <c r="G1439" s="18">
        <f t="shared" si="193"/>
        <v>1</v>
      </c>
      <c r="H1439" s="3">
        <f t="shared" si="194"/>
        <v>8.7444361008630622E-3</v>
      </c>
      <c r="I1439" s="3">
        <f t="shared" si="195"/>
        <v>8.7444361008630622E-3</v>
      </c>
      <c r="K1439" s="12" t="str">
        <f>IF(AND(G1439=1,G1438&lt;&gt;1),MAX($K$50:K1438)+1,"")</f>
        <v/>
      </c>
      <c r="L1439" s="13" t="str">
        <f>IF(AND(G1439&lt;&gt;1,G1438=1),MAX($L$50:L1438)+1,"")</f>
        <v/>
      </c>
      <c r="M1439" s="13" t="str">
        <f>IF(AND(G1439=-1,G1438&lt;&gt;-1),MAX($M$50:M1438)+1,"")</f>
        <v/>
      </c>
      <c r="N1439" s="13" t="str">
        <f>IF(AND(G1439&lt;&gt;-1,G1438=-1),MAX($N$50:N1438)+1,"")</f>
        <v/>
      </c>
      <c r="T1439" s="7">
        <f t="shared" si="196"/>
        <v>112.44652130845721</v>
      </c>
      <c r="U1439" s="1">
        <f t="shared" si="197"/>
        <v>194.80058214985652</v>
      </c>
    </row>
    <row r="1440" spans="1:21" x14ac:dyDescent="0.3">
      <c r="A1440" s="2">
        <v>42264</v>
      </c>
      <c r="B1440" s="1">
        <v>3698.74</v>
      </c>
      <c r="C1440" s="2">
        <f t="shared" si="189"/>
        <v>42264</v>
      </c>
      <c r="D1440" s="1">
        <f t="shared" si="190"/>
        <v>3698.74</v>
      </c>
      <c r="E1440" s="4">
        <f t="shared" si="191"/>
        <v>3783.2036000000003</v>
      </c>
      <c r="F1440" s="3">
        <f t="shared" si="192"/>
        <v>0.97767405380984507</v>
      </c>
      <c r="G1440" s="18">
        <f t="shared" si="193"/>
        <v>1</v>
      </c>
      <c r="H1440" s="3">
        <f t="shared" si="194"/>
        <v>-2.3950674556724172E-3</v>
      </c>
      <c r="I1440" s="3">
        <f t="shared" si="195"/>
        <v>-2.3950674556724172E-3</v>
      </c>
      <c r="K1440" s="12" t="str">
        <f>IF(AND(G1440=1,G1439&lt;&gt;1),MAX($K$50:K1439)+1,"")</f>
        <v/>
      </c>
      <c r="L1440" s="13" t="str">
        <f>IF(AND(G1440&lt;&gt;1,G1439=1),MAX($L$50:L1439)+1,"")</f>
        <v/>
      </c>
      <c r="M1440" s="13" t="str">
        <f>IF(AND(G1440=-1,G1439&lt;&gt;-1),MAX($M$50:M1439)+1,"")</f>
        <v/>
      </c>
      <c r="N1440" s="13" t="str">
        <f>IF(AND(G1440&lt;&gt;-1,G1439=-1),MAX($N$50:N1439)+1,"")</f>
        <v/>
      </c>
      <c r="T1440" s="7">
        <f t="shared" si="196"/>
        <v>112.17720430476774</v>
      </c>
      <c r="U1440" s="1">
        <f t="shared" si="197"/>
        <v>194.33402161520337</v>
      </c>
    </row>
    <row r="1441" spans="1:21" x14ac:dyDescent="0.3">
      <c r="A1441" s="2">
        <v>42265</v>
      </c>
      <c r="B1441" s="1">
        <v>3638.99</v>
      </c>
      <c r="C1441" s="2">
        <f t="shared" si="189"/>
        <v>42265</v>
      </c>
      <c r="D1441" s="1">
        <f t="shared" si="190"/>
        <v>3638.99</v>
      </c>
      <c r="E1441" s="4">
        <f t="shared" si="191"/>
        <v>3780.0581999999999</v>
      </c>
      <c r="F1441" s="3">
        <f t="shared" si="192"/>
        <v>0.96268094496534462</v>
      </c>
      <c r="G1441" s="18">
        <f t="shared" si="193"/>
        <v>1</v>
      </c>
      <c r="H1441" s="3">
        <f t="shared" si="194"/>
        <v>-1.6154149791550609E-2</v>
      </c>
      <c r="I1441" s="3">
        <f t="shared" si="195"/>
        <v>-1.6154149791550609E-2</v>
      </c>
      <c r="K1441" s="12" t="str">
        <f>IF(AND(G1441=1,G1440&lt;&gt;1),MAX($K$50:K1440)+1,"")</f>
        <v/>
      </c>
      <c r="L1441" s="13" t="str">
        <f>IF(AND(G1441&lt;&gt;1,G1440=1),MAX($L$50:L1440)+1,"")</f>
        <v/>
      </c>
      <c r="M1441" s="13" t="str">
        <f>IF(AND(G1441=-1,G1440&lt;&gt;-1),MAX($M$50:M1440)+1,"")</f>
        <v/>
      </c>
      <c r="N1441" s="13" t="str">
        <f>IF(AND(G1441&lt;&gt;-1,G1440=-1),MAX($N$50:N1440)+1,"")</f>
        <v/>
      </c>
      <c r="T1441" s="7">
        <f t="shared" si="196"/>
        <v>110.36507694323114</v>
      </c>
      <c r="U1441" s="1">
        <f t="shared" si="197"/>
        <v>191.19472072043692</v>
      </c>
    </row>
    <row r="1442" spans="1:21" x14ac:dyDescent="0.3">
      <c r="A1442" s="2">
        <v>42268</v>
      </c>
      <c r="B1442" s="1">
        <v>3655.64</v>
      </c>
      <c r="C1442" s="2">
        <f t="shared" si="189"/>
        <v>42268</v>
      </c>
      <c r="D1442" s="1">
        <f t="shared" si="190"/>
        <v>3655.64</v>
      </c>
      <c r="E1442" s="4">
        <f t="shared" si="191"/>
        <v>3776.3090000000007</v>
      </c>
      <c r="F1442" s="3">
        <f t="shared" si="192"/>
        <v>0.96804578227046545</v>
      </c>
      <c r="G1442" s="18">
        <f t="shared" si="193"/>
        <v>1</v>
      </c>
      <c r="H1442" s="3">
        <f t="shared" si="194"/>
        <v>4.5754453845709975E-3</v>
      </c>
      <c r="I1442" s="3">
        <f t="shared" si="195"/>
        <v>4.5754453845709975E-3</v>
      </c>
      <c r="K1442" s="12" t="str">
        <f>IF(AND(G1442=1,G1441&lt;&gt;1),MAX($K$50:K1441)+1,"")</f>
        <v/>
      </c>
      <c r="L1442" s="13" t="str">
        <f>IF(AND(G1442&lt;&gt;1,G1441=1),MAX($L$50:L1441)+1,"")</f>
        <v/>
      </c>
      <c r="M1442" s="13" t="str">
        <f>IF(AND(G1442=-1,G1441&lt;&gt;-1),MAX($M$50:M1441)+1,"")</f>
        <v/>
      </c>
      <c r="N1442" s="13" t="str">
        <f>IF(AND(G1442&lt;&gt;-1,G1441=-1),MAX($N$50:N1441)+1,"")</f>
        <v/>
      </c>
      <c r="T1442" s="7">
        <f t="shared" si="196"/>
        <v>110.87004632514888</v>
      </c>
      <c r="U1442" s="1">
        <f t="shared" si="197"/>
        <v>192.06952172291159</v>
      </c>
    </row>
    <row r="1443" spans="1:21" x14ac:dyDescent="0.3">
      <c r="A1443" s="2">
        <v>42269</v>
      </c>
      <c r="B1443" s="1">
        <v>3610.7</v>
      </c>
      <c r="C1443" s="2">
        <f t="shared" si="189"/>
        <v>42269</v>
      </c>
      <c r="D1443" s="1">
        <f t="shared" si="190"/>
        <v>3610.7</v>
      </c>
      <c r="E1443" s="4">
        <f t="shared" si="191"/>
        <v>3770.8036000000011</v>
      </c>
      <c r="F1443" s="3">
        <f t="shared" si="192"/>
        <v>0.95754125194958406</v>
      </c>
      <c r="G1443" s="18">
        <f t="shared" si="193"/>
        <v>1</v>
      </c>
      <c r="H1443" s="3">
        <f t="shared" si="194"/>
        <v>-1.2293333041546783E-2</v>
      </c>
      <c r="I1443" s="3">
        <f t="shared" si="195"/>
        <v>-1.2293333041546783E-2</v>
      </c>
      <c r="K1443" s="12" t="str">
        <f>IF(AND(G1443=1,G1442&lt;&gt;1),MAX($K$50:K1442)+1,"")</f>
        <v/>
      </c>
      <c r="L1443" s="13" t="str">
        <f>IF(AND(G1443&lt;&gt;1,G1442=1),MAX($L$50:L1442)+1,"")</f>
        <v/>
      </c>
      <c r="M1443" s="13" t="str">
        <f>IF(AND(G1443=-1,G1442&lt;&gt;-1),MAX($M$50:M1442)+1,"")</f>
        <v/>
      </c>
      <c r="N1443" s="13" t="str">
        <f>IF(AND(G1443&lt;&gt;-1,G1442=-1),MAX($N$50:N1442)+1,"")</f>
        <v/>
      </c>
      <c r="T1443" s="7">
        <f t="shared" si="196"/>
        <v>109.5070839213421</v>
      </c>
      <c r="U1443" s="1">
        <f t="shared" si="197"/>
        <v>189.70834712524123</v>
      </c>
    </row>
    <row r="1444" spans="1:21" x14ac:dyDescent="0.3">
      <c r="A1444" s="2">
        <v>42270</v>
      </c>
      <c r="B1444" s="1">
        <v>3603.49</v>
      </c>
      <c r="C1444" s="2">
        <f t="shared" si="189"/>
        <v>42270</v>
      </c>
      <c r="D1444" s="1">
        <f t="shared" si="190"/>
        <v>3603.49</v>
      </c>
      <c r="E1444" s="4">
        <f t="shared" si="191"/>
        <v>3764.8072000000011</v>
      </c>
      <c r="F1444" s="3">
        <f t="shared" si="192"/>
        <v>0.95715127191639426</v>
      </c>
      <c r="G1444" s="18">
        <f t="shared" si="193"/>
        <v>1</v>
      </c>
      <c r="H1444" s="3">
        <f t="shared" si="194"/>
        <v>-1.9968427174785752E-3</v>
      </c>
      <c r="I1444" s="3">
        <f t="shared" si="195"/>
        <v>-1.9968427174785752E-3</v>
      </c>
      <c r="K1444" s="12" t="str">
        <f>IF(AND(G1444=1,G1443&lt;&gt;1),MAX($K$50:K1443)+1,"")</f>
        <v/>
      </c>
      <c r="L1444" s="13" t="str">
        <f>IF(AND(G1444&lt;&gt;1,G1443=1),MAX($L$50:L1443)+1,"")</f>
        <v/>
      </c>
      <c r="M1444" s="13" t="str">
        <f>IF(AND(G1444=-1,G1443&lt;&gt;-1),MAX($M$50:M1443)+1,"")</f>
        <v/>
      </c>
      <c r="N1444" s="13" t="str">
        <f>IF(AND(G1444&lt;&gt;-1,G1443=-1),MAX($N$50:N1443)+1,"")</f>
        <v/>
      </c>
      <c r="T1444" s="7">
        <f t="shared" si="196"/>
        <v>109.28841549830145</v>
      </c>
      <c r="U1444" s="1">
        <f t="shared" si="197"/>
        <v>189.32952939383929</v>
      </c>
    </row>
    <row r="1445" spans="1:21" x14ac:dyDescent="0.3">
      <c r="A1445" s="2">
        <v>42271</v>
      </c>
      <c r="B1445" s="1">
        <v>3591.37</v>
      </c>
      <c r="C1445" s="2">
        <f t="shared" si="189"/>
        <v>42271</v>
      </c>
      <c r="D1445" s="1">
        <f t="shared" si="190"/>
        <v>3591.37</v>
      </c>
      <c r="E1445" s="4">
        <f t="shared" si="191"/>
        <v>3758.624600000001</v>
      </c>
      <c r="F1445" s="3">
        <f t="shared" si="192"/>
        <v>0.95550111601993959</v>
      </c>
      <c r="G1445" s="18">
        <f t="shared" si="193"/>
        <v>1</v>
      </c>
      <c r="H1445" s="3">
        <f t="shared" si="194"/>
        <v>-3.3634060313750824E-3</v>
      </c>
      <c r="I1445" s="3">
        <f t="shared" si="195"/>
        <v>-3.3634060313750824E-3</v>
      </c>
      <c r="K1445" s="12" t="str">
        <f>IF(AND(G1445=1,G1444&lt;&gt;1),MAX($K$50:K1444)+1,"")</f>
        <v/>
      </c>
      <c r="L1445" s="13" t="str">
        <f>IF(AND(G1445&lt;&gt;1,G1444=1),MAX($L$50:L1444)+1,"")</f>
        <v/>
      </c>
      <c r="M1445" s="13" t="str">
        <f>IF(AND(G1445=-1,G1444&lt;&gt;-1),MAX($M$50:M1444)+1,"")</f>
        <v/>
      </c>
      <c r="N1445" s="13" t="str">
        <f>IF(AND(G1445&lt;&gt;-1,G1444=-1),MAX($N$50:N1444)+1,"")</f>
        <v/>
      </c>
      <c r="T1445" s="7">
        <f t="shared" si="196"/>
        <v>108.92083418245504</v>
      </c>
      <c r="U1445" s="1">
        <f t="shared" si="197"/>
        <v>188.69273731275862</v>
      </c>
    </row>
    <row r="1446" spans="1:21" x14ac:dyDescent="0.3">
      <c r="A1446" s="2">
        <v>42272</v>
      </c>
      <c r="B1446" s="1">
        <v>3589.71</v>
      </c>
      <c r="C1446" s="2">
        <f t="shared" si="189"/>
        <v>42272</v>
      </c>
      <c r="D1446" s="1">
        <f t="shared" si="190"/>
        <v>3589.71</v>
      </c>
      <c r="E1446" s="4">
        <f t="shared" si="191"/>
        <v>3751.7817999999997</v>
      </c>
      <c r="F1446" s="3">
        <f t="shared" si="192"/>
        <v>0.95680137901409945</v>
      </c>
      <c r="G1446" s="18">
        <f t="shared" si="193"/>
        <v>1</v>
      </c>
      <c r="H1446" s="3">
        <f t="shared" si="194"/>
        <v>-4.6221915313648942E-4</v>
      </c>
      <c r="I1446" s="3">
        <f t="shared" si="195"/>
        <v>-4.6221915313648942E-4</v>
      </c>
      <c r="K1446" s="12" t="str">
        <f>IF(AND(G1446=1,G1445&lt;&gt;1),MAX($K$50:K1445)+1,"")</f>
        <v/>
      </c>
      <c r="L1446" s="13" t="str">
        <f>IF(AND(G1446&lt;&gt;1,G1445=1),MAX($L$50:L1445)+1,"")</f>
        <v/>
      </c>
      <c r="M1446" s="13" t="str">
        <f>IF(AND(G1446=-1,G1445&lt;&gt;-1),MAX($M$50:M1445)+1,"")</f>
        <v/>
      </c>
      <c r="N1446" s="13" t="str">
        <f>IF(AND(G1446&lt;&gt;-1,G1445=-1),MAX($N$50:N1445)+1,"")</f>
        <v/>
      </c>
      <c r="T1446" s="7">
        <f t="shared" si="196"/>
        <v>108.87048888672031</v>
      </c>
      <c r="U1446" s="1">
        <f t="shared" si="197"/>
        <v>188.60551991551492</v>
      </c>
    </row>
    <row r="1447" spans="1:21" x14ac:dyDescent="0.3">
      <c r="A1447" s="2">
        <v>42275</v>
      </c>
      <c r="B1447" s="1">
        <v>3498.61</v>
      </c>
      <c r="C1447" s="2">
        <f t="shared" si="189"/>
        <v>42275</v>
      </c>
      <c r="D1447" s="1">
        <f t="shared" si="190"/>
        <v>3498.61</v>
      </c>
      <c r="E1447" s="4">
        <f t="shared" si="191"/>
        <v>3743.0296000000003</v>
      </c>
      <c r="F1447" s="3">
        <f t="shared" si="192"/>
        <v>0.93470006221698054</v>
      </c>
      <c r="G1447" s="18">
        <f t="shared" si="193"/>
        <v>-1</v>
      </c>
      <c r="H1447" s="3">
        <f t="shared" si="194"/>
        <v>-2.5378094609313839E-2</v>
      </c>
      <c r="I1447" s="3">
        <f t="shared" si="195"/>
        <v>-2.5378094609313839E-2</v>
      </c>
      <c r="K1447" s="12" t="str">
        <f>IF(AND(G1447=1,G1446&lt;&gt;1),MAX($K$50:K1446)+1,"")</f>
        <v/>
      </c>
      <c r="L1447" s="13">
        <f>IF(AND(G1447&lt;&gt;1,G1446=1),MAX($L$50:L1446)+1,"")</f>
        <v>16</v>
      </c>
      <c r="M1447" s="13">
        <f>IF(AND(G1447=-1,G1446&lt;&gt;-1),MAX($M$50:M1446)+1,"")</f>
        <v>16</v>
      </c>
      <c r="N1447" s="13" t="str">
        <f>IF(AND(G1447&lt;&gt;-1,G1446=-1),MAX($N$50:N1446)+1,"")</f>
        <v/>
      </c>
      <c r="T1447" s="7">
        <f t="shared" si="196"/>
        <v>106.10756331959087</v>
      </c>
      <c r="U1447" s="1">
        <f t="shared" si="197"/>
        <v>183.81907118726014</v>
      </c>
    </row>
    <row r="1448" spans="1:21" x14ac:dyDescent="0.3">
      <c r="A1448" s="2">
        <v>42276</v>
      </c>
      <c r="B1448" s="1">
        <v>3503.13</v>
      </c>
      <c r="C1448" s="2">
        <f t="shared" si="189"/>
        <v>42276</v>
      </c>
      <c r="D1448" s="1">
        <f t="shared" si="190"/>
        <v>3503.13</v>
      </c>
      <c r="E1448" s="4">
        <f t="shared" si="191"/>
        <v>3734.3052000000002</v>
      </c>
      <c r="F1448" s="3">
        <f t="shared" si="192"/>
        <v>0.93809418683829049</v>
      </c>
      <c r="G1448" s="18">
        <f t="shared" si="193"/>
        <v>-1</v>
      </c>
      <c r="H1448" s="3">
        <f t="shared" si="194"/>
        <v>1.2919416568293318E-3</v>
      </c>
      <c r="I1448" s="3">
        <f t="shared" si="195"/>
        <v>-1.2919416568293318E-3</v>
      </c>
      <c r="K1448" s="12" t="str">
        <f>IF(AND(G1448=1,G1447&lt;&gt;1),MAX($K$50:K1447)+1,"")</f>
        <v/>
      </c>
      <c r="L1448" s="13" t="str">
        <f>IF(AND(G1448&lt;&gt;1,G1447=1),MAX($L$50:L1447)+1,"")</f>
        <v/>
      </c>
      <c r="M1448" s="13" t="str">
        <f>IF(AND(G1448=-1,G1447&lt;&gt;-1),MAX($M$50:M1447)+1,"")</f>
        <v/>
      </c>
      <c r="N1448" s="13" t="str">
        <f>IF(AND(G1448&lt;&gt;-1,G1447=-1),MAX($N$50:N1447)+1,"")</f>
        <v/>
      </c>
      <c r="T1448" s="7">
        <f t="shared" si="196"/>
        <v>105.97047853843362</v>
      </c>
      <c r="U1448" s="1">
        <f t="shared" si="197"/>
        <v>184.05655470264665</v>
      </c>
    </row>
    <row r="1449" spans="1:21" x14ac:dyDescent="0.3">
      <c r="A1449" s="2">
        <v>42277</v>
      </c>
      <c r="B1449" s="1">
        <v>3570.17</v>
      </c>
      <c r="C1449" s="2">
        <f t="shared" si="189"/>
        <v>42277</v>
      </c>
      <c r="D1449" s="1">
        <f t="shared" si="190"/>
        <v>3570.17</v>
      </c>
      <c r="E1449" s="4">
        <f t="shared" si="191"/>
        <v>3727.2546000000007</v>
      </c>
      <c r="F1449" s="3">
        <f t="shared" si="192"/>
        <v>0.95785514625161361</v>
      </c>
      <c r="G1449" s="18">
        <f t="shared" si="193"/>
        <v>1</v>
      </c>
      <c r="H1449" s="3">
        <f t="shared" si="194"/>
        <v>1.9137171615098536E-2</v>
      </c>
      <c r="I1449" s="3">
        <f t="shared" si="195"/>
        <v>-1.9137171615098536E-2</v>
      </c>
      <c r="K1449" s="12">
        <f>IF(AND(G1449=1,G1448&lt;&gt;1),MAX($K$50:K1448)+1,"")</f>
        <v>17</v>
      </c>
      <c r="L1449" s="13" t="str">
        <f>IF(AND(G1449&lt;&gt;1,G1448=1),MAX($L$50:L1448)+1,"")</f>
        <v/>
      </c>
      <c r="M1449" s="13" t="str">
        <f>IF(AND(G1449=-1,G1448&lt;&gt;-1),MAX($M$50:M1448)+1,"")</f>
        <v/>
      </c>
      <c r="N1449" s="13">
        <f>IF(AND(G1449&lt;&gt;-1,G1448=-1),MAX($N$50:N1448)+1,"")</f>
        <v>16</v>
      </c>
      <c r="T1449" s="7">
        <f t="shared" si="196"/>
        <v>103.9425033045095</v>
      </c>
      <c r="U1449" s="1">
        <f t="shared" si="197"/>
        <v>187.57887657687496</v>
      </c>
    </row>
    <row r="1450" spans="1:21" x14ac:dyDescent="0.3">
      <c r="A1450" s="2">
        <v>42278</v>
      </c>
      <c r="B1450" s="1">
        <v>3577.47</v>
      </c>
      <c r="C1450" s="2">
        <f t="shared" si="189"/>
        <v>42278</v>
      </c>
      <c r="D1450" s="1">
        <f t="shared" si="190"/>
        <v>3577.47</v>
      </c>
      <c r="E1450" s="4">
        <f t="shared" si="191"/>
        <v>3720.5290000000009</v>
      </c>
      <c r="F1450" s="3">
        <f t="shared" si="192"/>
        <v>0.96154874750337893</v>
      </c>
      <c r="G1450" s="18">
        <f t="shared" si="193"/>
        <v>1</v>
      </c>
      <c r="H1450" s="3">
        <f t="shared" si="194"/>
        <v>2.0447205595250928E-3</v>
      </c>
      <c r="I1450" s="3">
        <f t="shared" si="195"/>
        <v>2.0447205595250928E-3</v>
      </c>
      <c r="K1450" s="12" t="str">
        <f>IF(AND(G1450=1,G1449&lt;&gt;1),MAX($K$50:K1449)+1,"")</f>
        <v/>
      </c>
      <c r="L1450" s="13" t="str">
        <f>IF(AND(G1450&lt;&gt;1,G1449=1),MAX($L$50:L1449)+1,"")</f>
        <v/>
      </c>
      <c r="M1450" s="13" t="str">
        <f>IF(AND(G1450=-1,G1449&lt;&gt;-1),MAX($M$50:M1449)+1,"")</f>
        <v/>
      </c>
      <c r="N1450" s="13" t="str">
        <f>IF(AND(G1450&lt;&gt;-1,G1449=-1),MAX($N$50:N1449)+1,"")</f>
        <v/>
      </c>
      <c r="T1450" s="7">
        <f t="shared" si="196"/>
        <v>104.15503667802474</v>
      </c>
      <c r="U1450" s="1">
        <f t="shared" si="197"/>
        <v>187.96242296234433</v>
      </c>
    </row>
    <row r="1451" spans="1:21" x14ac:dyDescent="0.3">
      <c r="A1451" s="2">
        <v>42279</v>
      </c>
      <c r="B1451" s="1">
        <v>3629.04</v>
      </c>
      <c r="C1451" s="2">
        <f t="shared" si="189"/>
        <v>42279</v>
      </c>
      <c r="D1451" s="1">
        <f t="shared" si="190"/>
        <v>3629.04</v>
      </c>
      <c r="E1451" s="4">
        <f t="shared" si="191"/>
        <v>3715.2740000000003</v>
      </c>
      <c r="F1451" s="3">
        <f t="shared" si="192"/>
        <v>0.97678932966989773</v>
      </c>
      <c r="G1451" s="18">
        <f t="shared" si="193"/>
        <v>1</v>
      </c>
      <c r="H1451" s="3">
        <f t="shared" si="194"/>
        <v>1.4415215221930566E-2</v>
      </c>
      <c r="I1451" s="3">
        <f t="shared" si="195"/>
        <v>1.4415215221930566E-2</v>
      </c>
      <c r="K1451" s="12" t="str">
        <f>IF(AND(G1451=1,G1450&lt;&gt;1),MAX($K$50:K1450)+1,"")</f>
        <v/>
      </c>
      <c r="L1451" s="13" t="str">
        <f>IF(AND(G1451&lt;&gt;1,G1450=1),MAX($L$50:L1450)+1,"")</f>
        <v/>
      </c>
      <c r="M1451" s="13" t="str">
        <f>IF(AND(G1451=-1,G1450&lt;&gt;-1),MAX($M$50:M1450)+1,"")</f>
        <v/>
      </c>
      <c r="N1451" s="13" t="str">
        <f>IF(AND(G1451&lt;&gt;-1,G1450=-1),MAX($N$50:N1450)+1,"")</f>
        <v/>
      </c>
      <c r="T1451" s="7">
        <f t="shared" si="196"/>
        <v>105.65645394818654</v>
      </c>
      <c r="U1451" s="1">
        <f t="shared" si="197"/>
        <v>190.67194174298209</v>
      </c>
    </row>
    <row r="1452" spans="1:21" x14ac:dyDescent="0.3">
      <c r="A1452" s="2">
        <v>42282</v>
      </c>
      <c r="B1452" s="1">
        <v>3695.61</v>
      </c>
      <c r="C1452" s="2">
        <f t="shared" si="189"/>
        <v>42282</v>
      </c>
      <c r="D1452" s="1">
        <f t="shared" si="190"/>
        <v>3695.61</v>
      </c>
      <c r="E1452" s="4">
        <f t="shared" si="191"/>
        <v>3712.1831999999999</v>
      </c>
      <c r="F1452" s="3">
        <f t="shared" si="192"/>
        <v>0.99553545740953742</v>
      </c>
      <c r="G1452" s="18">
        <f t="shared" si="193"/>
        <v>1</v>
      </c>
      <c r="H1452" s="3">
        <f t="shared" si="194"/>
        <v>1.8343694200119165E-2</v>
      </c>
      <c r="I1452" s="3">
        <f t="shared" si="195"/>
        <v>1.8343694200119165E-2</v>
      </c>
      <c r="K1452" s="12" t="str">
        <f>IF(AND(G1452=1,G1451&lt;&gt;1),MAX($K$50:K1451)+1,"")</f>
        <v/>
      </c>
      <c r="L1452" s="13" t="str">
        <f>IF(AND(G1452&lt;&gt;1,G1451=1),MAX($L$50:L1451)+1,"")</f>
        <v/>
      </c>
      <c r="M1452" s="13" t="str">
        <f>IF(AND(G1452=-1,G1451&lt;&gt;-1),MAX($M$50:M1451)+1,"")</f>
        <v/>
      </c>
      <c r="N1452" s="13" t="str">
        <f>IF(AND(G1452&lt;&gt;-1,G1451=-1),MAX($N$50:N1451)+1,"")</f>
        <v/>
      </c>
      <c r="T1452" s="7">
        <f t="shared" si="196"/>
        <v>107.59458362968104</v>
      </c>
      <c r="U1452" s="1">
        <f t="shared" si="197"/>
        <v>194.16956953485825</v>
      </c>
    </row>
    <row r="1453" spans="1:21" x14ac:dyDescent="0.3">
      <c r="A1453" s="2">
        <v>42283</v>
      </c>
      <c r="B1453" s="1">
        <v>3682.33</v>
      </c>
      <c r="C1453" s="2">
        <f t="shared" si="189"/>
        <v>42283</v>
      </c>
      <c r="D1453" s="1">
        <f t="shared" si="190"/>
        <v>3682.33</v>
      </c>
      <c r="E1453" s="4">
        <f t="shared" si="191"/>
        <v>3709.2711999999992</v>
      </c>
      <c r="F1453" s="3">
        <f t="shared" si="192"/>
        <v>0.99273679422523775</v>
      </c>
      <c r="G1453" s="18">
        <f t="shared" si="193"/>
        <v>1</v>
      </c>
      <c r="H1453" s="3">
        <f t="shared" si="194"/>
        <v>-3.5934527723434639E-3</v>
      </c>
      <c r="I1453" s="3">
        <f t="shared" si="195"/>
        <v>-3.5934527723434639E-3</v>
      </c>
      <c r="K1453" s="12" t="str">
        <f>IF(AND(G1453=1,G1452&lt;&gt;1),MAX($K$50:K1452)+1,"")</f>
        <v/>
      </c>
      <c r="L1453" s="13" t="str">
        <f>IF(AND(G1453&lt;&gt;1,G1452=1),MAX($L$50:L1452)+1,"")</f>
        <v/>
      </c>
      <c r="M1453" s="13" t="str">
        <f>IF(AND(G1453=-1,G1452&lt;&gt;-1),MAX($M$50:M1452)+1,"")</f>
        <v/>
      </c>
      <c r="N1453" s="13" t="str">
        <f>IF(AND(G1453&lt;&gt;-1,G1452=-1),MAX($N$50:N1452)+1,"")</f>
        <v/>
      </c>
      <c r="T1453" s="7">
        <f t="shared" si="196"/>
        <v>107.20794757484782</v>
      </c>
      <c r="U1453" s="1">
        <f t="shared" si="197"/>
        <v>193.4718303569085</v>
      </c>
    </row>
    <row r="1454" spans="1:21" x14ac:dyDescent="0.3">
      <c r="A1454" s="2">
        <v>42284</v>
      </c>
      <c r="B1454" s="1">
        <v>3713.36</v>
      </c>
      <c r="C1454" s="2">
        <f t="shared" si="189"/>
        <v>42284</v>
      </c>
      <c r="D1454" s="1">
        <f t="shared" si="190"/>
        <v>3713.36</v>
      </c>
      <c r="E1454" s="4">
        <f t="shared" si="191"/>
        <v>3706.0309999999986</v>
      </c>
      <c r="F1454" s="3">
        <f t="shared" si="192"/>
        <v>1.0019775873434413</v>
      </c>
      <c r="G1454" s="18">
        <f t="shared" si="193"/>
        <v>1</v>
      </c>
      <c r="H1454" s="3">
        <f t="shared" si="194"/>
        <v>8.4267298150899617E-3</v>
      </c>
      <c r="I1454" s="3">
        <f t="shared" si="195"/>
        <v>8.4267298150899617E-3</v>
      </c>
      <c r="K1454" s="12" t="str">
        <f>IF(AND(G1454=1,G1453&lt;&gt;1),MAX($K$50:K1453)+1,"")</f>
        <v/>
      </c>
      <c r="L1454" s="13" t="str">
        <f>IF(AND(G1454&lt;&gt;1,G1453=1),MAX($L$50:L1453)+1,"")</f>
        <v/>
      </c>
      <c r="M1454" s="13" t="str">
        <f>IF(AND(G1454=-1,G1453&lt;&gt;-1),MAX($M$50:M1453)+1,"")</f>
        <v/>
      </c>
      <c r="N1454" s="13" t="str">
        <f>IF(AND(G1454&lt;&gt;-1,G1453=-1),MAX($N$50:N1453)+1,"")</f>
        <v/>
      </c>
      <c r="T1454" s="7">
        <f t="shared" si="196"/>
        <v>108.11135998309139</v>
      </c>
      <c r="U1454" s="1">
        <f t="shared" si="197"/>
        <v>195.10216519815711</v>
      </c>
    </row>
    <row r="1455" spans="1:21" x14ac:dyDescent="0.3">
      <c r="A1455" s="2">
        <v>42285</v>
      </c>
      <c r="B1455" s="1">
        <v>3746.12</v>
      </c>
      <c r="C1455" s="2">
        <f t="shared" si="189"/>
        <v>42285</v>
      </c>
      <c r="D1455" s="1">
        <f t="shared" si="190"/>
        <v>3746.12</v>
      </c>
      <c r="E1455" s="4">
        <f t="shared" si="191"/>
        <v>3702.8691999999992</v>
      </c>
      <c r="F1455" s="3">
        <f t="shared" si="192"/>
        <v>1.0116803477692382</v>
      </c>
      <c r="G1455" s="18">
        <f t="shared" si="193"/>
        <v>1</v>
      </c>
      <c r="H1455" s="3">
        <f t="shared" si="194"/>
        <v>8.8221987633840815E-3</v>
      </c>
      <c r="I1455" s="3">
        <f t="shared" si="195"/>
        <v>8.8221987633840815E-3</v>
      </c>
      <c r="K1455" s="12" t="str">
        <f>IF(AND(G1455=1,G1454&lt;&gt;1),MAX($K$50:K1454)+1,"")</f>
        <v/>
      </c>
      <c r="L1455" s="13" t="str">
        <f>IF(AND(G1455&lt;&gt;1,G1454=1),MAX($L$50:L1454)+1,"")</f>
        <v/>
      </c>
      <c r="M1455" s="13" t="str">
        <f>IF(AND(G1455=-1,G1454&lt;&gt;-1),MAX($M$50:M1454)+1,"")</f>
        <v/>
      </c>
      <c r="N1455" s="13" t="str">
        <f>IF(AND(G1455&lt;&gt;-1,G1454=-1),MAX($N$50:N1454)+1,"")</f>
        <v/>
      </c>
      <c r="T1455" s="7">
        <f t="shared" si="196"/>
        <v>109.06513988944199</v>
      </c>
      <c r="U1455" s="1">
        <f t="shared" si="197"/>
        <v>196.82339527870184</v>
      </c>
    </row>
    <row r="1456" spans="1:21" x14ac:dyDescent="0.3">
      <c r="A1456" s="2">
        <v>42286</v>
      </c>
      <c r="B1456" s="1">
        <v>3748.96</v>
      </c>
      <c r="C1456" s="2">
        <f t="shared" si="189"/>
        <v>42286</v>
      </c>
      <c r="D1456" s="1">
        <f t="shared" si="190"/>
        <v>3748.96</v>
      </c>
      <c r="E1456" s="4">
        <f t="shared" si="191"/>
        <v>3699.7555999999995</v>
      </c>
      <c r="F1456" s="3">
        <f t="shared" si="192"/>
        <v>1.0132993649634587</v>
      </c>
      <c r="G1456" s="18">
        <f t="shared" si="193"/>
        <v>1</v>
      </c>
      <c r="H1456" s="3">
        <f t="shared" si="194"/>
        <v>7.5811773248046777E-4</v>
      </c>
      <c r="I1456" s="3">
        <f t="shared" si="195"/>
        <v>7.5811773248046777E-4</v>
      </c>
      <c r="K1456" s="12" t="str">
        <f>IF(AND(G1456=1,G1455&lt;&gt;1),MAX($K$50:K1455)+1,"")</f>
        <v/>
      </c>
      <c r="L1456" s="13" t="str">
        <f>IF(AND(G1456&lt;&gt;1,G1455=1),MAX($L$50:L1455)+1,"")</f>
        <v/>
      </c>
      <c r="M1456" s="13" t="str">
        <f>IF(AND(G1456=-1,G1455&lt;&gt;-1),MAX($M$50:M1455)+1,"")</f>
        <v/>
      </c>
      <c r="N1456" s="13" t="str">
        <f>IF(AND(G1456&lt;&gt;-1,G1455=-1),MAX($N$50:N1455)+1,"")</f>
        <v/>
      </c>
      <c r="T1456" s="7">
        <f t="shared" si="196"/>
        <v>109.14782410598764</v>
      </c>
      <c r="U1456" s="1">
        <f t="shared" si="197"/>
        <v>196.97261058482965</v>
      </c>
    </row>
    <row r="1457" spans="1:21" x14ac:dyDescent="0.3">
      <c r="A1457" s="2">
        <v>42289</v>
      </c>
      <c r="B1457" s="1">
        <v>3753.73</v>
      </c>
      <c r="C1457" s="2">
        <f t="shared" si="189"/>
        <v>42289</v>
      </c>
      <c r="D1457" s="1">
        <f t="shared" si="190"/>
        <v>3753.73</v>
      </c>
      <c r="E1457" s="4">
        <f t="shared" si="191"/>
        <v>3696.9141999999993</v>
      </c>
      <c r="F1457" s="3">
        <f t="shared" si="192"/>
        <v>1.0153684388996642</v>
      </c>
      <c r="G1457" s="18">
        <f t="shared" si="193"/>
        <v>1</v>
      </c>
      <c r="H1457" s="3">
        <f t="shared" si="194"/>
        <v>1.2723528658613592E-3</v>
      </c>
      <c r="I1457" s="3">
        <f t="shared" si="195"/>
        <v>1.2723528658613592E-3</v>
      </c>
      <c r="K1457" s="12" t="str">
        <f>IF(AND(G1457=1,G1456&lt;&gt;1),MAX($K$50:K1456)+1,"")</f>
        <v/>
      </c>
      <c r="L1457" s="13" t="str">
        <f>IF(AND(G1457&lt;&gt;1,G1456=1),MAX($L$50:L1456)+1,"")</f>
        <v/>
      </c>
      <c r="M1457" s="13" t="str">
        <f>IF(AND(G1457=-1,G1456&lt;&gt;-1),MAX($M$50:M1456)+1,"")</f>
        <v/>
      </c>
      <c r="N1457" s="13" t="str">
        <f>IF(AND(G1457&lt;&gt;-1,G1456=-1),MAX($N$50:N1456)+1,"")</f>
        <v/>
      </c>
      <c r="T1457" s="7">
        <f t="shared" si="196"/>
        <v>109.28669865279143</v>
      </c>
      <c r="U1457" s="1">
        <f t="shared" si="197"/>
        <v>197.22322925040348</v>
      </c>
    </row>
    <row r="1458" spans="1:21" x14ac:dyDescent="0.3">
      <c r="A1458" s="2">
        <v>42290</v>
      </c>
      <c r="B1458" s="1">
        <v>3728.48</v>
      </c>
      <c r="C1458" s="2">
        <f t="shared" si="189"/>
        <v>42290</v>
      </c>
      <c r="D1458" s="1">
        <f t="shared" si="190"/>
        <v>3728.48</v>
      </c>
      <c r="E1458" s="4">
        <f t="shared" si="191"/>
        <v>3693.7823999999991</v>
      </c>
      <c r="F1458" s="3">
        <f t="shared" si="192"/>
        <v>1.0093935148968172</v>
      </c>
      <c r="G1458" s="18">
        <f t="shared" si="193"/>
        <v>1</v>
      </c>
      <c r="H1458" s="3">
        <f t="shared" si="194"/>
        <v>-6.726642566194152E-3</v>
      </c>
      <c r="I1458" s="3">
        <f t="shared" si="195"/>
        <v>-6.726642566194152E-3</v>
      </c>
      <c r="K1458" s="12" t="str">
        <f>IF(AND(G1458=1,G1457&lt;&gt;1),MAX($K$50:K1457)+1,"")</f>
        <v/>
      </c>
      <c r="L1458" s="13" t="str">
        <f>IF(AND(G1458&lt;&gt;1,G1457=1),MAX($L$50:L1457)+1,"")</f>
        <v/>
      </c>
      <c r="M1458" s="13" t="str">
        <f>IF(AND(G1458=-1,G1457&lt;&gt;-1),MAX($M$50:M1457)+1,"")</f>
        <v/>
      </c>
      <c r="N1458" s="13" t="str">
        <f>IF(AND(G1458&lt;&gt;-1,G1457=-1),MAX($N$50:N1457)+1,"")</f>
        <v/>
      </c>
      <c r="T1458" s="7">
        <f t="shared" si="196"/>
        <v>108.55156609371473</v>
      </c>
      <c r="U1458" s="1">
        <f t="shared" si="197"/>
        <v>195.89657908148544</v>
      </c>
    </row>
    <row r="1459" spans="1:21" x14ac:dyDescent="0.3">
      <c r="A1459" s="2">
        <v>42291</v>
      </c>
      <c r="B1459" s="1">
        <v>3711.11</v>
      </c>
      <c r="C1459" s="2">
        <f t="shared" si="189"/>
        <v>42291</v>
      </c>
      <c r="D1459" s="1">
        <f t="shared" si="190"/>
        <v>3711.11</v>
      </c>
      <c r="E1459" s="4">
        <f t="shared" si="191"/>
        <v>3690.4757999999988</v>
      </c>
      <c r="F1459" s="3">
        <f t="shared" si="192"/>
        <v>1.0055912031722309</v>
      </c>
      <c r="G1459" s="18">
        <f t="shared" si="193"/>
        <v>1</v>
      </c>
      <c r="H1459" s="3">
        <f t="shared" si="194"/>
        <v>-4.658734926833441E-3</v>
      </c>
      <c r="I1459" s="3">
        <f t="shared" si="195"/>
        <v>-4.658734926833441E-3</v>
      </c>
      <c r="K1459" s="12" t="str">
        <f>IF(AND(G1459=1,G1458&lt;&gt;1),MAX($K$50:K1458)+1,"")</f>
        <v/>
      </c>
      <c r="L1459" s="13" t="str">
        <f>IF(AND(G1459&lt;&gt;1,G1458=1),MAX($L$50:L1458)+1,"")</f>
        <v/>
      </c>
      <c r="M1459" s="13" t="str">
        <f>IF(AND(G1459=-1,G1458&lt;&gt;-1),MAX($M$50:M1458)+1,"")</f>
        <v/>
      </c>
      <c r="N1459" s="13" t="str">
        <f>IF(AND(G1459&lt;&gt;-1,G1458=-1),MAX($N$50:N1458)+1,"")</f>
        <v/>
      </c>
      <c r="T1459" s="7">
        <f t="shared" si="196"/>
        <v>108.04585312139147</v>
      </c>
      <c r="U1459" s="1">
        <f t="shared" si="197"/>
        <v>194.98394884647135</v>
      </c>
    </row>
    <row r="1460" spans="1:21" x14ac:dyDescent="0.3">
      <c r="A1460" s="2">
        <v>42292</v>
      </c>
      <c r="B1460" s="1">
        <v>3766.43</v>
      </c>
      <c r="C1460" s="2">
        <f t="shared" ref="C1460:C1523" si="198">A1460</f>
        <v>42292</v>
      </c>
      <c r="D1460" s="1">
        <f t="shared" ref="D1460:D1523" si="199">B1460</f>
        <v>3766.43</v>
      </c>
      <c r="E1460" s="4">
        <f t="shared" ref="E1460:E1523" si="200">AVERAGE(B1411:B1460)</f>
        <v>3688.0045999999988</v>
      </c>
      <c r="F1460" s="3">
        <f t="shared" ref="F1460:F1523" si="201">D1460/E1460</f>
        <v>1.0212649951683903</v>
      </c>
      <c r="G1460" s="18">
        <f t="shared" ref="G1460:G1523" si="202">IF(F1460&gt;=$Q$51,1,IF(F1460&lt;=$Q$52,-1,0))</f>
        <v>1</v>
      </c>
      <c r="H1460" s="3">
        <f t="shared" si="194"/>
        <v>1.4906591289398419E-2</v>
      </c>
      <c r="I1460" s="3">
        <f t="shared" si="195"/>
        <v>1.4906591289398419E-2</v>
      </c>
      <c r="K1460" s="12" t="str">
        <f>IF(AND(G1460=1,G1459&lt;&gt;1),MAX($K$50:K1459)+1,"")</f>
        <v/>
      </c>
      <c r="L1460" s="13" t="str">
        <f>IF(AND(G1460&lt;&gt;1,G1459=1),MAX($L$50:L1459)+1,"")</f>
        <v/>
      </c>
      <c r="M1460" s="13" t="str">
        <f>IF(AND(G1460=-1,G1459&lt;&gt;-1),MAX($M$50:M1459)+1,"")</f>
        <v/>
      </c>
      <c r="N1460" s="13" t="str">
        <f>IF(AND(G1460&lt;&gt;-1,G1459=-1),MAX($N$50:N1459)+1,"")</f>
        <v/>
      </c>
      <c r="T1460" s="7">
        <f t="shared" si="196"/>
        <v>109.65644849438642</v>
      </c>
      <c r="U1460" s="1">
        <f t="shared" si="197"/>
        <v>197.89049487991869</v>
      </c>
    </row>
    <row r="1461" spans="1:21" x14ac:dyDescent="0.3">
      <c r="A1461" s="2">
        <v>42293</v>
      </c>
      <c r="B1461" s="1">
        <v>3783.64</v>
      </c>
      <c r="C1461" s="2">
        <f t="shared" si="198"/>
        <v>42293</v>
      </c>
      <c r="D1461" s="1">
        <f t="shared" si="199"/>
        <v>3783.64</v>
      </c>
      <c r="E1461" s="4">
        <f t="shared" si="200"/>
        <v>3686.4589999999998</v>
      </c>
      <c r="F1461" s="3">
        <f t="shared" si="201"/>
        <v>1.0263616115084964</v>
      </c>
      <c r="G1461" s="18">
        <f t="shared" si="202"/>
        <v>1</v>
      </c>
      <c r="H1461" s="3">
        <f t="shared" ref="H1461:H1524" si="203">D1461/D1460-1</f>
        <v>4.5693136471407492E-3</v>
      </c>
      <c r="I1461" s="3">
        <f t="shared" ref="I1461:I1524" si="204">G1460*H1461</f>
        <v>4.5693136471407492E-3</v>
      </c>
      <c r="K1461" s="12" t="str">
        <f>IF(AND(G1461=1,G1460&lt;&gt;1),MAX($K$50:K1460)+1,"")</f>
        <v/>
      </c>
      <c r="L1461" s="13" t="str">
        <f>IF(AND(G1461&lt;&gt;1,G1460=1),MAX($L$50:L1460)+1,"")</f>
        <v/>
      </c>
      <c r="M1461" s="13" t="str">
        <f>IF(AND(G1461=-1,G1460&lt;&gt;-1),MAX($M$50:M1460)+1,"")</f>
        <v/>
      </c>
      <c r="N1461" s="13" t="str">
        <f>IF(AND(G1461&lt;&gt;-1,G1460=-1),MAX($N$50:N1460)+1,"")</f>
        <v/>
      </c>
      <c r="T1461" s="7">
        <f t="shared" ref="T1461:T1524" si="205">T1460*(1+I1461)</f>
        <v>110.15750320098881</v>
      </c>
      <c r="U1461" s="1">
        <f t="shared" ref="U1461:U1524" si="206">U1460*D1461/D1460</f>
        <v>198.79471861881294</v>
      </c>
    </row>
    <row r="1462" spans="1:21" x14ac:dyDescent="0.3">
      <c r="A1462" s="2">
        <v>42296</v>
      </c>
      <c r="B1462" s="1">
        <v>3784.72</v>
      </c>
      <c r="C1462" s="2">
        <f t="shared" si="198"/>
        <v>42296</v>
      </c>
      <c r="D1462" s="1">
        <f t="shared" si="199"/>
        <v>3784.72</v>
      </c>
      <c r="E1462" s="4">
        <f t="shared" si="200"/>
        <v>3685.1541999999999</v>
      </c>
      <c r="F1462" s="3">
        <f t="shared" si="201"/>
        <v>1.0270180824455053</v>
      </c>
      <c r="G1462" s="18">
        <f t="shared" si="202"/>
        <v>1</v>
      </c>
      <c r="H1462" s="3">
        <f t="shared" si="203"/>
        <v>2.8543941812642082E-4</v>
      </c>
      <c r="I1462" s="3">
        <f t="shared" si="204"/>
        <v>2.8543941812642082E-4</v>
      </c>
      <c r="K1462" s="12" t="str">
        <f>IF(AND(G1462=1,G1461&lt;&gt;1),MAX($K$50:K1461)+1,"")</f>
        <v/>
      </c>
      <c r="L1462" s="13" t="str">
        <f>IF(AND(G1462&lt;&gt;1,G1461=1),MAX($L$50:L1461)+1,"")</f>
        <v/>
      </c>
      <c r="M1462" s="13" t="str">
        <f>IF(AND(G1462=-1,G1461&lt;&gt;-1),MAX($M$50:M1461)+1,"")</f>
        <v/>
      </c>
      <c r="N1462" s="13" t="str">
        <f>IF(AND(G1462&lt;&gt;-1,G1461=-1),MAX($N$50:N1461)+1,"")</f>
        <v/>
      </c>
      <c r="T1462" s="7">
        <f t="shared" si="205"/>
        <v>110.18894649460476</v>
      </c>
      <c r="U1462" s="1">
        <f t="shared" si="206"/>
        <v>198.8514624676221</v>
      </c>
    </row>
    <row r="1463" spans="1:21" x14ac:dyDescent="0.3">
      <c r="A1463" s="2">
        <v>42297</v>
      </c>
      <c r="B1463" s="1">
        <v>3779.44</v>
      </c>
      <c r="C1463" s="2">
        <f t="shared" si="198"/>
        <v>42297</v>
      </c>
      <c r="D1463" s="1">
        <f t="shared" si="199"/>
        <v>3779.44</v>
      </c>
      <c r="E1463" s="4">
        <f t="shared" si="200"/>
        <v>3682.7558000000004</v>
      </c>
      <c r="F1463" s="3">
        <f t="shared" si="201"/>
        <v>1.0262532204823354</v>
      </c>
      <c r="G1463" s="18">
        <f t="shared" si="202"/>
        <v>1</v>
      </c>
      <c r="H1463" s="3">
        <f t="shared" si="203"/>
        <v>-1.3950833879388114E-3</v>
      </c>
      <c r="I1463" s="3">
        <f t="shared" si="204"/>
        <v>-1.3950833879388114E-3</v>
      </c>
      <c r="K1463" s="12" t="str">
        <f>IF(AND(G1463=1,G1462&lt;&gt;1),MAX($K$50:K1462)+1,"")</f>
        <v/>
      </c>
      <c r="L1463" s="13" t="str">
        <f>IF(AND(G1463&lt;&gt;1,G1462=1),MAX($L$50:L1462)+1,"")</f>
        <v/>
      </c>
      <c r="M1463" s="13" t="str">
        <f>IF(AND(G1463=-1,G1462&lt;&gt;-1),MAX($M$50:M1462)+1,"")</f>
        <v/>
      </c>
      <c r="N1463" s="13" t="str">
        <f>IF(AND(G1463&lt;&gt;-1,G1462=-1),MAX($N$50:N1462)+1,"")</f>
        <v/>
      </c>
      <c r="T1463" s="7">
        <f t="shared" si="205"/>
        <v>110.03522372581567</v>
      </c>
      <c r="U1463" s="1">
        <f t="shared" si="206"/>
        <v>198.57404809566617</v>
      </c>
    </row>
    <row r="1464" spans="1:21" x14ac:dyDescent="0.3">
      <c r="A1464" s="2">
        <v>42298</v>
      </c>
      <c r="B1464" s="1">
        <v>3757.91</v>
      </c>
      <c r="C1464" s="2">
        <f t="shared" si="198"/>
        <v>42298</v>
      </c>
      <c r="D1464" s="1">
        <f t="shared" si="199"/>
        <v>3757.91</v>
      </c>
      <c r="E1464" s="4">
        <f t="shared" si="200"/>
        <v>3680.6577999999995</v>
      </c>
      <c r="F1464" s="3">
        <f t="shared" si="201"/>
        <v>1.0209886939231352</v>
      </c>
      <c r="G1464" s="18">
        <f t="shared" si="202"/>
        <v>1</v>
      </c>
      <c r="H1464" s="3">
        <f t="shared" si="203"/>
        <v>-5.6966111381581142E-3</v>
      </c>
      <c r="I1464" s="3">
        <f t="shared" si="204"/>
        <v>-5.6966111381581142E-3</v>
      </c>
      <c r="K1464" s="12" t="str">
        <f>IF(AND(G1464=1,G1463&lt;&gt;1),MAX($K$50:K1463)+1,"")</f>
        <v/>
      </c>
      <c r="L1464" s="13" t="str">
        <f>IF(AND(G1464&lt;&gt;1,G1463=1),MAX($L$50:L1463)+1,"")</f>
        <v/>
      </c>
      <c r="M1464" s="13" t="str">
        <f>IF(AND(G1464=-1,G1463&lt;&gt;-1),MAX($M$50:M1463)+1,"")</f>
        <v/>
      </c>
      <c r="N1464" s="13" t="str">
        <f>IF(AND(G1464&lt;&gt;-1,G1463=-1),MAX($N$50:N1463)+1,"")</f>
        <v/>
      </c>
      <c r="T1464" s="7">
        <f t="shared" si="205"/>
        <v>109.40839584474946</v>
      </c>
      <c r="U1464" s="1">
        <f t="shared" si="206"/>
        <v>197.44284896153528</v>
      </c>
    </row>
    <row r="1465" spans="1:21" x14ac:dyDescent="0.3">
      <c r="A1465" s="2">
        <v>42299</v>
      </c>
      <c r="B1465" s="1">
        <v>3820.49</v>
      </c>
      <c r="C1465" s="2">
        <f t="shared" si="198"/>
        <v>42299</v>
      </c>
      <c r="D1465" s="1">
        <f t="shared" si="199"/>
        <v>3820.49</v>
      </c>
      <c r="E1465" s="4">
        <f t="shared" si="200"/>
        <v>3679.7201999999997</v>
      </c>
      <c r="F1465" s="3">
        <f t="shared" si="201"/>
        <v>1.0382555717143929</v>
      </c>
      <c r="G1465" s="18">
        <f t="shared" si="202"/>
        <v>1</v>
      </c>
      <c r="H1465" s="3">
        <f t="shared" si="203"/>
        <v>1.6652873538749002E-2</v>
      </c>
      <c r="I1465" s="3">
        <f t="shared" si="204"/>
        <v>1.6652873538749002E-2</v>
      </c>
      <c r="K1465" s="12" t="str">
        <f>IF(AND(G1465=1,G1464&lt;&gt;1),MAX($K$50:K1464)+1,"")</f>
        <v/>
      </c>
      <c r="L1465" s="13" t="str">
        <f>IF(AND(G1465&lt;&gt;1,G1464=1),MAX($L$50:L1464)+1,"")</f>
        <v/>
      </c>
      <c r="M1465" s="13" t="str">
        <f>IF(AND(G1465=-1,G1464&lt;&gt;-1),MAX($M$50:M1464)+1,"")</f>
        <v/>
      </c>
      <c r="N1465" s="13" t="str">
        <f>IF(AND(G1465&lt;&gt;-1,G1464=-1),MAX($N$50:N1464)+1,"")</f>
        <v/>
      </c>
      <c r="T1465" s="7">
        <f t="shared" si="205"/>
        <v>111.23036002482947</v>
      </c>
      <c r="U1465" s="1">
        <f t="shared" si="206"/>
        <v>200.73083975642203</v>
      </c>
    </row>
    <row r="1466" spans="1:21" x14ac:dyDescent="0.3">
      <c r="A1466" s="2">
        <v>42300</v>
      </c>
      <c r="B1466" s="1">
        <v>3862.65</v>
      </c>
      <c r="C1466" s="2">
        <f t="shared" si="198"/>
        <v>42300</v>
      </c>
      <c r="D1466" s="1">
        <f t="shared" si="199"/>
        <v>3862.65</v>
      </c>
      <c r="E1466" s="4">
        <f t="shared" si="200"/>
        <v>3679.7125999999989</v>
      </c>
      <c r="F1466" s="3">
        <f t="shared" si="201"/>
        <v>1.0497151326437835</v>
      </c>
      <c r="G1466" s="18">
        <f t="shared" si="202"/>
        <v>1</v>
      </c>
      <c r="H1466" s="3">
        <f t="shared" si="203"/>
        <v>1.1035233700389391E-2</v>
      </c>
      <c r="I1466" s="3">
        <f t="shared" si="204"/>
        <v>1.1035233700389391E-2</v>
      </c>
      <c r="K1466" s="12" t="str">
        <f>IF(AND(G1466=1,G1465&lt;&gt;1),MAX($K$50:K1465)+1,"")</f>
        <v/>
      </c>
      <c r="L1466" s="13" t="str">
        <f>IF(AND(G1466&lt;&gt;1,G1465=1),MAX($L$50:L1465)+1,"")</f>
        <v/>
      </c>
      <c r="M1466" s="13" t="str">
        <f>IF(AND(G1466=-1,G1465&lt;&gt;-1),MAX($M$50:M1465)+1,"")</f>
        <v/>
      </c>
      <c r="N1466" s="13" t="str">
        <f>IF(AND(G1466&lt;&gt;-1,G1465=-1),MAX($N$50:N1465)+1,"")</f>
        <v/>
      </c>
      <c r="T1466" s="7">
        <f t="shared" si="205"/>
        <v>112.45781304228191</v>
      </c>
      <c r="U1466" s="1">
        <f t="shared" si="206"/>
        <v>202.94595148400953</v>
      </c>
    </row>
    <row r="1467" spans="1:21" x14ac:dyDescent="0.3">
      <c r="A1467" s="2">
        <v>42303</v>
      </c>
      <c r="B1467" s="1">
        <v>3855.29</v>
      </c>
      <c r="C1467" s="2">
        <f t="shared" si="198"/>
        <v>42303</v>
      </c>
      <c r="D1467" s="1">
        <f t="shared" si="199"/>
        <v>3855.29</v>
      </c>
      <c r="E1467" s="4">
        <f t="shared" si="200"/>
        <v>3679.2551999999996</v>
      </c>
      <c r="F1467" s="3">
        <f t="shared" si="201"/>
        <v>1.0478452269361473</v>
      </c>
      <c r="G1467" s="18">
        <f t="shared" si="202"/>
        <v>1</v>
      </c>
      <c r="H1467" s="3">
        <f t="shared" si="203"/>
        <v>-1.9054276209338195E-3</v>
      </c>
      <c r="I1467" s="3">
        <f t="shared" si="204"/>
        <v>-1.9054276209338195E-3</v>
      </c>
      <c r="K1467" s="12" t="str">
        <f>IF(AND(G1467=1,G1466&lt;&gt;1),MAX($K$50:K1466)+1,"")</f>
        <v/>
      </c>
      <c r="L1467" s="13" t="str">
        <f>IF(AND(G1467&lt;&gt;1,G1466=1),MAX($L$50:L1466)+1,"")</f>
        <v/>
      </c>
      <c r="M1467" s="13" t="str">
        <f>IF(AND(G1467=-1,G1466&lt;&gt;-1),MAX($M$50:M1466)+1,"")</f>
        <v/>
      </c>
      <c r="N1467" s="13" t="str">
        <f>IF(AND(G1467&lt;&gt;-1,G1466=-1),MAX($N$50:N1466)+1,"")</f>
        <v/>
      </c>
      <c r="T1467" s="7">
        <f t="shared" si="205"/>
        <v>112.24353281912134</v>
      </c>
      <c r="U1467" s="1">
        <f t="shared" si="206"/>
        <v>202.5592526624952</v>
      </c>
    </row>
    <row r="1468" spans="1:21" x14ac:dyDescent="0.3">
      <c r="A1468" s="2">
        <v>42304</v>
      </c>
      <c r="B1468" s="1">
        <v>3845.45</v>
      </c>
      <c r="C1468" s="2">
        <f t="shared" si="198"/>
        <v>42304</v>
      </c>
      <c r="D1468" s="1">
        <f t="shared" si="199"/>
        <v>3845.45</v>
      </c>
      <c r="E1468" s="4">
        <f t="shared" si="200"/>
        <v>3678.1822000000002</v>
      </c>
      <c r="F1468" s="3">
        <f t="shared" si="201"/>
        <v>1.0454756700198264</v>
      </c>
      <c r="G1468" s="18">
        <f t="shared" si="202"/>
        <v>1</v>
      </c>
      <c r="H1468" s="3">
        <f t="shared" si="203"/>
        <v>-2.5523371782667503E-3</v>
      </c>
      <c r="I1468" s="3">
        <f t="shared" si="204"/>
        <v>-2.5523371782667503E-3</v>
      </c>
      <c r="K1468" s="12" t="str">
        <f>IF(AND(G1468=1,G1467&lt;&gt;1),MAX($K$50:K1467)+1,"")</f>
        <v/>
      </c>
      <c r="L1468" s="13" t="str">
        <f>IF(AND(G1468&lt;&gt;1,G1467=1),MAX($L$50:L1467)+1,"")</f>
        <v/>
      </c>
      <c r="M1468" s="13" t="str">
        <f>IF(AND(G1468=-1,G1467&lt;&gt;-1),MAX($M$50:M1467)+1,"")</f>
        <v/>
      </c>
      <c r="N1468" s="13" t="str">
        <f>IF(AND(G1468&lt;&gt;-1,G1467=-1),MAX($N$50:N1467)+1,"")</f>
        <v/>
      </c>
      <c r="T1468" s="7">
        <f t="shared" si="205"/>
        <v>111.9570494772871</v>
      </c>
      <c r="U1468" s="1">
        <f t="shared" si="206"/>
        <v>202.04225315112276</v>
      </c>
    </row>
    <row r="1469" spans="1:21" x14ac:dyDescent="0.3">
      <c r="A1469" s="2">
        <v>42305</v>
      </c>
      <c r="B1469" s="1">
        <v>3891.34</v>
      </c>
      <c r="C1469" s="2">
        <f t="shared" si="198"/>
        <v>42305</v>
      </c>
      <c r="D1469" s="1">
        <f t="shared" si="199"/>
        <v>3891.34</v>
      </c>
      <c r="E1469" s="4">
        <f t="shared" si="200"/>
        <v>3678.2170000000006</v>
      </c>
      <c r="F1469" s="3">
        <f t="shared" si="201"/>
        <v>1.0579419321916026</v>
      </c>
      <c r="G1469" s="18">
        <f t="shared" si="202"/>
        <v>1</v>
      </c>
      <c r="H1469" s="3">
        <f t="shared" si="203"/>
        <v>1.1933583845843865E-2</v>
      </c>
      <c r="I1469" s="3">
        <f t="shared" si="204"/>
        <v>1.1933583845843865E-2</v>
      </c>
      <c r="K1469" s="12" t="str">
        <f>IF(AND(G1469=1,G1468&lt;&gt;1),MAX($K$50:K1468)+1,"")</f>
        <v/>
      </c>
      <c r="L1469" s="13" t="str">
        <f>IF(AND(G1469&lt;&gt;1,G1468=1),MAX($L$50:L1468)+1,"")</f>
        <v/>
      </c>
      <c r="M1469" s="13" t="str">
        <f>IF(AND(G1469=-1,G1468&lt;&gt;-1),MAX($M$50:M1468)+1,"")</f>
        <v/>
      </c>
      <c r="N1469" s="13" t="str">
        <f>IF(AND(G1469&lt;&gt;-1,G1468=-1),MAX($N$50:N1468)+1,"")</f>
        <v/>
      </c>
      <c r="T1469" s="7">
        <f t="shared" si="205"/>
        <v>113.29309831435759</v>
      </c>
      <c r="U1469" s="1">
        <f t="shared" si="206"/>
        <v>204.45334131950491</v>
      </c>
    </row>
    <row r="1470" spans="1:21" x14ac:dyDescent="0.3">
      <c r="A1470" s="2">
        <v>42306</v>
      </c>
      <c r="B1470" s="1">
        <v>3890.04</v>
      </c>
      <c r="C1470" s="2">
        <f t="shared" si="198"/>
        <v>42306</v>
      </c>
      <c r="D1470" s="1">
        <f t="shared" si="199"/>
        <v>3890.04</v>
      </c>
      <c r="E1470" s="4">
        <f t="shared" si="200"/>
        <v>3678.8630000000012</v>
      </c>
      <c r="F1470" s="3">
        <f t="shared" si="201"/>
        <v>1.0574027899380865</v>
      </c>
      <c r="G1470" s="18">
        <f t="shared" si="202"/>
        <v>1</v>
      </c>
      <c r="H1470" s="3">
        <f t="shared" si="203"/>
        <v>-3.3407515149030953E-4</v>
      </c>
      <c r="I1470" s="3">
        <f t="shared" si="204"/>
        <v>-3.3407515149030953E-4</v>
      </c>
      <c r="K1470" s="12" t="str">
        <f>IF(AND(G1470=1,G1469&lt;&gt;1),MAX($K$50:K1469)+1,"")</f>
        <v/>
      </c>
      <c r="L1470" s="13" t="str">
        <f>IF(AND(G1470&lt;&gt;1,G1469=1),MAX($L$50:L1469)+1,"")</f>
        <v/>
      </c>
      <c r="M1470" s="13" t="str">
        <f>IF(AND(G1470=-1,G1469&lt;&gt;-1),MAX($M$50:M1469)+1,"")</f>
        <v/>
      </c>
      <c r="N1470" s="13" t="str">
        <f>IF(AND(G1470&lt;&gt;-1,G1469=-1),MAX($N$50:N1469)+1,"")</f>
        <v/>
      </c>
      <c r="T1470" s="7">
        <f t="shared" si="205"/>
        <v>113.25524990537542</v>
      </c>
      <c r="U1470" s="1">
        <f t="shared" si="206"/>
        <v>204.38503853853092</v>
      </c>
    </row>
    <row r="1471" spans="1:21" x14ac:dyDescent="0.3">
      <c r="A1471" s="2">
        <v>42307</v>
      </c>
      <c r="B1471" s="1">
        <v>3871.33</v>
      </c>
      <c r="C1471" s="2">
        <f t="shared" si="198"/>
        <v>42307</v>
      </c>
      <c r="D1471" s="1">
        <f t="shared" si="199"/>
        <v>3871.33</v>
      </c>
      <c r="E1471" s="4">
        <f t="shared" si="200"/>
        <v>3680.7624000000005</v>
      </c>
      <c r="F1471" s="3">
        <f t="shared" si="201"/>
        <v>1.0517739477017043</v>
      </c>
      <c r="G1471" s="18">
        <f t="shared" si="202"/>
        <v>1</v>
      </c>
      <c r="H1471" s="3">
        <f t="shared" si="203"/>
        <v>-4.8097191802655148E-3</v>
      </c>
      <c r="I1471" s="3">
        <f t="shared" si="204"/>
        <v>-4.8097191802655148E-3</v>
      </c>
      <c r="K1471" s="12" t="str">
        <f>IF(AND(G1471=1,G1470&lt;&gt;1),MAX($K$50:K1470)+1,"")</f>
        <v/>
      </c>
      <c r="L1471" s="13" t="str">
        <f>IF(AND(G1471&lt;&gt;1,G1470=1),MAX($L$50:L1470)+1,"")</f>
        <v/>
      </c>
      <c r="M1471" s="13" t="str">
        <f>IF(AND(G1471=-1,G1470&lt;&gt;-1),MAX($M$50:M1470)+1,"")</f>
        <v/>
      </c>
      <c r="N1471" s="13" t="str">
        <f>IF(AND(G1471&lt;&gt;-1,G1470=-1),MAX($N$50:N1470)+1,"")</f>
        <v/>
      </c>
      <c r="T1471" s="7">
        <f t="shared" si="205"/>
        <v>112.71052395763978</v>
      </c>
      <c r="U1471" s="1">
        <f t="shared" si="206"/>
        <v>203.40200389851285</v>
      </c>
    </row>
    <row r="1472" spans="1:21" x14ac:dyDescent="0.3">
      <c r="A1472" s="2">
        <v>42310</v>
      </c>
      <c r="B1472" s="1">
        <v>3917.3</v>
      </c>
      <c r="C1472" s="2">
        <f t="shared" si="198"/>
        <v>42310</v>
      </c>
      <c r="D1472" s="1">
        <f t="shared" si="199"/>
        <v>3917.3</v>
      </c>
      <c r="E1472" s="4">
        <f t="shared" si="200"/>
        <v>3685.9749999999999</v>
      </c>
      <c r="F1472" s="3">
        <f t="shared" si="201"/>
        <v>1.0627581576109442</v>
      </c>
      <c r="G1472" s="18">
        <f t="shared" si="202"/>
        <v>1</v>
      </c>
      <c r="H1472" s="3">
        <f t="shared" si="203"/>
        <v>1.1874472080654508E-2</v>
      </c>
      <c r="I1472" s="3">
        <f t="shared" si="204"/>
        <v>1.1874472080654508E-2</v>
      </c>
      <c r="K1472" s="12" t="str">
        <f>IF(AND(G1472=1,G1471&lt;&gt;1),MAX($K$50:K1471)+1,"")</f>
        <v/>
      </c>
      <c r="L1472" s="13" t="str">
        <f>IF(AND(G1472&lt;&gt;1,G1471=1),MAX($L$50:L1471)+1,"")</f>
        <v/>
      </c>
      <c r="M1472" s="13" t="str">
        <f>IF(AND(G1472=-1,G1471&lt;&gt;-1),MAX($M$50:M1471)+1,"")</f>
        <v/>
      </c>
      <c r="N1472" s="13" t="str">
        <f>IF(AND(G1472&lt;&gt;-1,G1471=-1),MAX($N$50:N1471)+1,"")</f>
        <v/>
      </c>
      <c r="T1472" s="7">
        <f t="shared" si="205"/>
        <v>114.04890192757071</v>
      </c>
      <c r="U1472" s="1">
        <f t="shared" si="206"/>
        <v>205.81729531495489</v>
      </c>
    </row>
    <row r="1473" spans="1:21" x14ac:dyDescent="0.3">
      <c r="A1473" s="2">
        <v>42311</v>
      </c>
      <c r="B1473" s="1">
        <v>3928.05</v>
      </c>
      <c r="C1473" s="2">
        <f t="shared" si="198"/>
        <v>42311</v>
      </c>
      <c r="D1473" s="1">
        <f t="shared" si="199"/>
        <v>3928.05</v>
      </c>
      <c r="E1473" s="4">
        <f t="shared" si="200"/>
        <v>3694.2829999999999</v>
      </c>
      <c r="F1473" s="3">
        <f t="shared" si="201"/>
        <v>1.0632780433984079</v>
      </c>
      <c r="G1473" s="18">
        <f t="shared" si="202"/>
        <v>1</v>
      </c>
      <c r="H1473" s="3">
        <f t="shared" si="203"/>
        <v>2.7442371020856005E-3</v>
      </c>
      <c r="I1473" s="3">
        <f t="shared" si="204"/>
        <v>2.7442371020856005E-3</v>
      </c>
      <c r="K1473" s="12" t="str">
        <f>IF(AND(G1473=1,G1472&lt;&gt;1),MAX($K$50:K1472)+1,"")</f>
        <v/>
      </c>
      <c r="L1473" s="13" t="str">
        <f>IF(AND(G1473&lt;&gt;1,G1472=1),MAX($L$50:L1472)+1,"")</f>
        <v/>
      </c>
      <c r="M1473" s="13" t="str">
        <f>IF(AND(G1473=-1,G1472&lt;&gt;-1),MAX($M$50:M1472)+1,"")</f>
        <v/>
      </c>
      <c r="N1473" s="13" t="str">
        <f>IF(AND(G1473&lt;&gt;-1,G1472=-1),MAX($N$50:N1472)+1,"")</f>
        <v/>
      </c>
      <c r="T1473" s="7">
        <f t="shared" si="205"/>
        <v>114.36187915569248</v>
      </c>
      <c r="U1473" s="1">
        <f t="shared" si="206"/>
        <v>206.3821067730091</v>
      </c>
    </row>
    <row r="1474" spans="1:21" x14ac:dyDescent="0.3">
      <c r="A1474" s="2">
        <v>42312</v>
      </c>
      <c r="B1474" s="1">
        <v>3915.52</v>
      </c>
      <c r="C1474" s="2">
        <f t="shared" si="198"/>
        <v>42312</v>
      </c>
      <c r="D1474" s="1">
        <f t="shared" si="199"/>
        <v>3915.52</v>
      </c>
      <c r="E1474" s="4">
        <f t="shared" si="200"/>
        <v>3703.2895999999996</v>
      </c>
      <c r="F1474" s="3">
        <f t="shared" si="201"/>
        <v>1.0573086155616889</v>
      </c>
      <c r="G1474" s="18">
        <f t="shared" si="202"/>
        <v>1</v>
      </c>
      <c r="H1474" s="3">
        <f t="shared" si="203"/>
        <v>-3.1898779292525159E-3</v>
      </c>
      <c r="I1474" s="3">
        <f t="shared" si="204"/>
        <v>-3.1898779292525159E-3</v>
      </c>
      <c r="K1474" s="12" t="str">
        <f>IF(AND(G1474=1,G1473&lt;&gt;1),MAX($K$50:K1473)+1,"")</f>
        <v/>
      </c>
      <c r="L1474" s="13" t="str">
        <f>IF(AND(G1474&lt;&gt;1,G1473=1),MAX($L$50:L1473)+1,"")</f>
        <v/>
      </c>
      <c r="M1474" s="13" t="str">
        <f>IF(AND(G1474=-1,G1473&lt;&gt;-1),MAX($M$50:M1473)+1,"")</f>
        <v/>
      </c>
      <c r="N1474" s="13" t="str">
        <f>IF(AND(G1474&lt;&gt;-1,G1473=-1),MAX($N$50:N1473)+1,"")</f>
        <v/>
      </c>
      <c r="T1474" s="7">
        <f t="shared" si="205"/>
        <v>113.99707872142589</v>
      </c>
      <c r="U1474" s="1">
        <f t="shared" si="206"/>
        <v>205.72377304562127</v>
      </c>
    </row>
    <row r="1475" spans="1:21" x14ac:dyDescent="0.3">
      <c r="A1475" s="2">
        <v>42313</v>
      </c>
      <c r="B1475" s="1">
        <v>3911.89</v>
      </c>
      <c r="C1475" s="2">
        <f t="shared" si="198"/>
        <v>42313</v>
      </c>
      <c r="D1475" s="1">
        <f t="shared" si="199"/>
        <v>3911.89</v>
      </c>
      <c r="E1475" s="4">
        <f t="shared" si="200"/>
        <v>3709.5127999999995</v>
      </c>
      <c r="F1475" s="3">
        <f t="shared" si="201"/>
        <v>1.0545562748833217</v>
      </c>
      <c r="G1475" s="18">
        <f t="shared" si="202"/>
        <v>1</v>
      </c>
      <c r="H1475" s="3">
        <f t="shared" si="203"/>
        <v>-9.2707992808105377E-4</v>
      </c>
      <c r="I1475" s="3">
        <f t="shared" si="204"/>
        <v>-9.2707992808105377E-4</v>
      </c>
      <c r="K1475" s="12" t="str">
        <f>IF(AND(G1475=1,G1474&lt;&gt;1),MAX($K$50:K1474)+1,"")</f>
        <v/>
      </c>
      <c r="L1475" s="13" t="str">
        <f>IF(AND(G1475&lt;&gt;1,G1474=1),MAX($L$50:L1474)+1,"")</f>
        <v/>
      </c>
      <c r="M1475" s="13" t="str">
        <f>IF(AND(G1475=-1,G1474&lt;&gt;-1),MAX($M$50:M1474)+1,"")</f>
        <v/>
      </c>
      <c r="N1475" s="13" t="str">
        <f>IF(AND(G1475&lt;&gt;-1,G1474=-1),MAX($N$50:N1474)+1,"")</f>
        <v/>
      </c>
      <c r="T1475" s="7">
        <f t="shared" si="205"/>
        <v>113.89139431788338</v>
      </c>
      <c r="U1475" s="1">
        <f t="shared" si="206"/>
        <v>205.53305066490157</v>
      </c>
    </row>
    <row r="1476" spans="1:21" x14ac:dyDescent="0.3">
      <c r="A1476" s="2">
        <v>42314</v>
      </c>
      <c r="B1476" s="1">
        <v>3910.98</v>
      </c>
      <c r="C1476" s="2">
        <f t="shared" si="198"/>
        <v>42314</v>
      </c>
      <c r="D1476" s="1">
        <f t="shared" si="199"/>
        <v>3910.98</v>
      </c>
      <c r="E1476" s="4">
        <f t="shared" si="200"/>
        <v>3713.9603999999999</v>
      </c>
      <c r="F1476" s="3">
        <f t="shared" si="201"/>
        <v>1.0530483846839078</v>
      </c>
      <c r="G1476" s="18">
        <f t="shared" si="202"/>
        <v>1</v>
      </c>
      <c r="H1476" s="3">
        <f t="shared" si="203"/>
        <v>-2.3262412797897536E-4</v>
      </c>
      <c r="I1476" s="3">
        <f t="shared" si="204"/>
        <v>-2.3262412797897536E-4</v>
      </c>
      <c r="K1476" s="12" t="str">
        <f>IF(AND(G1476=1,G1475&lt;&gt;1),MAX($K$50:K1475)+1,"")</f>
        <v/>
      </c>
      <c r="L1476" s="13" t="str">
        <f>IF(AND(G1476&lt;&gt;1,G1475=1),MAX($L$50:L1475)+1,"")</f>
        <v/>
      </c>
      <c r="M1476" s="13" t="str">
        <f>IF(AND(G1476=-1,G1475&lt;&gt;-1),MAX($M$50:M1475)+1,"")</f>
        <v/>
      </c>
      <c r="N1476" s="13" t="str">
        <f>IF(AND(G1476&lt;&gt;-1,G1475=-1),MAX($N$50:N1475)+1,"")</f>
        <v/>
      </c>
      <c r="T1476" s="7">
        <f t="shared" si="205"/>
        <v>113.86490043159587</v>
      </c>
      <c r="U1476" s="1">
        <f t="shared" si="206"/>
        <v>205.48523871821979</v>
      </c>
    </row>
    <row r="1477" spans="1:21" x14ac:dyDescent="0.3">
      <c r="A1477" s="2">
        <v>42317</v>
      </c>
      <c r="B1477" s="1">
        <v>3873.37</v>
      </c>
      <c r="C1477" s="2">
        <f t="shared" si="198"/>
        <v>42317</v>
      </c>
      <c r="D1477" s="1">
        <f t="shared" si="199"/>
        <v>3873.37</v>
      </c>
      <c r="E1477" s="4">
        <f t="shared" si="200"/>
        <v>3717.6017999999995</v>
      </c>
      <c r="F1477" s="3">
        <f t="shared" si="201"/>
        <v>1.0419001841455964</v>
      </c>
      <c r="G1477" s="18">
        <f t="shared" si="202"/>
        <v>1</v>
      </c>
      <c r="H1477" s="3">
        <f t="shared" si="203"/>
        <v>-9.6165155536463987E-3</v>
      </c>
      <c r="I1477" s="3">
        <f t="shared" si="204"/>
        <v>-9.6165155536463987E-3</v>
      </c>
      <c r="K1477" s="12" t="str">
        <f>IF(AND(G1477=1,G1476&lt;&gt;1),MAX($K$50:K1476)+1,"")</f>
        <v/>
      </c>
      <c r="L1477" s="13" t="str">
        <f>IF(AND(G1477&lt;&gt;1,G1476=1),MAX($L$50:L1476)+1,"")</f>
        <v/>
      </c>
      <c r="M1477" s="13" t="str">
        <f>IF(AND(G1477=-1,G1476&lt;&gt;-1),MAX($M$50:M1476)+1,"")</f>
        <v/>
      </c>
      <c r="N1477" s="13" t="str">
        <f>IF(AND(G1477&lt;&gt;-1,G1476=-1),MAX($N$50:N1476)+1,"")</f>
        <v/>
      </c>
      <c r="T1477" s="7">
        <f t="shared" si="205"/>
        <v>112.76991684558104</v>
      </c>
      <c r="U1477" s="1">
        <f t="shared" si="206"/>
        <v>203.50918672404129</v>
      </c>
    </row>
    <row r="1478" spans="1:21" x14ac:dyDescent="0.3">
      <c r="A1478" s="2">
        <v>42318</v>
      </c>
      <c r="B1478" s="1">
        <v>3880.23</v>
      </c>
      <c r="C1478" s="2">
        <f t="shared" si="198"/>
        <v>42318</v>
      </c>
      <c r="D1478" s="1">
        <f t="shared" si="199"/>
        <v>3880.23</v>
      </c>
      <c r="E1478" s="4">
        <f t="shared" si="200"/>
        <v>3721.9913999999994</v>
      </c>
      <c r="F1478" s="3">
        <f t="shared" si="201"/>
        <v>1.042514499093147</v>
      </c>
      <c r="G1478" s="18">
        <f t="shared" si="202"/>
        <v>1</v>
      </c>
      <c r="H1478" s="3">
        <f t="shared" si="203"/>
        <v>1.7710675716495761E-3</v>
      </c>
      <c r="I1478" s="3">
        <f t="shared" si="204"/>
        <v>1.7710675716495761E-3</v>
      </c>
      <c r="K1478" s="12" t="str">
        <f>IF(AND(G1478=1,G1477&lt;&gt;1),MAX($K$50:K1477)+1,"")</f>
        <v/>
      </c>
      <c r="L1478" s="13" t="str">
        <f>IF(AND(G1478&lt;&gt;1,G1477=1),MAX($L$50:L1477)+1,"")</f>
        <v/>
      </c>
      <c r="M1478" s="13" t="str">
        <f>IF(AND(G1478=-1,G1477&lt;&gt;-1),MAX($M$50:M1477)+1,"")</f>
        <v/>
      </c>
      <c r="N1478" s="13" t="str">
        <f>IF(AND(G1478&lt;&gt;-1,G1477=-1),MAX($N$50:N1477)+1,"")</f>
        <v/>
      </c>
      <c r="T1478" s="7">
        <f t="shared" si="205"/>
        <v>112.96963998836387</v>
      </c>
      <c r="U1478" s="1">
        <f t="shared" si="206"/>
        <v>203.869615245181</v>
      </c>
    </row>
    <row r="1479" spans="1:21" x14ac:dyDescent="0.3">
      <c r="A1479" s="2">
        <v>42319</v>
      </c>
      <c r="B1479" s="1">
        <v>3867.71</v>
      </c>
      <c r="C1479" s="2">
        <f t="shared" si="198"/>
        <v>42319</v>
      </c>
      <c r="D1479" s="1">
        <f t="shared" si="199"/>
        <v>3867.71</v>
      </c>
      <c r="E1479" s="4">
        <f t="shared" si="200"/>
        <v>3728.2925999999993</v>
      </c>
      <c r="F1479" s="3">
        <f t="shared" si="201"/>
        <v>1.0373944362628622</v>
      </c>
      <c r="G1479" s="18">
        <f t="shared" si="202"/>
        <v>1</v>
      </c>
      <c r="H1479" s="3">
        <f t="shared" si="203"/>
        <v>-3.2266128554234719E-3</v>
      </c>
      <c r="I1479" s="3">
        <f t="shared" si="204"/>
        <v>-3.2266128554234719E-3</v>
      </c>
      <c r="K1479" s="12" t="str">
        <f>IF(AND(G1479=1,G1478&lt;&gt;1),MAX($K$50:K1478)+1,"")</f>
        <v/>
      </c>
      <c r="L1479" s="13" t="str">
        <f>IF(AND(G1479&lt;&gt;1,G1478=1),MAX($L$50:L1478)+1,"")</f>
        <v/>
      </c>
      <c r="M1479" s="13" t="str">
        <f>IF(AND(G1479=-1,G1478&lt;&gt;-1),MAX($M$50:M1478)+1,"")</f>
        <v/>
      </c>
      <c r="N1479" s="13" t="str">
        <f>IF(AND(G1479&lt;&gt;-1,G1478=-1),MAX($N$50:N1478)+1,"")</f>
        <v/>
      </c>
      <c r="T1479" s="7">
        <f t="shared" si="205"/>
        <v>112.60513069570484</v>
      </c>
      <c r="U1479" s="1">
        <f t="shared" si="206"/>
        <v>203.21180692380065</v>
      </c>
    </row>
    <row r="1480" spans="1:21" x14ac:dyDescent="0.3">
      <c r="A1480" s="2">
        <v>42320</v>
      </c>
      <c r="B1480" s="1">
        <v>3814.29</v>
      </c>
      <c r="C1480" s="2">
        <f t="shared" si="198"/>
        <v>42320</v>
      </c>
      <c r="D1480" s="1">
        <f t="shared" si="199"/>
        <v>3814.29</v>
      </c>
      <c r="E1480" s="4">
        <f t="shared" si="200"/>
        <v>3732.2133999999996</v>
      </c>
      <c r="F1480" s="3">
        <f t="shared" si="201"/>
        <v>1.0219914005989048</v>
      </c>
      <c r="G1480" s="18">
        <f t="shared" si="202"/>
        <v>1</v>
      </c>
      <c r="H1480" s="3">
        <f t="shared" si="203"/>
        <v>-1.3811790439303917E-2</v>
      </c>
      <c r="I1480" s="3">
        <f t="shared" si="204"/>
        <v>-1.3811790439303917E-2</v>
      </c>
      <c r="K1480" s="12" t="str">
        <f>IF(AND(G1480=1,G1479&lt;&gt;1),MAX($K$50:K1479)+1,"")</f>
        <v/>
      </c>
      <c r="L1480" s="13" t="str">
        <f>IF(AND(G1480&lt;&gt;1,G1479=1),MAX($L$50:L1479)+1,"")</f>
        <v/>
      </c>
      <c r="M1480" s="13" t="str">
        <f>IF(AND(G1480=-1,G1479&lt;&gt;-1),MAX($M$50:M1479)+1,"")</f>
        <v/>
      </c>
      <c r="N1480" s="13" t="str">
        <f>IF(AND(G1480&lt;&gt;-1,G1479=-1),MAX($N$50:N1479)+1,"")</f>
        <v/>
      </c>
      <c r="T1480" s="7">
        <f t="shared" si="205"/>
        <v>111.04985222814534</v>
      </c>
      <c r="U1480" s="1">
        <f t="shared" si="206"/>
        <v>200.40508803177684</v>
      </c>
    </row>
    <row r="1481" spans="1:21" x14ac:dyDescent="0.3">
      <c r="A1481" s="2">
        <v>42321</v>
      </c>
      <c r="B1481" s="1">
        <v>3771.59</v>
      </c>
      <c r="C1481" s="2">
        <f t="shared" si="198"/>
        <v>42321</v>
      </c>
      <c r="D1481" s="1">
        <f t="shared" si="199"/>
        <v>3771.59</v>
      </c>
      <c r="E1481" s="4">
        <f t="shared" si="200"/>
        <v>3735.1919999999996</v>
      </c>
      <c r="F1481" s="3">
        <f t="shared" si="201"/>
        <v>1.0097446128605974</v>
      </c>
      <c r="G1481" s="18">
        <f t="shared" si="202"/>
        <v>1</v>
      </c>
      <c r="H1481" s="3">
        <f t="shared" si="203"/>
        <v>-1.1194743975943E-2</v>
      </c>
      <c r="I1481" s="3">
        <f t="shared" si="204"/>
        <v>-1.1194743975943E-2</v>
      </c>
      <c r="K1481" s="12" t="str">
        <f>IF(AND(G1481=1,G1480&lt;&gt;1),MAX($K$50:K1480)+1,"")</f>
        <v/>
      </c>
      <c r="L1481" s="13" t="str">
        <f>IF(AND(G1481&lt;&gt;1,G1480=1),MAX($L$50:L1480)+1,"")</f>
        <v/>
      </c>
      <c r="M1481" s="13" t="str">
        <f>IF(AND(G1481=-1,G1480&lt;&gt;-1),MAX($M$50:M1480)+1,"")</f>
        <v/>
      </c>
      <c r="N1481" s="13" t="str">
        <f>IF(AND(G1481&lt;&gt;-1,G1480=-1),MAX($N$50:N1480)+1,"")</f>
        <v/>
      </c>
      <c r="T1481" s="7">
        <f t="shared" si="205"/>
        <v>109.80667756388495</v>
      </c>
      <c r="U1481" s="1">
        <f t="shared" si="206"/>
        <v>198.16160437978479</v>
      </c>
    </row>
    <row r="1482" spans="1:21" x14ac:dyDescent="0.3">
      <c r="A1482" s="2">
        <v>42324</v>
      </c>
      <c r="B1482" s="1">
        <v>3828.46</v>
      </c>
      <c r="C1482" s="2">
        <f t="shared" si="198"/>
        <v>42324</v>
      </c>
      <c r="D1482" s="1">
        <f t="shared" si="199"/>
        <v>3828.46</v>
      </c>
      <c r="E1482" s="4">
        <f t="shared" si="200"/>
        <v>3740.4129999999991</v>
      </c>
      <c r="F1482" s="3">
        <f t="shared" si="201"/>
        <v>1.0235393792075904</v>
      </c>
      <c r="G1482" s="18">
        <f t="shared" si="202"/>
        <v>1</v>
      </c>
      <c r="H1482" s="3">
        <f t="shared" si="203"/>
        <v>1.507852126026421E-2</v>
      </c>
      <c r="I1482" s="3">
        <f t="shared" si="204"/>
        <v>1.507852126026421E-2</v>
      </c>
      <c r="K1482" s="12" t="str">
        <f>IF(AND(G1482=1,G1481&lt;&gt;1),MAX($K$50:K1481)+1,"")</f>
        <v/>
      </c>
      <c r="L1482" s="13" t="str">
        <f>IF(AND(G1482&lt;&gt;1,G1481=1),MAX($L$50:L1481)+1,"")</f>
        <v/>
      </c>
      <c r="M1482" s="13" t="str">
        <f>IF(AND(G1482=-1,G1481&lt;&gt;-1),MAX($M$50:M1481)+1,"")</f>
        <v/>
      </c>
      <c r="N1482" s="13" t="str">
        <f>IF(AND(G1482&lt;&gt;-1,G1481=-1),MAX($N$50:N1481)+1,"")</f>
        <v/>
      </c>
      <c r="T1482" s="7">
        <f t="shared" si="205"/>
        <v>111.46239988605096</v>
      </c>
      <c r="U1482" s="1">
        <f t="shared" si="206"/>
        <v>201.14958834439344</v>
      </c>
    </row>
    <row r="1483" spans="1:21" x14ac:dyDescent="0.3">
      <c r="A1483" s="2">
        <v>42325</v>
      </c>
      <c r="B1483" s="1">
        <v>3824.14</v>
      </c>
      <c r="C1483" s="2">
        <f t="shared" si="198"/>
        <v>42325</v>
      </c>
      <c r="D1483" s="1">
        <f t="shared" si="199"/>
        <v>3824.14</v>
      </c>
      <c r="E1483" s="4">
        <f t="shared" si="200"/>
        <v>3743.7493999999992</v>
      </c>
      <c r="F1483" s="3">
        <f t="shared" si="201"/>
        <v>1.0214732855783564</v>
      </c>
      <c r="G1483" s="18">
        <f t="shared" si="202"/>
        <v>1</v>
      </c>
      <c r="H1483" s="3">
        <f t="shared" si="203"/>
        <v>-1.1283910501873606E-3</v>
      </c>
      <c r="I1483" s="3">
        <f t="shared" si="204"/>
        <v>-1.1283910501873606E-3</v>
      </c>
      <c r="K1483" s="12" t="str">
        <f>IF(AND(G1483=1,G1482&lt;&gt;1),MAX($K$50:K1482)+1,"")</f>
        <v/>
      </c>
      <c r="L1483" s="13" t="str">
        <f>IF(AND(G1483&lt;&gt;1,G1482=1),MAX($L$50:L1482)+1,"")</f>
        <v/>
      </c>
      <c r="M1483" s="13" t="str">
        <f>IF(AND(G1483=-1,G1482&lt;&gt;-1),MAX($M$50:M1482)+1,"")</f>
        <v/>
      </c>
      <c r="N1483" s="13" t="str">
        <f>IF(AND(G1483&lt;&gt;-1,G1482=-1),MAX($N$50:N1482)+1,"")</f>
        <v/>
      </c>
      <c r="T1483" s="7">
        <f t="shared" si="205"/>
        <v>111.33662671158713</v>
      </c>
      <c r="U1483" s="1">
        <f t="shared" si="206"/>
        <v>200.92261294915676</v>
      </c>
    </row>
    <row r="1484" spans="1:21" x14ac:dyDescent="0.3">
      <c r="A1484" s="2">
        <v>42326</v>
      </c>
      <c r="B1484" s="1">
        <v>3886.26</v>
      </c>
      <c r="C1484" s="2">
        <f t="shared" si="198"/>
        <v>42326</v>
      </c>
      <c r="D1484" s="1">
        <f t="shared" si="199"/>
        <v>3886.26</v>
      </c>
      <c r="E1484" s="4">
        <f t="shared" si="200"/>
        <v>3749.3385999999991</v>
      </c>
      <c r="F1484" s="3">
        <f t="shared" si="201"/>
        <v>1.0365188142783373</v>
      </c>
      <c r="G1484" s="18">
        <f t="shared" si="202"/>
        <v>1</v>
      </c>
      <c r="H1484" s="3">
        <f t="shared" si="203"/>
        <v>1.6244175160951224E-2</v>
      </c>
      <c r="I1484" s="3">
        <f t="shared" si="204"/>
        <v>1.6244175160951224E-2</v>
      </c>
      <c r="K1484" s="12" t="str">
        <f>IF(AND(G1484=1,G1483&lt;&gt;1),MAX($K$50:K1483)+1,"")</f>
        <v/>
      </c>
      <c r="L1484" s="13" t="str">
        <f>IF(AND(G1484&lt;&gt;1,G1483=1),MAX($L$50:L1483)+1,"")</f>
        <v/>
      </c>
      <c r="M1484" s="13" t="str">
        <f>IF(AND(G1484=-1,G1483&lt;&gt;-1),MAX($M$50:M1483)+1,"")</f>
        <v/>
      </c>
      <c r="N1484" s="13" t="str">
        <f>IF(AND(G1484&lt;&gt;-1,G1483=-1),MAX($N$50:N1483)+1,"")</f>
        <v/>
      </c>
      <c r="T1484" s="7">
        <f t="shared" si="205"/>
        <v>113.14519837771959</v>
      </c>
      <c r="U1484" s="1">
        <f t="shared" si="206"/>
        <v>204.18643506769888</v>
      </c>
    </row>
    <row r="1485" spans="1:21" x14ac:dyDescent="0.3">
      <c r="A1485" s="2">
        <v>42327</v>
      </c>
      <c r="B1485" s="1">
        <v>3882.06</v>
      </c>
      <c r="C1485" s="2">
        <f t="shared" si="198"/>
        <v>42327</v>
      </c>
      <c r="D1485" s="1">
        <f t="shared" si="199"/>
        <v>3882.06</v>
      </c>
      <c r="E1485" s="4">
        <f t="shared" si="200"/>
        <v>3754.4569999999994</v>
      </c>
      <c r="F1485" s="3">
        <f t="shared" si="201"/>
        <v>1.0339870718988127</v>
      </c>
      <c r="G1485" s="18">
        <f t="shared" si="202"/>
        <v>1</v>
      </c>
      <c r="H1485" s="3">
        <f t="shared" si="203"/>
        <v>-1.0807305738680384E-3</v>
      </c>
      <c r="I1485" s="3">
        <f t="shared" si="204"/>
        <v>-1.0807305738680384E-3</v>
      </c>
      <c r="K1485" s="12" t="str">
        <f>IF(AND(G1485=1,G1484&lt;&gt;1),MAX($K$50:K1484)+1,"")</f>
        <v/>
      </c>
      <c r="L1485" s="13" t="str">
        <f>IF(AND(G1485&lt;&gt;1,G1484=1),MAX($L$50:L1484)+1,"")</f>
        <v/>
      </c>
      <c r="M1485" s="13" t="str">
        <f>IF(AND(G1485=-1,G1484&lt;&gt;-1),MAX($M$50:M1484)+1,"")</f>
        <v/>
      </c>
      <c r="N1485" s="13" t="str">
        <f>IF(AND(G1485&lt;&gt;-1,G1484=-1),MAX($N$50:N1484)+1,"")</f>
        <v/>
      </c>
      <c r="T1485" s="7">
        <f t="shared" si="205"/>
        <v>113.02291890254642</v>
      </c>
      <c r="U1485" s="1">
        <f t="shared" si="206"/>
        <v>203.96576454455212</v>
      </c>
    </row>
    <row r="1486" spans="1:21" x14ac:dyDescent="0.3">
      <c r="A1486" s="2">
        <v>42328</v>
      </c>
      <c r="B1486" s="1">
        <v>3897.45</v>
      </c>
      <c r="C1486" s="2">
        <f t="shared" si="198"/>
        <v>42328</v>
      </c>
      <c r="D1486" s="1">
        <f t="shared" si="199"/>
        <v>3897.45</v>
      </c>
      <c r="E1486" s="4">
        <f t="shared" si="200"/>
        <v>3759.5352000000003</v>
      </c>
      <c r="F1486" s="3">
        <f t="shared" si="201"/>
        <v>1.0366840028522675</v>
      </c>
      <c r="G1486" s="18">
        <f t="shared" si="202"/>
        <v>1</v>
      </c>
      <c r="H1486" s="3">
        <f t="shared" si="203"/>
        <v>3.9643900403394383E-3</v>
      </c>
      <c r="I1486" s="3">
        <f t="shared" si="204"/>
        <v>3.9643900403394383E-3</v>
      </c>
      <c r="K1486" s="12" t="str">
        <f>IF(AND(G1486=1,G1485&lt;&gt;1),MAX($K$50:K1485)+1,"")</f>
        <v/>
      </c>
      <c r="L1486" s="13" t="str">
        <f>IF(AND(G1486&lt;&gt;1,G1485=1),MAX($L$50:L1485)+1,"")</f>
        <v/>
      </c>
      <c r="M1486" s="13" t="str">
        <f>IF(AND(G1486=-1,G1485&lt;&gt;-1),MAX($M$50:M1485)+1,"")</f>
        <v/>
      </c>
      <c r="N1486" s="13" t="str">
        <f>IF(AND(G1486&lt;&gt;-1,G1485=-1),MAX($N$50:N1485)+1,"")</f>
        <v/>
      </c>
      <c r="T1486" s="7">
        <f t="shared" si="205"/>
        <v>113.47098583657377</v>
      </c>
      <c r="U1486" s="1">
        <f t="shared" si="206"/>
        <v>204.77436439008275</v>
      </c>
    </row>
    <row r="1487" spans="1:21" x14ac:dyDescent="0.3">
      <c r="A1487" s="2">
        <v>42331</v>
      </c>
      <c r="B1487" s="1">
        <v>3892.8</v>
      </c>
      <c r="C1487" s="2">
        <f t="shared" si="198"/>
        <v>42331</v>
      </c>
      <c r="D1487" s="1">
        <f t="shared" si="199"/>
        <v>3892.8</v>
      </c>
      <c r="E1487" s="4">
        <f t="shared" si="200"/>
        <v>3764.8137999999999</v>
      </c>
      <c r="F1487" s="3">
        <f t="shared" si="201"/>
        <v>1.0339953598767622</v>
      </c>
      <c r="G1487" s="18">
        <f t="shared" si="202"/>
        <v>1</v>
      </c>
      <c r="H1487" s="3">
        <f t="shared" si="203"/>
        <v>-1.1930877881690671E-3</v>
      </c>
      <c r="I1487" s="3">
        <f t="shared" si="204"/>
        <v>-1.1930877881690671E-3</v>
      </c>
      <c r="K1487" s="12" t="str">
        <f>IF(AND(G1487=1,G1486&lt;&gt;1),MAX($K$50:K1486)+1,"")</f>
        <v/>
      </c>
      <c r="L1487" s="13" t="str">
        <f>IF(AND(G1487&lt;&gt;1,G1486=1),MAX($L$50:L1486)+1,"")</f>
        <v/>
      </c>
      <c r="M1487" s="13" t="str">
        <f>IF(AND(G1487=-1,G1486&lt;&gt;-1),MAX($M$50:M1486)+1,"")</f>
        <v/>
      </c>
      <c r="N1487" s="13" t="str">
        <f>IF(AND(G1487&lt;&gt;-1,G1486=-1),MAX($N$50:N1486)+1,"")</f>
        <v/>
      </c>
      <c r="T1487" s="7">
        <f t="shared" si="205"/>
        <v>113.33560498906066</v>
      </c>
      <c r="U1487" s="1">
        <f t="shared" si="206"/>
        <v>204.53005059659887</v>
      </c>
    </row>
    <row r="1488" spans="1:21" x14ac:dyDescent="0.3">
      <c r="A1488" s="2">
        <v>42332</v>
      </c>
      <c r="B1488" s="1">
        <v>3897.67</v>
      </c>
      <c r="C1488" s="2">
        <f t="shared" si="198"/>
        <v>42332</v>
      </c>
      <c r="D1488" s="1">
        <f t="shared" si="199"/>
        <v>3897.67</v>
      </c>
      <c r="E1488" s="4">
        <f t="shared" si="200"/>
        <v>3769.2576000000008</v>
      </c>
      <c r="F1488" s="3">
        <f t="shared" si="201"/>
        <v>1.0340683534073127</v>
      </c>
      <c r="G1488" s="18">
        <f t="shared" si="202"/>
        <v>1</v>
      </c>
      <c r="H1488" s="3">
        <f t="shared" si="203"/>
        <v>1.2510275380188673E-3</v>
      </c>
      <c r="I1488" s="3">
        <f t="shared" si="204"/>
        <v>1.2510275380188673E-3</v>
      </c>
      <c r="K1488" s="12" t="str">
        <f>IF(AND(G1488=1,G1487&lt;&gt;1),MAX($K$50:K1487)+1,"")</f>
        <v/>
      </c>
      <c r="L1488" s="13" t="str">
        <f>IF(AND(G1488&lt;&gt;1,G1487=1),MAX($L$50:L1487)+1,"")</f>
        <v/>
      </c>
      <c r="M1488" s="13" t="str">
        <f>IF(AND(G1488=-1,G1487&lt;&gt;-1),MAX($M$50:M1487)+1,"")</f>
        <v/>
      </c>
      <c r="N1488" s="13" t="str">
        <f>IF(AND(G1488&lt;&gt;-1,G1487=-1),MAX($N$50:N1487)+1,"")</f>
        <v/>
      </c>
      <c r="T1488" s="7">
        <f t="shared" si="205"/>
        <v>113.47739095194</v>
      </c>
      <c r="U1488" s="1">
        <f t="shared" si="206"/>
        <v>204.78592332224761</v>
      </c>
    </row>
    <row r="1489" spans="1:21" x14ac:dyDescent="0.3">
      <c r="A1489" s="2">
        <v>42333</v>
      </c>
      <c r="B1489" s="1">
        <v>3897.57</v>
      </c>
      <c r="C1489" s="2">
        <f t="shared" si="198"/>
        <v>42333</v>
      </c>
      <c r="D1489" s="1">
        <f t="shared" si="199"/>
        <v>3897.57</v>
      </c>
      <c r="E1489" s="4">
        <f t="shared" si="200"/>
        <v>3773.0566000000008</v>
      </c>
      <c r="F1489" s="3">
        <f t="shared" si="201"/>
        <v>1.0330006711269584</v>
      </c>
      <c r="G1489" s="18">
        <f t="shared" si="202"/>
        <v>1</v>
      </c>
      <c r="H1489" s="3">
        <f t="shared" si="203"/>
        <v>-2.5656353667691256E-5</v>
      </c>
      <c r="I1489" s="3">
        <f t="shared" si="204"/>
        <v>-2.5656353667691256E-5</v>
      </c>
      <c r="K1489" s="12" t="str">
        <f>IF(AND(G1489=1,G1488&lt;&gt;1),MAX($K$50:K1488)+1,"")</f>
        <v/>
      </c>
      <c r="L1489" s="13" t="str">
        <f>IF(AND(G1489&lt;&gt;1,G1488=1),MAX($L$50:L1488)+1,"")</f>
        <v/>
      </c>
      <c r="M1489" s="13" t="str">
        <f>IF(AND(G1489=-1,G1488&lt;&gt;-1),MAX($M$50:M1488)+1,"")</f>
        <v/>
      </c>
      <c r="N1489" s="13" t="str">
        <f>IF(AND(G1489&lt;&gt;-1,G1488=-1),MAX($N$50:N1488)+1,"")</f>
        <v/>
      </c>
      <c r="T1489" s="7">
        <f t="shared" si="205"/>
        <v>113.47447953586445</v>
      </c>
      <c r="U1489" s="1">
        <f t="shared" si="206"/>
        <v>204.78066926217269</v>
      </c>
    </row>
    <row r="1490" spans="1:21" x14ac:dyDescent="0.3">
      <c r="A1490" s="2">
        <v>42335</v>
      </c>
      <c r="B1490" s="1">
        <v>3900.74</v>
      </c>
      <c r="C1490" s="2">
        <f t="shared" si="198"/>
        <v>42335</v>
      </c>
      <c r="D1490" s="1">
        <f t="shared" si="199"/>
        <v>3900.74</v>
      </c>
      <c r="E1490" s="4">
        <f t="shared" si="200"/>
        <v>3777.0966000000003</v>
      </c>
      <c r="F1490" s="3">
        <f t="shared" si="201"/>
        <v>1.0327350378065521</v>
      </c>
      <c r="G1490" s="18">
        <f t="shared" si="202"/>
        <v>1</v>
      </c>
      <c r="H1490" s="3">
        <f t="shared" si="203"/>
        <v>8.1332727827843065E-4</v>
      </c>
      <c r="I1490" s="3">
        <f t="shared" si="204"/>
        <v>8.1332727827843065E-4</v>
      </c>
      <c r="K1490" s="12" t="str">
        <f>IF(AND(G1490=1,G1489&lt;&gt;1),MAX($K$50:K1489)+1,"")</f>
        <v/>
      </c>
      <c r="L1490" s="13" t="str">
        <f>IF(AND(G1490&lt;&gt;1,G1489=1),MAX($L$50:L1489)+1,"")</f>
        <v/>
      </c>
      <c r="M1490" s="13" t="str">
        <f>IF(AND(G1490=-1,G1489&lt;&gt;-1),MAX($M$50:M1489)+1,"")</f>
        <v/>
      </c>
      <c r="N1490" s="13" t="str">
        <f>IF(AND(G1490&lt;&gt;-1,G1489=-1),MAX($N$50:N1489)+1,"")</f>
        <v/>
      </c>
      <c r="T1490" s="7">
        <f t="shared" si="205"/>
        <v>113.56677142545941</v>
      </c>
      <c r="U1490" s="1">
        <f t="shared" si="206"/>
        <v>204.94722296654771</v>
      </c>
    </row>
    <row r="1491" spans="1:21" x14ac:dyDescent="0.3">
      <c r="A1491" s="2">
        <v>42338</v>
      </c>
      <c r="B1491" s="1">
        <v>3882.84</v>
      </c>
      <c r="C1491" s="2">
        <f t="shared" si="198"/>
        <v>42338</v>
      </c>
      <c r="D1491" s="1">
        <f t="shared" si="199"/>
        <v>3882.84</v>
      </c>
      <c r="E1491" s="4">
        <f t="shared" si="200"/>
        <v>3781.9736000000003</v>
      </c>
      <c r="F1491" s="3">
        <f t="shared" si="201"/>
        <v>1.0266703077990813</v>
      </c>
      <c r="G1491" s="18">
        <f t="shared" si="202"/>
        <v>1</v>
      </c>
      <c r="H1491" s="3">
        <f t="shared" si="203"/>
        <v>-4.5888728805302259E-3</v>
      </c>
      <c r="I1491" s="3">
        <f t="shared" si="204"/>
        <v>-4.5888728805302259E-3</v>
      </c>
      <c r="K1491" s="12" t="str">
        <f>IF(AND(G1491=1,G1490&lt;&gt;1),MAX($K$50:K1490)+1,"")</f>
        <v/>
      </c>
      <c r="L1491" s="13" t="str">
        <f>IF(AND(G1491&lt;&gt;1,G1490=1),MAX($L$50:L1490)+1,"")</f>
        <v/>
      </c>
      <c r="M1491" s="13" t="str">
        <f>IF(AND(G1491=-1,G1490&lt;&gt;-1),MAX($M$50:M1490)+1,"")</f>
        <v/>
      </c>
      <c r="N1491" s="13" t="str">
        <f>IF(AND(G1491&lt;&gt;-1,G1490=-1),MAX($N$50:N1490)+1,"")</f>
        <v/>
      </c>
      <c r="T1491" s="7">
        <f t="shared" si="205"/>
        <v>113.04562794793574</v>
      </c>
      <c r="U1491" s="1">
        <f t="shared" si="206"/>
        <v>204.00674621313652</v>
      </c>
    </row>
    <row r="1492" spans="1:21" x14ac:dyDescent="0.3">
      <c r="A1492" s="2">
        <v>42339</v>
      </c>
      <c r="B1492" s="1">
        <v>3924.63</v>
      </c>
      <c r="C1492" s="2">
        <f t="shared" si="198"/>
        <v>42339</v>
      </c>
      <c r="D1492" s="1">
        <f t="shared" si="199"/>
        <v>3924.63</v>
      </c>
      <c r="E1492" s="4">
        <f t="shared" si="200"/>
        <v>3787.3534000000009</v>
      </c>
      <c r="F1492" s="3">
        <f t="shared" si="201"/>
        <v>1.0362460498140995</v>
      </c>
      <c r="G1492" s="18">
        <f t="shared" si="202"/>
        <v>1</v>
      </c>
      <c r="H1492" s="3">
        <f t="shared" si="203"/>
        <v>1.0762740674351789E-2</v>
      </c>
      <c r="I1492" s="3">
        <f t="shared" si="204"/>
        <v>1.0762740674351789E-2</v>
      </c>
      <c r="K1492" s="12" t="str">
        <f>IF(AND(G1492=1,G1491&lt;&gt;1),MAX($K$50:K1491)+1,"")</f>
        <v/>
      </c>
      <c r="L1492" s="13" t="str">
        <f>IF(AND(G1492&lt;&gt;1,G1491=1),MAX($L$50:L1491)+1,"")</f>
        <v/>
      </c>
      <c r="M1492" s="13" t="str">
        <f>IF(AND(G1492=-1,G1491&lt;&gt;-1),MAX($M$50:M1491)+1,"")</f>
        <v/>
      </c>
      <c r="N1492" s="13" t="str">
        <f>IF(AND(G1492&lt;&gt;-1,G1491=-1),MAX($N$50:N1491)+1,"")</f>
        <v/>
      </c>
      <c r="T1492" s="7">
        <f t="shared" si="205"/>
        <v>114.26230872590862</v>
      </c>
      <c r="U1492" s="1">
        <f t="shared" si="206"/>
        <v>206.2024179184468</v>
      </c>
    </row>
    <row r="1493" spans="1:21" x14ac:dyDescent="0.3">
      <c r="A1493" s="2">
        <v>42340</v>
      </c>
      <c r="B1493" s="1">
        <v>3882.38</v>
      </c>
      <c r="C1493" s="2">
        <f t="shared" si="198"/>
        <v>42340</v>
      </c>
      <c r="D1493" s="1">
        <f t="shared" si="199"/>
        <v>3882.38</v>
      </c>
      <c r="E1493" s="4">
        <f t="shared" si="200"/>
        <v>3792.7870000000007</v>
      </c>
      <c r="F1493" s="3">
        <f t="shared" si="201"/>
        <v>1.0236219434415905</v>
      </c>
      <c r="G1493" s="18">
        <f t="shared" si="202"/>
        <v>1</v>
      </c>
      <c r="H1493" s="3">
        <f t="shared" si="203"/>
        <v>-1.0765346032619583E-2</v>
      </c>
      <c r="I1493" s="3">
        <f t="shared" si="204"/>
        <v>-1.0765346032619583E-2</v>
      </c>
      <c r="K1493" s="12" t="str">
        <f>IF(AND(G1493=1,G1492&lt;&gt;1),MAX($K$50:K1492)+1,"")</f>
        <v/>
      </c>
      <c r="L1493" s="13" t="str">
        <f>IF(AND(G1493&lt;&gt;1,G1492=1),MAX($L$50:L1492)+1,"")</f>
        <v/>
      </c>
      <c r="M1493" s="13" t="str">
        <f>IF(AND(G1493=-1,G1492&lt;&gt;-1),MAX($M$50:M1492)+1,"")</f>
        <v/>
      </c>
      <c r="N1493" s="13" t="str">
        <f>IF(AND(G1493&lt;&gt;-1,G1492=-1),MAX($N$50:N1492)+1,"")</f>
        <v/>
      </c>
      <c r="T1493" s="7">
        <f t="shared" si="205"/>
        <v>113.03223543398821</v>
      </c>
      <c r="U1493" s="1">
        <f t="shared" si="206"/>
        <v>203.98257753679187</v>
      </c>
    </row>
    <row r="1494" spans="1:21" x14ac:dyDescent="0.3">
      <c r="A1494" s="2">
        <v>42341</v>
      </c>
      <c r="B1494" s="1">
        <v>3826.74</v>
      </c>
      <c r="C1494" s="2">
        <f t="shared" si="198"/>
        <v>42341</v>
      </c>
      <c r="D1494" s="1">
        <f t="shared" si="199"/>
        <v>3826.74</v>
      </c>
      <c r="E1494" s="4">
        <f t="shared" si="200"/>
        <v>3797.252</v>
      </c>
      <c r="F1494" s="3">
        <f t="shared" si="201"/>
        <v>1.0077656157663488</v>
      </c>
      <c r="G1494" s="18">
        <f t="shared" si="202"/>
        <v>1</v>
      </c>
      <c r="H1494" s="3">
        <f t="shared" si="203"/>
        <v>-1.4331415265893654E-2</v>
      </c>
      <c r="I1494" s="3">
        <f t="shared" si="204"/>
        <v>-1.4331415265893654E-2</v>
      </c>
      <c r="K1494" s="12" t="str">
        <f>IF(AND(G1494=1,G1493&lt;&gt;1),MAX($K$50:K1493)+1,"")</f>
        <v/>
      </c>
      <c r="L1494" s="13" t="str">
        <f>IF(AND(G1494&lt;&gt;1,G1493=1),MAX($L$50:L1493)+1,"")</f>
        <v/>
      </c>
      <c r="M1494" s="13" t="str">
        <f>IF(AND(G1494=-1,G1493&lt;&gt;-1),MAX($M$50:M1493)+1,"")</f>
        <v/>
      </c>
      <c r="N1494" s="13" t="str">
        <f>IF(AND(G1494&lt;&gt;-1,G1493=-1),MAX($N$50:N1493)+1,"")</f>
        <v/>
      </c>
      <c r="T1494" s="7">
        <f t="shared" si="205"/>
        <v>111.41232352955146</v>
      </c>
      <c r="U1494" s="1">
        <f t="shared" si="206"/>
        <v>201.05921851110475</v>
      </c>
    </row>
    <row r="1495" spans="1:21" x14ac:dyDescent="0.3">
      <c r="A1495" s="2">
        <v>42342</v>
      </c>
      <c r="B1495" s="1">
        <v>3905.31</v>
      </c>
      <c r="C1495" s="2">
        <f t="shared" si="198"/>
        <v>42342</v>
      </c>
      <c r="D1495" s="1">
        <f t="shared" si="199"/>
        <v>3905.31</v>
      </c>
      <c r="E1495" s="4">
        <f t="shared" si="200"/>
        <v>3803.5308</v>
      </c>
      <c r="F1495" s="3">
        <f t="shared" si="201"/>
        <v>1.0267591365370303</v>
      </c>
      <c r="G1495" s="18">
        <f t="shared" si="202"/>
        <v>1</v>
      </c>
      <c r="H1495" s="3">
        <f t="shared" si="203"/>
        <v>2.0531836497906797E-2</v>
      </c>
      <c r="I1495" s="3">
        <f t="shared" si="204"/>
        <v>2.0531836497906797E-2</v>
      </c>
      <c r="K1495" s="12" t="str">
        <f>IF(AND(G1495=1,G1494&lt;&gt;1),MAX($K$50:K1494)+1,"")</f>
        <v/>
      </c>
      <c r="L1495" s="13" t="str">
        <f>IF(AND(G1495&lt;&gt;1,G1494=1),MAX($L$50:L1494)+1,"")</f>
        <v/>
      </c>
      <c r="M1495" s="13" t="str">
        <f>IF(AND(G1495=-1,G1494&lt;&gt;-1),MAX($M$50:M1494)+1,"")</f>
        <v/>
      </c>
      <c r="N1495" s="13" t="str">
        <f>IF(AND(G1495&lt;&gt;-1,G1494=-1),MAX($N$50:N1494)+1,"")</f>
        <v/>
      </c>
      <c r="T1495" s="7">
        <f t="shared" si="205"/>
        <v>113.6998231401121</v>
      </c>
      <c r="U1495" s="1">
        <f t="shared" si="206"/>
        <v>205.18733351197167</v>
      </c>
    </row>
    <row r="1496" spans="1:21" x14ac:dyDescent="0.3">
      <c r="A1496" s="2">
        <v>42345</v>
      </c>
      <c r="B1496" s="1">
        <v>3878.31</v>
      </c>
      <c r="C1496" s="2">
        <f t="shared" si="198"/>
        <v>42345</v>
      </c>
      <c r="D1496" s="1">
        <f t="shared" si="199"/>
        <v>3878.31</v>
      </c>
      <c r="E1496" s="4">
        <f t="shared" si="200"/>
        <v>3809.3028000000004</v>
      </c>
      <c r="F1496" s="3">
        <f t="shared" si="201"/>
        <v>1.0181154409673077</v>
      </c>
      <c r="G1496" s="18">
        <f t="shared" si="202"/>
        <v>1</v>
      </c>
      <c r="H1496" s="3">
        <f t="shared" si="203"/>
        <v>-6.91366370403379E-3</v>
      </c>
      <c r="I1496" s="3">
        <f t="shared" si="204"/>
        <v>-6.91366370403379E-3</v>
      </c>
      <c r="K1496" s="12" t="str">
        <f>IF(AND(G1496=1,G1495&lt;&gt;1),MAX($K$50:K1495)+1,"")</f>
        <v/>
      </c>
      <c r="L1496" s="13" t="str">
        <f>IF(AND(G1496&lt;&gt;1,G1495=1),MAX($L$50:L1495)+1,"")</f>
        <v/>
      </c>
      <c r="M1496" s="13" t="str">
        <f>IF(AND(G1496=-1,G1495&lt;&gt;-1),MAX($M$50:M1495)+1,"")</f>
        <v/>
      </c>
      <c r="N1496" s="13" t="str">
        <f>IF(AND(G1496&lt;&gt;-1,G1495=-1),MAX($N$50:N1495)+1,"")</f>
        <v/>
      </c>
      <c r="T1496" s="7">
        <f t="shared" si="205"/>
        <v>112.91374079971325</v>
      </c>
      <c r="U1496" s="1">
        <f t="shared" si="206"/>
        <v>203.7687372917425</v>
      </c>
    </row>
    <row r="1497" spans="1:21" x14ac:dyDescent="0.3">
      <c r="A1497" s="2">
        <v>42346</v>
      </c>
      <c r="B1497" s="1">
        <v>3853.48</v>
      </c>
      <c r="C1497" s="2">
        <f t="shared" si="198"/>
        <v>42346</v>
      </c>
      <c r="D1497" s="1">
        <f t="shared" si="199"/>
        <v>3853.48</v>
      </c>
      <c r="E1497" s="4">
        <f t="shared" si="200"/>
        <v>3816.4002</v>
      </c>
      <c r="F1497" s="3">
        <f t="shared" si="201"/>
        <v>1.0097159097727748</v>
      </c>
      <c r="G1497" s="18">
        <f t="shared" si="202"/>
        <v>1</v>
      </c>
      <c r="H1497" s="3">
        <f t="shared" si="203"/>
        <v>-6.4022731550598122E-3</v>
      </c>
      <c r="I1497" s="3">
        <f t="shared" si="204"/>
        <v>-6.4022731550598122E-3</v>
      </c>
      <c r="K1497" s="12" t="str">
        <f>IF(AND(G1497=1,G1496&lt;&gt;1),MAX($K$50:K1496)+1,"")</f>
        <v/>
      </c>
      <c r="L1497" s="13" t="str">
        <f>IF(AND(G1497&lt;&gt;1,G1496=1),MAX($L$50:L1496)+1,"")</f>
        <v/>
      </c>
      <c r="M1497" s="13" t="str">
        <f>IF(AND(G1497=-1,G1496&lt;&gt;-1),MAX($M$50:M1496)+1,"")</f>
        <v/>
      </c>
      <c r="N1497" s="13" t="str">
        <f>IF(AND(G1497&lt;&gt;-1,G1496=-1),MAX($N$50:N1496)+1,"")</f>
        <v/>
      </c>
      <c r="T1497" s="7">
        <f t="shared" si="205"/>
        <v>112.19083618815387</v>
      </c>
      <c r="U1497" s="1">
        <f t="shared" si="206"/>
        <v>202.46415417513913</v>
      </c>
    </row>
    <row r="1498" spans="1:21" x14ac:dyDescent="0.3">
      <c r="A1498" s="2">
        <v>42347</v>
      </c>
      <c r="B1498" s="1">
        <v>3823.9</v>
      </c>
      <c r="C1498" s="2">
        <f t="shared" si="198"/>
        <v>42347</v>
      </c>
      <c r="D1498" s="1">
        <f t="shared" si="199"/>
        <v>3823.9</v>
      </c>
      <c r="E1498" s="4">
        <f t="shared" si="200"/>
        <v>3822.8155999999999</v>
      </c>
      <c r="F1498" s="3">
        <f t="shared" si="201"/>
        <v>1.0002836652649425</v>
      </c>
      <c r="G1498" s="18">
        <f t="shared" si="202"/>
        <v>1</v>
      </c>
      <c r="H1498" s="3">
        <f t="shared" si="203"/>
        <v>-7.6761784153543955E-3</v>
      </c>
      <c r="I1498" s="3">
        <f t="shared" si="204"/>
        <v>-7.6761784153543955E-3</v>
      </c>
      <c r="K1498" s="12" t="str">
        <f>IF(AND(G1498=1,G1497&lt;&gt;1),MAX($K$50:K1497)+1,"")</f>
        <v/>
      </c>
      <c r="L1498" s="13" t="str">
        <f>IF(AND(G1498&lt;&gt;1,G1497=1),MAX($L$50:L1497)+1,"")</f>
        <v/>
      </c>
      <c r="M1498" s="13" t="str">
        <f>IF(AND(G1498=-1,G1497&lt;&gt;-1),MAX($M$50:M1497)+1,"")</f>
        <v/>
      </c>
      <c r="N1498" s="13" t="str">
        <f>IF(AND(G1498&lt;&gt;-1,G1497=-1),MAX($N$50:N1497)+1,"")</f>
        <v/>
      </c>
      <c r="T1498" s="7">
        <f t="shared" si="205"/>
        <v>111.3296393130058</v>
      </c>
      <c r="U1498" s="1">
        <f t="shared" si="206"/>
        <v>200.91000320497693</v>
      </c>
    </row>
    <row r="1499" spans="1:21" x14ac:dyDescent="0.3">
      <c r="A1499" s="2">
        <v>42348</v>
      </c>
      <c r="B1499" s="1">
        <v>3832.93</v>
      </c>
      <c r="C1499" s="2">
        <f t="shared" si="198"/>
        <v>42348</v>
      </c>
      <c r="D1499" s="1">
        <f t="shared" si="199"/>
        <v>3832.93</v>
      </c>
      <c r="E1499" s="4">
        <f t="shared" si="200"/>
        <v>3828.0707999999995</v>
      </c>
      <c r="F1499" s="3">
        <f t="shared" si="201"/>
        <v>1.0012693600128817</v>
      </c>
      <c r="G1499" s="18">
        <f t="shared" si="202"/>
        <v>1</v>
      </c>
      <c r="H1499" s="3">
        <f t="shared" si="203"/>
        <v>2.361463427390742E-3</v>
      </c>
      <c r="I1499" s="3">
        <f t="shared" si="204"/>
        <v>2.361463427390742E-3</v>
      </c>
      <c r="K1499" s="12" t="str">
        <f>IF(AND(G1499=1,G1498&lt;&gt;1),MAX($K$50:K1498)+1,"")</f>
        <v/>
      </c>
      <c r="L1499" s="13" t="str">
        <f>IF(AND(G1499&lt;&gt;1,G1498=1),MAX($L$50:L1498)+1,"")</f>
        <v/>
      </c>
      <c r="M1499" s="13" t="str">
        <f>IF(AND(G1499=-1,G1498&lt;&gt;-1),MAX($M$50:M1498)+1,"")</f>
        <v/>
      </c>
      <c r="N1499" s="13" t="str">
        <f>IF(AND(G1499&lt;&gt;-1,G1498=-1),MAX($N$50:N1498)+1,"")</f>
        <v/>
      </c>
      <c r="T1499" s="7">
        <f t="shared" si="205"/>
        <v>111.59254018462806</v>
      </c>
      <c r="U1499" s="1">
        <f t="shared" si="206"/>
        <v>201.38444482974245</v>
      </c>
    </row>
    <row r="1500" spans="1:21" x14ac:dyDescent="0.3">
      <c r="A1500" s="2">
        <v>42349</v>
      </c>
      <c r="B1500" s="1">
        <v>3759.09</v>
      </c>
      <c r="C1500" s="2">
        <f t="shared" si="198"/>
        <v>42349</v>
      </c>
      <c r="D1500" s="1">
        <f t="shared" si="199"/>
        <v>3759.09</v>
      </c>
      <c r="E1500" s="4">
        <f t="shared" si="200"/>
        <v>3831.7031999999999</v>
      </c>
      <c r="F1500" s="3">
        <f t="shared" si="201"/>
        <v>0.98104936728919934</v>
      </c>
      <c r="G1500" s="18">
        <f t="shared" si="202"/>
        <v>1</v>
      </c>
      <c r="H1500" s="3">
        <f t="shared" si="203"/>
        <v>-1.9264635670361741E-2</v>
      </c>
      <c r="I1500" s="3">
        <f t="shared" si="204"/>
        <v>-1.9264635670361741E-2</v>
      </c>
      <c r="K1500" s="12" t="str">
        <f>IF(AND(G1500=1,G1499&lt;&gt;1),MAX($K$50:K1499)+1,"")</f>
        <v/>
      </c>
      <c r="L1500" s="13" t="str">
        <f>IF(AND(G1500&lt;&gt;1,G1499=1),MAX($L$50:L1499)+1,"")</f>
        <v/>
      </c>
      <c r="M1500" s="13" t="str">
        <f>IF(AND(G1500=-1,G1499&lt;&gt;-1),MAX($M$50:M1499)+1,"")</f>
        <v/>
      </c>
      <c r="N1500" s="13" t="str">
        <f>IF(AND(G1500&lt;&gt;-1,G1499=-1),MAX($N$50:N1499)+1,"")</f>
        <v/>
      </c>
      <c r="T1500" s="7">
        <f t="shared" si="205"/>
        <v>109.44275055444101</v>
      </c>
      <c r="U1500" s="1">
        <f t="shared" si="206"/>
        <v>197.50484687041941</v>
      </c>
    </row>
    <row r="1501" spans="1:21" x14ac:dyDescent="0.3">
      <c r="A1501" s="2">
        <v>42352</v>
      </c>
      <c r="B1501" s="1">
        <v>3777.22</v>
      </c>
      <c r="C1501" s="2">
        <f t="shared" si="198"/>
        <v>42352</v>
      </c>
      <c r="D1501" s="1">
        <f t="shared" si="199"/>
        <v>3777.22</v>
      </c>
      <c r="E1501" s="4">
        <f t="shared" si="200"/>
        <v>3834.6667999999995</v>
      </c>
      <c r="F1501" s="3">
        <f t="shared" si="201"/>
        <v>0.98501908953341144</v>
      </c>
      <c r="G1501" s="18">
        <f t="shared" si="202"/>
        <v>1</v>
      </c>
      <c r="H1501" s="3">
        <f t="shared" si="203"/>
        <v>4.8229757733919687E-3</v>
      </c>
      <c r="I1501" s="3">
        <f t="shared" si="204"/>
        <v>4.8229757733919687E-3</v>
      </c>
      <c r="K1501" s="12" t="str">
        <f>IF(AND(G1501=1,G1500&lt;&gt;1),MAX($K$50:K1500)+1,"")</f>
        <v/>
      </c>
      <c r="L1501" s="13" t="str">
        <f>IF(AND(G1501&lt;&gt;1,G1500=1),MAX($L$50:L1500)+1,"")</f>
        <v/>
      </c>
      <c r="M1501" s="13" t="str">
        <f>IF(AND(G1501=-1,G1500&lt;&gt;-1),MAX($M$50:M1500)+1,"")</f>
        <v/>
      </c>
      <c r="N1501" s="13" t="str">
        <f>IF(AND(G1501&lt;&gt;-1,G1500=-1),MAX($N$50:N1500)+1,"")</f>
        <v/>
      </c>
      <c r="T1501" s="7">
        <f t="shared" si="205"/>
        <v>109.97059028893845</v>
      </c>
      <c r="U1501" s="1">
        <f t="shared" si="206"/>
        <v>198.45740796200292</v>
      </c>
    </row>
    <row r="1502" spans="1:21" x14ac:dyDescent="0.3">
      <c r="A1502" s="2">
        <v>42353</v>
      </c>
      <c r="B1502" s="1">
        <v>3817.36</v>
      </c>
      <c r="C1502" s="2">
        <f t="shared" si="198"/>
        <v>42353</v>
      </c>
      <c r="D1502" s="1">
        <f t="shared" si="199"/>
        <v>3817.36</v>
      </c>
      <c r="E1502" s="4">
        <f t="shared" si="200"/>
        <v>3837.1017999999995</v>
      </c>
      <c r="F1502" s="3">
        <f t="shared" si="201"/>
        <v>0.99485502313230278</v>
      </c>
      <c r="G1502" s="18">
        <f t="shared" si="202"/>
        <v>1</v>
      </c>
      <c r="H1502" s="3">
        <f t="shared" si="203"/>
        <v>1.0626863142734644E-2</v>
      </c>
      <c r="I1502" s="3">
        <f t="shared" si="204"/>
        <v>1.0626863142734644E-2</v>
      </c>
      <c r="K1502" s="12" t="str">
        <f>IF(AND(G1502=1,G1501&lt;&gt;1),MAX($K$50:K1501)+1,"")</f>
        <v/>
      </c>
      <c r="L1502" s="13" t="str">
        <f>IF(AND(G1502&lt;&gt;1,G1501=1),MAX($L$50:L1501)+1,"")</f>
        <v/>
      </c>
      <c r="M1502" s="13" t="str">
        <f>IF(AND(G1502=-1,G1501&lt;&gt;-1),MAX($M$50:M1501)+1,"")</f>
        <v/>
      </c>
      <c r="N1502" s="13" t="str">
        <f>IF(AND(G1502&lt;&gt;-1,G1501=-1),MAX($N$50:N1501)+1,"")</f>
        <v/>
      </c>
      <c r="T1502" s="7">
        <f t="shared" si="205"/>
        <v>111.13923270166474</v>
      </c>
      <c r="U1502" s="1">
        <f t="shared" si="206"/>
        <v>200.56638767607697</v>
      </c>
    </row>
    <row r="1503" spans="1:21" x14ac:dyDescent="0.3">
      <c r="A1503" s="2">
        <v>42354</v>
      </c>
      <c r="B1503" s="1">
        <v>3873.12</v>
      </c>
      <c r="C1503" s="2">
        <f t="shared" si="198"/>
        <v>42354</v>
      </c>
      <c r="D1503" s="1">
        <f t="shared" si="199"/>
        <v>3873.12</v>
      </c>
      <c r="E1503" s="4">
        <f t="shared" si="200"/>
        <v>3840.9175999999989</v>
      </c>
      <c r="F1503" s="3">
        <f t="shared" si="201"/>
        <v>1.0083840382308646</v>
      </c>
      <c r="G1503" s="18">
        <f t="shared" si="202"/>
        <v>1</v>
      </c>
      <c r="H1503" s="3">
        <f t="shared" si="203"/>
        <v>1.4606953496657304E-2</v>
      </c>
      <c r="I1503" s="3">
        <f t="shared" si="204"/>
        <v>1.4606953496657304E-2</v>
      </c>
      <c r="K1503" s="12" t="str">
        <f>IF(AND(G1503=1,G1502&lt;&gt;1),MAX($K$50:K1502)+1,"")</f>
        <v/>
      </c>
      <c r="L1503" s="13" t="str">
        <f>IF(AND(G1503&lt;&gt;1,G1502=1),MAX($L$50:L1502)+1,"")</f>
        <v/>
      </c>
      <c r="M1503" s="13" t="str">
        <f>IF(AND(G1503=-1,G1502&lt;&gt;-1),MAX($M$50:M1502)+1,"")</f>
        <v/>
      </c>
      <c r="N1503" s="13" t="str">
        <f>IF(AND(G1503&lt;&gt;-1,G1502=-1),MAX($N$50:N1502)+1,"")</f>
        <v/>
      </c>
      <c r="T1503" s="7">
        <f t="shared" si="205"/>
        <v>112.76263830539213</v>
      </c>
      <c r="U1503" s="1">
        <f t="shared" si="206"/>
        <v>203.49605157385398</v>
      </c>
    </row>
    <row r="1504" spans="1:21" x14ac:dyDescent="0.3">
      <c r="A1504" s="2">
        <v>42355</v>
      </c>
      <c r="B1504" s="1">
        <v>3815.46</v>
      </c>
      <c r="C1504" s="2">
        <f t="shared" si="198"/>
        <v>42355</v>
      </c>
      <c r="D1504" s="1">
        <f t="shared" si="199"/>
        <v>3815.46</v>
      </c>
      <c r="E1504" s="4">
        <f t="shared" si="200"/>
        <v>3842.9595999999983</v>
      </c>
      <c r="F1504" s="3">
        <f t="shared" si="201"/>
        <v>0.99284416104712669</v>
      </c>
      <c r="G1504" s="18">
        <f t="shared" si="202"/>
        <v>1</v>
      </c>
      <c r="H1504" s="3">
        <f t="shared" si="203"/>
        <v>-1.4887222704176417E-2</v>
      </c>
      <c r="I1504" s="3">
        <f t="shared" si="204"/>
        <v>-1.4887222704176417E-2</v>
      </c>
      <c r="K1504" s="12" t="str">
        <f>IF(AND(G1504=1,G1503&lt;&gt;1),MAX($K$50:K1503)+1,"")</f>
        <v/>
      </c>
      <c r="L1504" s="13" t="str">
        <f>IF(AND(G1504&lt;&gt;1,G1503=1),MAX($L$50:L1503)+1,"")</f>
        <v/>
      </c>
      <c r="M1504" s="13" t="str">
        <f>IF(AND(G1504=-1,G1503&lt;&gt;-1),MAX($M$50:M1503)+1,"")</f>
        <v/>
      </c>
      <c r="N1504" s="13" t="str">
        <f>IF(AND(G1504&lt;&gt;-1,G1503=-1),MAX($N$50:N1503)+1,"")</f>
        <v/>
      </c>
      <c r="T1504" s="7">
        <f t="shared" si="205"/>
        <v>111.08391579622926</v>
      </c>
      <c r="U1504" s="1">
        <f t="shared" si="206"/>
        <v>200.46656053465344</v>
      </c>
    </row>
    <row r="1505" spans="1:21" x14ac:dyDescent="0.3">
      <c r="A1505" s="2">
        <v>42356</v>
      </c>
      <c r="B1505" s="1">
        <v>3747.56</v>
      </c>
      <c r="C1505" s="2">
        <f t="shared" si="198"/>
        <v>42356</v>
      </c>
      <c r="D1505" s="1">
        <f t="shared" si="199"/>
        <v>3747.56</v>
      </c>
      <c r="E1505" s="4">
        <f t="shared" si="200"/>
        <v>3842.9883999999993</v>
      </c>
      <c r="F1505" s="3">
        <f t="shared" si="201"/>
        <v>0.97516817901401953</v>
      </c>
      <c r="G1505" s="18">
        <f t="shared" si="202"/>
        <v>1</v>
      </c>
      <c r="H1505" s="3">
        <f t="shared" si="203"/>
        <v>-1.7796019352843473E-2</v>
      </c>
      <c r="I1505" s="3">
        <f t="shared" si="204"/>
        <v>-1.7796019352843473E-2</v>
      </c>
      <c r="K1505" s="12" t="str">
        <f>IF(AND(G1505=1,G1504&lt;&gt;1),MAX($K$50:K1504)+1,"")</f>
        <v/>
      </c>
      <c r="L1505" s="13" t="str">
        <f>IF(AND(G1505&lt;&gt;1,G1504=1),MAX($L$50:L1504)+1,"")</f>
        <v/>
      </c>
      <c r="M1505" s="13" t="str">
        <f>IF(AND(G1505=-1,G1504&lt;&gt;-1),MAX($M$50:M1504)+1,"")</f>
        <v/>
      </c>
      <c r="N1505" s="13" t="str">
        <f>IF(AND(G1505&lt;&gt;-1,G1504=-1),MAX($N$50:N1504)+1,"")</f>
        <v/>
      </c>
      <c r="T1505" s="7">
        <f t="shared" si="205"/>
        <v>109.10706428092993</v>
      </c>
      <c r="U1505" s="1">
        <f t="shared" si="206"/>
        <v>196.8990537437808</v>
      </c>
    </row>
    <row r="1506" spans="1:21" x14ac:dyDescent="0.3">
      <c r="A1506" s="2">
        <v>42359</v>
      </c>
      <c r="B1506" s="1">
        <v>3777.15</v>
      </c>
      <c r="C1506" s="2">
        <f t="shared" si="198"/>
        <v>42359</v>
      </c>
      <c r="D1506" s="1">
        <f t="shared" si="199"/>
        <v>3777.15</v>
      </c>
      <c r="E1506" s="4">
        <f t="shared" si="200"/>
        <v>3843.5521999999992</v>
      </c>
      <c r="F1506" s="3">
        <f t="shared" si="201"/>
        <v>0.98272374185525591</v>
      </c>
      <c r="G1506" s="18">
        <f t="shared" si="202"/>
        <v>1</v>
      </c>
      <c r="H1506" s="3">
        <f t="shared" si="203"/>
        <v>7.8958042032684084E-3</v>
      </c>
      <c r="I1506" s="3">
        <f t="shared" si="204"/>
        <v>7.8958042032684084E-3</v>
      </c>
      <c r="K1506" s="12" t="str">
        <f>IF(AND(G1506=1,G1505&lt;&gt;1),MAX($K$50:K1505)+1,"")</f>
        <v/>
      </c>
      <c r="L1506" s="13" t="str">
        <f>IF(AND(G1506&lt;&gt;1,G1505=1),MAX($L$50:L1505)+1,"")</f>
        <v/>
      </c>
      <c r="M1506" s="13" t="str">
        <f>IF(AND(G1506=-1,G1505&lt;&gt;-1),MAX($M$50:M1505)+1,"")</f>
        <v/>
      </c>
      <c r="N1506" s="13" t="str">
        <f>IF(AND(G1506&lt;&gt;-1,G1505=-1),MAX($N$50:N1505)+1,"")</f>
        <v/>
      </c>
      <c r="T1506" s="7">
        <f t="shared" si="205"/>
        <v>109.96855229768558</v>
      </c>
      <c r="U1506" s="1">
        <f t="shared" si="206"/>
        <v>198.45373011995048</v>
      </c>
    </row>
    <row r="1507" spans="1:21" x14ac:dyDescent="0.3">
      <c r="A1507" s="2">
        <v>42360</v>
      </c>
      <c r="B1507" s="1">
        <v>3810.85</v>
      </c>
      <c r="C1507" s="2">
        <f t="shared" si="198"/>
        <v>42360</v>
      </c>
      <c r="D1507" s="1">
        <f t="shared" si="199"/>
        <v>3810.85</v>
      </c>
      <c r="E1507" s="4">
        <f t="shared" si="200"/>
        <v>3844.6945999999989</v>
      </c>
      <c r="F1507" s="3">
        <f t="shared" si="201"/>
        <v>0.99119706413091979</v>
      </c>
      <c r="G1507" s="18">
        <f t="shared" si="202"/>
        <v>1</v>
      </c>
      <c r="H1507" s="3">
        <f t="shared" si="203"/>
        <v>8.9220708735422427E-3</v>
      </c>
      <c r="I1507" s="3">
        <f t="shared" si="204"/>
        <v>8.9220708735422427E-3</v>
      </c>
      <c r="K1507" s="12" t="str">
        <f>IF(AND(G1507=1,G1506&lt;&gt;1),MAX($K$50:K1506)+1,"")</f>
        <v/>
      </c>
      <c r="L1507" s="13" t="str">
        <f>IF(AND(G1507&lt;&gt;1,G1506=1),MAX($L$50:L1506)+1,"")</f>
        <v/>
      </c>
      <c r="M1507" s="13" t="str">
        <f>IF(AND(G1507=-1,G1506&lt;&gt;-1),MAX($M$50:M1506)+1,"")</f>
        <v/>
      </c>
      <c r="N1507" s="13" t="str">
        <f>IF(AND(G1507&lt;&gt;-1,G1506=-1),MAX($N$50:N1506)+1,"")</f>
        <v/>
      </c>
      <c r="T1507" s="7">
        <f t="shared" si="205"/>
        <v>110.94969951514636</v>
      </c>
      <c r="U1507" s="1">
        <f t="shared" si="206"/>
        <v>200.22434836519949</v>
      </c>
    </row>
    <row r="1508" spans="1:21" x14ac:dyDescent="0.3">
      <c r="A1508" s="2">
        <v>42361</v>
      </c>
      <c r="B1508" s="1">
        <v>3858.47</v>
      </c>
      <c r="C1508" s="2">
        <f t="shared" si="198"/>
        <v>42361</v>
      </c>
      <c r="D1508" s="1">
        <f t="shared" si="199"/>
        <v>3858.47</v>
      </c>
      <c r="E1508" s="4">
        <f t="shared" si="200"/>
        <v>3847.2943999999989</v>
      </c>
      <c r="F1508" s="3">
        <f t="shared" si="201"/>
        <v>1.0029047946005902</v>
      </c>
      <c r="G1508" s="18">
        <f t="shared" si="202"/>
        <v>1</v>
      </c>
      <c r="H1508" s="3">
        <f t="shared" si="203"/>
        <v>1.2495899864859439E-2</v>
      </c>
      <c r="I1508" s="3">
        <f t="shared" si="204"/>
        <v>1.2495899864859439E-2</v>
      </c>
      <c r="K1508" s="12" t="str">
        <f>IF(AND(G1508=1,G1507&lt;&gt;1),MAX($K$50:K1507)+1,"")</f>
        <v/>
      </c>
      <c r="L1508" s="13" t="str">
        <f>IF(AND(G1508&lt;&gt;1,G1507=1),MAX($L$50:L1507)+1,"")</f>
        <v/>
      </c>
      <c r="M1508" s="13" t="str">
        <f>IF(AND(G1508=-1,G1507&lt;&gt;-1),MAX($M$50:M1507)+1,"")</f>
        <v/>
      </c>
      <c r="N1508" s="13" t="str">
        <f>IF(AND(G1508&lt;&gt;-1,G1507=-1),MAX($N$50:N1507)+1,"")</f>
        <v/>
      </c>
      <c r="T1508" s="7">
        <f t="shared" si="205"/>
        <v>112.33611585032388</v>
      </c>
      <c r="U1508" s="1">
        <f t="shared" si="206"/>
        <v>202.72633177287778</v>
      </c>
    </row>
    <row r="1509" spans="1:21" x14ac:dyDescent="0.3">
      <c r="A1509" s="2">
        <v>42362</v>
      </c>
      <c r="B1509" s="1">
        <v>3852.31</v>
      </c>
      <c r="C1509" s="2">
        <f t="shared" si="198"/>
        <v>42362</v>
      </c>
      <c r="D1509" s="1">
        <f t="shared" si="199"/>
        <v>3852.31</v>
      </c>
      <c r="E1509" s="4">
        <f t="shared" si="200"/>
        <v>3850.1183999999989</v>
      </c>
      <c r="F1509" s="3">
        <f t="shared" si="201"/>
        <v>1.0005692292475996</v>
      </c>
      <c r="G1509" s="18">
        <f t="shared" si="202"/>
        <v>1</v>
      </c>
      <c r="H1509" s="3">
        <f t="shared" si="203"/>
        <v>-1.5964877270006061E-3</v>
      </c>
      <c r="I1509" s="3">
        <f t="shared" si="204"/>
        <v>-1.5964877270006061E-3</v>
      </c>
      <c r="K1509" s="12" t="str">
        <f>IF(AND(G1509=1,G1508&lt;&gt;1),MAX($K$50:K1508)+1,"")</f>
        <v/>
      </c>
      <c r="L1509" s="13" t="str">
        <f>IF(AND(G1509&lt;&gt;1,G1508=1),MAX($L$50:L1508)+1,"")</f>
        <v/>
      </c>
      <c r="M1509" s="13" t="str">
        <f>IF(AND(G1509=-1,G1508&lt;&gt;-1),MAX($M$50:M1508)+1,"")</f>
        <v/>
      </c>
      <c r="N1509" s="13" t="str">
        <f>IF(AND(G1509&lt;&gt;-1,G1508=-1),MAX($N$50:N1508)+1,"")</f>
        <v/>
      </c>
      <c r="T1509" s="7">
        <f t="shared" si="205"/>
        <v>112.15677262006992</v>
      </c>
      <c r="U1509" s="1">
        <f t="shared" si="206"/>
        <v>202.40268167226253</v>
      </c>
    </row>
    <row r="1510" spans="1:21" x14ac:dyDescent="0.3">
      <c r="A1510" s="2">
        <v>42366</v>
      </c>
      <c r="B1510" s="1">
        <v>3843.94</v>
      </c>
      <c r="C1510" s="2">
        <f t="shared" si="198"/>
        <v>42366</v>
      </c>
      <c r="D1510" s="1">
        <f t="shared" si="199"/>
        <v>3843.94</v>
      </c>
      <c r="E1510" s="4">
        <f t="shared" si="200"/>
        <v>3851.6685999999991</v>
      </c>
      <c r="F1510" s="3">
        <f t="shared" si="201"/>
        <v>0.99799344107642096</v>
      </c>
      <c r="G1510" s="18">
        <f t="shared" si="202"/>
        <v>1</v>
      </c>
      <c r="H1510" s="3">
        <f t="shared" si="203"/>
        <v>-2.1727223406216023E-3</v>
      </c>
      <c r="I1510" s="3">
        <f t="shared" si="204"/>
        <v>-2.1727223406216023E-3</v>
      </c>
      <c r="K1510" s="12" t="str">
        <f>IF(AND(G1510=1,G1509&lt;&gt;1),MAX($K$50:K1509)+1,"")</f>
        <v/>
      </c>
      <c r="L1510" s="13" t="str">
        <f>IF(AND(G1510&lt;&gt;1,G1509=1),MAX($L$50:L1509)+1,"")</f>
        <v/>
      </c>
      <c r="M1510" s="13" t="str">
        <f>IF(AND(G1510=-1,G1509&lt;&gt;-1),MAX($M$50:M1509)+1,"")</f>
        <v/>
      </c>
      <c r="N1510" s="13" t="str">
        <f>IF(AND(G1510&lt;&gt;-1,G1509=-1),MAX($N$50:N1509)+1,"")</f>
        <v/>
      </c>
      <c r="T1510" s="7">
        <f t="shared" si="205"/>
        <v>111.91308709454627</v>
      </c>
      <c r="U1510" s="1">
        <f t="shared" si="206"/>
        <v>201.96291684399148</v>
      </c>
    </row>
    <row r="1511" spans="1:21" x14ac:dyDescent="0.3">
      <c r="A1511" s="2">
        <v>42367</v>
      </c>
      <c r="B1511" s="1">
        <v>3885.55</v>
      </c>
      <c r="C1511" s="2">
        <f t="shared" si="198"/>
        <v>42367</v>
      </c>
      <c r="D1511" s="1">
        <f t="shared" si="199"/>
        <v>3885.55</v>
      </c>
      <c r="E1511" s="4">
        <f t="shared" si="200"/>
        <v>3853.7067999999999</v>
      </c>
      <c r="F1511" s="3">
        <f t="shared" si="201"/>
        <v>1.0082630053744619</v>
      </c>
      <c r="G1511" s="18">
        <f t="shared" si="202"/>
        <v>1</v>
      </c>
      <c r="H1511" s="3">
        <f t="shared" si="203"/>
        <v>1.0824830772592664E-2</v>
      </c>
      <c r="I1511" s="3">
        <f t="shared" si="204"/>
        <v>1.0824830772592664E-2</v>
      </c>
      <c r="K1511" s="12" t="str">
        <f>IF(AND(G1511=1,G1510&lt;&gt;1),MAX($K$50:K1510)+1,"")</f>
        <v/>
      </c>
      <c r="L1511" s="13" t="str">
        <f>IF(AND(G1511&lt;&gt;1,G1510=1),MAX($L$50:L1510)+1,"")</f>
        <v/>
      </c>
      <c r="M1511" s="13" t="str">
        <f>IF(AND(G1511=-1,G1510&lt;&gt;-1),MAX($M$50:M1510)+1,"")</f>
        <v/>
      </c>
      <c r="N1511" s="13" t="str">
        <f>IF(AND(G1511&lt;&gt;-1,G1510=-1),MAX($N$50:N1510)+1,"")</f>
        <v/>
      </c>
      <c r="T1511" s="7">
        <f t="shared" si="205"/>
        <v>113.12452732358315</v>
      </c>
      <c r="U1511" s="1">
        <f t="shared" si="206"/>
        <v>204.14913124116691</v>
      </c>
    </row>
    <row r="1512" spans="1:21" x14ac:dyDescent="0.3">
      <c r="A1512" s="2">
        <v>42368</v>
      </c>
      <c r="B1512" s="1">
        <v>3857.9</v>
      </c>
      <c r="C1512" s="2">
        <f t="shared" si="198"/>
        <v>42368</v>
      </c>
      <c r="D1512" s="1">
        <f t="shared" si="199"/>
        <v>3857.9</v>
      </c>
      <c r="E1512" s="4">
        <f t="shared" si="200"/>
        <v>3855.1704</v>
      </c>
      <c r="F1512" s="3">
        <f t="shared" si="201"/>
        <v>1.0007080361480261</v>
      </c>
      <c r="G1512" s="18">
        <f t="shared" si="202"/>
        <v>1</v>
      </c>
      <c r="H1512" s="3">
        <f t="shared" si="203"/>
        <v>-7.116109688461103E-3</v>
      </c>
      <c r="I1512" s="3">
        <f t="shared" si="204"/>
        <v>-7.116109688461103E-3</v>
      </c>
      <c r="K1512" s="12" t="str">
        <f>IF(AND(G1512=1,G1511&lt;&gt;1),MAX($K$50:K1511)+1,"")</f>
        <v/>
      </c>
      <c r="L1512" s="13" t="str">
        <f>IF(AND(G1512&lt;&gt;1,G1511=1),MAX($L$50:L1511)+1,"")</f>
        <v/>
      </c>
      <c r="M1512" s="13" t="str">
        <f>IF(AND(G1512=-1,G1511&lt;&gt;-1),MAX($M$50:M1511)+1,"")</f>
        <v/>
      </c>
      <c r="N1512" s="13" t="str">
        <f>IF(AND(G1512&lt;&gt;-1,G1511=-1),MAX($N$50:N1511)+1,"")</f>
        <v/>
      </c>
      <c r="T1512" s="7">
        <f t="shared" si="205"/>
        <v>112.31952077869322</v>
      </c>
      <c r="U1512" s="1">
        <f t="shared" si="206"/>
        <v>202.69638363045073</v>
      </c>
    </row>
    <row r="1513" spans="1:21" x14ac:dyDescent="0.3">
      <c r="A1513" s="2">
        <v>42369</v>
      </c>
      <c r="B1513" s="1">
        <v>3821.6</v>
      </c>
      <c r="C1513" s="2">
        <f t="shared" si="198"/>
        <v>42369</v>
      </c>
      <c r="D1513" s="1">
        <f t="shared" si="199"/>
        <v>3821.6</v>
      </c>
      <c r="E1513" s="4">
        <f t="shared" si="200"/>
        <v>3856.0135999999993</v>
      </c>
      <c r="F1513" s="3">
        <f t="shared" si="201"/>
        <v>0.99107534268032682</v>
      </c>
      <c r="G1513" s="18">
        <f t="shared" si="202"/>
        <v>1</v>
      </c>
      <c r="H1513" s="3">
        <f t="shared" si="203"/>
        <v>-9.4092641074160488E-3</v>
      </c>
      <c r="I1513" s="3">
        <f t="shared" si="204"/>
        <v>-9.4092641074160488E-3</v>
      </c>
      <c r="K1513" s="12" t="str">
        <f>IF(AND(G1513=1,G1512&lt;&gt;1),MAX($K$50:K1512)+1,"")</f>
        <v/>
      </c>
      <c r="L1513" s="13" t="str">
        <f>IF(AND(G1513&lt;&gt;1,G1512=1),MAX($L$50:L1512)+1,"")</f>
        <v/>
      </c>
      <c r="M1513" s="13" t="str">
        <f>IF(AND(G1513=-1,G1512&lt;&gt;-1),MAX($M$50:M1512)+1,"")</f>
        <v/>
      </c>
      <c r="N1513" s="13" t="str">
        <f>IF(AND(G1513&lt;&gt;-1,G1512=-1),MAX($N$50:N1512)+1,"")</f>
        <v/>
      </c>
      <c r="T1513" s="7">
        <f t="shared" si="205"/>
        <v>111.26267674326809</v>
      </c>
      <c r="U1513" s="1">
        <f t="shared" si="206"/>
        <v>200.78915982325373</v>
      </c>
    </row>
    <row r="1514" spans="1:21" x14ac:dyDescent="0.3">
      <c r="A1514" s="2">
        <v>42373</v>
      </c>
      <c r="B1514" s="1">
        <v>3763.99</v>
      </c>
      <c r="C1514" s="2">
        <f t="shared" si="198"/>
        <v>42373</v>
      </c>
      <c r="D1514" s="1">
        <f t="shared" si="199"/>
        <v>3763.99</v>
      </c>
      <c r="E1514" s="4">
        <f t="shared" si="200"/>
        <v>3856.1351999999988</v>
      </c>
      <c r="F1514" s="3">
        <f t="shared" si="201"/>
        <v>0.97610426107466386</v>
      </c>
      <c r="G1514" s="18">
        <f t="shared" si="202"/>
        <v>1</v>
      </c>
      <c r="H1514" s="3">
        <f t="shared" si="203"/>
        <v>-1.5074837764287197E-2</v>
      </c>
      <c r="I1514" s="3">
        <f t="shared" si="204"/>
        <v>-1.5074837764287197E-2</v>
      </c>
      <c r="K1514" s="12" t="str">
        <f>IF(AND(G1514=1,G1513&lt;&gt;1),MAX($K$50:K1513)+1,"")</f>
        <v/>
      </c>
      <c r="L1514" s="13" t="str">
        <f>IF(AND(G1514&lt;&gt;1,G1513=1),MAX($L$50:L1513)+1,"")</f>
        <v/>
      </c>
      <c r="M1514" s="13" t="str">
        <f>IF(AND(G1514=-1,G1513&lt;&gt;-1),MAX($M$50:M1513)+1,"")</f>
        <v/>
      </c>
      <c r="N1514" s="13" t="str">
        <f>IF(AND(G1514&lt;&gt;-1,G1513=-1),MAX($N$50:N1513)+1,"")</f>
        <v/>
      </c>
      <c r="T1514" s="7">
        <f t="shared" si="205"/>
        <v>109.58540994214299</v>
      </c>
      <c r="U1514" s="1">
        <f t="shared" si="206"/>
        <v>197.76229581409063</v>
      </c>
    </row>
    <row r="1515" spans="1:21" x14ac:dyDescent="0.3">
      <c r="A1515" s="2">
        <v>42374</v>
      </c>
      <c r="B1515" s="1">
        <v>3771.57</v>
      </c>
      <c r="C1515" s="2">
        <f t="shared" si="198"/>
        <v>42374</v>
      </c>
      <c r="D1515" s="1">
        <f t="shared" si="199"/>
        <v>3771.57</v>
      </c>
      <c r="E1515" s="4">
        <f t="shared" si="200"/>
        <v>3855.1567999999993</v>
      </c>
      <c r="F1515" s="3">
        <f t="shared" si="201"/>
        <v>0.97831818410083882</v>
      </c>
      <c r="G1515" s="18">
        <f t="shared" si="202"/>
        <v>1</v>
      </c>
      <c r="H1515" s="3">
        <f t="shared" si="203"/>
        <v>2.0138204405433235E-3</v>
      </c>
      <c r="I1515" s="3">
        <f t="shared" si="204"/>
        <v>2.0138204405433235E-3</v>
      </c>
      <c r="K1515" s="12" t="str">
        <f>IF(AND(G1515=1,G1514&lt;&gt;1),MAX($K$50:K1514)+1,"")</f>
        <v/>
      </c>
      <c r="L1515" s="13" t="str">
        <f>IF(AND(G1515&lt;&gt;1,G1514=1),MAX($L$50:L1514)+1,"")</f>
        <v/>
      </c>
      <c r="M1515" s="13" t="str">
        <f>IF(AND(G1515=-1,G1514&lt;&gt;-1),MAX($M$50:M1514)+1,"")</f>
        <v/>
      </c>
      <c r="N1515" s="13" t="str">
        <f>IF(AND(G1515&lt;&gt;-1,G1514=-1),MAX($N$50:N1514)+1,"")</f>
        <v/>
      </c>
      <c r="T1515" s="7">
        <f t="shared" si="205"/>
        <v>109.80609528066979</v>
      </c>
      <c r="U1515" s="1">
        <f t="shared" si="206"/>
        <v>198.1605535677698</v>
      </c>
    </row>
    <row r="1516" spans="1:21" x14ac:dyDescent="0.3">
      <c r="A1516" s="2">
        <v>42375</v>
      </c>
      <c r="B1516" s="1">
        <v>3723.44</v>
      </c>
      <c r="C1516" s="2">
        <f t="shared" si="198"/>
        <v>42375</v>
      </c>
      <c r="D1516" s="1">
        <f t="shared" si="199"/>
        <v>3723.44</v>
      </c>
      <c r="E1516" s="4">
        <f t="shared" si="200"/>
        <v>3852.3725999999997</v>
      </c>
      <c r="F1516" s="3">
        <f t="shared" si="201"/>
        <v>0.96653163819096843</v>
      </c>
      <c r="G1516" s="18">
        <f t="shared" si="202"/>
        <v>1</v>
      </c>
      <c r="H1516" s="3">
        <f t="shared" si="203"/>
        <v>-1.2761263876847062E-2</v>
      </c>
      <c r="I1516" s="3">
        <f t="shared" si="204"/>
        <v>-1.2761263876847062E-2</v>
      </c>
      <c r="K1516" s="12" t="str">
        <f>IF(AND(G1516=1,G1515&lt;&gt;1),MAX($K$50:K1515)+1,"")</f>
        <v/>
      </c>
      <c r="L1516" s="13" t="str">
        <f>IF(AND(G1516&lt;&gt;1,G1515=1),MAX($L$50:L1515)+1,"")</f>
        <v/>
      </c>
      <c r="M1516" s="13" t="str">
        <f>IF(AND(G1516=-1,G1515&lt;&gt;-1),MAX($M$50:M1515)+1,"")</f>
        <v/>
      </c>
      <c r="N1516" s="13" t="str">
        <f>IF(AND(G1516&lt;&gt;-1,G1515=-1),MAX($N$50:N1515)+1,"")</f>
        <v/>
      </c>
      <c r="T1516" s="7">
        <f t="shared" si="205"/>
        <v>108.40483072350696</v>
      </c>
      <c r="U1516" s="1">
        <f t="shared" si="206"/>
        <v>195.6317744537094</v>
      </c>
    </row>
    <row r="1517" spans="1:21" x14ac:dyDescent="0.3">
      <c r="A1517" s="2">
        <v>42376</v>
      </c>
      <c r="B1517" s="1">
        <v>3635.29</v>
      </c>
      <c r="C1517" s="2">
        <f t="shared" si="198"/>
        <v>42376</v>
      </c>
      <c r="D1517" s="1">
        <f t="shared" si="199"/>
        <v>3635.29</v>
      </c>
      <c r="E1517" s="4">
        <f t="shared" si="200"/>
        <v>3847.9725999999996</v>
      </c>
      <c r="F1517" s="3">
        <f t="shared" si="201"/>
        <v>0.9447286604899422</v>
      </c>
      <c r="G1517" s="18">
        <f t="shared" si="202"/>
        <v>-1</v>
      </c>
      <c r="H1517" s="3">
        <f t="shared" si="203"/>
        <v>-2.3674344154867577E-2</v>
      </c>
      <c r="I1517" s="3">
        <f t="shared" si="204"/>
        <v>-2.3674344154867577E-2</v>
      </c>
      <c r="K1517" s="12" t="str">
        <f>IF(AND(G1517=1,G1516&lt;&gt;1),MAX($K$50:K1516)+1,"")</f>
        <v/>
      </c>
      <c r="L1517" s="13">
        <f>IF(AND(G1517&lt;&gt;1,G1516=1),MAX($L$50:L1516)+1,"")</f>
        <v>17</v>
      </c>
      <c r="M1517" s="13">
        <f>IF(AND(G1517=-1,G1516&lt;&gt;-1),MAX($M$50:M1516)+1,"")</f>
        <v>17</v>
      </c>
      <c r="N1517" s="13" t="str">
        <f>IF(AND(G1517&lt;&gt;-1,G1516=-1),MAX($N$50:N1516)+1,"")</f>
        <v/>
      </c>
      <c r="T1517" s="7">
        <f t="shared" si="205"/>
        <v>105.8384174529085</v>
      </c>
      <c r="U1517" s="1">
        <f t="shared" si="206"/>
        <v>191.00032049766483</v>
      </c>
    </row>
    <row r="1518" spans="1:21" x14ac:dyDescent="0.3">
      <c r="A1518" s="2">
        <v>42377</v>
      </c>
      <c r="B1518" s="1">
        <v>3595.91</v>
      </c>
      <c r="C1518" s="2">
        <f t="shared" si="198"/>
        <v>42377</v>
      </c>
      <c r="D1518" s="1">
        <f t="shared" si="199"/>
        <v>3595.91</v>
      </c>
      <c r="E1518" s="4">
        <f t="shared" si="200"/>
        <v>3842.9817999999996</v>
      </c>
      <c r="F1518" s="3">
        <f t="shared" si="201"/>
        <v>0.93570830858475584</v>
      </c>
      <c r="G1518" s="18">
        <f t="shared" si="202"/>
        <v>-1</v>
      </c>
      <c r="H1518" s="3">
        <f t="shared" si="203"/>
        <v>-1.0832698354189096E-2</v>
      </c>
      <c r="I1518" s="3">
        <f t="shared" si="204"/>
        <v>1.0832698354189096E-2</v>
      </c>
      <c r="K1518" s="12" t="str">
        <f>IF(AND(G1518=1,G1517&lt;&gt;1),MAX($K$50:K1517)+1,"")</f>
        <v/>
      </c>
      <c r="L1518" s="13" t="str">
        <f>IF(AND(G1518&lt;&gt;1,G1517=1),MAX($L$50:L1517)+1,"")</f>
        <v/>
      </c>
      <c r="M1518" s="13" t="str">
        <f>IF(AND(G1518=-1,G1517&lt;&gt;-1),MAX($M$50:M1517)+1,"")</f>
        <v/>
      </c>
      <c r="N1518" s="13" t="str">
        <f>IF(AND(G1518&lt;&gt;-1,G1517=-1),MAX($N$50:N1517)+1,"")</f>
        <v/>
      </c>
      <c r="T1518" s="7">
        <f t="shared" si="205"/>
        <v>106.98493310346061</v>
      </c>
      <c r="U1518" s="1">
        <f t="shared" si="206"/>
        <v>188.93127164016019</v>
      </c>
    </row>
    <row r="1519" spans="1:21" x14ac:dyDescent="0.3">
      <c r="A1519" s="2">
        <v>42380</v>
      </c>
      <c r="B1519" s="1">
        <v>3598.97</v>
      </c>
      <c r="C1519" s="2">
        <f t="shared" si="198"/>
        <v>42380</v>
      </c>
      <c r="D1519" s="1">
        <f t="shared" si="199"/>
        <v>3598.97</v>
      </c>
      <c r="E1519" s="4">
        <f t="shared" si="200"/>
        <v>3837.1343999999999</v>
      </c>
      <c r="F1519" s="3">
        <f t="shared" si="201"/>
        <v>0.93793170236622414</v>
      </c>
      <c r="G1519" s="18">
        <f t="shared" si="202"/>
        <v>-1</v>
      </c>
      <c r="H1519" s="3">
        <f t="shared" si="203"/>
        <v>8.5096679282847809E-4</v>
      </c>
      <c r="I1519" s="3">
        <f t="shared" si="204"/>
        <v>-8.5096679282847809E-4</v>
      </c>
      <c r="K1519" s="12" t="str">
        <f>IF(AND(G1519=1,G1518&lt;&gt;1),MAX($K$50:K1518)+1,"")</f>
        <v/>
      </c>
      <c r="L1519" s="13" t="str">
        <f>IF(AND(G1519&lt;&gt;1,G1518=1),MAX($L$50:L1518)+1,"")</f>
        <v/>
      </c>
      <c r="M1519" s="13" t="str">
        <f>IF(AND(G1519=-1,G1518&lt;&gt;-1),MAX($M$50:M1518)+1,"")</f>
        <v/>
      </c>
      <c r="N1519" s="13" t="str">
        <f>IF(AND(G1519&lt;&gt;-1,G1518=-1),MAX($N$50:N1518)+1,"")</f>
        <v/>
      </c>
      <c r="T1519" s="7">
        <f t="shared" si="205"/>
        <v>106.89389247805659</v>
      </c>
      <c r="U1519" s="1">
        <f t="shared" si="206"/>
        <v>189.09204587845281</v>
      </c>
    </row>
    <row r="1520" spans="1:21" x14ac:dyDescent="0.3">
      <c r="A1520" s="2">
        <v>42381</v>
      </c>
      <c r="B1520" s="1">
        <v>3627.06</v>
      </c>
      <c r="C1520" s="2">
        <f t="shared" si="198"/>
        <v>42381</v>
      </c>
      <c r="D1520" s="1">
        <f t="shared" si="199"/>
        <v>3627.06</v>
      </c>
      <c r="E1520" s="4">
        <f t="shared" si="200"/>
        <v>3831.8747999999996</v>
      </c>
      <c r="F1520" s="3">
        <f t="shared" si="201"/>
        <v>0.94654971503766261</v>
      </c>
      <c r="G1520" s="18">
        <f t="shared" si="202"/>
        <v>-1</v>
      </c>
      <c r="H1520" s="3">
        <f t="shared" si="203"/>
        <v>7.8050108781124727E-3</v>
      </c>
      <c r="I1520" s="3">
        <f t="shared" si="204"/>
        <v>-7.8050108781124727E-3</v>
      </c>
      <c r="K1520" s="12" t="str">
        <f>IF(AND(G1520=1,G1519&lt;&gt;1),MAX($K$50:K1519)+1,"")</f>
        <v/>
      </c>
      <c r="L1520" s="13" t="str">
        <f>IF(AND(G1520&lt;&gt;1,G1519=1),MAX($L$50:L1519)+1,"")</f>
        <v/>
      </c>
      <c r="M1520" s="13" t="str">
        <f>IF(AND(G1520=-1,G1519&lt;&gt;-1),MAX($M$50:M1519)+1,"")</f>
        <v/>
      </c>
      <c r="N1520" s="13" t="str">
        <f>IF(AND(G1520&lt;&gt;-1,G1519=-1),MAX($N$50:N1519)+1,"")</f>
        <v/>
      </c>
      <c r="T1520" s="7">
        <f t="shared" si="205"/>
        <v>106.05958448446157</v>
      </c>
      <c r="U1520" s="1">
        <f t="shared" si="206"/>
        <v>190.56791135349866</v>
      </c>
    </row>
    <row r="1521" spans="1:21" x14ac:dyDescent="0.3">
      <c r="A1521" s="2">
        <v>42382</v>
      </c>
      <c r="B1521" s="1">
        <v>3536.92</v>
      </c>
      <c r="C1521" s="2">
        <f t="shared" si="198"/>
        <v>42382</v>
      </c>
      <c r="D1521" s="1">
        <f t="shared" si="199"/>
        <v>3536.92</v>
      </c>
      <c r="E1521" s="4">
        <f t="shared" si="200"/>
        <v>3825.1866000000005</v>
      </c>
      <c r="F1521" s="3">
        <f t="shared" si="201"/>
        <v>0.92463985939927729</v>
      </c>
      <c r="G1521" s="18">
        <f t="shared" si="202"/>
        <v>-1</v>
      </c>
      <c r="H1521" s="3">
        <f t="shared" si="203"/>
        <v>-2.4852084057059964E-2</v>
      </c>
      <c r="I1521" s="3">
        <f t="shared" si="204"/>
        <v>2.4852084057059964E-2</v>
      </c>
      <c r="K1521" s="12" t="str">
        <f>IF(AND(G1521=1,G1520&lt;&gt;1),MAX($K$50:K1520)+1,"")</f>
        <v/>
      </c>
      <c r="L1521" s="13" t="str">
        <f>IF(AND(G1521&lt;&gt;1,G1520=1),MAX($L$50:L1520)+1,"")</f>
        <v/>
      </c>
      <c r="M1521" s="13" t="str">
        <f>IF(AND(G1521=-1,G1520&lt;&gt;-1),MAX($M$50:M1520)+1,"")</f>
        <v/>
      </c>
      <c r="N1521" s="13" t="str">
        <f>IF(AND(G1521&lt;&gt;-1,G1520=-1),MAX($N$50:N1520)+1,"")</f>
        <v/>
      </c>
      <c r="T1521" s="7">
        <f t="shared" si="205"/>
        <v>108.69538619312627</v>
      </c>
      <c r="U1521" s="1">
        <f t="shared" si="206"/>
        <v>185.83190160196318</v>
      </c>
    </row>
    <row r="1522" spans="1:21" x14ac:dyDescent="0.3">
      <c r="A1522" s="2">
        <v>42383</v>
      </c>
      <c r="B1522" s="1">
        <v>3596.03</v>
      </c>
      <c r="C1522" s="2">
        <f t="shared" si="198"/>
        <v>42383</v>
      </c>
      <c r="D1522" s="1">
        <f t="shared" si="199"/>
        <v>3596.03</v>
      </c>
      <c r="E1522" s="4">
        <f t="shared" si="200"/>
        <v>3818.7611999999999</v>
      </c>
      <c r="F1522" s="3">
        <f t="shared" si="201"/>
        <v>0.94167448857498615</v>
      </c>
      <c r="G1522" s="18">
        <f t="shared" si="202"/>
        <v>-1</v>
      </c>
      <c r="H1522" s="3">
        <f t="shared" si="203"/>
        <v>1.6712280741436158E-2</v>
      </c>
      <c r="I1522" s="3">
        <f t="shared" si="204"/>
        <v>-1.6712280741436158E-2</v>
      </c>
      <c r="K1522" s="12" t="str">
        <f>IF(AND(G1522=1,G1521&lt;&gt;1),MAX($K$50:K1521)+1,"")</f>
        <v/>
      </c>
      <c r="L1522" s="13" t="str">
        <f>IF(AND(G1522&lt;&gt;1,G1521=1),MAX($L$50:L1521)+1,"")</f>
        <v/>
      </c>
      <c r="M1522" s="13" t="str">
        <f>IF(AND(G1522=-1,G1521&lt;&gt;-1),MAX($M$50:M1521)+1,"")</f>
        <v/>
      </c>
      <c r="N1522" s="13" t="str">
        <f>IF(AND(G1522&lt;&gt;-1,G1521=-1),MAX($N$50:N1521)+1,"")</f>
        <v/>
      </c>
      <c r="T1522" s="7">
        <f t="shared" si="205"/>
        <v>106.87883838376791</v>
      </c>
      <c r="U1522" s="1">
        <f t="shared" si="206"/>
        <v>188.9375765122501</v>
      </c>
    </row>
    <row r="1523" spans="1:21" x14ac:dyDescent="0.3">
      <c r="A1523" s="2">
        <v>42384</v>
      </c>
      <c r="B1523" s="1">
        <v>3518.51</v>
      </c>
      <c r="C1523" s="2">
        <f t="shared" si="198"/>
        <v>42384</v>
      </c>
      <c r="D1523" s="1">
        <f t="shared" si="199"/>
        <v>3518.51</v>
      </c>
      <c r="E1523" s="4">
        <f t="shared" si="200"/>
        <v>3810.5703999999996</v>
      </c>
      <c r="F1523" s="3">
        <f t="shared" si="201"/>
        <v>0.92335520162545759</v>
      </c>
      <c r="G1523" s="18">
        <f t="shared" si="202"/>
        <v>-1</v>
      </c>
      <c r="H1523" s="3">
        <f t="shared" si="203"/>
        <v>-2.1557106030817286E-2</v>
      </c>
      <c r="I1523" s="3">
        <f t="shared" si="204"/>
        <v>2.1557106030817286E-2</v>
      </c>
      <c r="K1523" s="12" t="str">
        <f>IF(AND(G1523=1,G1522&lt;&gt;1),MAX($K$50:K1522)+1,"")</f>
        <v/>
      </c>
      <c r="L1523" s="13" t="str">
        <f>IF(AND(G1523&lt;&gt;1,G1522=1),MAX($L$50:L1522)+1,"")</f>
        <v/>
      </c>
      <c r="M1523" s="13" t="str">
        <f>IF(AND(G1523=-1,G1522&lt;&gt;-1),MAX($M$50:M1522)+1,"")</f>
        <v/>
      </c>
      <c r="N1523" s="13" t="str">
        <f>IF(AND(G1523&lt;&gt;-1,G1522=-1),MAX($N$50:N1522)+1,"")</f>
        <v/>
      </c>
      <c r="T1523" s="7">
        <f t="shared" si="205"/>
        <v>109.18283683525738</v>
      </c>
      <c r="U1523" s="1">
        <f t="shared" si="206"/>
        <v>184.86462914216989</v>
      </c>
    </row>
    <row r="1524" spans="1:21" x14ac:dyDescent="0.3">
      <c r="A1524" s="2">
        <v>42388</v>
      </c>
      <c r="B1524" s="1">
        <v>3520.4</v>
      </c>
      <c r="C1524" s="2">
        <f t="shared" ref="C1524:C1587" si="207">A1524</f>
        <v>42388</v>
      </c>
      <c r="D1524" s="1">
        <f t="shared" ref="D1524:D1587" si="208">B1524</f>
        <v>3520.4</v>
      </c>
      <c r="E1524" s="4">
        <f t="shared" ref="E1524:E1587" si="209">AVERAGE(B1475:B1524)</f>
        <v>3802.6680000000006</v>
      </c>
      <c r="F1524" s="3">
        <f t="shared" ref="F1524:F1587" si="210">D1524/E1524</f>
        <v>0.92577106389513875</v>
      </c>
      <c r="G1524" s="18">
        <f t="shared" ref="G1524:G1587" si="211">IF(F1524&gt;=$Q$51,1,IF(F1524&lt;=$Q$52,-1,0))</f>
        <v>-1</v>
      </c>
      <c r="H1524" s="3">
        <f t="shared" si="203"/>
        <v>5.3715919522745459E-4</v>
      </c>
      <c r="I1524" s="3">
        <f t="shared" si="204"/>
        <v>-5.3715919522745459E-4</v>
      </c>
      <c r="K1524" s="12" t="str">
        <f>IF(AND(G1524=1,G1523&lt;&gt;1),MAX($K$50:K1523)+1,"")</f>
        <v/>
      </c>
      <c r="L1524" s="13" t="str">
        <f>IF(AND(G1524&lt;&gt;1,G1523=1),MAX($L$50:L1523)+1,"")</f>
        <v/>
      </c>
      <c r="M1524" s="13" t="str">
        <f>IF(AND(G1524=-1,G1523&lt;&gt;-1),MAX($M$50:M1523)+1,"")</f>
        <v/>
      </c>
      <c r="N1524" s="13" t="str">
        <f>IF(AND(G1524&lt;&gt;-1,G1523=-1),MAX($N$50:N1523)+1,"")</f>
        <v/>
      </c>
      <c r="T1524" s="7">
        <f t="shared" si="205"/>
        <v>109.12418827049029</v>
      </c>
      <c r="U1524" s="1">
        <f t="shared" si="206"/>
        <v>184.96393087758591</v>
      </c>
    </row>
    <row r="1525" spans="1:21" x14ac:dyDescent="0.3">
      <c r="A1525" s="2">
        <v>42389</v>
      </c>
      <c r="B1525" s="1">
        <v>3479.75</v>
      </c>
      <c r="C1525" s="2">
        <f t="shared" si="207"/>
        <v>42389</v>
      </c>
      <c r="D1525" s="1">
        <f t="shared" si="208"/>
        <v>3479.75</v>
      </c>
      <c r="E1525" s="4">
        <f t="shared" si="209"/>
        <v>3794.0251999999996</v>
      </c>
      <c r="F1525" s="3">
        <f t="shared" si="210"/>
        <v>0.91716575841404546</v>
      </c>
      <c r="G1525" s="18">
        <f t="shared" si="211"/>
        <v>-1</v>
      </c>
      <c r="H1525" s="3">
        <f t="shared" ref="H1525:H1588" si="212">D1525/D1524-1</f>
        <v>-1.1546983297352598E-2</v>
      </c>
      <c r="I1525" s="3">
        <f t="shared" ref="I1525:I1588" si="213">G1524*H1525</f>
        <v>1.1546983297352598E-2</v>
      </c>
      <c r="K1525" s="12" t="str">
        <f>IF(AND(G1525=1,G1524&lt;&gt;1),MAX($K$50:K1524)+1,"")</f>
        <v/>
      </c>
      <c r="L1525" s="13" t="str">
        <f>IF(AND(G1525&lt;&gt;1,G1524=1),MAX($L$50:L1524)+1,"")</f>
        <v/>
      </c>
      <c r="M1525" s="13" t="str">
        <f>IF(AND(G1525=-1,G1524&lt;&gt;-1),MAX($M$50:M1524)+1,"")</f>
        <v/>
      </c>
      <c r="N1525" s="13" t="str">
        <f>IF(AND(G1525&lt;&gt;-1,G1524=-1),MAX($N$50:N1524)+1,"")</f>
        <v/>
      </c>
      <c r="T1525" s="7">
        <f t="shared" ref="T1525:T1588" si="214">T1524*(1+I1525)</f>
        <v>110.38424344978679</v>
      </c>
      <c r="U1525" s="1">
        <f t="shared" ref="U1525:U1588" si="215">U1524*D1525/D1524</f>
        <v>182.82815545712975</v>
      </c>
    </row>
    <row r="1526" spans="1:21" x14ac:dyDescent="0.3">
      <c r="A1526" s="2">
        <v>42390</v>
      </c>
      <c r="B1526" s="1">
        <v>3497.94</v>
      </c>
      <c r="C1526" s="2">
        <f t="shared" si="207"/>
        <v>42390</v>
      </c>
      <c r="D1526" s="1">
        <f t="shared" si="208"/>
        <v>3497.94</v>
      </c>
      <c r="E1526" s="4">
        <f t="shared" si="209"/>
        <v>3785.7644</v>
      </c>
      <c r="F1526" s="3">
        <f t="shared" si="210"/>
        <v>0.92397191964719205</v>
      </c>
      <c r="G1526" s="18">
        <f t="shared" si="211"/>
        <v>-1</v>
      </c>
      <c r="H1526" s="3">
        <f t="shared" si="212"/>
        <v>5.2273870249299748E-3</v>
      </c>
      <c r="I1526" s="3">
        <f t="shared" si="213"/>
        <v>-5.2273870249299748E-3</v>
      </c>
      <c r="K1526" s="12" t="str">
        <f>IF(AND(G1526=1,G1525&lt;&gt;1),MAX($K$50:K1525)+1,"")</f>
        <v/>
      </c>
      <c r="L1526" s="13" t="str">
        <f>IF(AND(G1526&lt;&gt;1,G1525=1),MAX($L$50:L1525)+1,"")</f>
        <v/>
      </c>
      <c r="M1526" s="13" t="str">
        <f>IF(AND(G1526=-1,G1525&lt;&gt;-1),MAX($M$50:M1525)+1,"")</f>
        <v/>
      </c>
      <c r="N1526" s="13" t="str">
        <f>IF(AND(G1526&lt;&gt;-1,G1525=-1),MAX($N$50:N1525)+1,"")</f>
        <v/>
      </c>
      <c r="T1526" s="7">
        <f t="shared" si="214"/>
        <v>109.80722228782066</v>
      </c>
      <c r="U1526" s="1">
        <f t="shared" si="215"/>
        <v>183.78386898475824</v>
      </c>
    </row>
    <row r="1527" spans="1:21" x14ac:dyDescent="0.3">
      <c r="A1527" s="2">
        <v>42391</v>
      </c>
      <c r="B1527" s="1">
        <v>3568.9</v>
      </c>
      <c r="C1527" s="2">
        <f t="shared" si="207"/>
        <v>42391</v>
      </c>
      <c r="D1527" s="1">
        <f t="shared" si="208"/>
        <v>3568.9</v>
      </c>
      <c r="E1527" s="4">
        <f t="shared" si="209"/>
        <v>3779.6750000000002</v>
      </c>
      <c r="F1527" s="3">
        <f t="shared" si="210"/>
        <v>0.94423462334724539</v>
      </c>
      <c r="G1527" s="18">
        <f t="shared" si="211"/>
        <v>-1</v>
      </c>
      <c r="H1527" s="3">
        <f t="shared" si="212"/>
        <v>2.0286225607071495E-2</v>
      </c>
      <c r="I1527" s="3">
        <f t="shared" si="213"/>
        <v>-2.0286225607071495E-2</v>
      </c>
      <c r="K1527" s="12" t="str">
        <f>IF(AND(G1527=1,G1526&lt;&gt;1),MAX($K$50:K1526)+1,"")</f>
        <v/>
      </c>
      <c r="L1527" s="13" t="str">
        <f>IF(AND(G1527&lt;&gt;1,G1526=1),MAX($L$50:L1526)+1,"")</f>
        <v/>
      </c>
      <c r="M1527" s="13" t="str">
        <f>IF(AND(G1527=-1,G1526&lt;&gt;-1),MAX($M$50:M1526)+1,"")</f>
        <v/>
      </c>
      <c r="N1527" s="13" t="str">
        <f>IF(AND(G1527&lt;&gt;-1,G1526=-1),MAX($N$50:N1526)+1,"")</f>
        <v/>
      </c>
      <c r="T1527" s="7">
        <f t="shared" si="214"/>
        <v>107.57964820320409</v>
      </c>
      <c r="U1527" s="1">
        <f t="shared" si="215"/>
        <v>187.51215001392356</v>
      </c>
    </row>
    <row r="1528" spans="1:21" x14ac:dyDescent="0.3">
      <c r="A1528" s="2">
        <v>42394</v>
      </c>
      <c r="B1528" s="1">
        <v>3513.11</v>
      </c>
      <c r="C1528" s="2">
        <f t="shared" si="207"/>
        <v>42394</v>
      </c>
      <c r="D1528" s="1">
        <f t="shared" si="208"/>
        <v>3513.11</v>
      </c>
      <c r="E1528" s="4">
        <f t="shared" si="209"/>
        <v>3772.3325999999997</v>
      </c>
      <c r="F1528" s="3">
        <f t="shared" si="210"/>
        <v>0.93128320657621766</v>
      </c>
      <c r="G1528" s="18">
        <f t="shared" si="211"/>
        <v>-1</v>
      </c>
      <c r="H1528" s="3">
        <f t="shared" si="212"/>
        <v>-1.563226764549297E-2</v>
      </c>
      <c r="I1528" s="3">
        <f t="shared" si="213"/>
        <v>1.563226764549297E-2</v>
      </c>
      <c r="K1528" s="12" t="str">
        <f>IF(AND(G1528=1,G1527&lt;&gt;1),MAX($K$50:K1527)+1,"")</f>
        <v/>
      </c>
      <c r="L1528" s="13" t="str">
        <f>IF(AND(G1528&lt;&gt;1,G1527=1),MAX($L$50:L1527)+1,"")</f>
        <v/>
      </c>
      <c r="M1528" s="13" t="str">
        <f>IF(AND(G1528=-1,G1527&lt;&gt;-1),MAX($M$50:M1527)+1,"")</f>
        <v/>
      </c>
      <c r="N1528" s="13" t="str">
        <f>IF(AND(G1528&lt;&gt;-1,G1527=-1),MAX($N$50:N1527)+1,"")</f>
        <v/>
      </c>
      <c r="T1528" s="7">
        <f t="shared" si="214"/>
        <v>109.26136205712454</v>
      </c>
      <c r="U1528" s="1">
        <f t="shared" si="215"/>
        <v>184.58090989812408</v>
      </c>
    </row>
    <row r="1529" spans="1:21" x14ac:dyDescent="0.3">
      <c r="A1529" s="2">
        <v>42395</v>
      </c>
      <c r="B1529" s="1">
        <v>3562.81</v>
      </c>
      <c r="C1529" s="2">
        <f t="shared" si="207"/>
        <v>42395</v>
      </c>
      <c r="D1529" s="1">
        <f t="shared" si="208"/>
        <v>3562.81</v>
      </c>
      <c r="E1529" s="4">
        <f t="shared" si="209"/>
        <v>3766.2345999999998</v>
      </c>
      <c r="F1529" s="3">
        <f t="shared" si="210"/>
        <v>0.94598727333661059</v>
      </c>
      <c r="G1529" s="18">
        <f t="shared" si="211"/>
        <v>-1</v>
      </c>
      <c r="H1529" s="3">
        <f t="shared" si="212"/>
        <v>1.4147009344996242E-2</v>
      </c>
      <c r="I1529" s="3">
        <f t="shared" si="213"/>
        <v>-1.4147009344996242E-2</v>
      </c>
      <c r="K1529" s="12" t="str">
        <f>IF(AND(G1529=1,G1528&lt;&gt;1),MAX($K$50:K1528)+1,"")</f>
        <v/>
      </c>
      <c r="L1529" s="13" t="str">
        <f>IF(AND(G1529&lt;&gt;1,G1528=1),MAX($L$50:L1528)+1,"")</f>
        <v/>
      </c>
      <c r="M1529" s="13" t="str">
        <f>IF(AND(G1529=-1,G1528&lt;&gt;-1),MAX($M$50:M1528)+1,"")</f>
        <v/>
      </c>
      <c r="N1529" s="13" t="str">
        <f>IF(AND(G1529&lt;&gt;-1,G1528=-1),MAX($N$50:N1528)+1,"")</f>
        <v/>
      </c>
      <c r="T1529" s="7">
        <f t="shared" si="214"/>
        <v>107.71564054705539</v>
      </c>
      <c r="U1529" s="1">
        <f t="shared" si="215"/>
        <v>187.19217775536075</v>
      </c>
    </row>
    <row r="1530" spans="1:21" x14ac:dyDescent="0.3">
      <c r="A1530" s="2">
        <v>42396</v>
      </c>
      <c r="B1530" s="1">
        <v>3524.33</v>
      </c>
      <c r="C1530" s="2">
        <f t="shared" si="207"/>
        <v>42396</v>
      </c>
      <c r="D1530" s="1">
        <f t="shared" si="208"/>
        <v>3524.33</v>
      </c>
      <c r="E1530" s="4">
        <f t="shared" si="209"/>
        <v>3760.4353999999998</v>
      </c>
      <c r="F1530" s="3">
        <f t="shared" si="210"/>
        <v>0.93721328120674541</v>
      </c>
      <c r="G1530" s="18">
        <f t="shared" si="211"/>
        <v>-1</v>
      </c>
      <c r="H1530" s="3">
        <f t="shared" si="212"/>
        <v>-1.0800463678950045E-2</v>
      </c>
      <c r="I1530" s="3">
        <f t="shared" si="213"/>
        <v>1.0800463678950045E-2</v>
      </c>
      <c r="K1530" s="12" t="str">
        <f>IF(AND(G1530=1,G1529&lt;&gt;1),MAX($K$50:K1529)+1,"")</f>
        <v/>
      </c>
      <c r="L1530" s="13" t="str">
        <f>IF(AND(G1530&lt;&gt;1,G1529=1),MAX($L$50:L1529)+1,"")</f>
        <v/>
      </c>
      <c r="M1530" s="13" t="str">
        <f>IF(AND(G1530=-1,G1529&lt;&gt;-1),MAX($M$50:M1529)+1,"")</f>
        <v/>
      </c>
      <c r="N1530" s="13" t="str">
        <f>IF(AND(G1530&lt;&gt;-1,G1529=-1),MAX($N$50:N1529)+1,"")</f>
        <v/>
      </c>
      <c r="T1530" s="7">
        <f t="shared" si="214"/>
        <v>108.8790194104387</v>
      </c>
      <c r="U1530" s="1">
        <f t="shared" si="215"/>
        <v>185.17041543853043</v>
      </c>
    </row>
    <row r="1531" spans="1:21" x14ac:dyDescent="0.3">
      <c r="A1531" s="2">
        <v>42397</v>
      </c>
      <c r="B1531" s="1">
        <v>3544.13</v>
      </c>
      <c r="C1531" s="2">
        <f t="shared" si="207"/>
        <v>42397</v>
      </c>
      <c r="D1531" s="1">
        <f t="shared" si="208"/>
        <v>3544.13</v>
      </c>
      <c r="E1531" s="4">
        <f t="shared" si="209"/>
        <v>3755.8861999999995</v>
      </c>
      <c r="F1531" s="3">
        <f t="shared" si="210"/>
        <v>0.94362017677745413</v>
      </c>
      <c r="G1531" s="18">
        <f t="shared" si="211"/>
        <v>-1</v>
      </c>
      <c r="H1531" s="3">
        <f t="shared" si="212"/>
        <v>5.6180891119730347E-3</v>
      </c>
      <c r="I1531" s="3">
        <f t="shared" si="213"/>
        <v>-5.6180891119730347E-3</v>
      </c>
      <c r="K1531" s="12" t="str">
        <f>IF(AND(G1531=1,G1530&lt;&gt;1),MAX($K$50:K1530)+1,"")</f>
        <v/>
      </c>
      <c r="L1531" s="13" t="str">
        <f>IF(AND(G1531&lt;&gt;1,G1530=1),MAX($L$50:L1530)+1,"")</f>
        <v/>
      </c>
      <c r="M1531" s="13" t="str">
        <f>IF(AND(G1531=-1,G1530&lt;&gt;-1),MAX($M$50:M1530)+1,"")</f>
        <v/>
      </c>
      <c r="N1531" s="13" t="str">
        <f>IF(AND(G1531&lt;&gt;-1,G1530=-1),MAX($N$50:N1530)+1,"")</f>
        <v/>
      </c>
      <c r="T1531" s="7">
        <f t="shared" si="214"/>
        <v>108.26732737696662</v>
      </c>
      <c r="U1531" s="1">
        <f t="shared" si="215"/>
        <v>186.21071933336518</v>
      </c>
    </row>
    <row r="1532" spans="1:21" x14ac:dyDescent="0.3">
      <c r="A1532" s="2">
        <v>42398</v>
      </c>
      <c r="B1532" s="1">
        <v>3631.96</v>
      </c>
      <c r="C1532" s="2">
        <f t="shared" si="207"/>
        <v>42398</v>
      </c>
      <c r="D1532" s="1">
        <f t="shared" si="208"/>
        <v>3631.96</v>
      </c>
      <c r="E1532" s="4">
        <f t="shared" si="209"/>
        <v>3751.9562000000001</v>
      </c>
      <c r="F1532" s="3">
        <f t="shared" si="210"/>
        <v>0.96801769700829665</v>
      </c>
      <c r="G1532" s="18">
        <f t="shared" si="211"/>
        <v>1</v>
      </c>
      <c r="H1532" s="3">
        <f t="shared" si="212"/>
        <v>2.4781822337216708E-2</v>
      </c>
      <c r="I1532" s="3">
        <f t="shared" si="213"/>
        <v>-2.4781822337216708E-2</v>
      </c>
      <c r="K1532" s="12">
        <f>IF(AND(G1532=1,G1531&lt;&gt;1),MAX($K$50:K1531)+1,"")</f>
        <v>18</v>
      </c>
      <c r="L1532" s="13" t="str">
        <f>IF(AND(G1532&lt;&gt;1,G1531=1),MAX($L$50:L1531)+1,"")</f>
        <v/>
      </c>
      <c r="M1532" s="13" t="str">
        <f>IF(AND(G1532=-1,G1531&lt;&gt;-1),MAX($M$50:M1531)+1,"")</f>
        <v/>
      </c>
      <c r="N1532" s="13">
        <f>IF(AND(G1532&lt;&gt;-1,G1531=-1),MAX($N$50:N1531)+1,"")</f>
        <v>17</v>
      </c>
      <c r="T1532" s="7">
        <f t="shared" si="214"/>
        <v>105.58426570498536</v>
      </c>
      <c r="U1532" s="1">
        <f t="shared" si="215"/>
        <v>190.82536029716996</v>
      </c>
    </row>
    <row r="1533" spans="1:21" x14ac:dyDescent="0.3">
      <c r="A1533" s="2">
        <v>42401</v>
      </c>
      <c r="B1533" s="1">
        <v>3630.46</v>
      </c>
      <c r="C1533" s="2">
        <f t="shared" si="207"/>
        <v>42401</v>
      </c>
      <c r="D1533" s="1">
        <f t="shared" si="208"/>
        <v>3630.46</v>
      </c>
      <c r="E1533" s="4">
        <f t="shared" si="209"/>
        <v>3748.0825999999997</v>
      </c>
      <c r="F1533" s="3">
        <f t="shared" si="210"/>
        <v>0.96861792747043518</v>
      </c>
      <c r="G1533" s="18">
        <f t="shared" si="211"/>
        <v>1</v>
      </c>
      <c r="H1533" s="3">
        <f t="shared" si="212"/>
        <v>-4.1300014317335876E-4</v>
      </c>
      <c r="I1533" s="3">
        <f t="shared" si="213"/>
        <v>-4.1300014317335876E-4</v>
      </c>
      <c r="K1533" s="12" t="str">
        <f>IF(AND(G1533=1,G1532&lt;&gt;1),MAX($K$50:K1532)+1,"")</f>
        <v/>
      </c>
      <c r="L1533" s="13" t="str">
        <f>IF(AND(G1533&lt;&gt;1,G1532=1),MAX($L$50:L1532)+1,"")</f>
        <v/>
      </c>
      <c r="M1533" s="13" t="str">
        <f>IF(AND(G1533=-1,G1532&lt;&gt;-1),MAX($M$50:M1532)+1,"")</f>
        <v/>
      </c>
      <c r="N1533" s="13" t="str">
        <f>IF(AND(G1533&lt;&gt;-1,G1532=-1),MAX($N$50:N1532)+1,"")</f>
        <v/>
      </c>
      <c r="T1533" s="7">
        <f t="shared" si="214"/>
        <v>105.54065938813234</v>
      </c>
      <c r="U1533" s="1">
        <f t="shared" si="215"/>
        <v>190.74654939604613</v>
      </c>
    </row>
    <row r="1534" spans="1:21" x14ac:dyDescent="0.3">
      <c r="A1534" s="2">
        <v>42402</v>
      </c>
      <c r="B1534" s="1">
        <v>3562.52</v>
      </c>
      <c r="C1534" s="2">
        <f t="shared" si="207"/>
        <v>42402</v>
      </c>
      <c r="D1534" s="1">
        <f t="shared" si="208"/>
        <v>3562.52</v>
      </c>
      <c r="E1534" s="4">
        <f t="shared" si="209"/>
        <v>3741.6077999999993</v>
      </c>
      <c r="F1534" s="3">
        <f t="shared" si="210"/>
        <v>0.95213613783892603</v>
      </c>
      <c r="G1534" s="18">
        <f t="shared" si="211"/>
        <v>1</v>
      </c>
      <c r="H1534" s="3">
        <f t="shared" si="212"/>
        <v>-1.8713881987406533E-2</v>
      </c>
      <c r="I1534" s="3">
        <f t="shared" si="213"/>
        <v>-1.8713881987406533E-2</v>
      </c>
      <c r="K1534" s="12" t="str">
        <f>IF(AND(G1534=1,G1533&lt;&gt;1),MAX($K$50:K1533)+1,"")</f>
        <v/>
      </c>
      <c r="L1534" s="13" t="str">
        <f>IF(AND(G1534&lt;&gt;1,G1533=1),MAX($L$50:L1533)+1,"")</f>
        <v/>
      </c>
      <c r="M1534" s="13" t="str">
        <f>IF(AND(G1534=-1,G1533&lt;&gt;-1),MAX($M$50:M1533)+1,"")</f>
        <v/>
      </c>
      <c r="N1534" s="13" t="str">
        <f>IF(AND(G1534&lt;&gt;-1,G1533=-1),MAX($N$50:N1533)+1,"")</f>
        <v/>
      </c>
      <c r="T1534" s="7">
        <f t="shared" si="214"/>
        <v>103.56558394346976</v>
      </c>
      <c r="U1534" s="1">
        <f t="shared" si="215"/>
        <v>187.1769409811435</v>
      </c>
    </row>
    <row r="1535" spans="1:21" x14ac:dyDescent="0.3">
      <c r="A1535" s="2">
        <v>42403</v>
      </c>
      <c r="B1535" s="1">
        <v>3581.53</v>
      </c>
      <c r="C1535" s="2">
        <f t="shared" si="207"/>
        <v>42403</v>
      </c>
      <c r="D1535" s="1">
        <f t="shared" si="208"/>
        <v>3581.53</v>
      </c>
      <c r="E1535" s="4">
        <f t="shared" si="209"/>
        <v>3735.5971999999997</v>
      </c>
      <c r="F1535" s="3">
        <f t="shared" si="210"/>
        <v>0.95875700945487385</v>
      </c>
      <c r="G1535" s="18">
        <f t="shared" si="211"/>
        <v>1</v>
      </c>
      <c r="H1535" s="3">
        <f t="shared" si="212"/>
        <v>5.3361103937663579E-3</v>
      </c>
      <c r="I1535" s="3">
        <f t="shared" si="213"/>
        <v>5.3361103937663579E-3</v>
      </c>
      <c r="K1535" s="12" t="str">
        <f>IF(AND(G1535=1,G1534&lt;&gt;1),MAX($K$50:K1534)+1,"")</f>
        <v/>
      </c>
      <c r="L1535" s="13" t="str">
        <f>IF(AND(G1535&lt;&gt;1,G1534=1),MAX($L$50:L1534)+1,"")</f>
        <v/>
      </c>
      <c r="M1535" s="13" t="str">
        <f>IF(AND(G1535=-1,G1534&lt;&gt;-1),MAX($M$50:M1534)+1,"")</f>
        <v/>
      </c>
      <c r="N1535" s="13" t="str">
        <f>IF(AND(G1535&lt;&gt;-1,G1534=-1),MAX($N$50:N1534)+1,"")</f>
        <v/>
      </c>
      <c r="T1535" s="7">
        <f t="shared" si="214"/>
        <v>104.11822133238699</v>
      </c>
      <c r="U1535" s="1">
        <f t="shared" si="215"/>
        <v>188.17573780138636</v>
      </c>
    </row>
    <row r="1536" spans="1:21" x14ac:dyDescent="0.3">
      <c r="A1536" s="2">
        <v>42404</v>
      </c>
      <c r="B1536" s="1">
        <v>3587.71</v>
      </c>
      <c r="C1536" s="2">
        <f t="shared" si="207"/>
        <v>42404</v>
      </c>
      <c r="D1536" s="1">
        <f t="shared" si="208"/>
        <v>3587.71</v>
      </c>
      <c r="E1536" s="4">
        <f t="shared" si="209"/>
        <v>3729.4023999999995</v>
      </c>
      <c r="F1536" s="3">
        <f t="shared" si="210"/>
        <v>0.96200667431328957</v>
      </c>
      <c r="G1536" s="18">
        <f t="shared" si="211"/>
        <v>1</v>
      </c>
      <c r="H1536" s="3">
        <f t="shared" si="212"/>
        <v>1.7255195405314616E-3</v>
      </c>
      <c r="I1536" s="3">
        <f t="shared" si="213"/>
        <v>1.7255195405314616E-3</v>
      </c>
      <c r="K1536" s="12" t="str">
        <f>IF(AND(G1536=1,G1535&lt;&gt;1),MAX($K$50:K1535)+1,"")</f>
        <v/>
      </c>
      <c r="L1536" s="13" t="str">
        <f>IF(AND(G1536&lt;&gt;1,G1535=1),MAX($L$50:L1535)+1,"")</f>
        <v/>
      </c>
      <c r="M1536" s="13" t="str">
        <f>IF(AND(G1536=-1,G1535&lt;&gt;-1),MAX($M$50:M1535)+1,"")</f>
        <v/>
      </c>
      <c r="N1536" s="13" t="str">
        <f>IF(AND(G1536&lt;&gt;-1,G1535=-1),MAX($N$50:N1535)+1,"")</f>
        <v/>
      </c>
      <c r="T1536" s="7">
        <f t="shared" si="214"/>
        <v>104.2978793578214</v>
      </c>
      <c r="U1536" s="1">
        <f t="shared" si="215"/>
        <v>188.50043871401658</v>
      </c>
    </row>
    <row r="1537" spans="1:21" x14ac:dyDescent="0.3">
      <c r="A1537" s="2">
        <v>42405</v>
      </c>
      <c r="B1537" s="1">
        <v>3521.6</v>
      </c>
      <c r="C1537" s="2">
        <f t="shared" si="207"/>
        <v>42405</v>
      </c>
      <c r="D1537" s="1">
        <f t="shared" si="208"/>
        <v>3521.6</v>
      </c>
      <c r="E1537" s="4">
        <f t="shared" si="209"/>
        <v>3721.9783999999995</v>
      </c>
      <c r="F1537" s="3">
        <f t="shared" si="210"/>
        <v>0.94616347048118288</v>
      </c>
      <c r="G1537" s="18">
        <f t="shared" si="211"/>
        <v>-1</v>
      </c>
      <c r="H1537" s="3">
        <f t="shared" si="212"/>
        <v>-1.842679592274743E-2</v>
      </c>
      <c r="I1537" s="3">
        <f t="shared" si="213"/>
        <v>-1.842679592274743E-2</v>
      </c>
      <c r="K1537" s="12" t="str">
        <f>IF(AND(G1537=1,G1536&lt;&gt;1),MAX($K$50:K1536)+1,"")</f>
        <v/>
      </c>
      <c r="L1537" s="13">
        <f>IF(AND(G1537&lt;&gt;1,G1536=1),MAX($L$50:L1536)+1,"")</f>
        <v>18</v>
      </c>
      <c r="M1537" s="13">
        <f>IF(AND(G1537=-1,G1536&lt;&gt;-1),MAX($M$50:M1536)+1,"")</f>
        <v>18</v>
      </c>
      <c r="N1537" s="13" t="str">
        <f>IF(AND(G1537&lt;&gt;-1,G1536=-1),MAX($N$50:N1536)+1,"")</f>
        <v/>
      </c>
      <c r="T1537" s="7">
        <f t="shared" si="214"/>
        <v>102.3760036197195</v>
      </c>
      <c r="U1537" s="1">
        <f t="shared" si="215"/>
        <v>185.02697959848504</v>
      </c>
    </row>
    <row r="1538" spans="1:21" x14ac:dyDescent="0.3">
      <c r="A1538" s="2">
        <v>42408</v>
      </c>
      <c r="B1538" s="1">
        <v>3472.08</v>
      </c>
      <c r="C1538" s="2">
        <f t="shared" si="207"/>
        <v>42408</v>
      </c>
      <c r="D1538" s="1">
        <f t="shared" si="208"/>
        <v>3472.08</v>
      </c>
      <c r="E1538" s="4">
        <f t="shared" si="209"/>
        <v>3713.4665999999993</v>
      </c>
      <c r="F1538" s="3">
        <f t="shared" si="210"/>
        <v>0.93499696483065198</v>
      </c>
      <c r="G1538" s="18">
        <f t="shared" si="211"/>
        <v>-1</v>
      </c>
      <c r="H1538" s="3">
        <f t="shared" si="212"/>
        <v>-1.4061790095411197E-2</v>
      </c>
      <c r="I1538" s="3">
        <f t="shared" si="213"/>
        <v>1.4061790095411197E-2</v>
      </c>
      <c r="K1538" s="12" t="str">
        <f>IF(AND(G1538=1,G1537&lt;&gt;1),MAX($K$50:K1537)+1,"")</f>
        <v/>
      </c>
      <c r="L1538" s="13" t="str">
        <f>IF(AND(G1538&lt;&gt;1,G1537=1),MAX($L$50:L1537)+1,"")</f>
        <v/>
      </c>
      <c r="M1538" s="13" t="str">
        <f>IF(AND(G1538=-1,G1537&lt;&gt;-1),MAX($M$50:M1537)+1,"")</f>
        <v/>
      </c>
      <c r="N1538" s="13" t="str">
        <f>IF(AND(G1538&lt;&gt;-1,G1537=-1),MAX($N$50:N1537)+1,"")</f>
        <v/>
      </c>
      <c r="T1538" s="7">
        <f t="shared" si="214"/>
        <v>103.81559349342704</v>
      </c>
      <c r="U1538" s="1">
        <f t="shared" si="215"/>
        <v>182.42516904938321</v>
      </c>
    </row>
    <row r="1539" spans="1:21" x14ac:dyDescent="0.3">
      <c r="A1539" s="2">
        <v>42409</v>
      </c>
      <c r="B1539" s="1">
        <v>3470.5</v>
      </c>
      <c r="C1539" s="2">
        <f t="shared" si="207"/>
        <v>42409</v>
      </c>
      <c r="D1539" s="1">
        <f t="shared" si="208"/>
        <v>3470.5</v>
      </c>
      <c r="E1539" s="4">
        <f t="shared" si="209"/>
        <v>3704.9251999999992</v>
      </c>
      <c r="F1539" s="3">
        <f t="shared" si="210"/>
        <v>0.93672606399718972</v>
      </c>
      <c r="G1539" s="18">
        <f t="shared" si="211"/>
        <v>-1</v>
      </c>
      <c r="H1539" s="3">
        <f t="shared" si="212"/>
        <v>-4.5505863920181078E-4</v>
      </c>
      <c r="I1539" s="3">
        <f t="shared" si="213"/>
        <v>4.5505863920181078E-4</v>
      </c>
      <c r="K1539" s="12" t="str">
        <f>IF(AND(G1539=1,G1538&lt;&gt;1),MAX($K$50:K1538)+1,"")</f>
        <v/>
      </c>
      <c r="L1539" s="13" t="str">
        <f>IF(AND(G1539&lt;&gt;1,G1538=1),MAX($L$50:L1538)+1,"")</f>
        <v/>
      </c>
      <c r="M1539" s="13" t="str">
        <f>IF(AND(G1539=-1,G1538&lt;&gt;-1),MAX($M$50:M1538)+1,"")</f>
        <v/>
      </c>
      <c r="N1539" s="13" t="str">
        <f>IF(AND(G1539&lt;&gt;-1,G1538=-1),MAX($N$50:N1538)+1,"")</f>
        <v/>
      </c>
      <c r="T1539" s="7">
        <f t="shared" si="214"/>
        <v>103.86283567613009</v>
      </c>
      <c r="U1539" s="1">
        <f t="shared" si="215"/>
        <v>182.34215490019943</v>
      </c>
    </row>
    <row r="1540" spans="1:21" x14ac:dyDescent="0.3">
      <c r="A1540" s="2">
        <v>42410</v>
      </c>
      <c r="B1540" s="1">
        <v>3471.04</v>
      </c>
      <c r="C1540" s="2">
        <f t="shared" si="207"/>
        <v>42410</v>
      </c>
      <c r="D1540" s="1">
        <f t="shared" si="208"/>
        <v>3471.04</v>
      </c>
      <c r="E1540" s="4">
        <f t="shared" si="209"/>
        <v>3696.3311999999987</v>
      </c>
      <c r="F1540" s="3">
        <f t="shared" si="210"/>
        <v>0.93905005049331114</v>
      </c>
      <c r="G1540" s="18">
        <f t="shared" si="211"/>
        <v>-1</v>
      </c>
      <c r="H1540" s="3">
        <f t="shared" si="212"/>
        <v>1.555971761992847E-4</v>
      </c>
      <c r="I1540" s="3">
        <f t="shared" si="213"/>
        <v>-1.555971761992847E-4</v>
      </c>
      <c r="K1540" s="12" t="str">
        <f>IF(AND(G1540=1,G1539&lt;&gt;1),MAX($K$50:K1539)+1,"")</f>
        <v/>
      </c>
      <c r="L1540" s="13" t="str">
        <f>IF(AND(G1540&lt;&gt;1,G1539=1),MAX($L$50:L1539)+1,"")</f>
        <v/>
      </c>
      <c r="M1540" s="13" t="str">
        <f>IF(AND(G1540=-1,G1539&lt;&gt;-1),MAX($M$50:M1539)+1,"")</f>
        <v/>
      </c>
      <c r="N1540" s="13" t="str">
        <f>IF(AND(G1540&lt;&gt;-1,G1539=-1),MAX($N$50:N1539)+1,"")</f>
        <v/>
      </c>
      <c r="T1540" s="7">
        <f t="shared" si="214"/>
        <v>103.84667491218683</v>
      </c>
      <c r="U1540" s="1">
        <f t="shared" si="215"/>
        <v>182.37052682460401</v>
      </c>
    </row>
    <row r="1541" spans="1:21" x14ac:dyDescent="0.3">
      <c r="A1541" s="2">
        <v>42411</v>
      </c>
      <c r="B1541" s="1">
        <v>3428.99</v>
      </c>
      <c r="C1541" s="2">
        <f t="shared" si="207"/>
        <v>42411</v>
      </c>
      <c r="D1541" s="1">
        <f t="shared" si="208"/>
        <v>3428.99</v>
      </c>
      <c r="E1541" s="4">
        <f t="shared" si="209"/>
        <v>3687.2541999999985</v>
      </c>
      <c r="F1541" s="3">
        <f t="shared" si="210"/>
        <v>0.92995758198607548</v>
      </c>
      <c r="G1541" s="18">
        <f t="shared" si="211"/>
        <v>-1</v>
      </c>
      <c r="H1541" s="3">
        <f t="shared" si="212"/>
        <v>-1.2114524753388034E-2</v>
      </c>
      <c r="I1541" s="3">
        <f t="shared" si="213"/>
        <v>1.2114524753388034E-2</v>
      </c>
      <c r="K1541" s="12" t="str">
        <f>IF(AND(G1541=1,G1540&lt;&gt;1),MAX($K$50:K1540)+1,"")</f>
        <v/>
      </c>
      <c r="L1541" s="13" t="str">
        <f>IF(AND(G1541&lt;&gt;1,G1540=1),MAX($L$50:L1540)+1,"")</f>
        <v/>
      </c>
      <c r="M1541" s="13" t="str">
        <f>IF(AND(G1541=-1,G1540&lt;&gt;-1),MAX($M$50:M1540)+1,"")</f>
        <v/>
      </c>
      <c r="N1541" s="13" t="str">
        <f>IF(AND(G1541&lt;&gt;-1,G1540=-1),MAX($N$50:N1540)+1,"")</f>
        <v/>
      </c>
      <c r="T1541" s="7">
        <f t="shared" si="214"/>
        <v>105.10472802596756</v>
      </c>
      <c r="U1541" s="1">
        <f t="shared" si="215"/>
        <v>180.16119456309892</v>
      </c>
    </row>
    <row r="1542" spans="1:21" x14ac:dyDescent="0.3">
      <c r="A1542" s="2">
        <v>42412</v>
      </c>
      <c r="B1542" s="1">
        <v>3496.28</v>
      </c>
      <c r="C1542" s="2">
        <f t="shared" si="207"/>
        <v>42412</v>
      </c>
      <c r="D1542" s="1">
        <f t="shared" si="208"/>
        <v>3496.28</v>
      </c>
      <c r="E1542" s="4">
        <f t="shared" si="209"/>
        <v>3678.6871999999985</v>
      </c>
      <c r="F1542" s="3">
        <f t="shared" si="210"/>
        <v>0.95041513722612825</v>
      </c>
      <c r="G1542" s="18">
        <f t="shared" si="211"/>
        <v>1</v>
      </c>
      <c r="H1542" s="3">
        <f t="shared" si="212"/>
        <v>1.9623854254459783E-2</v>
      </c>
      <c r="I1542" s="3">
        <f t="shared" si="213"/>
        <v>-1.9623854254459783E-2</v>
      </c>
      <c r="K1542" s="12">
        <f>IF(AND(G1542=1,G1541&lt;&gt;1),MAX($K$50:K1541)+1,"")</f>
        <v>19</v>
      </c>
      <c r="L1542" s="13" t="str">
        <f>IF(AND(G1542&lt;&gt;1,G1541=1),MAX($L$50:L1541)+1,"")</f>
        <v/>
      </c>
      <c r="M1542" s="13" t="str">
        <f>IF(AND(G1542=-1,G1541&lt;&gt;-1),MAX($M$50:M1541)+1,"")</f>
        <v/>
      </c>
      <c r="N1542" s="13">
        <f>IF(AND(G1542&lt;&gt;-1,G1541=-1),MAX($N$50:N1541)+1,"")</f>
        <v>18</v>
      </c>
      <c r="T1542" s="7">
        <f t="shared" si="214"/>
        <v>103.04216816173134</v>
      </c>
      <c r="U1542" s="1">
        <f t="shared" si="215"/>
        <v>183.69665158751457</v>
      </c>
    </row>
    <row r="1543" spans="1:21" x14ac:dyDescent="0.3">
      <c r="A1543" s="2">
        <v>42416</v>
      </c>
      <c r="B1543" s="1">
        <v>3555.2</v>
      </c>
      <c r="C1543" s="2">
        <f t="shared" si="207"/>
        <v>42416</v>
      </c>
      <c r="D1543" s="1">
        <f t="shared" si="208"/>
        <v>3555.2</v>
      </c>
      <c r="E1543" s="4">
        <f t="shared" si="209"/>
        <v>3672.1435999999994</v>
      </c>
      <c r="F1543" s="3">
        <f t="shared" si="210"/>
        <v>0.96815385977825064</v>
      </c>
      <c r="G1543" s="18">
        <f t="shared" si="211"/>
        <v>1</v>
      </c>
      <c r="H1543" s="3">
        <f t="shared" si="212"/>
        <v>1.6852197192444462E-2</v>
      </c>
      <c r="I1543" s="3">
        <f t="shared" si="213"/>
        <v>1.6852197192444462E-2</v>
      </c>
      <c r="K1543" s="12" t="str">
        <f>IF(AND(G1543=1,G1542&lt;&gt;1),MAX($K$50:K1542)+1,"")</f>
        <v/>
      </c>
      <c r="L1543" s="13" t="str">
        <f>IF(AND(G1543&lt;&gt;1,G1542=1),MAX($L$50:L1542)+1,"")</f>
        <v/>
      </c>
      <c r="M1543" s="13" t="str">
        <f>IF(AND(G1543=-1,G1542&lt;&gt;-1),MAX($M$50:M1542)+1,"")</f>
        <v/>
      </c>
      <c r="N1543" s="13" t="str">
        <f>IF(AND(G1543&lt;&gt;-1,G1542=-1),MAX($N$50:N1542)+1,"")</f>
        <v/>
      </c>
      <c r="T1543" s="7">
        <f t="shared" si="214"/>
        <v>104.77865509872986</v>
      </c>
      <c r="U1543" s="1">
        <f t="shared" si="215"/>
        <v>186.79234378365913</v>
      </c>
    </row>
    <row r="1544" spans="1:21" x14ac:dyDescent="0.3">
      <c r="A1544" s="2">
        <v>42417</v>
      </c>
      <c r="B1544" s="1">
        <v>3614.16</v>
      </c>
      <c r="C1544" s="2">
        <f t="shared" si="207"/>
        <v>42417</v>
      </c>
      <c r="D1544" s="1">
        <f t="shared" si="208"/>
        <v>3614.16</v>
      </c>
      <c r="E1544" s="4">
        <f t="shared" si="209"/>
        <v>3667.8919999999994</v>
      </c>
      <c r="F1544" s="3">
        <f t="shared" si="210"/>
        <v>0.98535071370694682</v>
      </c>
      <c r="G1544" s="18">
        <f t="shared" si="211"/>
        <v>1</v>
      </c>
      <c r="H1544" s="3">
        <f t="shared" si="212"/>
        <v>1.6584158415841488E-2</v>
      </c>
      <c r="I1544" s="3">
        <f t="shared" si="213"/>
        <v>1.6584158415841488E-2</v>
      </c>
      <c r="K1544" s="12" t="str">
        <f>IF(AND(G1544=1,G1543&lt;&gt;1),MAX($K$50:K1543)+1,"")</f>
        <v/>
      </c>
      <c r="L1544" s="13" t="str">
        <f>IF(AND(G1544&lt;&gt;1,G1543=1),MAX($L$50:L1543)+1,"")</f>
        <v/>
      </c>
      <c r="M1544" s="13" t="str">
        <f>IF(AND(G1544=-1,G1543&lt;&gt;-1),MAX($M$50:M1543)+1,"")</f>
        <v/>
      </c>
      <c r="N1544" s="13" t="str">
        <f>IF(AND(G1544&lt;&gt;-1,G1543=-1),MAX($N$50:N1543)+1,"")</f>
        <v/>
      </c>
      <c r="T1544" s="7">
        <f t="shared" si="214"/>
        <v>106.51632091348601</v>
      </c>
      <c r="U1544" s="1">
        <f t="shared" si="215"/>
        <v>189.89013760383367</v>
      </c>
    </row>
    <row r="1545" spans="1:21" x14ac:dyDescent="0.3">
      <c r="A1545" s="2">
        <v>42418</v>
      </c>
      <c r="B1545" s="1">
        <v>3597.49</v>
      </c>
      <c r="C1545" s="2">
        <f t="shared" si="207"/>
        <v>42418</v>
      </c>
      <c r="D1545" s="1">
        <f t="shared" si="208"/>
        <v>3597.49</v>
      </c>
      <c r="E1545" s="4">
        <f t="shared" si="209"/>
        <v>3661.7355999999995</v>
      </c>
      <c r="F1545" s="3">
        <f t="shared" si="210"/>
        <v>0.9824548774084072</v>
      </c>
      <c r="G1545" s="18">
        <f t="shared" si="211"/>
        <v>1</v>
      </c>
      <c r="H1545" s="3">
        <f t="shared" si="212"/>
        <v>-4.6124133961972236E-3</v>
      </c>
      <c r="I1545" s="3">
        <f t="shared" si="213"/>
        <v>-4.6124133961972236E-3</v>
      </c>
      <c r="K1545" s="12" t="str">
        <f>IF(AND(G1545=1,G1544&lt;&gt;1),MAX($K$50:K1544)+1,"")</f>
        <v/>
      </c>
      <c r="L1545" s="13" t="str">
        <f>IF(AND(G1545&lt;&gt;1,G1544=1),MAX($L$50:L1544)+1,"")</f>
        <v/>
      </c>
      <c r="M1545" s="13" t="str">
        <f>IF(AND(G1545=-1,G1544&lt;&gt;-1),MAX($M$50:M1544)+1,"")</f>
        <v/>
      </c>
      <c r="N1545" s="13" t="str">
        <f>IF(AND(G1545&lt;&gt;-1,G1544=-1),MAX($N$50:N1544)+1,"")</f>
        <v/>
      </c>
      <c r="T1545" s="7">
        <f t="shared" si="214"/>
        <v>106.025023607991</v>
      </c>
      <c r="U1545" s="1">
        <f t="shared" si="215"/>
        <v>189.01428578934403</v>
      </c>
    </row>
    <row r="1546" spans="1:21" x14ac:dyDescent="0.3">
      <c r="A1546" s="2">
        <v>42419</v>
      </c>
      <c r="B1546" s="1">
        <v>3597.92</v>
      </c>
      <c r="C1546" s="2">
        <f t="shared" si="207"/>
        <v>42419</v>
      </c>
      <c r="D1546" s="1">
        <f t="shared" si="208"/>
        <v>3597.92</v>
      </c>
      <c r="E1546" s="4">
        <f t="shared" si="209"/>
        <v>3656.1277999999998</v>
      </c>
      <c r="F1546" s="3">
        <f t="shared" si="210"/>
        <v>0.98407938584641386</v>
      </c>
      <c r="G1546" s="18">
        <f t="shared" si="211"/>
        <v>1</v>
      </c>
      <c r="H1546" s="3">
        <f t="shared" si="212"/>
        <v>1.1952778187018787E-4</v>
      </c>
      <c r="I1546" s="3">
        <f t="shared" si="213"/>
        <v>1.1952778187018787E-4</v>
      </c>
      <c r="K1546" s="12" t="str">
        <f>IF(AND(G1546=1,G1545&lt;&gt;1),MAX($K$50:K1545)+1,"")</f>
        <v/>
      </c>
      <c r="L1546" s="13" t="str">
        <f>IF(AND(G1546&lt;&gt;1,G1545=1),MAX($L$50:L1545)+1,"")</f>
        <v/>
      </c>
      <c r="M1546" s="13" t="str">
        <f>IF(AND(G1546=-1,G1545&lt;&gt;-1),MAX($M$50:M1545)+1,"")</f>
        <v/>
      </c>
      <c r="N1546" s="13" t="str">
        <f>IF(AND(G1546&lt;&gt;-1,G1545=-1),MAX($N$50:N1545)+1,"")</f>
        <v/>
      </c>
      <c r="T1546" s="7">
        <f t="shared" si="214"/>
        <v>106.0376965438856</v>
      </c>
      <c r="U1546" s="1">
        <f t="shared" si="215"/>
        <v>189.03687824766621</v>
      </c>
    </row>
    <row r="1547" spans="1:21" x14ac:dyDescent="0.3">
      <c r="A1547" s="2">
        <v>42422</v>
      </c>
      <c r="B1547" s="1">
        <v>3649.92</v>
      </c>
      <c r="C1547" s="2">
        <f t="shared" si="207"/>
        <v>42422</v>
      </c>
      <c r="D1547" s="1">
        <f t="shared" si="208"/>
        <v>3649.92</v>
      </c>
      <c r="E1547" s="4">
        <f t="shared" si="209"/>
        <v>3652.0565999999999</v>
      </c>
      <c r="F1547" s="3">
        <f t="shared" si="210"/>
        <v>0.999414959779101</v>
      </c>
      <c r="G1547" s="18">
        <f t="shared" si="211"/>
        <v>1</v>
      </c>
      <c r="H1547" s="3">
        <f t="shared" si="212"/>
        <v>1.4452794948192293E-2</v>
      </c>
      <c r="I1547" s="3">
        <f t="shared" si="213"/>
        <v>1.4452794948192293E-2</v>
      </c>
      <c r="K1547" s="12" t="str">
        <f>IF(AND(G1547=1,G1546&lt;&gt;1),MAX($K$50:K1546)+1,"")</f>
        <v/>
      </c>
      <c r="L1547" s="13" t="str">
        <f>IF(AND(G1547&lt;&gt;1,G1546=1),MAX($L$50:L1546)+1,"")</f>
        <v/>
      </c>
      <c r="M1547" s="13" t="str">
        <f>IF(AND(G1547=-1,G1546&lt;&gt;-1),MAX($M$50:M1546)+1,"")</f>
        <v/>
      </c>
      <c r="N1547" s="13" t="str">
        <f>IF(AND(G1547&lt;&gt;-1,G1546=-1),MAX($N$50:N1546)+1,"")</f>
        <v/>
      </c>
      <c r="T1547" s="7">
        <f t="shared" si="214"/>
        <v>107.57023762881302</v>
      </c>
      <c r="U1547" s="1">
        <f t="shared" si="215"/>
        <v>191.76898948662611</v>
      </c>
    </row>
    <row r="1548" spans="1:21" x14ac:dyDescent="0.3">
      <c r="A1548" s="2">
        <v>42423</v>
      </c>
      <c r="B1548" s="1">
        <v>3604.68</v>
      </c>
      <c r="C1548" s="2">
        <f t="shared" si="207"/>
        <v>42423</v>
      </c>
      <c r="D1548" s="1">
        <f t="shared" si="208"/>
        <v>3604.68</v>
      </c>
      <c r="E1548" s="4">
        <f t="shared" si="209"/>
        <v>3647.6722000000004</v>
      </c>
      <c r="F1548" s="3">
        <f t="shared" si="210"/>
        <v>0.98821379837804491</v>
      </c>
      <c r="G1548" s="18">
        <f t="shared" si="211"/>
        <v>1</v>
      </c>
      <c r="H1548" s="3">
        <f t="shared" si="212"/>
        <v>-1.2394792214623918E-2</v>
      </c>
      <c r="I1548" s="3">
        <f t="shared" si="213"/>
        <v>-1.2394792214623918E-2</v>
      </c>
      <c r="K1548" s="12" t="str">
        <f>IF(AND(G1548=1,G1547&lt;&gt;1),MAX($K$50:K1547)+1,"")</f>
        <v/>
      </c>
      <c r="L1548" s="13" t="str">
        <f>IF(AND(G1548&lt;&gt;1,G1547=1),MAX($L$50:L1547)+1,"")</f>
        <v/>
      </c>
      <c r="M1548" s="13" t="str">
        <f>IF(AND(G1548=-1,G1547&lt;&gt;-1),MAX($M$50:M1547)+1,"")</f>
        <v/>
      </c>
      <c r="N1548" s="13" t="str">
        <f>IF(AND(G1548&lt;&gt;-1,G1547=-1),MAX($N$50:N1547)+1,"")</f>
        <v/>
      </c>
      <c r="T1548" s="7">
        <f t="shared" si="214"/>
        <v>106.23692688492616</v>
      </c>
      <c r="U1548" s="1">
        <f t="shared" si="215"/>
        <v>189.39205270873097</v>
      </c>
    </row>
    <row r="1549" spans="1:21" x14ac:dyDescent="0.3">
      <c r="A1549" s="2">
        <v>42424</v>
      </c>
      <c r="B1549" s="1">
        <v>3620.87</v>
      </c>
      <c r="C1549" s="2">
        <f t="shared" si="207"/>
        <v>42424</v>
      </c>
      <c r="D1549" s="1">
        <f t="shared" si="208"/>
        <v>3620.87</v>
      </c>
      <c r="E1549" s="4">
        <f t="shared" si="209"/>
        <v>3643.4310000000005</v>
      </c>
      <c r="F1549" s="3">
        <f t="shared" si="210"/>
        <v>0.99380775977368563</v>
      </c>
      <c r="G1549" s="18">
        <f t="shared" si="211"/>
        <v>1</v>
      </c>
      <c r="H1549" s="3">
        <f t="shared" si="212"/>
        <v>4.4913834237714223E-3</v>
      </c>
      <c r="I1549" s="3">
        <f t="shared" si="213"/>
        <v>4.4913834237714223E-3</v>
      </c>
      <c r="K1549" s="12" t="str">
        <f>IF(AND(G1549=1,G1548&lt;&gt;1),MAX($K$50:K1548)+1,"")</f>
        <v/>
      </c>
      <c r="L1549" s="13" t="str">
        <f>IF(AND(G1549&lt;&gt;1,G1548=1),MAX($L$50:L1548)+1,"")</f>
        <v/>
      </c>
      <c r="M1549" s="13" t="str">
        <f>IF(AND(G1549=-1,G1548&lt;&gt;-1),MAX($M$50:M1548)+1,"")</f>
        <v/>
      </c>
      <c r="N1549" s="13" t="str">
        <f>IF(AND(G1549&lt;&gt;-1,G1548=-1),MAX($N$50:N1548)+1,"")</f>
        <v/>
      </c>
      <c r="T1549" s="7">
        <f t="shared" si="214"/>
        <v>106.71407765732954</v>
      </c>
      <c r="U1549" s="1">
        <f t="shared" si="215"/>
        <v>190.24268503486101</v>
      </c>
    </row>
    <row r="1550" spans="1:21" x14ac:dyDescent="0.3">
      <c r="A1550" s="2">
        <v>42425</v>
      </c>
      <c r="B1550" s="1">
        <v>3662.84</v>
      </c>
      <c r="C1550" s="2">
        <f t="shared" si="207"/>
        <v>42425</v>
      </c>
      <c r="D1550" s="1">
        <f t="shared" si="208"/>
        <v>3662.84</v>
      </c>
      <c r="E1550" s="4">
        <f t="shared" si="209"/>
        <v>3641.5060000000003</v>
      </c>
      <c r="F1550" s="3">
        <f t="shared" si="210"/>
        <v>1.0058585651101495</v>
      </c>
      <c r="G1550" s="18">
        <f t="shared" si="211"/>
        <v>1</v>
      </c>
      <c r="H1550" s="3">
        <f t="shared" si="212"/>
        <v>1.1591136936703217E-2</v>
      </c>
      <c r="I1550" s="3">
        <f t="shared" si="213"/>
        <v>1.1591136936703217E-2</v>
      </c>
      <c r="K1550" s="12" t="str">
        <f>IF(AND(G1550=1,G1549&lt;&gt;1),MAX($K$50:K1549)+1,"")</f>
        <v/>
      </c>
      <c r="L1550" s="13" t="str">
        <f>IF(AND(G1550&lt;&gt;1,G1549=1),MAX($L$50:L1549)+1,"")</f>
        <v/>
      </c>
      <c r="M1550" s="13" t="str">
        <f>IF(AND(G1550=-1,G1549&lt;&gt;-1),MAX($M$50:M1549)+1,"")</f>
        <v/>
      </c>
      <c r="N1550" s="13" t="str">
        <f>IF(AND(G1550&lt;&gt;-1,G1549=-1),MAX($N$50:N1549)+1,"")</f>
        <v/>
      </c>
      <c r="T1550" s="7">
        <f t="shared" si="214"/>
        <v>107.95101514452963</v>
      </c>
      <c r="U1550" s="1">
        <f t="shared" si="215"/>
        <v>192.44781404830618</v>
      </c>
    </row>
    <row r="1551" spans="1:21" x14ac:dyDescent="0.3">
      <c r="A1551" s="2">
        <v>42426</v>
      </c>
      <c r="B1551" s="1">
        <v>3656.42</v>
      </c>
      <c r="C1551" s="2">
        <f t="shared" si="207"/>
        <v>42426</v>
      </c>
      <c r="D1551" s="1">
        <f t="shared" si="208"/>
        <v>3656.42</v>
      </c>
      <c r="E1551" s="4">
        <f t="shared" si="209"/>
        <v>3639.0900000000006</v>
      </c>
      <c r="F1551" s="3">
        <f t="shared" si="210"/>
        <v>1.0047621795558779</v>
      </c>
      <c r="G1551" s="18">
        <f t="shared" si="211"/>
        <v>1</v>
      </c>
      <c r="H1551" s="3">
        <f t="shared" si="212"/>
        <v>-1.7527383123477902E-3</v>
      </c>
      <c r="I1551" s="3">
        <f t="shared" si="213"/>
        <v>-1.7527383123477902E-3</v>
      </c>
      <c r="K1551" s="12" t="str">
        <f>IF(AND(G1551=1,G1550&lt;&gt;1),MAX($K$50:K1550)+1,"")</f>
        <v/>
      </c>
      <c r="L1551" s="13" t="str">
        <f>IF(AND(G1551&lt;&gt;1,G1550=1),MAX($L$50:L1550)+1,"")</f>
        <v/>
      </c>
      <c r="M1551" s="13" t="str">
        <f>IF(AND(G1551=-1,G1550&lt;&gt;-1),MAX($M$50:M1550)+1,"")</f>
        <v/>
      </c>
      <c r="N1551" s="13" t="str">
        <f>IF(AND(G1551&lt;&gt;-1,G1550=-1),MAX($N$50:N1550)+1,"")</f>
        <v/>
      </c>
      <c r="T1551" s="7">
        <f t="shared" si="214"/>
        <v>107.76180526442899</v>
      </c>
      <c r="U1551" s="1">
        <f t="shared" si="215"/>
        <v>192.11050339149614</v>
      </c>
    </row>
    <row r="1552" spans="1:21" x14ac:dyDescent="0.3">
      <c r="A1552" s="2">
        <v>42429</v>
      </c>
      <c r="B1552" s="1">
        <v>3627.06</v>
      </c>
      <c r="C1552" s="2">
        <f t="shared" si="207"/>
        <v>42429</v>
      </c>
      <c r="D1552" s="1">
        <f t="shared" si="208"/>
        <v>3627.06</v>
      </c>
      <c r="E1552" s="4">
        <f t="shared" si="209"/>
        <v>3635.284000000001</v>
      </c>
      <c r="F1552" s="3">
        <f t="shared" si="210"/>
        <v>0.9977377283315414</v>
      </c>
      <c r="G1552" s="18">
        <f t="shared" si="211"/>
        <v>1</v>
      </c>
      <c r="H1552" s="3">
        <f t="shared" si="212"/>
        <v>-8.0297121227868029E-3</v>
      </c>
      <c r="I1552" s="3">
        <f t="shared" si="213"/>
        <v>-8.0297121227868029E-3</v>
      </c>
      <c r="K1552" s="12" t="str">
        <f>IF(AND(G1552=1,G1551&lt;&gt;1),MAX($K$50:K1551)+1,"")</f>
        <v/>
      </c>
      <c r="L1552" s="13" t="str">
        <f>IF(AND(G1552&lt;&gt;1,G1551=1),MAX($L$50:L1551)+1,"")</f>
        <v/>
      </c>
      <c r="M1552" s="13" t="str">
        <f>IF(AND(G1552=-1,G1551&lt;&gt;-1),MAX($M$50:M1551)+1,"")</f>
        <v/>
      </c>
      <c r="N1552" s="13" t="str">
        <f>IF(AND(G1552&lt;&gt;-1,G1551=-1),MAX($N$50:N1551)+1,"")</f>
        <v/>
      </c>
      <c r="T1552" s="7">
        <f t="shared" si="214"/>
        <v>106.89650899032381</v>
      </c>
      <c r="U1552" s="1">
        <f t="shared" si="215"/>
        <v>190.56791135349877</v>
      </c>
    </row>
    <row r="1553" spans="1:21" x14ac:dyDescent="0.3">
      <c r="A1553" s="2">
        <v>42430</v>
      </c>
      <c r="B1553" s="1">
        <v>3713.7</v>
      </c>
      <c r="C1553" s="2">
        <f t="shared" si="207"/>
        <v>42430</v>
      </c>
      <c r="D1553" s="1">
        <f t="shared" si="208"/>
        <v>3713.7</v>
      </c>
      <c r="E1553" s="4">
        <f t="shared" si="209"/>
        <v>3632.095600000001</v>
      </c>
      <c r="F1553" s="3">
        <f t="shared" si="210"/>
        <v>1.0224675804238188</v>
      </c>
      <c r="G1553" s="18">
        <f t="shared" si="211"/>
        <v>1</v>
      </c>
      <c r="H1553" s="3">
        <f t="shared" si="212"/>
        <v>2.3887115184198837E-2</v>
      </c>
      <c r="I1553" s="3">
        <f t="shared" si="213"/>
        <v>2.3887115184198837E-2</v>
      </c>
      <c r="K1553" s="12" t="str">
        <f>IF(AND(G1553=1,G1552&lt;&gt;1),MAX($K$50:K1552)+1,"")</f>
        <v/>
      </c>
      <c r="L1553" s="13" t="str">
        <f>IF(AND(G1553&lt;&gt;1,G1552=1),MAX($L$50:L1552)+1,"")</f>
        <v/>
      </c>
      <c r="M1553" s="13" t="str">
        <f>IF(AND(G1553=-1,G1552&lt;&gt;-1),MAX($M$50:M1552)+1,"")</f>
        <v/>
      </c>
      <c r="N1553" s="13" t="str">
        <f>IF(AND(G1553&lt;&gt;-1,G1552=-1),MAX($N$50:N1552)+1,"")</f>
        <v/>
      </c>
      <c r="T1553" s="7">
        <f t="shared" si="214"/>
        <v>109.44995821336443</v>
      </c>
      <c r="U1553" s="1">
        <f t="shared" si="215"/>
        <v>195.12002900241197</v>
      </c>
    </row>
    <row r="1554" spans="1:21" x14ac:dyDescent="0.3">
      <c r="A1554" s="2">
        <v>42431</v>
      </c>
      <c r="B1554" s="1">
        <v>3729.59</v>
      </c>
      <c r="C1554" s="2">
        <f t="shared" si="207"/>
        <v>42431</v>
      </c>
      <c r="D1554" s="1">
        <f t="shared" si="208"/>
        <v>3729.59</v>
      </c>
      <c r="E1554" s="4">
        <f t="shared" si="209"/>
        <v>3630.3782000000006</v>
      </c>
      <c r="F1554" s="3">
        <f t="shared" si="210"/>
        <v>1.0273282271252069</v>
      </c>
      <c r="G1554" s="18">
        <f t="shared" si="211"/>
        <v>1</v>
      </c>
      <c r="H1554" s="3">
        <f t="shared" si="212"/>
        <v>4.2787516492985844E-3</v>
      </c>
      <c r="I1554" s="3">
        <f t="shared" si="213"/>
        <v>4.2787516492985844E-3</v>
      </c>
      <c r="K1554" s="12" t="str">
        <f>IF(AND(G1554=1,G1553&lt;&gt;1),MAX($K$50:K1553)+1,"")</f>
        <v/>
      </c>
      <c r="L1554" s="13" t="str">
        <f>IF(AND(G1554&lt;&gt;1,G1553=1),MAX($L$50:L1553)+1,"")</f>
        <v/>
      </c>
      <c r="M1554" s="13" t="str">
        <f>IF(AND(G1554=-1,G1553&lt;&gt;-1),MAX($M$50:M1553)+1,"")</f>
        <v/>
      </c>
      <c r="N1554" s="13" t="str">
        <f>IF(AND(G1554&lt;&gt;-1,G1553=-1),MAX($N$50:N1553)+1,"")</f>
        <v/>
      </c>
      <c r="T1554" s="7">
        <f t="shared" si="214"/>
        <v>109.91826740258551</v>
      </c>
      <c r="U1554" s="1">
        <f t="shared" si="215"/>
        <v>195.95489914831725</v>
      </c>
    </row>
    <row r="1555" spans="1:21" x14ac:dyDescent="0.3">
      <c r="A1555" s="2">
        <v>42432</v>
      </c>
      <c r="B1555" s="1">
        <v>3743.02</v>
      </c>
      <c r="C1555" s="2">
        <f t="shared" si="207"/>
        <v>42432</v>
      </c>
      <c r="D1555" s="1">
        <f t="shared" si="208"/>
        <v>3743.02</v>
      </c>
      <c r="E1555" s="4">
        <f t="shared" si="209"/>
        <v>3630.2874000000011</v>
      </c>
      <c r="F1555" s="3">
        <f t="shared" si="210"/>
        <v>1.0310533540677795</v>
      </c>
      <c r="G1555" s="18">
        <f t="shared" si="211"/>
        <v>1</v>
      </c>
      <c r="H1555" s="3">
        <f t="shared" si="212"/>
        <v>3.6009320059309236E-3</v>
      </c>
      <c r="I1555" s="3">
        <f t="shared" si="213"/>
        <v>3.6009320059309236E-3</v>
      </c>
      <c r="K1555" s="12" t="str">
        <f>IF(AND(G1555=1,G1554&lt;&gt;1),MAX($K$50:K1554)+1,"")</f>
        <v/>
      </c>
      <c r="L1555" s="13" t="str">
        <f>IF(AND(G1555&lt;&gt;1,G1554=1),MAX($L$50:L1554)+1,"")</f>
        <v/>
      </c>
      <c r="M1555" s="13" t="str">
        <f>IF(AND(G1555=-1,G1554&lt;&gt;-1),MAX($M$50:M1554)+1,"")</f>
        <v/>
      </c>
      <c r="N1555" s="13" t="str">
        <f>IF(AND(G1555&lt;&gt;-1,G1554=-1),MAX($N$50:N1554)+1,"")</f>
        <v/>
      </c>
      <c r="T1555" s="7">
        <f t="shared" si="214"/>
        <v>110.31407560971196</v>
      </c>
      <c r="U1555" s="1">
        <f t="shared" si="215"/>
        <v>196.6605194163794</v>
      </c>
    </row>
    <row r="1556" spans="1:21" x14ac:dyDescent="0.3">
      <c r="A1556" s="2">
        <v>42433</v>
      </c>
      <c r="B1556" s="1">
        <v>3755.47</v>
      </c>
      <c r="C1556" s="2">
        <f t="shared" si="207"/>
        <v>42433</v>
      </c>
      <c r="D1556" s="1">
        <f t="shared" si="208"/>
        <v>3755.47</v>
      </c>
      <c r="E1556" s="4">
        <f t="shared" si="209"/>
        <v>3629.8538000000012</v>
      </c>
      <c r="F1556" s="3">
        <f t="shared" si="210"/>
        <v>1.0346064075638524</v>
      </c>
      <c r="G1556" s="18">
        <f t="shared" si="211"/>
        <v>1</v>
      </c>
      <c r="H1556" s="3">
        <f t="shared" si="212"/>
        <v>3.3261911504613995E-3</v>
      </c>
      <c r="I1556" s="3">
        <f t="shared" si="213"/>
        <v>3.3261911504613995E-3</v>
      </c>
      <c r="K1556" s="12" t="str">
        <f>IF(AND(G1556=1,G1555&lt;&gt;1),MAX($K$50:K1555)+1,"")</f>
        <v/>
      </c>
      <c r="L1556" s="13" t="str">
        <f>IF(AND(G1556&lt;&gt;1,G1555=1),MAX($L$50:L1555)+1,"")</f>
        <v/>
      </c>
      <c r="M1556" s="13" t="str">
        <f>IF(AND(G1556=-1,G1555&lt;&gt;-1),MAX($M$50:M1555)+1,"")</f>
        <v/>
      </c>
      <c r="N1556" s="13" t="str">
        <f>IF(AND(G1556&lt;&gt;-1,G1555=-1),MAX($N$50:N1555)+1,"")</f>
        <v/>
      </c>
      <c r="T1556" s="7">
        <f t="shared" si="214"/>
        <v>110.68100131177631</v>
      </c>
      <c r="U1556" s="1">
        <f t="shared" si="215"/>
        <v>197.31464989570728</v>
      </c>
    </row>
    <row r="1557" spans="1:21" x14ac:dyDescent="0.3">
      <c r="A1557" s="2">
        <v>42436</v>
      </c>
      <c r="B1557" s="1">
        <v>3759.05</v>
      </c>
      <c r="C1557" s="2">
        <f t="shared" si="207"/>
        <v>42436</v>
      </c>
      <c r="D1557" s="1">
        <f t="shared" si="208"/>
        <v>3759.05</v>
      </c>
      <c r="E1557" s="4">
        <f t="shared" si="209"/>
        <v>3628.8178000000003</v>
      </c>
      <c r="F1557" s="3">
        <f t="shared" si="210"/>
        <v>1.0358883270468966</v>
      </c>
      <c r="G1557" s="18">
        <f t="shared" si="211"/>
        <v>1</v>
      </c>
      <c r="H1557" s="3">
        <f t="shared" si="212"/>
        <v>9.5327615451612502E-4</v>
      </c>
      <c r="I1557" s="3">
        <f t="shared" si="213"/>
        <v>9.5327615451612502E-4</v>
      </c>
      <c r="K1557" s="12" t="str">
        <f>IF(AND(G1557=1,G1556&lt;&gt;1),MAX($K$50:K1556)+1,"")</f>
        <v/>
      </c>
      <c r="L1557" s="13" t="str">
        <f>IF(AND(G1557&lt;&gt;1,G1556=1),MAX($L$50:L1556)+1,"")</f>
        <v/>
      </c>
      <c r="M1557" s="13" t="str">
        <f>IF(AND(G1557=-1,G1556&lt;&gt;-1),MAX($M$50:M1556)+1,"")</f>
        <v/>
      </c>
      <c r="N1557" s="13" t="str">
        <f>IF(AND(G1557&lt;&gt;-1,G1556=-1),MAX($N$50:N1556)+1,"")</f>
        <v/>
      </c>
      <c r="T1557" s="7">
        <f t="shared" si="214"/>
        <v>110.7865108710848</v>
      </c>
      <c r="U1557" s="1">
        <f t="shared" si="215"/>
        <v>197.50274524638951</v>
      </c>
    </row>
    <row r="1558" spans="1:21" x14ac:dyDescent="0.3">
      <c r="A1558" s="2">
        <v>42437</v>
      </c>
      <c r="B1558" s="1">
        <v>3717.49</v>
      </c>
      <c r="C1558" s="2">
        <f t="shared" si="207"/>
        <v>42437</v>
      </c>
      <c r="D1558" s="1">
        <f t="shared" si="208"/>
        <v>3717.49</v>
      </c>
      <c r="E1558" s="4">
        <f t="shared" si="209"/>
        <v>3625.9982000000005</v>
      </c>
      <c r="F1558" s="3">
        <f t="shared" si="210"/>
        <v>1.0252321691720638</v>
      </c>
      <c r="G1558" s="18">
        <f t="shared" si="211"/>
        <v>1</v>
      </c>
      <c r="H1558" s="3">
        <f t="shared" si="212"/>
        <v>-1.105598488979942E-2</v>
      </c>
      <c r="I1558" s="3">
        <f t="shared" si="213"/>
        <v>-1.105598488979942E-2</v>
      </c>
      <c r="K1558" s="12" t="str">
        <f>IF(AND(G1558=1,G1557&lt;&gt;1),MAX($K$50:K1557)+1,"")</f>
        <v/>
      </c>
      <c r="L1558" s="13" t="str">
        <f>IF(AND(G1558&lt;&gt;1,G1557=1),MAX($L$50:L1557)+1,"")</f>
        <v/>
      </c>
      <c r="M1558" s="13" t="str">
        <f>IF(AND(G1558=-1,G1557&lt;&gt;-1),MAX($M$50:M1557)+1,"")</f>
        <v/>
      </c>
      <c r="N1558" s="13" t="str">
        <f>IF(AND(G1558&lt;&gt;-1,G1557=-1),MAX($N$50:N1557)+1,"")</f>
        <v/>
      </c>
      <c r="T1558" s="7">
        <f t="shared" si="214"/>
        <v>109.56165688090049</v>
      </c>
      <c r="U1558" s="1">
        <f t="shared" si="215"/>
        <v>195.31915787925155</v>
      </c>
    </row>
    <row r="1559" spans="1:21" x14ac:dyDescent="0.3">
      <c r="A1559" s="2">
        <v>42438</v>
      </c>
      <c r="B1559" s="1">
        <v>3736.92</v>
      </c>
      <c r="C1559" s="2">
        <f t="shared" si="207"/>
        <v>42438</v>
      </c>
      <c r="D1559" s="1">
        <f t="shared" si="208"/>
        <v>3736.92</v>
      </c>
      <c r="E1559" s="4">
        <f t="shared" si="209"/>
        <v>3623.6904000000009</v>
      </c>
      <c r="F1559" s="3">
        <f t="shared" si="210"/>
        <v>1.031247040310066</v>
      </c>
      <c r="G1559" s="18">
        <f t="shared" si="211"/>
        <v>1</v>
      </c>
      <c r="H1559" s="3">
        <f t="shared" si="212"/>
        <v>5.2266448598383697E-3</v>
      </c>
      <c r="I1559" s="3">
        <f t="shared" si="213"/>
        <v>5.2266448598383697E-3</v>
      </c>
      <c r="K1559" s="12" t="str">
        <f>IF(AND(G1559=1,G1558&lt;&gt;1),MAX($K$50:K1558)+1,"")</f>
        <v/>
      </c>
      <c r="L1559" s="13" t="str">
        <f>IF(AND(G1559&lt;&gt;1,G1558=1),MAX($L$50:L1558)+1,"")</f>
        <v/>
      </c>
      <c r="M1559" s="13" t="str">
        <f>IF(AND(G1559=-1,G1558&lt;&gt;-1),MAX($M$50:M1558)+1,"")</f>
        <v/>
      </c>
      <c r="N1559" s="13" t="str">
        <f>IF(AND(G1559&lt;&gt;-1,G1558=-1),MAX($N$50:N1558)+1,"")</f>
        <v/>
      </c>
      <c r="T1559" s="7">
        <f t="shared" si="214"/>
        <v>110.13429675167242</v>
      </c>
      <c r="U1559" s="1">
        <f t="shared" si="215"/>
        <v>196.34002175180908</v>
      </c>
    </row>
    <row r="1560" spans="1:21" x14ac:dyDescent="0.3">
      <c r="A1560" s="2">
        <v>42439</v>
      </c>
      <c r="B1560" s="1">
        <v>3737.74</v>
      </c>
      <c r="C1560" s="2">
        <f t="shared" si="207"/>
        <v>42439</v>
      </c>
      <c r="D1560" s="1">
        <f t="shared" si="208"/>
        <v>3737.74</v>
      </c>
      <c r="E1560" s="4">
        <f t="shared" si="209"/>
        <v>3621.5664000000006</v>
      </c>
      <c r="F1560" s="3">
        <f t="shared" si="210"/>
        <v>1.0320782741964911</v>
      </c>
      <c r="G1560" s="18">
        <f t="shared" si="211"/>
        <v>1</v>
      </c>
      <c r="H1560" s="3">
        <f t="shared" si="212"/>
        <v>2.1943204564189855E-4</v>
      </c>
      <c r="I1560" s="3">
        <f t="shared" si="213"/>
        <v>2.1943204564189855E-4</v>
      </c>
      <c r="K1560" s="12" t="str">
        <f>IF(AND(G1560=1,G1559&lt;&gt;1),MAX($K$50:K1559)+1,"")</f>
        <v/>
      </c>
      <c r="L1560" s="13" t="str">
        <f>IF(AND(G1560&lt;&gt;1,G1559=1),MAX($L$50:L1559)+1,"")</f>
        <v/>
      </c>
      <c r="M1560" s="13" t="str">
        <f>IF(AND(G1560=-1,G1559&lt;&gt;-1),MAX($M$50:M1559)+1,"")</f>
        <v/>
      </c>
      <c r="N1560" s="13" t="str">
        <f>IF(AND(G1560&lt;&gt;-1,G1559=-1),MAX($N$50:N1559)+1,"")</f>
        <v/>
      </c>
      <c r="T1560" s="7">
        <f t="shared" si="214"/>
        <v>110.15846374570397</v>
      </c>
      <c r="U1560" s="1">
        <f t="shared" si="215"/>
        <v>196.38310504442342</v>
      </c>
    </row>
    <row r="1561" spans="1:21" x14ac:dyDescent="0.3">
      <c r="A1561" s="2">
        <v>42440</v>
      </c>
      <c r="B1561" s="1">
        <v>3800.07</v>
      </c>
      <c r="C1561" s="2">
        <f t="shared" si="207"/>
        <v>42440</v>
      </c>
      <c r="D1561" s="1">
        <f t="shared" si="208"/>
        <v>3800.07</v>
      </c>
      <c r="E1561" s="4">
        <f t="shared" si="209"/>
        <v>3619.8568000000005</v>
      </c>
      <c r="F1561" s="3">
        <f t="shared" si="210"/>
        <v>1.0497846213143016</v>
      </c>
      <c r="G1561" s="18">
        <f t="shared" si="211"/>
        <v>1</v>
      </c>
      <c r="H1561" s="3">
        <f t="shared" si="212"/>
        <v>1.667585225296575E-2</v>
      </c>
      <c r="I1561" s="3">
        <f t="shared" si="213"/>
        <v>1.667585225296575E-2</v>
      </c>
      <c r="K1561" s="12" t="str">
        <f>IF(AND(G1561=1,G1560&lt;&gt;1),MAX($K$50:K1560)+1,"")</f>
        <v/>
      </c>
      <c r="L1561" s="13" t="str">
        <f>IF(AND(G1561&lt;&gt;1,G1560=1),MAX($L$50:L1560)+1,"")</f>
        <v/>
      </c>
      <c r="M1561" s="13" t="str">
        <f>IF(AND(G1561=-1,G1560&lt;&gt;-1),MAX($M$50:M1560)+1,"")</f>
        <v/>
      </c>
      <c r="N1561" s="13" t="str">
        <f>IF(AND(G1561&lt;&gt;-1,G1560=-1),MAX($N$50:N1560)+1,"")</f>
        <v/>
      </c>
      <c r="T1561" s="7">
        <f t="shared" si="214"/>
        <v>111.99545001154101</v>
      </c>
      <c r="U1561" s="1">
        <f t="shared" si="215"/>
        <v>199.65796068912289</v>
      </c>
    </row>
    <row r="1562" spans="1:21" x14ac:dyDescent="0.3">
      <c r="A1562" s="2">
        <v>42443</v>
      </c>
      <c r="B1562" s="1">
        <v>3795.53</v>
      </c>
      <c r="C1562" s="2">
        <f t="shared" si="207"/>
        <v>42443</v>
      </c>
      <c r="D1562" s="1">
        <f t="shared" si="208"/>
        <v>3795.53</v>
      </c>
      <c r="E1562" s="4">
        <f t="shared" si="209"/>
        <v>3618.6094000000007</v>
      </c>
      <c r="F1562" s="3">
        <f t="shared" si="210"/>
        <v>1.0488918754259577</v>
      </c>
      <c r="G1562" s="18">
        <f t="shared" si="211"/>
        <v>1</v>
      </c>
      <c r="H1562" s="3">
        <f t="shared" si="212"/>
        <v>-1.1947148342004166E-3</v>
      </c>
      <c r="I1562" s="3">
        <f t="shared" si="213"/>
        <v>-1.1947148342004166E-3</v>
      </c>
      <c r="K1562" s="12" t="str">
        <f>IF(AND(G1562=1,G1561&lt;&gt;1),MAX($K$50:K1561)+1,"")</f>
        <v/>
      </c>
      <c r="L1562" s="13" t="str">
        <f>IF(AND(G1562&lt;&gt;1,G1561=1),MAX($L$50:L1561)+1,"")</f>
        <v/>
      </c>
      <c r="M1562" s="13" t="str">
        <f>IF(AND(G1562=-1,G1561&lt;&gt;-1),MAX($M$50:M1561)+1,"")</f>
        <v/>
      </c>
      <c r="N1562" s="13" t="str">
        <f>IF(AND(G1562&lt;&gt;-1,G1561=-1),MAX($N$50:N1561)+1,"")</f>
        <v/>
      </c>
      <c r="T1562" s="7">
        <f t="shared" si="214"/>
        <v>111.86164738604927</v>
      </c>
      <c r="U1562" s="1">
        <f t="shared" si="215"/>
        <v>199.41942636172138</v>
      </c>
    </row>
    <row r="1563" spans="1:21" x14ac:dyDescent="0.3">
      <c r="A1563" s="2">
        <v>42444</v>
      </c>
      <c r="B1563" s="1">
        <v>3788.62</v>
      </c>
      <c r="C1563" s="2">
        <f t="shared" si="207"/>
        <v>42444</v>
      </c>
      <c r="D1563" s="1">
        <f t="shared" si="208"/>
        <v>3788.62</v>
      </c>
      <c r="E1563" s="4">
        <f t="shared" si="209"/>
        <v>3617.9498000000003</v>
      </c>
      <c r="F1563" s="3">
        <f t="shared" si="210"/>
        <v>1.0471731807887439</v>
      </c>
      <c r="G1563" s="18">
        <f t="shared" si="211"/>
        <v>1</v>
      </c>
      <c r="H1563" s="3">
        <f t="shared" si="212"/>
        <v>-1.8205626091745142E-3</v>
      </c>
      <c r="I1563" s="3">
        <f t="shared" si="213"/>
        <v>-1.8205626091745142E-3</v>
      </c>
      <c r="K1563" s="12" t="str">
        <f>IF(AND(G1563=1,G1562&lt;&gt;1),MAX($K$50:K1562)+1,"")</f>
        <v/>
      </c>
      <c r="L1563" s="13" t="str">
        <f>IF(AND(G1563&lt;&gt;1,G1562=1),MAX($L$50:L1562)+1,"")</f>
        <v/>
      </c>
      <c r="M1563" s="13" t="str">
        <f>IF(AND(G1563=-1,G1562&lt;&gt;-1),MAX($M$50:M1562)+1,"")</f>
        <v/>
      </c>
      <c r="N1563" s="13" t="str">
        <f>IF(AND(G1563&lt;&gt;-1,G1562=-1),MAX($N$50:N1562)+1,"")</f>
        <v/>
      </c>
      <c r="T1563" s="7">
        <f t="shared" si="214"/>
        <v>111.65799625341756</v>
      </c>
      <c r="U1563" s="1">
        <f t="shared" si="215"/>
        <v>199.05637081054419</v>
      </c>
    </row>
    <row r="1564" spans="1:21" x14ac:dyDescent="0.3">
      <c r="A1564" s="2">
        <v>42445</v>
      </c>
      <c r="B1564" s="1">
        <v>3810.09</v>
      </c>
      <c r="C1564" s="2">
        <f t="shared" si="207"/>
        <v>42445</v>
      </c>
      <c r="D1564" s="1">
        <f t="shared" si="208"/>
        <v>3810.09</v>
      </c>
      <c r="E1564" s="4">
        <f t="shared" si="209"/>
        <v>3618.8717999999999</v>
      </c>
      <c r="F1564" s="3">
        <f t="shared" si="210"/>
        <v>1.0528391749052841</v>
      </c>
      <c r="G1564" s="18">
        <f t="shared" si="211"/>
        <v>1</v>
      </c>
      <c r="H1564" s="3">
        <f t="shared" si="212"/>
        <v>5.6669710870977941E-3</v>
      </c>
      <c r="I1564" s="3">
        <f t="shared" si="213"/>
        <v>5.6669710870977941E-3</v>
      </c>
      <c r="K1564" s="12" t="str">
        <f>IF(AND(G1564=1,G1563&lt;&gt;1),MAX($K$50:K1563)+1,"")</f>
        <v/>
      </c>
      <c r="L1564" s="13" t="str">
        <f>IF(AND(G1564&lt;&gt;1,G1563=1),MAX($L$50:L1563)+1,"")</f>
        <v/>
      </c>
      <c r="M1564" s="13" t="str">
        <f>IF(AND(G1564=-1,G1563&lt;&gt;-1),MAX($M$50:M1563)+1,"")</f>
        <v/>
      </c>
      <c r="N1564" s="13" t="str">
        <f>IF(AND(G1564&lt;&gt;-1,G1563=-1),MAX($N$50:N1563)+1,"")</f>
        <v/>
      </c>
      <c r="T1564" s="7">
        <f t="shared" si="214"/>
        <v>112.29075888982895</v>
      </c>
      <c r="U1564" s="1">
        <f t="shared" si="215"/>
        <v>200.18441750863016</v>
      </c>
    </row>
    <row r="1565" spans="1:21" x14ac:dyDescent="0.3">
      <c r="A1565" s="2">
        <v>42446</v>
      </c>
      <c r="B1565" s="1">
        <v>3835.26</v>
      </c>
      <c r="C1565" s="2">
        <f t="shared" si="207"/>
        <v>42446</v>
      </c>
      <c r="D1565" s="1">
        <f t="shared" si="208"/>
        <v>3835.26</v>
      </c>
      <c r="E1565" s="4">
        <f t="shared" si="209"/>
        <v>3620.1455999999998</v>
      </c>
      <c r="F1565" s="3">
        <f t="shared" si="210"/>
        <v>1.0594214774124002</v>
      </c>
      <c r="G1565" s="18">
        <f t="shared" si="211"/>
        <v>1</v>
      </c>
      <c r="H1565" s="3">
        <f t="shared" si="212"/>
        <v>6.6061431619726108E-3</v>
      </c>
      <c r="I1565" s="3">
        <f t="shared" si="213"/>
        <v>6.6061431619726108E-3</v>
      </c>
      <c r="K1565" s="12" t="str">
        <f>IF(AND(G1565=1,G1564&lt;&gt;1),MAX($K$50:K1564)+1,"")</f>
        <v/>
      </c>
      <c r="L1565" s="13" t="str">
        <f>IF(AND(G1565&lt;&gt;1,G1564=1),MAX($L$50:L1564)+1,"")</f>
        <v/>
      </c>
      <c r="M1565" s="13" t="str">
        <f>IF(AND(G1565=-1,G1564&lt;&gt;-1),MAX($M$50:M1564)+1,"")</f>
        <v/>
      </c>
      <c r="N1565" s="13" t="str">
        <f>IF(AND(G1565&lt;&gt;-1,G1564=-1),MAX($N$50:N1564)+1,"")</f>
        <v/>
      </c>
      <c r="T1565" s="7">
        <f t="shared" si="214"/>
        <v>113.03256771882171</v>
      </c>
      <c r="U1565" s="1">
        <f t="shared" si="215"/>
        <v>201.50686442948825</v>
      </c>
    </row>
    <row r="1566" spans="1:21" x14ac:dyDescent="0.3">
      <c r="A1566" s="2">
        <v>42447</v>
      </c>
      <c r="B1566" s="1">
        <v>3852.15</v>
      </c>
      <c r="C1566" s="2">
        <f t="shared" si="207"/>
        <v>42447</v>
      </c>
      <c r="D1566" s="1">
        <f t="shared" si="208"/>
        <v>3852.15</v>
      </c>
      <c r="E1566" s="4">
        <f t="shared" si="209"/>
        <v>3622.7197999999994</v>
      </c>
      <c r="F1566" s="3">
        <f t="shared" si="210"/>
        <v>1.063330926117996</v>
      </c>
      <c r="G1566" s="18">
        <f t="shared" si="211"/>
        <v>1</v>
      </c>
      <c r="H1566" s="3">
        <f t="shared" si="212"/>
        <v>4.4038735313902677E-3</v>
      </c>
      <c r="I1566" s="3">
        <f t="shared" si="213"/>
        <v>4.4038735313902677E-3</v>
      </c>
      <c r="K1566" s="12" t="str">
        <f>IF(AND(G1566=1,G1565&lt;&gt;1),MAX($K$50:K1565)+1,"")</f>
        <v/>
      </c>
      <c r="L1566" s="13" t="str">
        <f>IF(AND(G1566&lt;&gt;1,G1565=1),MAX($L$50:L1565)+1,"")</f>
        <v/>
      </c>
      <c r="M1566" s="13" t="str">
        <f>IF(AND(G1566=-1,G1565&lt;&gt;-1),MAX($M$50:M1565)+1,"")</f>
        <v/>
      </c>
      <c r="N1566" s="13" t="str">
        <f>IF(AND(G1566&lt;&gt;-1,G1565=-1),MAX($N$50:N1565)+1,"")</f>
        <v/>
      </c>
      <c r="T1566" s="7">
        <f t="shared" si="214"/>
        <v>113.5303488519837</v>
      </c>
      <c r="U1566" s="1">
        <f t="shared" si="215"/>
        <v>202.39427517614271</v>
      </c>
    </row>
    <row r="1567" spans="1:21" x14ac:dyDescent="0.3">
      <c r="A1567" s="2">
        <v>42450</v>
      </c>
      <c r="B1567" s="1">
        <v>3855.97</v>
      </c>
      <c r="C1567" s="2">
        <f t="shared" si="207"/>
        <v>42450</v>
      </c>
      <c r="D1567" s="1">
        <f t="shared" si="208"/>
        <v>3855.97</v>
      </c>
      <c r="E1567" s="4">
        <f t="shared" si="209"/>
        <v>3627.1333999999993</v>
      </c>
      <c r="F1567" s="3">
        <f t="shared" si="210"/>
        <v>1.0630902078208651</v>
      </c>
      <c r="G1567" s="18">
        <f t="shared" si="211"/>
        <v>1</v>
      </c>
      <c r="H1567" s="3">
        <f t="shared" si="212"/>
        <v>9.9165401139611475E-4</v>
      </c>
      <c r="I1567" s="3">
        <f t="shared" si="213"/>
        <v>9.9165401139611475E-4</v>
      </c>
      <c r="K1567" s="12" t="str">
        <f>IF(AND(G1567=1,G1566&lt;&gt;1),MAX($K$50:K1566)+1,"")</f>
        <v/>
      </c>
      <c r="L1567" s="13" t="str">
        <f>IF(AND(G1567&lt;&gt;1,G1566=1),MAX($L$50:L1566)+1,"")</f>
        <v/>
      </c>
      <c r="M1567" s="13" t="str">
        <f>IF(AND(G1567=-1,G1566&lt;&gt;-1),MAX($M$50:M1566)+1,"")</f>
        <v/>
      </c>
      <c r="N1567" s="13" t="str">
        <f>IF(AND(G1567&lt;&gt;-1,G1566=-1),MAX($N$50:N1566)+1,"")</f>
        <v/>
      </c>
      <c r="T1567" s="7">
        <f t="shared" si="214"/>
        <v>113.64293167783798</v>
      </c>
      <c r="U1567" s="1">
        <f t="shared" si="215"/>
        <v>202.59498027100474</v>
      </c>
    </row>
    <row r="1568" spans="1:21" x14ac:dyDescent="0.3">
      <c r="A1568" s="2">
        <v>42451</v>
      </c>
      <c r="B1568" s="1">
        <v>3853.18</v>
      </c>
      <c r="C1568" s="2">
        <f t="shared" si="207"/>
        <v>42451</v>
      </c>
      <c r="D1568" s="1">
        <f t="shared" si="208"/>
        <v>3853.18</v>
      </c>
      <c r="E1568" s="4">
        <f t="shared" si="209"/>
        <v>3632.2787999999987</v>
      </c>
      <c r="F1568" s="3">
        <f t="shared" si="210"/>
        <v>1.0608161466019628</v>
      </c>
      <c r="G1568" s="18">
        <f t="shared" si="211"/>
        <v>1</v>
      </c>
      <c r="H1568" s="3">
        <f t="shared" si="212"/>
        <v>-7.2355334714735431E-4</v>
      </c>
      <c r="I1568" s="3">
        <f t="shared" si="213"/>
        <v>-7.2355334714735431E-4</v>
      </c>
      <c r="K1568" s="12" t="str">
        <f>IF(AND(G1568=1,G1567&lt;&gt;1),MAX($K$50:K1567)+1,"")</f>
        <v/>
      </c>
      <c r="L1568" s="13" t="str">
        <f>IF(AND(G1568&lt;&gt;1,G1567=1),MAX($L$50:L1567)+1,"")</f>
        <v/>
      </c>
      <c r="M1568" s="13" t="str">
        <f>IF(AND(G1568=-1,G1567&lt;&gt;-1),MAX($M$50:M1567)+1,"")</f>
        <v/>
      </c>
      <c r="N1568" s="13" t="str">
        <f>IF(AND(G1568&lt;&gt;-1,G1567=-1),MAX($N$50:N1567)+1,"")</f>
        <v/>
      </c>
      <c r="T1568" s="7">
        <f t="shared" si="214"/>
        <v>113.56070495424284</v>
      </c>
      <c r="U1568" s="1">
        <f t="shared" si="215"/>
        <v>202.4483919949144</v>
      </c>
    </row>
    <row r="1569" spans="1:21" x14ac:dyDescent="0.3">
      <c r="A1569" s="2">
        <v>42452</v>
      </c>
      <c r="B1569" s="1">
        <v>3828.58</v>
      </c>
      <c r="C1569" s="2">
        <f t="shared" si="207"/>
        <v>42452</v>
      </c>
      <c r="D1569" s="1">
        <f t="shared" si="208"/>
        <v>3828.58</v>
      </c>
      <c r="E1569" s="4">
        <f t="shared" si="209"/>
        <v>3636.8709999999987</v>
      </c>
      <c r="F1569" s="3">
        <f t="shared" si="210"/>
        <v>1.052712620271657</v>
      </c>
      <c r="G1569" s="18">
        <f t="shared" si="211"/>
        <v>1</v>
      </c>
      <c r="H1569" s="3">
        <f t="shared" si="212"/>
        <v>-6.38433709299846E-3</v>
      </c>
      <c r="I1569" s="3">
        <f t="shared" si="213"/>
        <v>-6.38433709299846E-3</v>
      </c>
      <c r="K1569" s="12" t="str">
        <f>IF(AND(G1569=1,G1568&lt;&gt;1),MAX($K$50:K1568)+1,"")</f>
        <v/>
      </c>
      <c r="L1569" s="13" t="str">
        <f>IF(AND(G1569&lt;&gt;1,G1568=1),MAX($L$50:L1568)+1,"")</f>
        <v/>
      </c>
      <c r="M1569" s="13" t="str">
        <f>IF(AND(G1569=-1,G1568&lt;&gt;-1),MAX($M$50:M1568)+1,"")</f>
        <v/>
      </c>
      <c r="N1569" s="13" t="str">
        <f>IF(AND(G1569&lt;&gt;-1,G1568=-1),MAX($N$50:N1568)+1,"")</f>
        <v/>
      </c>
      <c r="T1569" s="7">
        <f t="shared" si="214"/>
        <v>112.83569513329641</v>
      </c>
      <c r="U1569" s="1">
        <f t="shared" si="215"/>
        <v>201.15589321648335</v>
      </c>
    </row>
    <row r="1570" spans="1:21" x14ac:dyDescent="0.3">
      <c r="A1570" s="2">
        <v>42453</v>
      </c>
      <c r="B1570" s="1">
        <v>3827.14</v>
      </c>
      <c r="C1570" s="2">
        <f t="shared" si="207"/>
        <v>42453</v>
      </c>
      <c r="D1570" s="1">
        <f t="shared" si="208"/>
        <v>3827.14</v>
      </c>
      <c r="E1570" s="4">
        <f t="shared" si="209"/>
        <v>3640.8725999999997</v>
      </c>
      <c r="F1570" s="3">
        <f t="shared" si="210"/>
        <v>1.0511600982687503</v>
      </c>
      <c r="G1570" s="18">
        <f t="shared" si="211"/>
        <v>1</v>
      </c>
      <c r="H1570" s="3">
        <f t="shared" si="212"/>
        <v>-3.7611856092856222E-4</v>
      </c>
      <c r="I1570" s="3">
        <f t="shared" si="213"/>
        <v>-3.7611856092856222E-4</v>
      </c>
      <c r="K1570" s="12" t="str">
        <f>IF(AND(G1570=1,G1569&lt;&gt;1),MAX($K$50:K1569)+1,"")</f>
        <v/>
      </c>
      <c r="L1570" s="13" t="str">
        <f>IF(AND(G1570&lt;&gt;1,G1569=1),MAX($L$50:L1569)+1,"")</f>
        <v/>
      </c>
      <c r="M1570" s="13" t="str">
        <f>IF(AND(G1570=-1,G1569&lt;&gt;-1),MAX($M$50:M1569)+1,"")</f>
        <v/>
      </c>
      <c r="N1570" s="13" t="str">
        <f>IF(AND(G1570&lt;&gt;-1,G1569=-1),MAX($N$50:N1569)+1,"")</f>
        <v/>
      </c>
      <c r="T1570" s="7">
        <f t="shared" si="214"/>
        <v>112.7932555340215</v>
      </c>
      <c r="U1570" s="1">
        <f t="shared" si="215"/>
        <v>201.08023475140448</v>
      </c>
    </row>
    <row r="1571" spans="1:21" x14ac:dyDescent="0.3">
      <c r="A1571" s="2">
        <v>42457</v>
      </c>
      <c r="B1571" s="1">
        <v>3829.26</v>
      </c>
      <c r="C1571" s="2">
        <f t="shared" si="207"/>
        <v>42457</v>
      </c>
      <c r="D1571" s="1">
        <f t="shared" si="208"/>
        <v>3829.26</v>
      </c>
      <c r="E1571" s="4">
        <f t="shared" si="209"/>
        <v>3646.7194</v>
      </c>
      <c r="F1571" s="3">
        <f t="shared" si="210"/>
        <v>1.0500561134481585</v>
      </c>
      <c r="G1571" s="18">
        <f t="shared" si="211"/>
        <v>1</v>
      </c>
      <c r="H1571" s="3">
        <f t="shared" si="212"/>
        <v>5.5393845012208232E-4</v>
      </c>
      <c r="I1571" s="3">
        <f t="shared" si="213"/>
        <v>5.5393845012208232E-4</v>
      </c>
      <c r="K1571" s="12" t="str">
        <f>IF(AND(G1571=1,G1570&lt;&gt;1),MAX($K$50:K1570)+1,"")</f>
        <v/>
      </c>
      <c r="L1571" s="13" t="str">
        <f>IF(AND(G1571&lt;&gt;1,G1570=1),MAX($L$50:L1570)+1,"")</f>
        <v/>
      </c>
      <c r="M1571" s="13" t="str">
        <f>IF(AND(G1571=-1,G1570&lt;&gt;-1),MAX($M$50:M1570)+1,"")</f>
        <v/>
      </c>
      <c r="N1571" s="13" t="str">
        <f>IF(AND(G1571&lt;&gt;-1,G1570=-1),MAX($N$50:N1570)+1,"")</f>
        <v/>
      </c>
      <c r="T1571" s="7">
        <f t="shared" si="214"/>
        <v>112.85573605517624</v>
      </c>
      <c r="U1571" s="1">
        <f t="shared" si="215"/>
        <v>201.19162082499284</v>
      </c>
    </row>
    <row r="1572" spans="1:21" x14ac:dyDescent="0.3">
      <c r="A1572" s="2">
        <v>42458</v>
      </c>
      <c r="B1572" s="1">
        <v>3863.8</v>
      </c>
      <c r="C1572" s="2">
        <f t="shared" si="207"/>
        <v>42458</v>
      </c>
      <c r="D1572" s="1">
        <f t="shared" si="208"/>
        <v>3863.8</v>
      </c>
      <c r="E1572" s="4">
        <f t="shared" si="209"/>
        <v>3652.0747999999999</v>
      </c>
      <c r="F1572" s="3">
        <f t="shared" si="210"/>
        <v>1.0579739494930389</v>
      </c>
      <c r="G1572" s="18">
        <f t="shared" si="211"/>
        <v>1</v>
      </c>
      <c r="H1572" s="3">
        <f t="shared" si="212"/>
        <v>9.020019533800161E-3</v>
      </c>
      <c r="I1572" s="3">
        <f t="shared" si="213"/>
        <v>9.020019533800161E-3</v>
      </c>
      <c r="K1572" s="12" t="str">
        <f>IF(AND(G1572=1,G1571&lt;&gt;1),MAX($K$50:K1571)+1,"")</f>
        <v/>
      </c>
      <c r="L1572" s="13" t="str">
        <f>IF(AND(G1572&lt;&gt;1,G1571=1),MAX($L$50:L1571)+1,"")</f>
        <v/>
      </c>
      <c r="M1572" s="13" t="str">
        <f>IF(AND(G1572=-1,G1571&lt;&gt;-1),MAX($M$50:M1571)+1,"")</f>
        <v/>
      </c>
      <c r="N1572" s="13" t="str">
        <f>IF(AND(G1572&lt;&gt;-1,G1571=-1),MAX($N$50:N1571)+1,"")</f>
        <v/>
      </c>
      <c r="T1572" s="7">
        <f t="shared" si="214"/>
        <v>113.87369699889533</v>
      </c>
      <c r="U1572" s="1">
        <f t="shared" si="215"/>
        <v>203.00637317487121</v>
      </c>
    </row>
    <row r="1573" spans="1:21" x14ac:dyDescent="0.3">
      <c r="A1573" s="2">
        <v>42459</v>
      </c>
      <c r="B1573" s="1">
        <v>3881.01</v>
      </c>
      <c r="C1573" s="2">
        <f t="shared" si="207"/>
        <v>42459</v>
      </c>
      <c r="D1573" s="1">
        <f t="shared" si="208"/>
        <v>3881.01</v>
      </c>
      <c r="E1573" s="4">
        <f t="shared" si="209"/>
        <v>3659.3247999999999</v>
      </c>
      <c r="F1573" s="3">
        <f t="shared" si="210"/>
        <v>1.0605809027938706</v>
      </c>
      <c r="G1573" s="18">
        <f t="shared" si="211"/>
        <v>1</v>
      </c>
      <c r="H1573" s="3">
        <f t="shared" si="212"/>
        <v>4.454164294218188E-3</v>
      </c>
      <c r="I1573" s="3">
        <f t="shared" si="213"/>
        <v>4.454164294218188E-3</v>
      </c>
      <c r="K1573" s="12" t="str">
        <f>IF(AND(G1573=1,G1572&lt;&gt;1),MAX($K$50:K1572)+1,"")</f>
        <v/>
      </c>
      <c r="L1573" s="13" t="str">
        <f>IF(AND(G1573&lt;&gt;1,G1572=1),MAX($L$50:L1572)+1,"")</f>
        <v/>
      </c>
      <c r="M1573" s="13" t="str">
        <f>IF(AND(G1573=-1,G1572&lt;&gt;-1),MAX($M$50:M1572)+1,"")</f>
        <v/>
      </c>
      <c r="N1573" s="13" t="str">
        <f>IF(AND(G1573&lt;&gt;-1,G1572=-1),MAX($N$50:N1572)+1,"")</f>
        <v/>
      </c>
      <c r="T1573" s="7">
        <f t="shared" si="214"/>
        <v>114.38090915411843</v>
      </c>
      <c r="U1573" s="1">
        <f t="shared" si="215"/>
        <v>203.91059691376546</v>
      </c>
    </row>
    <row r="1574" spans="1:21" x14ac:dyDescent="0.3">
      <c r="A1574" s="2">
        <v>42460</v>
      </c>
      <c r="B1574" s="1">
        <v>3873.11</v>
      </c>
      <c r="C1574" s="2">
        <f t="shared" si="207"/>
        <v>42460</v>
      </c>
      <c r="D1574" s="1">
        <f t="shared" si="208"/>
        <v>3873.11</v>
      </c>
      <c r="E1574" s="4">
        <f t="shared" si="209"/>
        <v>3666.3789999999995</v>
      </c>
      <c r="F1574" s="3">
        <f t="shared" si="210"/>
        <v>1.0563856055252336</v>
      </c>
      <c r="G1574" s="18">
        <f t="shared" si="211"/>
        <v>1</v>
      </c>
      <c r="H1574" s="3">
        <f t="shared" si="212"/>
        <v>-2.0355526009981917E-3</v>
      </c>
      <c r="I1574" s="3">
        <f t="shared" si="213"/>
        <v>-2.0355526009981917E-3</v>
      </c>
      <c r="K1574" s="12" t="str">
        <f>IF(AND(G1574=1,G1573&lt;&gt;1),MAX($K$50:K1573)+1,"")</f>
        <v/>
      </c>
      <c r="L1574" s="13" t="str">
        <f>IF(AND(G1574&lt;&gt;1,G1573=1),MAX($L$50:L1573)+1,"")</f>
        <v/>
      </c>
      <c r="M1574" s="13" t="str">
        <f>IF(AND(G1574=-1,G1573&lt;&gt;-1),MAX($M$50:M1573)+1,"")</f>
        <v/>
      </c>
      <c r="N1574" s="13" t="str">
        <f>IF(AND(G1574&lt;&gt;-1,G1573=-1),MAX($N$50:N1573)+1,"")</f>
        <v/>
      </c>
      <c r="T1574" s="7">
        <f t="shared" si="214"/>
        <v>114.14808079698523</v>
      </c>
      <c r="U1574" s="1">
        <f t="shared" si="215"/>
        <v>203.49552616784655</v>
      </c>
    </row>
    <row r="1575" spans="1:21" x14ac:dyDescent="0.3">
      <c r="A1575" s="2">
        <v>42461</v>
      </c>
      <c r="B1575" s="1">
        <v>3897.66</v>
      </c>
      <c r="C1575" s="2">
        <f t="shared" si="207"/>
        <v>42461</v>
      </c>
      <c r="D1575" s="1">
        <f t="shared" si="208"/>
        <v>3897.66</v>
      </c>
      <c r="E1575" s="4">
        <f t="shared" si="209"/>
        <v>3674.7371999999996</v>
      </c>
      <c r="F1575" s="3">
        <f t="shared" si="210"/>
        <v>1.0606636033727801</v>
      </c>
      <c r="G1575" s="18">
        <f t="shared" si="211"/>
        <v>1</v>
      </c>
      <c r="H1575" s="3">
        <f t="shared" si="212"/>
        <v>6.3385754600306932E-3</v>
      </c>
      <c r="I1575" s="3">
        <f t="shared" si="213"/>
        <v>6.3385754600306932E-3</v>
      </c>
      <c r="K1575" s="12" t="str">
        <f>IF(AND(G1575=1,G1574&lt;&gt;1),MAX($K$50:K1574)+1,"")</f>
        <v/>
      </c>
      <c r="L1575" s="13" t="str">
        <f>IF(AND(G1575&lt;&gt;1,G1574=1),MAX($L$50:L1574)+1,"")</f>
        <v/>
      </c>
      <c r="M1575" s="13" t="str">
        <f>IF(AND(G1575=-1,G1574&lt;&gt;-1),MAX($M$50:M1574)+1,"")</f>
        <v/>
      </c>
      <c r="N1575" s="13" t="str">
        <f>IF(AND(G1575&lt;&gt;-1,G1574=-1),MAX($N$50:N1574)+1,"")</f>
        <v/>
      </c>
      <c r="T1575" s="7">
        <f t="shared" si="214"/>
        <v>114.8716170207346</v>
      </c>
      <c r="U1575" s="1">
        <f t="shared" si="215"/>
        <v>204.78539791624013</v>
      </c>
    </row>
    <row r="1576" spans="1:21" x14ac:dyDescent="0.3">
      <c r="A1576" s="2">
        <v>42464</v>
      </c>
      <c r="B1576" s="1">
        <v>3886</v>
      </c>
      <c r="C1576" s="2">
        <f t="shared" si="207"/>
        <v>42464</v>
      </c>
      <c r="D1576" s="1">
        <f t="shared" si="208"/>
        <v>3886</v>
      </c>
      <c r="E1576" s="4">
        <f t="shared" si="209"/>
        <v>3682.4983999999995</v>
      </c>
      <c r="F1576" s="3">
        <f t="shared" si="210"/>
        <v>1.0552618298489962</v>
      </c>
      <c r="G1576" s="18">
        <f t="shared" si="211"/>
        <v>1</v>
      </c>
      <c r="H1576" s="3">
        <f t="shared" si="212"/>
        <v>-2.9915385128512773E-3</v>
      </c>
      <c r="I1576" s="3">
        <f t="shared" si="213"/>
        <v>-2.9915385128512773E-3</v>
      </c>
      <c r="K1576" s="12" t="str">
        <f>IF(AND(G1576=1,G1575&lt;&gt;1),MAX($K$50:K1575)+1,"")</f>
        <v/>
      </c>
      <c r="L1576" s="13" t="str">
        <f>IF(AND(G1576&lt;&gt;1,G1575=1),MAX($L$50:L1575)+1,"")</f>
        <v/>
      </c>
      <c r="M1576" s="13" t="str">
        <f>IF(AND(G1576=-1,G1575&lt;&gt;-1),MAX($M$50:M1575)+1,"")</f>
        <v/>
      </c>
      <c r="N1576" s="13" t="str">
        <f>IF(AND(G1576&lt;&gt;-1,G1575=-1),MAX($N$50:N1575)+1,"")</f>
        <v/>
      </c>
      <c r="T1576" s="7">
        <f t="shared" si="214"/>
        <v>114.52797415438357</v>
      </c>
      <c r="U1576" s="1">
        <f t="shared" si="215"/>
        <v>204.17277451150412</v>
      </c>
    </row>
    <row r="1577" spans="1:21" x14ac:dyDescent="0.3">
      <c r="A1577" s="2">
        <v>42465</v>
      </c>
      <c r="B1577" s="1">
        <v>3846.59</v>
      </c>
      <c r="C1577" s="2">
        <f t="shared" si="207"/>
        <v>42465</v>
      </c>
      <c r="D1577" s="1">
        <f t="shared" si="208"/>
        <v>3846.59</v>
      </c>
      <c r="E1577" s="4">
        <f t="shared" si="209"/>
        <v>3688.0521999999996</v>
      </c>
      <c r="F1577" s="3">
        <f t="shared" si="210"/>
        <v>1.0429868644483937</v>
      </c>
      <c r="G1577" s="18">
        <f t="shared" si="211"/>
        <v>1</v>
      </c>
      <c r="H1577" s="3">
        <f t="shared" si="212"/>
        <v>-1.0141533710756545E-2</v>
      </c>
      <c r="I1577" s="3">
        <f t="shared" si="213"/>
        <v>-1.0141533710756545E-2</v>
      </c>
      <c r="K1577" s="12" t="str">
        <f>IF(AND(G1577=1,G1576&lt;&gt;1),MAX($K$50:K1576)+1,"")</f>
        <v/>
      </c>
      <c r="L1577" s="13" t="str">
        <f>IF(AND(G1577&lt;&gt;1,G1576=1),MAX($L$50:L1576)+1,"")</f>
        <v/>
      </c>
      <c r="M1577" s="13" t="str">
        <f>IF(AND(G1577=-1,G1576&lt;&gt;-1),MAX($M$50:M1576)+1,"")</f>
        <v/>
      </c>
      <c r="N1577" s="13" t="str">
        <f>IF(AND(G1577&lt;&gt;-1,G1576=-1),MAX($N$50:N1576)+1,"")</f>
        <v/>
      </c>
      <c r="T1577" s="7">
        <f t="shared" si="214"/>
        <v>113.36648484367224</v>
      </c>
      <c r="U1577" s="1">
        <f t="shared" si="215"/>
        <v>202.102149435977</v>
      </c>
    </row>
    <row r="1578" spans="1:21" x14ac:dyDescent="0.3">
      <c r="A1578" s="2">
        <v>42466</v>
      </c>
      <c r="B1578" s="1">
        <v>3888.41</v>
      </c>
      <c r="C1578" s="2">
        <f t="shared" si="207"/>
        <v>42466</v>
      </c>
      <c r="D1578" s="1">
        <f t="shared" si="208"/>
        <v>3888.41</v>
      </c>
      <c r="E1578" s="4">
        <f t="shared" si="209"/>
        <v>3695.5581999999995</v>
      </c>
      <c r="F1578" s="3">
        <f t="shared" si="210"/>
        <v>1.0521847552015282</v>
      </c>
      <c r="G1578" s="18">
        <f t="shared" si="211"/>
        <v>1</v>
      </c>
      <c r="H1578" s="3">
        <f t="shared" si="212"/>
        <v>1.0871967118928572E-2</v>
      </c>
      <c r="I1578" s="3">
        <f t="shared" si="213"/>
        <v>1.0871967118928572E-2</v>
      </c>
      <c r="K1578" s="12" t="str">
        <f>IF(AND(G1578=1,G1577&lt;&gt;1),MAX($K$50:K1577)+1,"")</f>
        <v/>
      </c>
      <c r="L1578" s="13" t="str">
        <f>IF(AND(G1578&lt;&gt;1,G1577=1),MAX($L$50:L1577)+1,"")</f>
        <v/>
      </c>
      <c r="M1578" s="13" t="str">
        <f>IF(AND(G1578=-1,G1577&lt;&gt;-1),MAX($M$50:M1577)+1,"")</f>
        <v/>
      </c>
      <c r="N1578" s="13" t="str">
        <f>IF(AND(G1578&lt;&gt;-1,G1577=-1),MAX($N$50:N1577)+1,"")</f>
        <v/>
      </c>
      <c r="T1578" s="7">
        <f t="shared" si="214"/>
        <v>114.59900153928116</v>
      </c>
      <c r="U1578" s="1">
        <f t="shared" si="215"/>
        <v>204.29939735930975</v>
      </c>
    </row>
    <row r="1579" spans="1:21" x14ac:dyDescent="0.3">
      <c r="A1579" s="2">
        <v>42467</v>
      </c>
      <c r="B1579" s="1">
        <v>3841.98</v>
      </c>
      <c r="C1579" s="2">
        <f t="shared" si="207"/>
        <v>42467</v>
      </c>
      <c r="D1579" s="1">
        <f t="shared" si="208"/>
        <v>3841.98</v>
      </c>
      <c r="E1579" s="4">
        <f t="shared" si="209"/>
        <v>3701.1415999999999</v>
      </c>
      <c r="F1579" s="3">
        <f t="shared" si="210"/>
        <v>1.0380526916343866</v>
      </c>
      <c r="G1579" s="18">
        <f t="shared" si="211"/>
        <v>1</v>
      </c>
      <c r="H1579" s="3">
        <f t="shared" si="212"/>
        <v>-1.1940613258375476E-2</v>
      </c>
      <c r="I1579" s="3">
        <f t="shared" si="213"/>
        <v>-1.1940613258375476E-2</v>
      </c>
      <c r="K1579" s="12" t="str">
        <f>IF(AND(G1579=1,G1578&lt;&gt;1),MAX($K$50:K1578)+1,"")</f>
        <v/>
      </c>
      <c r="L1579" s="13" t="str">
        <f>IF(AND(G1579&lt;&gt;1,G1578=1),MAX($L$50:L1578)+1,"")</f>
        <v/>
      </c>
      <c r="M1579" s="13" t="str">
        <f>IF(AND(G1579=-1,G1578&lt;&gt;-1),MAX($M$50:M1578)+1,"")</f>
        <v/>
      </c>
      <c r="N1579" s="13" t="str">
        <f>IF(AND(G1579&lt;&gt;-1,G1578=-1),MAX($N$50:N1578)+1,"")</f>
        <v/>
      </c>
      <c r="T1579" s="7">
        <f t="shared" si="214"/>
        <v>113.23061918210463</v>
      </c>
      <c r="U1579" s="1">
        <f t="shared" si="215"/>
        <v>201.85993726652305</v>
      </c>
    </row>
    <row r="1580" spans="1:21" x14ac:dyDescent="0.3">
      <c r="A1580" s="2">
        <v>42468</v>
      </c>
      <c r="B1580" s="1">
        <v>3852.72</v>
      </c>
      <c r="C1580" s="2">
        <f t="shared" si="207"/>
        <v>42468</v>
      </c>
      <c r="D1580" s="1">
        <f t="shared" si="208"/>
        <v>3852.72</v>
      </c>
      <c r="E1580" s="4">
        <f t="shared" si="209"/>
        <v>3707.7093999999993</v>
      </c>
      <c r="F1580" s="3">
        <f t="shared" si="210"/>
        <v>1.0391105624405192</v>
      </c>
      <c r="G1580" s="18">
        <f t="shared" si="211"/>
        <v>1</v>
      </c>
      <c r="H1580" s="3">
        <f t="shared" si="212"/>
        <v>2.7954336045477035E-3</v>
      </c>
      <c r="I1580" s="3">
        <f t="shared" si="213"/>
        <v>2.7954336045477035E-3</v>
      </c>
      <c r="K1580" s="12" t="str">
        <f>IF(AND(G1580=1,G1579&lt;&gt;1),MAX($K$50:K1579)+1,"")</f>
        <v/>
      </c>
      <c r="L1580" s="13" t="str">
        <f>IF(AND(G1580&lt;&gt;1,G1579=1),MAX($L$50:L1579)+1,"")</f>
        <v/>
      </c>
      <c r="M1580" s="13" t="str">
        <f>IF(AND(G1580=-1,G1579&lt;&gt;-1),MAX($M$50:M1579)+1,"")</f>
        <v/>
      </c>
      <c r="N1580" s="13" t="str">
        <f>IF(AND(G1580&lt;&gt;-1,G1579=-1),MAX($N$50:N1579)+1,"")</f>
        <v/>
      </c>
      <c r="T1580" s="7">
        <f t="shared" si="214"/>
        <v>113.54714786003004</v>
      </c>
      <c r="U1580" s="1">
        <f t="shared" si="215"/>
        <v>202.42422331856974</v>
      </c>
    </row>
    <row r="1581" spans="1:21" x14ac:dyDescent="0.3">
      <c r="A1581" s="2">
        <v>42471</v>
      </c>
      <c r="B1581" s="1">
        <v>3842.17</v>
      </c>
      <c r="C1581" s="2">
        <f t="shared" si="207"/>
        <v>42471</v>
      </c>
      <c r="D1581" s="1">
        <f t="shared" si="208"/>
        <v>3842.17</v>
      </c>
      <c r="E1581" s="4">
        <f t="shared" si="209"/>
        <v>3713.6702</v>
      </c>
      <c r="F1581" s="3">
        <f t="shared" si="210"/>
        <v>1.0346018340562391</v>
      </c>
      <c r="G1581" s="18">
        <f t="shared" si="211"/>
        <v>1</v>
      </c>
      <c r="H1581" s="3">
        <f t="shared" si="212"/>
        <v>-2.7383251313357615E-3</v>
      </c>
      <c r="I1581" s="3">
        <f t="shared" si="213"/>
        <v>-2.7383251313357615E-3</v>
      </c>
      <c r="K1581" s="12" t="str">
        <f>IF(AND(G1581=1,G1580&lt;&gt;1),MAX($K$50:K1580)+1,"")</f>
        <v/>
      </c>
      <c r="L1581" s="13" t="str">
        <f>IF(AND(G1581&lt;&gt;1,G1580=1),MAX($L$50:L1580)+1,"")</f>
        <v/>
      </c>
      <c r="M1581" s="13" t="str">
        <f>IF(AND(G1581=-1,G1580&lt;&gt;-1),MAX($M$50:M1580)+1,"")</f>
        <v/>
      </c>
      <c r="N1581" s="13" t="str">
        <f>IF(AND(G1581&lt;&gt;-1,G1580=-1),MAX($N$50:N1580)+1,"")</f>
        <v/>
      </c>
      <c r="T1581" s="7">
        <f t="shared" si="214"/>
        <v>113.23621885145342</v>
      </c>
      <c r="U1581" s="1">
        <f t="shared" si="215"/>
        <v>201.8699199806654</v>
      </c>
    </row>
    <row r="1582" spans="1:21" x14ac:dyDescent="0.3">
      <c r="A1582" s="2">
        <v>42472</v>
      </c>
      <c r="B1582" s="1">
        <v>3879.42</v>
      </c>
      <c r="C1582" s="2">
        <f t="shared" si="207"/>
        <v>42472</v>
      </c>
      <c r="D1582" s="1">
        <f t="shared" si="208"/>
        <v>3879.42</v>
      </c>
      <c r="E1582" s="4">
        <f t="shared" si="209"/>
        <v>3718.6194000000005</v>
      </c>
      <c r="F1582" s="3">
        <f t="shared" si="210"/>
        <v>1.043242016109527</v>
      </c>
      <c r="G1582" s="18">
        <f t="shared" si="211"/>
        <v>1</v>
      </c>
      <c r="H1582" s="3">
        <f t="shared" si="212"/>
        <v>9.6950421246326801E-3</v>
      </c>
      <c r="I1582" s="3">
        <f t="shared" si="213"/>
        <v>9.6950421246326801E-3</v>
      </c>
      <c r="K1582" s="12" t="str">
        <f>IF(AND(G1582=1,G1581&lt;&gt;1),MAX($K$50:K1581)+1,"")</f>
        <v/>
      </c>
      <c r="L1582" s="13" t="str">
        <f>IF(AND(G1582&lt;&gt;1,G1581=1),MAX($L$50:L1581)+1,"")</f>
        <v/>
      </c>
      <c r="M1582" s="13" t="str">
        <f>IF(AND(G1582=-1,G1581&lt;&gt;-1),MAX($M$50:M1581)+1,"")</f>
        <v/>
      </c>
      <c r="N1582" s="13" t="str">
        <f>IF(AND(G1582&lt;&gt;-1,G1581=-1),MAX($N$50:N1581)+1,"")</f>
        <v/>
      </c>
      <c r="T1582" s="7">
        <f t="shared" si="214"/>
        <v>114.33404876325238</v>
      </c>
      <c r="U1582" s="1">
        <f t="shared" si="215"/>
        <v>203.82705735857419</v>
      </c>
    </row>
    <row r="1583" spans="1:21" x14ac:dyDescent="0.3">
      <c r="A1583" s="2">
        <v>42473</v>
      </c>
      <c r="B1583" s="1">
        <v>3918.95</v>
      </c>
      <c r="C1583" s="2">
        <f t="shared" si="207"/>
        <v>42473</v>
      </c>
      <c r="D1583" s="1">
        <f t="shared" si="208"/>
        <v>3918.95</v>
      </c>
      <c r="E1583" s="4">
        <f t="shared" si="209"/>
        <v>3724.389200000001</v>
      </c>
      <c r="F1583" s="3">
        <f t="shared" si="210"/>
        <v>1.0522396531490315</v>
      </c>
      <c r="G1583" s="18">
        <f t="shared" si="211"/>
        <v>1</v>
      </c>
      <c r="H1583" s="3">
        <f t="shared" si="212"/>
        <v>1.0189667527620072E-2</v>
      </c>
      <c r="I1583" s="3">
        <f t="shared" si="213"/>
        <v>1.0189667527620072E-2</v>
      </c>
      <c r="K1583" s="12" t="str">
        <f>IF(AND(G1583=1,G1582&lt;&gt;1),MAX($K$50:K1582)+1,"")</f>
        <v/>
      </c>
      <c r="L1583" s="13" t="str">
        <f>IF(AND(G1583&lt;&gt;1,G1582=1),MAX($L$50:L1582)+1,"")</f>
        <v/>
      </c>
      <c r="M1583" s="13" t="str">
        <f>IF(AND(G1583=-1,G1582&lt;&gt;-1),MAX($M$50:M1582)+1,"")</f>
        <v/>
      </c>
      <c r="N1583" s="13" t="str">
        <f>IF(AND(G1583&lt;&gt;-1,G1582=-1),MAX($N$50:N1582)+1,"")</f>
        <v/>
      </c>
      <c r="T1583" s="7">
        <f t="shared" si="214"/>
        <v>115.49907470723663</v>
      </c>
      <c r="U1583" s="1">
        <f t="shared" si="215"/>
        <v>205.9039873061912</v>
      </c>
    </row>
    <row r="1584" spans="1:21" x14ac:dyDescent="0.3">
      <c r="A1584" s="2">
        <v>42474</v>
      </c>
      <c r="B1584" s="1">
        <v>3920.03</v>
      </c>
      <c r="C1584" s="2">
        <f t="shared" si="207"/>
        <v>42474</v>
      </c>
      <c r="D1584" s="1">
        <f t="shared" si="208"/>
        <v>3920.03</v>
      </c>
      <c r="E1584" s="4">
        <f t="shared" si="209"/>
        <v>3731.5394000000006</v>
      </c>
      <c r="F1584" s="3">
        <f t="shared" si="210"/>
        <v>1.0505128258862815</v>
      </c>
      <c r="G1584" s="18">
        <f t="shared" si="211"/>
        <v>1</v>
      </c>
      <c r="H1584" s="3">
        <f t="shared" si="212"/>
        <v>2.7558402123029069E-4</v>
      </c>
      <c r="I1584" s="3">
        <f t="shared" si="213"/>
        <v>2.7558402123029069E-4</v>
      </c>
      <c r="K1584" s="12" t="str">
        <f>IF(AND(G1584=1,G1583&lt;&gt;1),MAX($K$50:K1583)+1,"")</f>
        <v/>
      </c>
      <c r="L1584" s="13" t="str">
        <f>IF(AND(G1584&lt;&gt;1,G1583=1),MAX($L$50:L1583)+1,"")</f>
        <v/>
      </c>
      <c r="M1584" s="13" t="str">
        <f>IF(AND(G1584=-1,G1583&lt;&gt;-1),MAX($M$50:M1583)+1,"")</f>
        <v/>
      </c>
      <c r="N1584" s="13" t="str">
        <f>IF(AND(G1584&lt;&gt;-1,G1583=-1),MAX($N$50:N1583)+1,"")</f>
        <v/>
      </c>
      <c r="T1584" s="7">
        <f t="shared" si="214"/>
        <v>115.53090440669283</v>
      </c>
      <c r="U1584" s="1">
        <f t="shared" si="215"/>
        <v>205.96073115500039</v>
      </c>
    </row>
    <row r="1585" spans="1:21" x14ac:dyDescent="0.3">
      <c r="A1585" s="2">
        <v>42475</v>
      </c>
      <c r="B1585" s="1">
        <v>3916.17</v>
      </c>
      <c r="C1585" s="2">
        <f t="shared" si="207"/>
        <v>42475</v>
      </c>
      <c r="D1585" s="1">
        <f t="shared" si="208"/>
        <v>3916.17</v>
      </c>
      <c r="E1585" s="4">
        <f t="shared" si="209"/>
        <v>3738.2322000000008</v>
      </c>
      <c r="F1585" s="3">
        <f t="shared" si="210"/>
        <v>1.0475994508848325</v>
      </c>
      <c r="G1585" s="18">
        <f t="shared" si="211"/>
        <v>1</v>
      </c>
      <c r="H1585" s="3">
        <f t="shared" si="212"/>
        <v>-9.8468634168624725E-4</v>
      </c>
      <c r="I1585" s="3">
        <f t="shared" si="213"/>
        <v>-9.8468634168624725E-4</v>
      </c>
      <c r="K1585" s="12" t="str">
        <f>IF(AND(G1585=1,G1584&lt;&gt;1),MAX($K$50:K1584)+1,"")</f>
        <v/>
      </c>
      <c r="L1585" s="13" t="str">
        <f>IF(AND(G1585&lt;&gt;1,G1584=1),MAX($L$50:L1584)+1,"")</f>
        <v/>
      </c>
      <c r="M1585" s="13" t="str">
        <f>IF(AND(G1585=-1,G1584&lt;&gt;-1),MAX($M$50:M1584)+1,"")</f>
        <v/>
      </c>
      <c r="N1585" s="13" t="str">
        <f>IF(AND(G1585&lt;&gt;-1,G1584=-1),MAX($N$50:N1584)+1,"")</f>
        <v/>
      </c>
      <c r="T1585" s="7">
        <f t="shared" si="214"/>
        <v>115.4171427030809</v>
      </c>
      <c r="U1585" s="1">
        <f t="shared" si="215"/>
        <v>205.75792443610834</v>
      </c>
    </row>
    <row r="1586" spans="1:21" x14ac:dyDescent="0.3">
      <c r="A1586" s="2">
        <v>42478</v>
      </c>
      <c r="B1586" s="1">
        <v>3941.86</v>
      </c>
      <c r="C1586" s="2">
        <f t="shared" si="207"/>
        <v>42478</v>
      </c>
      <c r="D1586" s="1">
        <f t="shared" si="208"/>
        <v>3941.86</v>
      </c>
      <c r="E1586" s="4">
        <f t="shared" si="209"/>
        <v>3745.3152</v>
      </c>
      <c r="F1586" s="3">
        <f t="shared" si="210"/>
        <v>1.0524775057650688</v>
      </c>
      <c r="G1586" s="18">
        <f t="shared" si="211"/>
        <v>1</v>
      </c>
      <c r="H1586" s="3">
        <f t="shared" si="212"/>
        <v>6.5599807975649238E-3</v>
      </c>
      <c r="I1586" s="3">
        <f t="shared" si="213"/>
        <v>6.5599807975649238E-3</v>
      </c>
      <c r="K1586" s="12" t="str">
        <f>IF(AND(G1586=1,G1585&lt;&gt;1),MAX($K$50:K1585)+1,"")</f>
        <v/>
      </c>
      <c r="L1586" s="13" t="str">
        <f>IF(AND(G1586&lt;&gt;1,G1585=1),MAX($L$50:L1585)+1,"")</f>
        <v/>
      </c>
      <c r="M1586" s="13" t="str">
        <f>IF(AND(G1586=-1,G1585&lt;&gt;-1),MAX($M$50:M1585)+1,"")</f>
        <v/>
      </c>
      <c r="N1586" s="13" t="str">
        <f>IF(AND(G1586&lt;&gt;-1,G1585=-1),MAX($N$50:N1585)+1,"")</f>
        <v/>
      </c>
      <c r="T1586" s="7">
        <f t="shared" si="214"/>
        <v>116.17427694292292</v>
      </c>
      <c r="U1586" s="1">
        <f t="shared" si="215"/>
        <v>207.10769246935604</v>
      </c>
    </row>
    <row r="1587" spans="1:21" x14ac:dyDescent="0.3">
      <c r="A1587" s="2">
        <v>42479</v>
      </c>
      <c r="B1587" s="1">
        <v>3954.01</v>
      </c>
      <c r="C1587" s="2">
        <f t="shared" si="207"/>
        <v>42479</v>
      </c>
      <c r="D1587" s="1">
        <f t="shared" si="208"/>
        <v>3954.01</v>
      </c>
      <c r="E1587" s="4">
        <f t="shared" si="209"/>
        <v>3753.9634000000001</v>
      </c>
      <c r="F1587" s="3">
        <f t="shared" si="210"/>
        <v>1.0532894380376752</v>
      </c>
      <c r="G1587" s="18">
        <f t="shared" si="211"/>
        <v>1</v>
      </c>
      <c r="H1587" s="3">
        <f t="shared" si="212"/>
        <v>3.0823012486491663E-3</v>
      </c>
      <c r="I1587" s="3">
        <f t="shared" si="213"/>
        <v>3.0823012486491663E-3</v>
      </c>
      <c r="K1587" s="12" t="str">
        <f>IF(AND(G1587=1,G1586&lt;&gt;1),MAX($K$50:K1586)+1,"")</f>
        <v/>
      </c>
      <c r="L1587" s="13" t="str">
        <f>IF(AND(G1587&lt;&gt;1,G1586=1),MAX($L$50:L1586)+1,"")</f>
        <v/>
      </c>
      <c r="M1587" s="13" t="str">
        <f>IF(AND(G1587=-1,G1586&lt;&gt;-1),MAX($M$50:M1586)+1,"")</f>
        <v/>
      </c>
      <c r="N1587" s="13" t="str">
        <f>IF(AND(G1587&lt;&gt;-1,G1586=-1),MAX($N$50:N1586)+1,"")</f>
        <v/>
      </c>
      <c r="T1587" s="7">
        <f t="shared" si="214"/>
        <v>116.53236106180501</v>
      </c>
      <c r="U1587" s="1">
        <f t="shared" si="215"/>
        <v>207.74606076845916</v>
      </c>
    </row>
    <row r="1588" spans="1:21" x14ac:dyDescent="0.3">
      <c r="A1588" s="2">
        <v>42480</v>
      </c>
      <c r="B1588" s="1">
        <v>3957.25</v>
      </c>
      <c r="C1588" s="2">
        <f t="shared" ref="C1588:C1651" si="216">A1588</f>
        <v>42480</v>
      </c>
      <c r="D1588" s="1">
        <f t="shared" ref="D1588:D1651" si="217">B1588</f>
        <v>3957.25</v>
      </c>
      <c r="E1588" s="4">
        <f t="shared" ref="E1588:E1651" si="218">AVERAGE(B1539:B1588)</f>
        <v>3763.6668000000004</v>
      </c>
      <c r="F1588" s="3">
        <f t="shared" ref="F1588:F1651" si="219">D1588/E1588</f>
        <v>1.0514347338079979</v>
      </c>
      <c r="G1588" s="18">
        <f t="shared" ref="G1588:G1651" si="220">IF(F1588&gt;=$Q$51,1,IF(F1588&lt;=$Q$52,-1,0))</f>
        <v>1</v>
      </c>
      <c r="H1588" s="3">
        <f t="shared" si="212"/>
        <v>8.1942129635481642E-4</v>
      </c>
      <c r="I1588" s="3">
        <f t="shared" si="213"/>
        <v>8.1942129635481642E-4</v>
      </c>
      <c r="K1588" s="12" t="str">
        <f>IF(AND(G1588=1,G1587&lt;&gt;1),MAX($K$50:K1587)+1,"")</f>
        <v/>
      </c>
      <c r="L1588" s="13" t="str">
        <f>IF(AND(G1588&lt;&gt;1,G1587=1),MAX($L$50:L1587)+1,"")</f>
        <v/>
      </c>
      <c r="M1588" s="13" t="str">
        <f>IF(AND(G1588=-1,G1587&lt;&gt;-1),MAX($M$50:M1587)+1,"")</f>
        <v/>
      </c>
      <c r="N1588" s="13" t="str">
        <f>IF(AND(G1588&lt;&gt;-1,G1587=-1),MAX($N$50:N1587)+1,"")</f>
        <v/>
      </c>
      <c r="T1588" s="7">
        <f t="shared" si="214"/>
        <v>116.62785016017355</v>
      </c>
      <c r="U1588" s="1">
        <f t="shared" si="215"/>
        <v>207.91629231488665</v>
      </c>
    </row>
    <row r="1589" spans="1:21" x14ac:dyDescent="0.3">
      <c r="A1589" s="2">
        <v>42481</v>
      </c>
      <c r="B1589" s="1">
        <v>3936.8</v>
      </c>
      <c r="C1589" s="2">
        <f t="shared" si="216"/>
        <v>42481</v>
      </c>
      <c r="D1589" s="1">
        <f t="shared" si="217"/>
        <v>3936.8</v>
      </c>
      <c r="E1589" s="4">
        <f t="shared" si="218"/>
        <v>3772.9928000000004</v>
      </c>
      <c r="F1589" s="3">
        <f t="shared" si="219"/>
        <v>1.0434157202738366</v>
      </c>
      <c r="G1589" s="18">
        <f t="shared" si="220"/>
        <v>1</v>
      </c>
      <c r="H1589" s="3">
        <f t="shared" ref="H1589:H1652" si="221">D1589/D1588-1</f>
        <v>-5.1677301156105582E-3</v>
      </c>
      <c r="I1589" s="3">
        <f t="shared" ref="I1589:I1652" si="222">G1588*H1589</f>
        <v>-5.1677301156105582E-3</v>
      </c>
      <c r="K1589" s="12" t="str">
        <f>IF(AND(G1589=1,G1588&lt;&gt;1),MAX($K$50:K1588)+1,"")</f>
        <v/>
      </c>
      <c r="L1589" s="13" t="str">
        <f>IF(AND(G1589&lt;&gt;1,G1588=1),MAX($L$50:L1588)+1,"")</f>
        <v/>
      </c>
      <c r="M1589" s="13" t="str">
        <f>IF(AND(G1589=-1,G1588&lt;&gt;-1),MAX($M$50:M1588)+1,"")</f>
        <v/>
      </c>
      <c r="N1589" s="13" t="str">
        <f>IF(AND(G1589&lt;&gt;-1,G1588=-1),MAX($N$50:N1588)+1,"")</f>
        <v/>
      </c>
      <c r="T1589" s="7">
        <f t="shared" ref="T1589:T1652" si="223">T1588*(1+I1589)</f>
        <v>116.0251489065819</v>
      </c>
      <c r="U1589" s="1">
        <f t="shared" ref="U1589:U1652" si="224">U1588*D1589/D1588</f>
        <v>206.84183702956494</v>
      </c>
    </row>
    <row r="1590" spans="1:21" x14ac:dyDescent="0.3">
      <c r="A1590" s="2">
        <v>42482</v>
      </c>
      <c r="B1590" s="1">
        <v>3937</v>
      </c>
      <c r="C1590" s="2">
        <f t="shared" si="216"/>
        <v>42482</v>
      </c>
      <c r="D1590" s="1">
        <f t="shared" si="217"/>
        <v>3937</v>
      </c>
      <c r="E1590" s="4">
        <f t="shared" si="218"/>
        <v>3782.3120000000008</v>
      </c>
      <c r="F1590" s="3">
        <f t="shared" si="219"/>
        <v>1.0408977366224677</v>
      </c>
      <c r="G1590" s="18">
        <f t="shared" si="220"/>
        <v>1</v>
      </c>
      <c r="H1590" s="3">
        <f t="shared" si="221"/>
        <v>5.0802682381556608E-5</v>
      </c>
      <c r="I1590" s="3">
        <f t="shared" si="222"/>
        <v>5.0802682381556608E-5</v>
      </c>
      <c r="K1590" s="12" t="str">
        <f>IF(AND(G1590=1,G1589&lt;&gt;1),MAX($K$50:K1589)+1,"")</f>
        <v/>
      </c>
      <c r="L1590" s="13" t="str">
        <f>IF(AND(G1590&lt;&gt;1,G1589=1),MAX($L$50:L1589)+1,"")</f>
        <v/>
      </c>
      <c r="M1590" s="13" t="str">
        <f>IF(AND(G1590=-1,G1589&lt;&gt;-1),MAX($M$50:M1589)+1,"")</f>
        <v/>
      </c>
      <c r="N1590" s="13" t="str">
        <f>IF(AND(G1590&lt;&gt;-1,G1589=-1),MAX($N$50:N1589)+1,"")</f>
        <v/>
      </c>
      <c r="T1590" s="7">
        <f t="shared" si="223"/>
        <v>116.03104329537008</v>
      </c>
      <c r="U1590" s="1">
        <f t="shared" si="224"/>
        <v>206.85234514971478</v>
      </c>
    </row>
    <row r="1591" spans="1:21" x14ac:dyDescent="0.3">
      <c r="A1591" s="2">
        <v>42485</v>
      </c>
      <c r="B1591" s="1">
        <v>3929.88</v>
      </c>
      <c r="C1591" s="2">
        <f t="shared" si="216"/>
        <v>42485</v>
      </c>
      <c r="D1591" s="1">
        <f t="shared" si="217"/>
        <v>3929.88</v>
      </c>
      <c r="E1591" s="4">
        <f t="shared" si="218"/>
        <v>3792.3298000000004</v>
      </c>
      <c r="F1591" s="3">
        <f t="shared" si="219"/>
        <v>1.0362706323695792</v>
      </c>
      <c r="G1591" s="18">
        <f t="shared" si="220"/>
        <v>1</v>
      </c>
      <c r="H1591" s="3">
        <f t="shared" si="221"/>
        <v>-1.8084836169671714E-3</v>
      </c>
      <c r="I1591" s="3">
        <f t="shared" si="222"/>
        <v>-1.8084836169671714E-3</v>
      </c>
      <c r="K1591" s="12" t="str">
        <f>IF(AND(G1591=1,G1590&lt;&gt;1),MAX($K$50:K1590)+1,"")</f>
        <v/>
      </c>
      <c r="L1591" s="13" t="str">
        <f>IF(AND(G1591&lt;&gt;1,G1590=1),MAX($L$50:L1590)+1,"")</f>
        <v/>
      </c>
      <c r="M1591" s="13" t="str">
        <f>IF(AND(G1591=-1,G1590&lt;&gt;-1),MAX($M$50:M1590)+1,"")</f>
        <v/>
      </c>
      <c r="N1591" s="13" t="str">
        <f>IF(AND(G1591&lt;&gt;-1,G1590=-1),MAX($N$50:N1590)+1,"")</f>
        <v/>
      </c>
      <c r="T1591" s="7">
        <f t="shared" si="223"/>
        <v>115.8212030545108</v>
      </c>
      <c r="U1591" s="1">
        <f t="shared" si="224"/>
        <v>206.47825607238028</v>
      </c>
    </row>
    <row r="1592" spans="1:21" x14ac:dyDescent="0.3">
      <c r="A1592" s="2">
        <v>42486</v>
      </c>
      <c r="B1592" s="1">
        <v>3937.23</v>
      </c>
      <c r="C1592" s="2">
        <f t="shared" si="216"/>
        <v>42486</v>
      </c>
      <c r="D1592" s="1">
        <f t="shared" si="217"/>
        <v>3937.23</v>
      </c>
      <c r="E1592" s="4">
        <f t="shared" si="218"/>
        <v>3801.1488000000008</v>
      </c>
      <c r="F1592" s="3">
        <f t="shared" si="219"/>
        <v>1.0358000191941972</v>
      </c>
      <c r="G1592" s="18">
        <f t="shared" si="220"/>
        <v>1</v>
      </c>
      <c r="H1592" s="3">
        <f t="shared" si="221"/>
        <v>1.8702861156065786E-3</v>
      </c>
      <c r="I1592" s="3">
        <f t="shared" si="222"/>
        <v>1.8702861156065786E-3</v>
      </c>
      <c r="K1592" s="12" t="str">
        <f>IF(AND(G1592=1,G1591&lt;&gt;1),MAX($K$50:K1591)+1,"")</f>
        <v/>
      </c>
      <c r="L1592" s="13" t="str">
        <f>IF(AND(G1592&lt;&gt;1,G1591=1),MAX($L$50:L1591)+1,"")</f>
        <v/>
      </c>
      <c r="M1592" s="13" t="str">
        <f>IF(AND(G1592=-1,G1591&lt;&gt;-1),MAX($M$50:M1591)+1,"")</f>
        <v/>
      </c>
      <c r="N1592" s="13" t="str">
        <f>IF(AND(G1592&lt;&gt;-1,G1591=-1),MAX($N$50:N1591)+1,"")</f>
        <v/>
      </c>
      <c r="T1592" s="7">
        <f t="shared" si="223"/>
        <v>116.0378218424765</v>
      </c>
      <c r="U1592" s="1">
        <f t="shared" si="224"/>
        <v>206.86442948788712</v>
      </c>
    </row>
    <row r="1593" spans="1:21" x14ac:dyDescent="0.3">
      <c r="A1593" s="2">
        <v>42487</v>
      </c>
      <c r="B1593" s="1">
        <v>3944.02</v>
      </c>
      <c r="C1593" s="2">
        <f t="shared" si="216"/>
        <v>42487</v>
      </c>
      <c r="D1593" s="1">
        <f t="shared" si="217"/>
        <v>3944.02</v>
      </c>
      <c r="E1593" s="4">
        <f t="shared" si="218"/>
        <v>3808.9252000000001</v>
      </c>
      <c r="F1593" s="3">
        <f t="shared" si="219"/>
        <v>1.0354679582576207</v>
      </c>
      <c r="G1593" s="18">
        <f t="shared" si="220"/>
        <v>1</v>
      </c>
      <c r="H1593" s="3">
        <f t="shared" si="221"/>
        <v>1.7245627001725161E-3</v>
      </c>
      <c r="I1593" s="3">
        <f t="shared" si="222"/>
        <v>1.7245627001725161E-3</v>
      </c>
      <c r="K1593" s="12" t="str">
        <f>IF(AND(G1593=1,G1592&lt;&gt;1),MAX($K$50:K1592)+1,"")</f>
        <v/>
      </c>
      <c r="L1593" s="13" t="str">
        <f>IF(AND(G1593&lt;&gt;1,G1592=1),MAX($L$50:L1592)+1,"")</f>
        <v/>
      </c>
      <c r="M1593" s="13" t="str">
        <f>IF(AND(G1593=-1,G1592&lt;&gt;-1),MAX($M$50:M1592)+1,"")</f>
        <v/>
      </c>
      <c r="N1593" s="13" t="str">
        <f>IF(AND(G1593&lt;&gt;-1,G1592=-1),MAX($N$50:N1592)+1,"")</f>
        <v/>
      </c>
      <c r="T1593" s="7">
        <f t="shared" si="223"/>
        <v>116.23793634183531</v>
      </c>
      <c r="U1593" s="1">
        <f t="shared" si="224"/>
        <v>207.22118016697439</v>
      </c>
    </row>
    <row r="1594" spans="1:21" x14ac:dyDescent="0.3">
      <c r="A1594" s="2">
        <v>42488</v>
      </c>
      <c r="B1594" s="1">
        <v>3907.88</v>
      </c>
      <c r="C1594" s="2">
        <f t="shared" si="216"/>
        <v>42488</v>
      </c>
      <c r="D1594" s="1">
        <f t="shared" si="217"/>
        <v>3907.88</v>
      </c>
      <c r="E1594" s="4">
        <f t="shared" si="218"/>
        <v>3814.7996000000003</v>
      </c>
      <c r="F1594" s="3">
        <f t="shared" si="219"/>
        <v>1.02439981381984</v>
      </c>
      <c r="G1594" s="18">
        <f t="shared" si="220"/>
        <v>1</v>
      </c>
      <c r="H1594" s="3">
        <f t="shared" si="221"/>
        <v>-9.1632395373247855E-3</v>
      </c>
      <c r="I1594" s="3">
        <f t="shared" si="222"/>
        <v>-9.1632395373247855E-3</v>
      </c>
      <c r="K1594" s="12" t="str">
        <f>IF(AND(G1594=1,G1593&lt;&gt;1),MAX($K$50:K1593)+1,"")</f>
        <v/>
      </c>
      <c r="L1594" s="13" t="str">
        <f>IF(AND(G1594&lt;&gt;1,G1593=1),MAX($L$50:L1593)+1,"")</f>
        <v/>
      </c>
      <c r="M1594" s="13" t="str">
        <f>IF(AND(G1594=-1,G1593&lt;&gt;-1),MAX($M$50:M1593)+1,"")</f>
        <v/>
      </c>
      <c r="N1594" s="13" t="str">
        <f>IF(AND(G1594&lt;&gt;-1,G1593=-1),MAX($N$50:N1593)+1,"")</f>
        <v/>
      </c>
      <c r="T1594" s="7">
        <f t="shared" si="223"/>
        <v>115.17282028781077</v>
      </c>
      <c r="U1594" s="1">
        <f t="shared" si="224"/>
        <v>205.32236285589727</v>
      </c>
    </row>
    <row r="1595" spans="1:21" x14ac:dyDescent="0.3">
      <c r="A1595" s="2">
        <v>42489</v>
      </c>
      <c r="B1595" s="1">
        <v>3888.13</v>
      </c>
      <c r="C1595" s="2">
        <f t="shared" si="216"/>
        <v>42489</v>
      </c>
      <c r="D1595" s="1">
        <f t="shared" si="217"/>
        <v>3888.13</v>
      </c>
      <c r="E1595" s="4">
        <f t="shared" si="218"/>
        <v>3820.6124</v>
      </c>
      <c r="F1595" s="3">
        <f t="shared" si="219"/>
        <v>1.0176719313374998</v>
      </c>
      <c r="G1595" s="18">
        <f t="shared" si="220"/>
        <v>1</v>
      </c>
      <c r="H1595" s="3">
        <f t="shared" si="221"/>
        <v>-5.0538911123166885E-3</v>
      </c>
      <c r="I1595" s="3">
        <f t="shared" si="222"/>
        <v>-5.0538911123166885E-3</v>
      </c>
      <c r="K1595" s="12" t="str">
        <f>IF(AND(G1595=1,G1594&lt;&gt;1),MAX($K$50:K1594)+1,"")</f>
        <v/>
      </c>
      <c r="L1595" s="13" t="str">
        <f>IF(AND(G1595&lt;&gt;1,G1594=1),MAX($L$50:L1594)+1,"")</f>
        <v/>
      </c>
      <c r="M1595" s="13" t="str">
        <f>IF(AND(G1595=-1,G1594&lt;&gt;-1),MAX($M$50:M1594)+1,"")</f>
        <v/>
      </c>
      <c r="N1595" s="13" t="str">
        <f>IF(AND(G1595&lt;&gt;-1,G1594=-1),MAX($N$50:N1594)+1,"")</f>
        <v/>
      </c>
      <c r="T1595" s="7">
        <f t="shared" si="223"/>
        <v>114.59074939497775</v>
      </c>
      <c r="U1595" s="1">
        <f t="shared" si="224"/>
        <v>204.28468599109999</v>
      </c>
    </row>
    <row r="1596" spans="1:21" x14ac:dyDescent="0.3">
      <c r="A1596" s="2">
        <v>42492</v>
      </c>
      <c r="B1596" s="1">
        <v>3918.53</v>
      </c>
      <c r="C1596" s="2">
        <f t="shared" si="216"/>
        <v>42492</v>
      </c>
      <c r="D1596" s="1">
        <f t="shared" si="217"/>
        <v>3918.53</v>
      </c>
      <c r="E1596" s="4">
        <f t="shared" si="218"/>
        <v>3827.0246000000002</v>
      </c>
      <c r="F1596" s="3">
        <f t="shared" si="219"/>
        <v>1.0239103244855023</v>
      </c>
      <c r="G1596" s="18">
        <f t="shared" si="220"/>
        <v>1</v>
      </c>
      <c r="H1596" s="3">
        <f t="shared" si="221"/>
        <v>7.8186686144754436E-3</v>
      </c>
      <c r="I1596" s="3">
        <f t="shared" si="222"/>
        <v>7.8186686144754436E-3</v>
      </c>
      <c r="K1596" s="12" t="str">
        <f>IF(AND(G1596=1,G1595&lt;&gt;1),MAX($K$50:K1595)+1,"")</f>
        <v/>
      </c>
      <c r="L1596" s="13" t="str">
        <f>IF(AND(G1596&lt;&gt;1,G1595=1),MAX($L$50:L1595)+1,"")</f>
        <v/>
      </c>
      <c r="M1596" s="13" t="str">
        <f>IF(AND(G1596=-1,G1595&lt;&gt;-1),MAX($M$50:M1595)+1,"")</f>
        <v/>
      </c>
      <c r="N1596" s="13" t="str">
        <f>IF(AND(G1596&lt;&gt;-1,G1595=-1),MAX($N$50:N1595)+1,"")</f>
        <v/>
      </c>
      <c r="T1596" s="7">
        <f t="shared" si="223"/>
        <v>115.48669649078148</v>
      </c>
      <c r="U1596" s="1">
        <f t="shared" si="224"/>
        <v>205.88192025387656</v>
      </c>
    </row>
    <row r="1597" spans="1:21" x14ac:dyDescent="0.3">
      <c r="A1597" s="2">
        <v>42493</v>
      </c>
      <c r="B1597" s="1">
        <v>3884.63</v>
      </c>
      <c r="C1597" s="2">
        <f t="shared" si="216"/>
        <v>42493</v>
      </c>
      <c r="D1597" s="1">
        <f t="shared" si="217"/>
        <v>3884.63</v>
      </c>
      <c r="E1597" s="4">
        <f t="shared" si="218"/>
        <v>3831.7188000000001</v>
      </c>
      <c r="F1597" s="3">
        <f t="shared" si="219"/>
        <v>1.0138087377393143</v>
      </c>
      <c r="G1597" s="18">
        <f t="shared" si="220"/>
        <v>1</v>
      </c>
      <c r="H1597" s="3">
        <f t="shared" si="221"/>
        <v>-8.6512033849428516E-3</v>
      </c>
      <c r="I1597" s="3">
        <f t="shared" si="222"/>
        <v>-8.6512033849428516E-3</v>
      </c>
      <c r="K1597" s="12" t="str">
        <f>IF(AND(G1597=1,G1596&lt;&gt;1),MAX($K$50:K1596)+1,"")</f>
        <v/>
      </c>
      <c r="L1597" s="13" t="str">
        <f>IF(AND(G1597&lt;&gt;1,G1596=1),MAX($L$50:L1596)+1,"")</f>
        <v/>
      </c>
      <c r="M1597" s="13" t="str">
        <f>IF(AND(G1597=-1,G1596&lt;&gt;-1),MAX($M$50:M1596)+1,"")</f>
        <v/>
      </c>
      <c r="N1597" s="13" t="str">
        <f>IF(AND(G1597&lt;&gt;-1,G1596=-1),MAX($N$50:N1596)+1,"")</f>
        <v/>
      </c>
      <c r="T1597" s="7">
        <f t="shared" si="223"/>
        <v>114.48759759118457</v>
      </c>
      <c r="U1597" s="1">
        <f t="shared" si="224"/>
        <v>204.10079388847771</v>
      </c>
    </row>
    <row r="1598" spans="1:21" x14ac:dyDescent="0.3">
      <c r="A1598" s="2">
        <v>42494</v>
      </c>
      <c r="B1598" s="1">
        <v>3862.4</v>
      </c>
      <c r="C1598" s="2">
        <f t="shared" si="216"/>
        <v>42494</v>
      </c>
      <c r="D1598" s="1">
        <f t="shared" si="217"/>
        <v>3862.4</v>
      </c>
      <c r="E1598" s="4">
        <f t="shared" si="218"/>
        <v>3836.8732</v>
      </c>
      <c r="F1598" s="3">
        <f t="shared" si="219"/>
        <v>1.0066530215280505</v>
      </c>
      <c r="G1598" s="18">
        <f t="shared" si="220"/>
        <v>1</v>
      </c>
      <c r="H1598" s="3">
        <f t="shared" si="221"/>
        <v>-5.722552727029373E-3</v>
      </c>
      <c r="I1598" s="3">
        <f t="shared" si="222"/>
        <v>-5.722552727029373E-3</v>
      </c>
      <c r="K1598" s="12" t="str">
        <f>IF(AND(G1598=1,G1597&lt;&gt;1),MAX($K$50:K1597)+1,"")</f>
        <v/>
      </c>
      <c r="L1598" s="13" t="str">
        <f>IF(AND(G1598&lt;&gt;1,G1597=1),MAX($L$50:L1597)+1,"")</f>
        <v/>
      </c>
      <c r="M1598" s="13" t="str">
        <f>IF(AND(G1598=-1,G1597&lt;&gt;-1),MAX($M$50:M1597)+1,"")</f>
        <v/>
      </c>
      <c r="N1598" s="13" t="str">
        <f>IF(AND(G1598&lt;&gt;-1,G1597=-1),MAX($N$50:N1597)+1,"")</f>
        <v/>
      </c>
      <c r="T1598" s="7">
        <f t="shared" si="223"/>
        <v>113.83243627737809</v>
      </c>
      <c r="U1598" s="1">
        <f t="shared" si="224"/>
        <v>202.93281633382236</v>
      </c>
    </row>
    <row r="1599" spans="1:21" x14ac:dyDescent="0.3">
      <c r="A1599" s="2">
        <v>42495</v>
      </c>
      <c r="B1599" s="1">
        <v>3862.4</v>
      </c>
      <c r="C1599" s="2">
        <f t="shared" si="216"/>
        <v>42495</v>
      </c>
      <c r="D1599" s="1">
        <f t="shared" si="217"/>
        <v>3862.4</v>
      </c>
      <c r="E1599" s="4">
        <f t="shared" si="218"/>
        <v>3841.7038000000002</v>
      </c>
      <c r="F1599" s="3">
        <f t="shared" si="219"/>
        <v>1.0053872451072359</v>
      </c>
      <c r="G1599" s="18">
        <f t="shared" si="220"/>
        <v>1</v>
      </c>
      <c r="H1599" s="3">
        <f t="shared" si="221"/>
        <v>0</v>
      </c>
      <c r="I1599" s="3">
        <f t="shared" si="222"/>
        <v>0</v>
      </c>
      <c r="K1599" s="12" t="str">
        <f>IF(AND(G1599=1,G1598&lt;&gt;1),MAX($K$50:K1598)+1,"")</f>
        <v/>
      </c>
      <c r="L1599" s="13" t="str">
        <f>IF(AND(G1599&lt;&gt;1,G1598=1),MAX($L$50:L1598)+1,"")</f>
        <v/>
      </c>
      <c r="M1599" s="13" t="str">
        <f>IF(AND(G1599=-1,G1598&lt;&gt;-1),MAX($M$50:M1598)+1,"")</f>
        <v/>
      </c>
      <c r="N1599" s="13" t="str">
        <f>IF(AND(G1599&lt;&gt;-1,G1598=-1),MAX($N$50:N1598)+1,"")</f>
        <v/>
      </c>
      <c r="T1599" s="7">
        <f t="shared" si="223"/>
        <v>113.83243627737809</v>
      </c>
      <c r="U1599" s="1">
        <f t="shared" si="224"/>
        <v>202.93281633382236</v>
      </c>
    </row>
    <row r="1600" spans="1:21" x14ac:dyDescent="0.3">
      <c r="A1600" s="2">
        <v>42496</v>
      </c>
      <c r="B1600" s="1">
        <v>3875.18</v>
      </c>
      <c r="C1600" s="2">
        <f t="shared" si="216"/>
        <v>42496</v>
      </c>
      <c r="D1600" s="1">
        <f t="shared" si="217"/>
        <v>3875.18</v>
      </c>
      <c r="E1600" s="4">
        <f t="shared" si="218"/>
        <v>3845.9505999999992</v>
      </c>
      <c r="F1600" s="3">
        <f t="shared" si="219"/>
        <v>1.0076000456168108</v>
      </c>
      <c r="G1600" s="18">
        <f t="shared" si="220"/>
        <v>1</v>
      </c>
      <c r="H1600" s="3">
        <f t="shared" si="221"/>
        <v>3.3088235294116419E-3</v>
      </c>
      <c r="I1600" s="3">
        <f t="shared" si="222"/>
        <v>3.3088235294116419E-3</v>
      </c>
      <c r="K1600" s="12" t="str">
        <f>IF(AND(G1600=1,G1599&lt;&gt;1),MAX($K$50:K1599)+1,"")</f>
        <v/>
      </c>
      <c r="L1600" s="13" t="str">
        <f>IF(AND(G1600&lt;&gt;1,G1599=1),MAX($L$50:L1599)+1,"")</f>
        <v/>
      </c>
      <c r="M1600" s="13" t="str">
        <f>IF(AND(G1600=-1,G1599&lt;&gt;-1),MAX($M$50:M1599)+1,"")</f>
        <v/>
      </c>
      <c r="N1600" s="13" t="str">
        <f>IF(AND(G1600&lt;&gt;-1,G1599=-1),MAX($N$50:N1599)+1,"")</f>
        <v/>
      </c>
      <c r="T1600" s="7">
        <f t="shared" si="223"/>
        <v>114.20908772094293</v>
      </c>
      <c r="U1600" s="1">
        <f t="shared" si="224"/>
        <v>203.6042852113975</v>
      </c>
    </row>
    <row r="1601" spans="1:21" x14ac:dyDescent="0.3">
      <c r="A1601" s="2">
        <v>42499</v>
      </c>
      <c r="B1601" s="1">
        <v>3878.14</v>
      </c>
      <c r="C1601" s="2">
        <f t="shared" si="216"/>
        <v>42499</v>
      </c>
      <c r="D1601" s="1">
        <f t="shared" si="217"/>
        <v>3878.14</v>
      </c>
      <c r="E1601" s="4">
        <f t="shared" si="218"/>
        <v>3850.3849999999993</v>
      </c>
      <c r="F1601" s="3">
        <f t="shared" si="219"/>
        <v>1.0072083700720837</v>
      </c>
      <c r="G1601" s="18">
        <f t="shared" si="220"/>
        <v>1</v>
      </c>
      <c r="H1601" s="3">
        <f t="shared" si="221"/>
        <v>7.6383548635150511E-4</v>
      </c>
      <c r="I1601" s="3">
        <f t="shared" si="222"/>
        <v>7.6383548635150511E-4</v>
      </c>
      <c r="K1601" s="12" t="str">
        <f>IF(AND(G1601=1,G1600&lt;&gt;1),MAX($K$50:K1600)+1,"")</f>
        <v/>
      </c>
      <c r="L1601" s="13" t="str">
        <f>IF(AND(G1601&lt;&gt;1,G1600=1),MAX($L$50:L1600)+1,"")</f>
        <v/>
      </c>
      <c r="M1601" s="13" t="str">
        <f>IF(AND(G1601=-1,G1600&lt;&gt;-1),MAX($M$50:M1600)+1,"")</f>
        <v/>
      </c>
      <c r="N1601" s="13" t="str">
        <f>IF(AND(G1601&lt;&gt;-1,G1600=-1),MAX($N$50:N1600)+1,"")</f>
        <v/>
      </c>
      <c r="T1601" s="7">
        <f t="shared" si="223"/>
        <v>114.29632467500802</v>
      </c>
      <c r="U1601" s="1">
        <f t="shared" si="224"/>
        <v>203.75980538961522</v>
      </c>
    </row>
    <row r="1602" spans="1:21" x14ac:dyDescent="0.3">
      <c r="A1602" s="2">
        <v>42500</v>
      </c>
      <c r="B1602" s="1">
        <v>3926.63</v>
      </c>
      <c r="C1602" s="2">
        <f t="shared" si="216"/>
        <v>42500</v>
      </c>
      <c r="D1602" s="1">
        <f t="shared" si="217"/>
        <v>3926.63</v>
      </c>
      <c r="E1602" s="4">
        <f t="shared" si="218"/>
        <v>3856.3764000000001</v>
      </c>
      <c r="F1602" s="3">
        <f t="shared" si="219"/>
        <v>1.0182175163192058</v>
      </c>
      <c r="G1602" s="18">
        <f t="shared" si="220"/>
        <v>1</v>
      </c>
      <c r="H1602" s="3">
        <f t="shared" si="221"/>
        <v>1.250341658630183E-2</v>
      </c>
      <c r="I1602" s="3">
        <f t="shared" si="222"/>
        <v>1.250341658630183E-2</v>
      </c>
      <c r="K1602" s="12" t="str">
        <f>IF(AND(G1602=1,G1601&lt;&gt;1),MAX($K$50:K1601)+1,"")</f>
        <v/>
      </c>
      <c r="L1602" s="13" t="str">
        <f>IF(AND(G1602&lt;&gt;1,G1601=1),MAX($L$50:L1601)+1,"")</f>
        <v/>
      </c>
      <c r="M1602" s="13" t="str">
        <f>IF(AND(G1602=-1,G1601&lt;&gt;-1),MAX($M$50:M1601)+1,"")</f>
        <v/>
      </c>
      <c r="N1602" s="13" t="str">
        <f>IF(AND(G1602&lt;&gt;-1,G1601=-1),MAX($N$50:N1601)+1,"")</f>
        <v/>
      </c>
      <c r="T1602" s="7">
        <f t="shared" si="223"/>
        <v>115.72541923670286</v>
      </c>
      <c r="U1602" s="1">
        <f t="shared" si="224"/>
        <v>206.30749911994533</v>
      </c>
    </row>
    <row r="1603" spans="1:21" x14ac:dyDescent="0.3">
      <c r="A1603" s="2">
        <v>42501</v>
      </c>
      <c r="B1603" s="1">
        <v>3891.13</v>
      </c>
      <c r="C1603" s="2">
        <f t="shared" si="216"/>
        <v>42501</v>
      </c>
      <c r="D1603" s="1">
        <f t="shared" si="217"/>
        <v>3891.13</v>
      </c>
      <c r="E1603" s="4">
        <f t="shared" si="218"/>
        <v>3859.9250000000002</v>
      </c>
      <c r="F1603" s="3">
        <f t="shared" si="219"/>
        <v>1.0080843539706081</v>
      </c>
      <c r="G1603" s="18">
        <f t="shared" si="220"/>
        <v>1</v>
      </c>
      <c r="H1603" s="3">
        <f t="shared" si="221"/>
        <v>-9.040831450887965E-3</v>
      </c>
      <c r="I1603" s="3">
        <f t="shared" si="222"/>
        <v>-9.040831450887965E-3</v>
      </c>
      <c r="K1603" s="12" t="str">
        <f>IF(AND(G1603=1,G1602&lt;&gt;1),MAX($K$50:K1602)+1,"")</f>
        <v/>
      </c>
      <c r="L1603" s="13" t="str">
        <f>IF(AND(G1603&lt;&gt;1,G1602=1),MAX($L$50:L1602)+1,"")</f>
        <v/>
      </c>
      <c r="M1603" s="13" t="str">
        <f>IF(AND(G1603=-1,G1602&lt;&gt;-1),MAX($M$50:M1602)+1,"")</f>
        <v/>
      </c>
      <c r="N1603" s="13" t="str">
        <f>IF(AND(G1603&lt;&gt;-1,G1602=-1),MAX($N$50:N1602)+1,"")</f>
        <v/>
      </c>
      <c r="T1603" s="7">
        <f t="shared" si="223"/>
        <v>114.67916522680048</v>
      </c>
      <c r="U1603" s="1">
        <f t="shared" si="224"/>
        <v>204.44230779334771</v>
      </c>
    </row>
    <row r="1604" spans="1:21" x14ac:dyDescent="0.3">
      <c r="A1604" s="2">
        <v>42502</v>
      </c>
      <c r="B1604" s="1">
        <v>3890.85</v>
      </c>
      <c r="C1604" s="2">
        <f t="shared" si="216"/>
        <v>42502</v>
      </c>
      <c r="D1604" s="1">
        <f t="shared" si="217"/>
        <v>3890.85</v>
      </c>
      <c r="E1604" s="4">
        <f t="shared" si="218"/>
        <v>3863.1502</v>
      </c>
      <c r="F1604" s="3">
        <f t="shared" si="219"/>
        <v>1.0071702622383152</v>
      </c>
      <c r="G1604" s="18">
        <f t="shared" si="220"/>
        <v>1</v>
      </c>
      <c r="H1604" s="3">
        <f t="shared" si="221"/>
        <v>-7.1958531326465902E-5</v>
      </c>
      <c r="I1604" s="3">
        <f t="shared" si="222"/>
        <v>-7.1958531326465902E-5</v>
      </c>
      <c r="K1604" s="12" t="str">
        <f>IF(AND(G1604=1,G1603&lt;&gt;1),MAX($K$50:K1603)+1,"")</f>
        <v/>
      </c>
      <c r="L1604" s="13" t="str">
        <f>IF(AND(G1604&lt;&gt;1,G1603=1),MAX($L$50:L1603)+1,"")</f>
        <v/>
      </c>
      <c r="M1604" s="13" t="str">
        <f>IF(AND(G1604=-1,G1603&lt;&gt;-1),MAX($M$50:M1603)+1,"")</f>
        <v/>
      </c>
      <c r="N1604" s="13" t="str">
        <f>IF(AND(G1604&lt;&gt;-1,G1603=-1),MAX($N$50:N1603)+1,"")</f>
        <v/>
      </c>
      <c r="T1604" s="7">
        <f t="shared" si="223"/>
        <v>114.67091308249701</v>
      </c>
      <c r="U1604" s="1">
        <f t="shared" si="224"/>
        <v>204.42759642513792</v>
      </c>
    </row>
    <row r="1605" spans="1:21" x14ac:dyDescent="0.3">
      <c r="A1605" s="2">
        <v>42503</v>
      </c>
      <c r="B1605" s="1">
        <v>3858.17</v>
      </c>
      <c r="C1605" s="2">
        <f t="shared" si="216"/>
        <v>42503</v>
      </c>
      <c r="D1605" s="1">
        <f t="shared" si="217"/>
        <v>3858.17</v>
      </c>
      <c r="E1605" s="4">
        <f t="shared" si="218"/>
        <v>3865.4532000000008</v>
      </c>
      <c r="F1605" s="3">
        <f t="shared" si="219"/>
        <v>0.9981158224862221</v>
      </c>
      <c r="G1605" s="18">
        <f t="shared" si="220"/>
        <v>1</v>
      </c>
      <c r="H1605" s="3">
        <f t="shared" si="221"/>
        <v>-8.3991929783979735E-3</v>
      </c>
      <c r="I1605" s="3">
        <f t="shared" si="222"/>
        <v>-8.3991929783979735E-3</v>
      </c>
      <c r="K1605" s="12" t="str">
        <f>IF(AND(G1605=1,G1604&lt;&gt;1),MAX($K$50:K1604)+1,"")</f>
        <v/>
      </c>
      <c r="L1605" s="13" t="str">
        <f>IF(AND(G1605&lt;&gt;1,G1604=1),MAX($L$50:L1604)+1,"")</f>
        <v/>
      </c>
      <c r="M1605" s="13" t="str">
        <f>IF(AND(G1605=-1,G1604&lt;&gt;-1),MAX($M$50:M1604)+1,"")</f>
        <v/>
      </c>
      <c r="N1605" s="13" t="str">
        <f>IF(AND(G1605&lt;&gt;-1,G1604=-1),MAX($N$50:N1604)+1,"")</f>
        <v/>
      </c>
      <c r="T1605" s="7">
        <f t="shared" si="223"/>
        <v>113.70776995450801</v>
      </c>
      <c r="U1605" s="1">
        <f t="shared" si="224"/>
        <v>202.71056959265312</v>
      </c>
    </row>
    <row r="1606" spans="1:21" x14ac:dyDescent="0.3">
      <c r="A1606" s="2">
        <v>42506</v>
      </c>
      <c r="B1606" s="1">
        <v>3896.36</v>
      </c>
      <c r="C1606" s="2">
        <f t="shared" si="216"/>
        <v>42506</v>
      </c>
      <c r="D1606" s="1">
        <f t="shared" si="217"/>
        <v>3896.36</v>
      </c>
      <c r="E1606" s="4">
        <f t="shared" si="218"/>
        <v>3868.2710000000002</v>
      </c>
      <c r="F1606" s="3">
        <f t="shared" si="219"/>
        <v>1.0072613837034685</v>
      </c>
      <c r="G1606" s="18">
        <f t="shared" si="220"/>
        <v>1</v>
      </c>
      <c r="H1606" s="3">
        <f t="shared" si="221"/>
        <v>9.8984751838306906E-3</v>
      </c>
      <c r="I1606" s="3">
        <f t="shared" si="222"/>
        <v>9.8984751838306906E-3</v>
      </c>
      <c r="K1606" s="12" t="str">
        <f>IF(AND(G1606=1,G1605&lt;&gt;1),MAX($K$50:K1605)+1,"")</f>
        <v/>
      </c>
      <c r="L1606" s="13" t="str">
        <f>IF(AND(G1606&lt;&gt;1,G1605=1),MAX($L$50:L1605)+1,"")</f>
        <v/>
      </c>
      <c r="M1606" s="13" t="str">
        <f>IF(AND(G1606=-1,G1605&lt;&gt;-1),MAX($M$50:M1605)+1,"")</f>
        <v/>
      </c>
      <c r="N1606" s="13" t="str">
        <f>IF(AND(G1606&lt;&gt;-1,G1605=-1),MAX($N$50:N1605)+1,"")</f>
        <v/>
      </c>
      <c r="T1606" s="7">
        <f t="shared" si="223"/>
        <v>114.83330349361144</v>
      </c>
      <c r="U1606" s="1">
        <f t="shared" si="224"/>
        <v>204.71709513526616</v>
      </c>
    </row>
    <row r="1607" spans="1:21" x14ac:dyDescent="0.3">
      <c r="A1607" s="2">
        <v>42507</v>
      </c>
      <c r="B1607" s="1">
        <v>3860.88</v>
      </c>
      <c r="C1607" s="2">
        <f t="shared" si="216"/>
        <v>42507</v>
      </c>
      <c r="D1607" s="1">
        <f t="shared" si="217"/>
        <v>3860.88</v>
      </c>
      <c r="E1607" s="4">
        <f t="shared" si="218"/>
        <v>3870.3076000000005</v>
      </c>
      <c r="F1607" s="3">
        <f t="shared" si="219"/>
        <v>0.9975641212600258</v>
      </c>
      <c r="G1607" s="18">
        <f t="shared" si="220"/>
        <v>1</v>
      </c>
      <c r="H1607" s="3">
        <f t="shared" si="221"/>
        <v>-9.1059347698877469E-3</v>
      </c>
      <c r="I1607" s="3">
        <f t="shared" si="222"/>
        <v>-9.1059347698877469E-3</v>
      </c>
      <c r="K1607" s="12" t="str">
        <f>IF(AND(G1607=1,G1606&lt;&gt;1),MAX($K$50:K1606)+1,"")</f>
        <v/>
      </c>
      <c r="L1607" s="13" t="str">
        <f>IF(AND(G1607&lt;&gt;1,G1606=1),MAX($L$50:L1606)+1,"")</f>
        <v/>
      </c>
      <c r="M1607" s="13" t="str">
        <f>IF(AND(G1607=-1,G1606&lt;&gt;-1),MAX($M$50:M1606)+1,"")</f>
        <v/>
      </c>
      <c r="N1607" s="13" t="str">
        <f>IF(AND(G1607&lt;&gt;-1,G1606=-1),MAX($N$50:N1606)+1,"")</f>
        <v/>
      </c>
      <c r="T1607" s="7">
        <f t="shared" si="223"/>
        <v>113.78763892258789</v>
      </c>
      <c r="U1607" s="1">
        <f t="shared" si="224"/>
        <v>202.85295462068351</v>
      </c>
    </row>
    <row r="1608" spans="1:21" x14ac:dyDescent="0.3">
      <c r="A1608" s="2">
        <v>42508</v>
      </c>
      <c r="B1608" s="1">
        <v>3862.25</v>
      </c>
      <c r="C1608" s="2">
        <f t="shared" si="216"/>
        <v>42508</v>
      </c>
      <c r="D1608" s="1">
        <f t="shared" si="217"/>
        <v>3862.25</v>
      </c>
      <c r="E1608" s="4">
        <f t="shared" si="218"/>
        <v>3873.2028000000005</v>
      </c>
      <c r="F1608" s="3">
        <f t="shared" si="219"/>
        <v>0.99717215943353121</v>
      </c>
      <c r="G1608" s="18">
        <f t="shared" si="220"/>
        <v>1</v>
      </c>
      <c r="H1608" s="3">
        <f t="shared" si="221"/>
        <v>3.5484138331165482E-4</v>
      </c>
      <c r="I1608" s="3">
        <f t="shared" si="222"/>
        <v>3.5484138331165482E-4</v>
      </c>
      <c r="K1608" s="12" t="str">
        <f>IF(AND(G1608=1,G1607&lt;&gt;1),MAX($K$50:K1607)+1,"")</f>
        <v/>
      </c>
      <c r="L1608" s="13" t="str">
        <f>IF(AND(G1608&lt;&gt;1,G1607=1),MAX($L$50:L1607)+1,"")</f>
        <v/>
      </c>
      <c r="M1608" s="13" t="str">
        <f>IF(AND(G1608=-1,G1607&lt;&gt;-1),MAX($M$50:M1607)+1,"")</f>
        <v/>
      </c>
      <c r="N1608" s="13" t="str">
        <f>IF(AND(G1608&lt;&gt;-1,G1607=-1),MAX($N$50:N1607)+1,"")</f>
        <v/>
      </c>
      <c r="T1608" s="7">
        <f t="shared" si="223"/>
        <v>113.82801548578695</v>
      </c>
      <c r="U1608" s="1">
        <f t="shared" si="224"/>
        <v>202.92493524370994</v>
      </c>
    </row>
    <row r="1609" spans="1:21" x14ac:dyDescent="0.3">
      <c r="A1609" s="2">
        <v>42509</v>
      </c>
      <c r="B1609" s="1">
        <v>3847.97</v>
      </c>
      <c r="C1609" s="2">
        <f t="shared" si="216"/>
        <v>42509</v>
      </c>
      <c r="D1609" s="1">
        <f t="shared" si="217"/>
        <v>3847.97</v>
      </c>
      <c r="E1609" s="4">
        <f t="shared" si="218"/>
        <v>3875.4238000000005</v>
      </c>
      <c r="F1609" s="3">
        <f t="shared" si="219"/>
        <v>0.99291592315658461</v>
      </c>
      <c r="G1609" s="18">
        <f t="shared" si="220"/>
        <v>1</v>
      </c>
      <c r="H1609" s="3">
        <f t="shared" si="221"/>
        <v>-3.6973266878115307E-3</v>
      </c>
      <c r="I1609" s="3">
        <f t="shared" si="222"/>
        <v>-3.6973266878115307E-3</v>
      </c>
      <c r="K1609" s="12" t="str">
        <f>IF(AND(G1609=1,G1608&lt;&gt;1),MAX($K$50:K1608)+1,"")</f>
        <v/>
      </c>
      <c r="L1609" s="13" t="str">
        <f>IF(AND(G1609&lt;&gt;1,G1608=1),MAX($L$50:L1608)+1,"")</f>
        <v/>
      </c>
      <c r="M1609" s="13" t="str">
        <f>IF(AND(G1609=-1,G1608&lt;&gt;-1),MAX($M$50:M1608)+1,"")</f>
        <v/>
      </c>
      <c r="N1609" s="13" t="str">
        <f>IF(AND(G1609&lt;&gt;-1,G1608=-1),MAX($N$50:N1608)+1,"")</f>
        <v/>
      </c>
      <c r="T1609" s="7">
        <f t="shared" si="223"/>
        <v>113.40715612631072</v>
      </c>
      <c r="U1609" s="1">
        <f t="shared" si="224"/>
        <v>202.17465546501091</v>
      </c>
    </row>
    <row r="1610" spans="1:21" x14ac:dyDescent="0.3">
      <c r="A1610" s="2">
        <v>42510</v>
      </c>
      <c r="B1610" s="1">
        <v>3871.75</v>
      </c>
      <c r="C1610" s="2">
        <f t="shared" si="216"/>
        <v>42510</v>
      </c>
      <c r="D1610" s="1">
        <f t="shared" si="217"/>
        <v>3871.75</v>
      </c>
      <c r="E1610" s="4">
        <f t="shared" si="218"/>
        <v>3878.1040000000003</v>
      </c>
      <c r="F1610" s="3">
        <f t="shared" si="219"/>
        <v>0.99836157049939855</v>
      </c>
      <c r="G1610" s="18">
        <f t="shared" si="220"/>
        <v>1</v>
      </c>
      <c r="H1610" s="3">
        <f t="shared" si="221"/>
        <v>6.1798818597857963E-3</v>
      </c>
      <c r="I1610" s="3">
        <f t="shared" si="222"/>
        <v>6.1798818597857963E-3</v>
      </c>
      <c r="K1610" s="12" t="str">
        <f>IF(AND(G1610=1,G1609&lt;&gt;1),MAX($K$50:K1609)+1,"")</f>
        <v/>
      </c>
      <c r="L1610" s="13" t="str">
        <f>IF(AND(G1610&lt;&gt;1,G1609=1),MAX($L$50:L1609)+1,"")</f>
        <v/>
      </c>
      <c r="M1610" s="13" t="str">
        <f>IF(AND(G1610=-1,G1609&lt;&gt;-1),MAX($M$50:M1609)+1,"")</f>
        <v/>
      </c>
      <c r="N1610" s="13" t="str">
        <f>IF(AND(G1610&lt;&gt;-1,G1609=-1),MAX($N$50:N1609)+1,"")</f>
        <v/>
      </c>
      <c r="T1610" s="7">
        <f t="shared" si="223"/>
        <v>114.1079989532256</v>
      </c>
      <c r="U1610" s="1">
        <f t="shared" si="224"/>
        <v>203.4240709508276</v>
      </c>
    </row>
    <row r="1611" spans="1:21" x14ac:dyDescent="0.3">
      <c r="A1611" s="2">
        <v>42513</v>
      </c>
      <c r="B1611" s="1">
        <v>3863.82</v>
      </c>
      <c r="C1611" s="2">
        <f t="shared" si="216"/>
        <v>42513</v>
      </c>
      <c r="D1611" s="1">
        <f t="shared" si="217"/>
        <v>3863.82</v>
      </c>
      <c r="E1611" s="4">
        <f t="shared" si="218"/>
        <v>3879.3790000000008</v>
      </c>
      <c r="F1611" s="3">
        <f t="shared" si="219"/>
        <v>0.995989306535917</v>
      </c>
      <c r="G1611" s="18">
        <f t="shared" si="220"/>
        <v>1</v>
      </c>
      <c r="H1611" s="3">
        <f t="shared" si="221"/>
        <v>-2.0481694324271382E-3</v>
      </c>
      <c r="I1611" s="3">
        <f t="shared" si="222"/>
        <v>-2.0481694324271382E-3</v>
      </c>
      <c r="K1611" s="12" t="str">
        <f>IF(AND(G1611=1,G1610&lt;&gt;1),MAX($K$50:K1610)+1,"")</f>
        <v/>
      </c>
      <c r="L1611" s="13" t="str">
        <f>IF(AND(G1611&lt;&gt;1,G1610=1),MAX($L$50:L1610)+1,"")</f>
        <v/>
      </c>
      <c r="M1611" s="13" t="str">
        <f>IF(AND(G1611=-1,G1610&lt;&gt;-1),MAX($M$50:M1610)+1,"")</f>
        <v/>
      </c>
      <c r="N1611" s="13" t="str">
        <f>IF(AND(G1611&lt;&gt;-1,G1610=-1),MAX($N$50:N1610)+1,"")</f>
        <v/>
      </c>
      <c r="T1611" s="7">
        <f t="shared" si="223"/>
        <v>113.87428643777417</v>
      </c>
      <c r="U1611" s="1">
        <f t="shared" si="224"/>
        <v>203.00742398688624</v>
      </c>
    </row>
    <row r="1612" spans="1:21" x14ac:dyDescent="0.3">
      <c r="A1612" s="2">
        <v>42514</v>
      </c>
      <c r="B1612" s="1">
        <v>3916.77</v>
      </c>
      <c r="C1612" s="2">
        <f t="shared" si="216"/>
        <v>42514</v>
      </c>
      <c r="D1612" s="1">
        <f t="shared" si="217"/>
        <v>3916.77</v>
      </c>
      <c r="E1612" s="4">
        <f t="shared" si="218"/>
        <v>3881.8038000000006</v>
      </c>
      <c r="F1612" s="3">
        <f t="shared" si="219"/>
        <v>1.0090077195555323</v>
      </c>
      <c r="G1612" s="18">
        <f t="shared" si="220"/>
        <v>1</v>
      </c>
      <c r="H1612" s="3">
        <f t="shared" si="221"/>
        <v>1.3704054536701982E-2</v>
      </c>
      <c r="I1612" s="3">
        <f t="shared" si="222"/>
        <v>1.3704054536701982E-2</v>
      </c>
      <c r="K1612" s="12" t="str">
        <f>IF(AND(G1612=1,G1611&lt;&gt;1),MAX($K$50:K1611)+1,"")</f>
        <v/>
      </c>
      <c r="L1612" s="13" t="str">
        <f>IF(AND(G1612&lt;&gt;1,G1611=1),MAX($L$50:L1611)+1,"")</f>
        <v/>
      </c>
      <c r="M1612" s="13" t="str">
        <f>IF(AND(G1612=-1,G1611&lt;&gt;-1),MAX($M$50:M1611)+1,"")</f>
        <v/>
      </c>
      <c r="N1612" s="13" t="str">
        <f>IF(AND(G1612&lt;&gt;-1,G1611=-1),MAX($N$50:N1611)+1,"")</f>
        <v/>
      </c>
      <c r="T1612" s="7">
        <f t="shared" si="223"/>
        <v>115.43482586944545</v>
      </c>
      <c r="U1612" s="1">
        <f t="shared" si="224"/>
        <v>205.78944879655791</v>
      </c>
    </row>
    <row r="1613" spans="1:21" x14ac:dyDescent="0.3">
      <c r="A1613" s="2">
        <v>42515</v>
      </c>
      <c r="B1613" s="1">
        <v>3944.33</v>
      </c>
      <c r="C1613" s="2">
        <f t="shared" si="216"/>
        <v>42515</v>
      </c>
      <c r="D1613" s="1">
        <f t="shared" si="217"/>
        <v>3944.33</v>
      </c>
      <c r="E1613" s="4">
        <f t="shared" si="218"/>
        <v>3884.9180000000006</v>
      </c>
      <c r="F1613" s="3">
        <f t="shared" si="219"/>
        <v>1.0152929868790022</v>
      </c>
      <c r="G1613" s="18">
        <f t="shared" si="220"/>
        <v>1</v>
      </c>
      <c r="H1613" s="3">
        <f t="shared" si="221"/>
        <v>7.0364101032227566E-3</v>
      </c>
      <c r="I1613" s="3">
        <f t="shared" si="222"/>
        <v>7.0364101032227566E-3</v>
      </c>
      <c r="K1613" s="12" t="str">
        <f>IF(AND(G1613=1,G1612&lt;&gt;1),MAX($K$50:K1612)+1,"")</f>
        <v/>
      </c>
      <c r="L1613" s="13" t="str">
        <f>IF(AND(G1613&lt;&gt;1,G1612=1),MAX($L$50:L1612)+1,"")</f>
        <v/>
      </c>
      <c r="M1613" s="13" t="str">
        <f>IF(AND(G1613=-1,G1612&lt;&gt;-1),MAX($M$50:M1612)+1,"")</f>
        <v/>
      </c>
      <c r="N1613" s="13" t="str">
        <f>IF(AND(G1613&lt;&gt;-1,G1612=-1),MAX($N$50:N1612)+1,"")</f>
        <v/>
      </c>
      <c r="T1613" s="7">
        <f t="shared" si="223"/>
        <v>116.24707264445698</v>
      </c>
      <c r="U1613" s="1">
        <f t="shared" si="224"/>
        <v>207.23746775320666</v>
      </c>
    </row>
    <row r="1614" spans="1:21" x14ac:dyDescent="0.3">
      <c r="A1614" s="2">
        <v>42516</v>
      </c>
      <c r="B1614" s="1">
        <v>3944.05</v>
      </c>
      <c r="C1614" s="2">
        <f t="shared" si="216"/>
        <v>42516</v>
      </c>
      <c r="D1614" s="1">
        <f t="shared" si="217"/>
        <v>3944.05</v>
      </c>
      <c r="E1614" s="4">
        <f t="shared" si="218"/>
        <v>3887.5972000000002</v>
      </c>
      <c r="F1614" s="3">
        <f t="shared" si="219"/>
        <v>1.0145212575006486</v>
      </c>
      <c r="G1614" s="18">
        <f t="shared" si="220"/>
        <v>1</v>
      </c>
      <c r="H1614" s="3">
        <f t="shared" si="221"/>
        <v>-7.0987975144043425E-5</v>
      </c>
      <c r="I1614" s="3">
        <f t="shared" si="222"/>
        <v>-7.0987975144043425E-5</v>
      </c>
      <c r="K1614" s="12" t="str">
        <f>IF(AND(G1614=1,G1613&lt;&gt;1),MAX($K$50:K1613)+1,"")</f>
        <v/>
      </c>
      <c r="L1614" s="13" t="str">
        <f>IF(AND(G1614&lt;&gt;1,G1613=1),MAX($L$50:L1613)+1,"")</f>
        <v/>
      </c>
      <c r="M1614" s="13" t="str">
        <f>IF(AND(G1614=-1,G1613&lt;&gt;-1),MAX($M$50:M1613)+1,"")</f>
        <v/>
      </c>
      <c r="N1614" s="13" t="str">
        <f>IF(AND(G1614&lt;&gt;-1,G1613=-1),MAX($N$50:N1613)+1,"")</f>
        <v/>
      </c>
      <c r="T1614" s="7">
        <f t="shared" si="223"/>
        <v>116.23882050015352</v>
      </c>
      <c r="U1614" s="1">
        <f t="shared" si="224"/>
        <v>207.22275638499687</v>
      </c>
    </row>
    <row r="1615" spans="1:21" x14ac:dyDescent="0.3">
      <c r="A1615" s="2">
        <v>42517</v>
      </c>
      <c r="B1615" s="1">
        <v>3961.67</v>
      </c>
      <c r="C1615" s="2">
        <f t="shared" si="216"/>
        <v>42517</v>
      </c>
      <c r="D1615" s="1">
        <f t="shared" si="217"/>
        <v>3961.67</v>
      </c>
      <c r="E1615" s="4">
        <f t="shared" si="218"/>
        <v>3890.1254000000004</v>
      </c>
      <c r="F1615" s="3">
        <f t="shared" si="219"/>
        <v>1.018391335148219</v>
      </c>
      <c r="G1615" s="18">
        <f t="shared" si="220"/>
        <v>1</v>
      </c>
      <c r="H1615" s="3">
        <f t="shared" si="221"/>
        <v>4.4674890024214431E-3</v>
      </c>
      <c r="I1615" s="3">
        <f t="shared" si="222"/>
        <v>4.4674890024214431E-3</v>
      </c>
      <c r="K1615" s="12" t="str">
        <f>IF(AND(G1615=1,G1614&lt;&gt;1),MAX($K$50:K1614)+1,"")</f>
        <v/>
      </c>
      <c r="L1615" s="13" t="str">
        <f>IF(AND(G1615&lt;&gt;1,G1614=1),MAX($L$50:L1614)+1,"")</f>
        <v/>
      </c>
      <c r="M1615" s="13" t="str">
        <f>IF(AND(G1615=-1,G1614&lt;&gt;-1),MAX($M$50:M1614)+1,"")</f>
        <v/>
      </c>
      <c r="N1615" s="13" t="str">
        <f>IF(AND(G1615&lt;&gt;-1,G1614=-1),MAX($N$50:N1614)+1,"")</f>
        <v/>
      </c>
      <c r="T1615" s="7">
        <f t="shared" si="223"/>
        <v>116.7581161523924</v>
      </c>
      <c r="U1615" s="1">
        <f t="shared" si="224"/>
        <v>208.14852177019827</v>
      </c>
    </row>
    <row r="1616" spans="1:21" x14ac:dyDescent="0.3">
      <c r="A1616" s="2">
        <v>42521</v>
      </c>
      <c r="B1616" s="1">
        <v>3957.95</v>
      </c>
      <c r="C1616" s="2">
        <f t="shared" si="216"/>
        <v>42521</v>
      </c>
      <c r="D1616" s="1">
        <f t="shared" si="217"/>
        <v>3957.95</v>
      </c>
      <c r="E1616" s="4">
        <f t="shared" si="218"/>
        <v>3892.2414000000008</v>
      </c>
      <c r="F1616" s="3">
        <f t="shared" si="219"/>
        <v>1.0168819436533405</v>
      </c>
      <c r="G1616" s="18">
        <f t="shared" si="220"/>
        <v>1</v>
      </c>
      <c r="H1616" s="3">
        <f t="shared" si="221"/>
        <v>-9.3899794783514068E-4</v>
      </c>
      <c r="I1616" s="3">
        <f t="shared" si="222"/>
        <v>-9.3899794783514068E-4</v>
      </c>
      <c r="K1616" s="12" t="str">
        <f>IF(AND(G1616=1,G1615&lt;&gt;1),MAX($K$50:K1615)+1,"")</f>
        <v/>
      </c>
      <c r="L1616" s="13" t="str">
        <f>IF(AND(G1616&lt;&gt;1,G1615=1),MAX($L$50:L1615)+1,"")</f>
        <v/>
      </c>
      <c r="M1616" s="13" t="str">
        <f>IF(AND(G1616=-1,G1615&lt;&gt;-1),MAX($M$50:M1615)+1,"")</f>
        <v/>
      </c>
      <c r="N1616" s="13" t="str">
        <f>IF(AND(G1616&lt;&gt;-1,G1615=-1),MAX($N$50:N1615)+1,"")</f>
        <v/>
      </c>
      <c r="T1616" s="7">
        <f t="shared" si="223"/>
        <v>116.64848052093221</v>
      </c>
      <c r="U1616" s="1">
        <f t="shared" si="224"/>
        <v>207.95307073541113</v>
      </c>
    </row>
    <row r="1617" spans="1:21" x14ac:dyDescent="0.3">
      <c r="A1617" s="2">
        <v>42522</v>
      </c>
      <c r="B1617" s="1">
        <v>3963.1</v>
      </c>
      <c r="C1617" s="2">
        <f t="shared" si="216"/>
        <v>42522</v>
      </c>
      <c r="D1617" s="1">
        <f t="shared" si="217"/>
        <v>3963.1</v>
      </c>
      <c r="E1617" s="4">
        <f t="shared" si="218"/>
        <v>3894.3840000000009</v>
      </c>
      <c r="F1617" s="3">
        <f t="shared" si="219"/>
        <v>1.0176448958294815</v>
      </c>
      <c r="G1617" s="18">
        <f t="shared" si="220"/>
        <v>1</v>
      </c>
      <c r="H1617" s="3">
        <f t="shared" si="221"/>
        <v>1.3011786404577563E-3</v>
      </c>
      <c r="I1617" s="3">
        <f t="shared" si="222"/>
        <v>1.3011786404577563E-3</v>
      </c>
      <c r="K1617" s="12" t="str">
        <f>IF(AND(G1617=1,G1616&lt;&gt;1),MAX($K$50:K1616)+1,"")</f>
        <v/>
      </c>
      <c r="L1617" s="13" t="str">
        <f>IF(AND(G1617&lt;&gt;1,G1616=1),MAX($L$50:L1616)+1,"")</f>
        <v/>
      </c>
      <c r="M1617" s="13" t="str">
        <f>IF(AND(G1617=-1,G1616&lt;&gt;-1),MAX($M$50:M1616)+1,"")</f>
        <v/>
      </c>
      <c r="N1617" s="13" t="str">
        <f>IF(AND(G1617&lt;&gt;-1,G1616=-1),MAX($N$50:N1616)+1,"")</f>
        <v/>
      </c>
      <c r="T1617" s="7">
        <f t="shared" si="223"/>
        <v>116.80026103222789</v>
      </c>
      <c r="U1617" s="1">
        <f t="shared" si="224"/>
        <v>208.22365482926966</v>
      </c>
    </row>
    <row r="1618" spans="1:21" x14ac:dyDescent="0.3">
      <c r="A1618" s="2">
        <v>42523</v>
      </c>
      <c r="B1618" s="1">
        <v>3974.76</v>
      </c>
      <c r="C1618" s="2">
        <f t="shared" si="216"/>
        <v>42523</v>
      </c>
      <c r="D1618" s="1">
        <f t="shared" si="217"/>
        <v>3974.76</v>
      </c>
      <c r="E1618" s="4">
        <f t="shared" si="218"/>
        <v>3896.8156000000004</v>
      </c>
      <c r="F1618" s="3">
        <f t="shared" si="219"/>
        <v>1.0200020755408594</v>
      </c>
      <c r="G1618" s="18">
        <f t="shared" si="220"/>
        <v>1</v>
      </c>
      <c r="H1618" s="3">
        <f t="shared" si="221"/>
        <v>2.9421412530594715E-3</v>
      </c>
      <c r="I1618" s="3">
        <f t="shared" si="222"/>
        <v>2.9421412530594715E-3</v>
      </c>
      <c r="K1618" s="12" t="str">
        <f>IF(AND(G1618=1,G1617&lt;&gt;1),MAX($K$50:K1617)+1,"")</f>
        <v/>
      </c>
      <c r="L1618" s="13" t="str">
        <f>IF(AND(G1618&lt;&gt;1,G1617=1),MAX($L$50:L1617)+1,"")</f>
        <v/>
      </c>
      <c r="M1618" s="13" t="str">
        <f>IF(AND(G1618=-1,G1617&lt;&gt;-1),MAX($M$50:M1617)+1,"")</f>
        <v/>
      </c>
      <c r="N1618" s="13" t="str">
        <f>IF(AND(G1618&lt;&gt;-1,G1617=-1),MAX($N$50:N1617)+1,"")</f>
        <v/>
      </c>
      <c r="T1618" s="7">
        <f t="shared" si="223"/>
        <v>117.14390389857893</v>
      </c>
      <c r="U1618" s="1">
        <f t="shared" si="224"/>
        <v>208.8362782340057</v>
      </c>
    </row>
    <row r="1619" spans="1:21" x14ac:dyDescent="0.3">
      <c r="A1619" s="2">
        <v>42524</v>
      </c>
      <c r="B1619" s="1">
        <v>3963.23</v>
      </c>
      <c r="C1619" s="2">
        <f t="shared" si="216"/>
        <v>42524</v>
      </c>
      <c r="D1619" s="1">
        <f t="shared" si="217"/>
        <v>3963.23</v>
      </c>
      <c r="E1619" s="4">
        <f t="shared" si="218"/>
        <v>3899.5086000000006</v>
      </c>
      <c r="F1619" s="3">
        <f t="shared" si="219"/>
        <v>1.0163408794636328</v>
      </c>
      <c r="G1619" s="18">
        <f t="shared" si="220"/>
        <v>1</v>
      </c>
      <c r="H1619" s="3">
        <f t="shared" si="221"/>
        <v>-2.9008040737050766E-3</v>
      </c>
      <c r="I1619" s="3">
        <f t="shared" si="222"/>
        <v>-2.9008040737050766E-3</v>
      </c>
      <c r="K1619" s="12" t="str">
        <f>IF(AND(G1619=1,G1618&lt;&gt;1),MAX($K$50:K1618)+1,"")</f>
        <v/>
      </c>
      <c r="L1619" s="13" t="str">
        <f>IF(AND(G1619&lt;&gt;1,G1618=1),MAX($L$50:L1618)+1,"")</f>
        <v/>
      </c>
      <c r="M1619" s="13" t="str">
        <f>IF(AND(G1619=-1,G1618&lt;&gt;-1),MAX($M$50:M1618)+1,"")</f>
        <v/>
      </c>
      <c r="N1619" s="13" t="str">
        <f>IF(AND(G1619&lt;&gt;-1,G1618=-1),MAX($N$50:N1618)+1,"")</f>
        <v/>
      </c>
      <c r="T1619" s="7">
        <f t="shared" si="223"/>
        <v>116.80409238494022</v>
      </c>
      <c r="U1619" s="1">
        <f t="shared" si="224"/>
        <v>208.23048510736709</v>
      </c>
    </row>
    <row r="1620" spans="1:21" x14ac:dyDescent="0.3">
      <c r="A1620" s="2">
        <v>42527</v>
      </c>
      <c r="B1620" s="1">
        <v>3982.74</v>
      </c>
      <c r="C1620" s="2">
        <f t="shared" si="216"/>
        <v>42527</v>
      </c>
      <c r="D1620" s="1">
        <f t="shared" si="217"/>
        <v>3982.74</v>
      </c>
      <c r="E1620" s="4">
        <f t="shared" si="218"/>
        <v>3902.6206000000006</v>
      </c>
      <c r="F1620" s="3">
        <f t="shared" si="219"/>
        <v>1.0205296410314646</v>
      </c>
      <c r="G1620" s="18">
        <f t="shared" si="220"/>
        <v>1</v>
      </c>
      <c r="H1620" s="3">
        <f t="shared" si="221"/>
        <v>4.9227524014503476E-3</v>
      </c>
      <c r="I1620" s="3">
        <f t="shared" si="222"/>
        <v>4.9227524014503476E-3</v>
      </c>
      <c r="K1620" s="12" t="str">
        <f>IF(AND(G1620=1,G1619&lt;&gt;1),MAX($K$50:K1619)+1,"")</f>
        <v/>
      </c>
      <c r="L1620" s="13" t="str">
        <f>IF(AND(G1620&lt;&gt;1,G1619=1),MAX($L$50:L1619)+1,"")</f>
        <v/>
      </c>
      <c r="M1620" s="13" t="str">
        <f>IF(AND(G1620=-1,G1619&lt;&gt;-1),MAX($M$50:M1619)+1,"")</f>
        <v/>
      </c>
      <c r="N1620" s="13" t="str">
        <f>IF(AND(G1620&lt;&gt;-1,G1619=-1),MAX($N$50:N1619)+1,"")</f>
        <v/>
      </c>
      <c r="T1620" s="7">
        <f t="shared" si="223"/>
        <v>117.37909001122742</v>
      </c>
      <c r="U1620" s="1">
        <f t="shared" si="224"/>
        <v>209.25555222798451</v>
      </c>
    </row>
    <row r="1621" spans="1:21" x14ac:dyDescent="0.3">
      <c r="A1621" s="2">
        <v>42528</v>
      </c>
      <c r="B1621" s="1">
        <v>3987.96</v>
      </c>
      <c r="C1621" s="2">
        <f t="shared" si="216"/>
        <v>42528</v>
      </c>
      <c r="D1621" s="1">
        <f t="shared" si="217"/>
        <v>3987.96</v>
      </c>
      <c r="E1621" s="4">
        <f t="shared" si="218"/>
        <v>3905.7946000000002</v>
      </c>
      <c r="F1621" s="3">
        <f t="shared" si="219"/>
        <v>1.0210367949200401</v>
      </c>
      <c r="G1621" s="18">
        <f t="shared" si="220"/>
        <v>1</v>
      </c>
      <c r="H1621" s="3">
        <f t="shared" si="221"/>
        <v>1.3106554783892665E-3</v>
      </c>
      <c r="I1621" s="3">
        <f t="shared" si="222"/>
        <v>1.3106554783892665E-3</v>
      </c>
      <c r="K1621" s="12" t="str">
        <f>IF(AND(G1621=1,G1620&lt;&gt;1),MAX($K$50:K1620)+1,"")</f>
        <v/>
      </c>
      <c r="L1621" s="13" t="str">
        <f>IF(AND(G1621&lt;&gt;1,G1620=1),MAX($L$50:L1620)+1,"")</f>
        <v/>
      </c>
      <c r="M1621" s="13" t="str">
        <f>IF(AND(G1621=-1,G1620&lt;&gt;-1),MAX($M$50:M1620)+1,"")</f>
        <v/>
      </c>
      <c r="N1621" s="13" t="str">
        <f>IF(AND(G1621&lt;&gt;-1,G1620=-1),MAX($N$50:N1620)+1,"")</f>
        <v/>
      </c>
      <c r="T1621" s="7">
        <f t="shared" si="223"/>
        <v>117.53293355859898</v>
      </c>
      <c r="U1621" s="1">
        <f t="shared" si="224"/>
        <v>209.52981416389551</v>
      </c>
    </row>
    <row r="1622" spans="1:21" x14ac:dyDescent="0.3">
      <c r="A1622" s="2">
        <v>42529</v>
      </c>
      <c r="B1622" s="1">
        <v>4001.98</v>
      </c>
      <c r="C1622" s="2">
        <f t="shared" si="216"/>
        <v>42529</v>
      </c>
      <c r="D1622" s="1">
        <f t="shared" si="217"/>
        <v>4001.98</v>
      </c>
      <c r="E1622" s="4">
        <f t="shared" si="218"/>
        <v>3908.5582000000009</v>
      </c>
      <c r="F1622" s="3">
        <f t="shared" si="219"/>
        <v>1.0239018572116949</v>
      </c>
      <c r="G1622" s="18">
        <f t="shared" si="220"/>
        <v>1</v>
      </c>
      <c r="H1622" s="3">
        <f t="shared" si="221"/>
        <v>3.5155819015235679E-3</v>
      </c>
      <c r="I1622" s="3">
        <f t="shared" si="222"/>
        <v>3.5155819015235679E-3</v>
      </c>
      <c r="K1622" s="12" t="str">
        <f>IF(AND(G1622=1,G1621&lt;&gt;1),MAX($K$50:K1621)+1,"")</f>
        <v/>
      </c>
      <c r="L1622" s="13" t="str">
        <f>IF(AND(G1622&lt;&gt;1,G1621=1),MAX($L$50:L1621)+1,"")</f>
        <v/>
      </c>
      <c r="M1622" s="13" t="str">
        <f>IF(AND(G1622=-1,G1621&lt;&gt;-1),MAX($M$50:M1621)+1,"")</f>
        <v/>
      </c>
      <c r="N1622" s="13" t="str">
        <f>IF(AND(G1622&lt;&gt;-1,G1621=-1),MAX($N$50:N1621)+1,"")</f>
        <v/>
      </c>
      <c r="T1622" s="7">
        <f t="shared" si="223"/>
        <v>117.94613021265057</v>
      </c>
      <c r="U1622" s="1">
        <f t="shared" si="224"/>
        <v>210.26643338639968</v>
      </c>
    </row>
    <row r="1623" spans="1:21" x14ac:dyDescent="0.3">
      <c r="A1623" s="2">
        <v>42530</v>
      </c>
      <c r="B1623" s="1">
        <v>3995.28</v>
      </c>
      <c r="C1623" s="2">
        <f t="shared" si="216"/>
        <v>42530</v>
      </c>
      <c r="D1623" s="1">
        <f t="shared" si="217"/>
        <v>3995.28</v>
      </c>
      <c r="E1623" s="4">
        <f t="shared" si="218"/>
        <v>3910.8436000000006</v>
      </c>
      <c r="F1623" s="3">
        <f t="shared" si="219"/>
        <v>1.021590329002162</v>
      </c>
      <c r="G1623" s="18">
        <f t="shared" si="220"/>
        <v>1</v>
      </c>
      <c r="H1623" s="3">
        <f t="shared" si="221"/>
        <v>-1.6741712852137436E-3</v>
      </c>
      <c r="I1623" s="3">
        <f t="shared" si="222"/>
        <v>-1.6741712852137436E-3</v>
      </c>
      <c r="K1623" s="12" t="str">
        <f>IF(AND(G1623=1,G1622&lt;&gt;1),MAX($K$50:K1622)+1,"")</f>
        <v/>
      </c>
      <c r="L1623" s="13" t="str">
        <f>IF(AND(G1623&lt;&gt;1,G1622=1),MAX($L$50:L1622)+1,"")</f>
        <v/>
      </c>
      <c r="M1623" s="13" t="str">
        <f>IF(AND(G1623=-1,G1622&lt;&gt;-1),MAX($M$50:M1622)+1,"")</f>
        <v/>
      </c>
      <c r="N1623" s="13" t="str">
        <f>IF(AND(G1623&lt;&gt;-1,G1622=-1),MAX($N$50:N1622)+1,"")</f>
        <v/>
      </c>
      <c r="T1623" s="7">
        <f t="shared" si="223"/>
        <v>117.74866818824647</v>
      </c>
      <c r="U1623" s="1">
        <f t="shared" si="224"/>
        <v>209.91441136137985</v>
      </c>
    </row>
    <row r="1624" spans="1:21" x14ac:dyDescent="0.3">
      <c r="A1624" s="2">
        <v>42531</v>
      </c>
      <c r="B1624" s="1">
        <v>3958.68</v>
      </c>
      <c r="C1624" s="2">
        <f t="shared" si="216"/>
        <v>42531</v>
      </c>
      <c r="D1624" s="1">
        <f t="shared" si="217"/>
        <v>3958.68</v>
      </c>
      <c r="E1624" s="4">
        <f t="shared" si="218"/>
        <v>3912.5550000000007</v>
      </c>
      <c r="F1624" s="3">
        <f t="shared" si="219"/>
        <v>1.0117889716566282</v>
      </c>
      <c r="G1624" s="18">
        <f t="shared" si="220"/>
        <v>1</v>
      </c>
      <c r="H1624" s="3">
        <f t="shared" si="221"/>
        <v>-9.1608097555115897E-3</v>
      </c>
      <c r="I1624" s="3">
        <f t="shared" si="222"/>
        <v>-9.1608097555115897E-3</v>
      </c>
      <c r="K1624" s="12" t="str">
        <f>IF(AND(G1624=1,G1623&lt;&gt;1),MAX($K$50:K1623)+1,"")</f>
        <v/>
      </c>
      <c r="L1624" s="13" t="str">
        <f>IF(AND(G1624&lt;&gt;1,G1623=1),MAX($L$50:L1623)+1,"")</f>
        <v/>
      </c>
      <c r="M1624" s="13" t="str">
        <f>IF(AND(G1624=-1,G1623&lt;&gt;-1),MAX($M$50:M1623)+1,"")</f>
        <v/>
      </c>
      <c r="N1624" s="13" t="str">
        <f>IF(AND(G1624&lt;&gt;-1,G1623=-1),MAX($N$50:N1623)+1,"")</f>
        <v/>
      </c>
      <c r="T1624" s="7">
        <f t="shared" si="223"/>
        <v>116.66999504000908</v>
      </c>
      <c r="U1624" s="1">
        <f t="shared" si="224"/>
        <v>207.99142537395804</v>
      </c>
    </row>
    <row r="1625" spans="1:21" x14ac:dyDescent="0.3">
      <c r="A1625" s="2">
        <v>42534</v>
      </c>
      <c r="B1625" s="1">
        <v>3927.73</v>
      </c>
      <c r="C1625" s="2">
        <f t="shared" si="216"/>
        <v>42534</v>
      </c>
      <c r="D1625" s="1">
        <f t="shared" si="217"/>
        <v>3927.73</v>
      </c>
      <c r="E1625" s="4">
        <f t="shared" si="218"/>
        <v>3913.1564000000008</v>
      </c>
      <c r="F1625" s="3">
        <f t="shared" si="219"/>
        <v>1.0037242569706641</v>
      </c>
      <c r="G1625" s="18">
        <f t="shared" si="220"/>
        <v>1</v>
      </c>
      <c r="H1625" s="3">
        <f t="shared" si="221"/>
        <v>-7.8182626532076194E-3</v>
      </c>
      <c r="I1625" s="3">
        <f t="shared" si="222"/>
        <v>-7.8182626532076194E-3</v>
      </c>
      <c r="K1625" s="12" t="str">
        <f>IF(AND(G1625=1,G1624&lt;&gt;1),MAX($K$50:K1624)+1,"")</f>
        <v/>
      </c>
      <c r="L1625" s="13" t="str">
        <f>IF(AND(G1625&lt;&gt;1,G1624=1),MAX($L$50:L1624)+1,"")</f>
        <v/>
      </c>
      <c r="M1625" s="13" t="str">
        <f>IF(AND(G1625=-1,G1624&lt;&gt;-1),MAX($M$50:M1624)+1,"")</f>
        <v/>
      </c>
      <c r="N1625" s="13" t="str">
        <f>IF(AND(G1625&lt;&gt;-1,G1624=-1),MAX($N$50:N1624)+1,"")</f>
        <v/>
      </c>
      <c r="T1625" s="7">
        <f t="shared" si="223"/>
        <v>115.75783837503786</v>
      </c>
      <c r="U1625" s="1">
        <f t="shared" si="224"/>
        <v>206.36529378076941</v>
      </c>
    </row>
    <row r="1626" spans="1:21" x14ac:dyDescent="0.3">
      <c r="A1626" s="2">
        <v>42535</v>
      </c>
      <c r="B1626" s="1">
        <v>3920.93</v>
      </c>
      <c r="C1626" s="2">
        <f t="shared" si="216"/>
        <v>42535</v>
      </c>
      <c r="D1626" s="1">
        <f t="shared" si="217"/>
        <v>3920.93</v>
      </c>
      <c r="E1626" s="4">
        <f t="shared" si="218"/>
        <v>3913.8550000000005</v>
      </c>
      <c r="F1626" s="3">
        <f t="shared" si="219"/>
        <v>1.0018076806626712</v>
      </c>
      <c r="G1626" s="18">
        <f t="shared" si="220"/>
        <v>1</v>
      </c>
      <c r="H1626" s="3">
        <f t="shared" si="221"/>
        <v>-1.7312798995857692E-3</v>
      </c>
      <c r="I1626" s="3">
        <f t="shared" si="222"/>
        <v>-1.7312798995857692E-3</v>
      </c>
      <c r="K1626" s="12" t="str">
        <f>IF(AND(G1626=1,G1625&lt;&gt;1),MAX($K$50:K1625)+1,"")</f>
        <v/>
      </c>
      <c r="L1626" s="13" t="str">
        <f>IF(AND(G1626&lt;&gt;1,G1625=1),MAX($L$50:L1625)+1,"")</f>
        <v/>
      </c>
      <c r="M1626" s="13" t="str">
        <f>IF(AND(G1626=-1,G1625&lt;&gt;-1),MAX($M$50:M1625)+1,"")</f>
        <v/>
      </c>
      <c r="N1626" s="13" t="str">
        <f>IF(AND(G1626&lt;&gt;-1,G1625=-1),MAX($N$50:N1625)+1,"")</f>
        <v/>
      </c>
      <c r="T1626" s="7">
        <f t="shared" si="223"/>
        <v>115.55742915623966</v>
      </c>
      <c r="U1626" s="1">
        <f t="shared" si="224"/>
        <v>206.00801769567462</v>
      </c>
    </row>
    <row r="1627" spans="1:21" x14ac:dyDescent="0.3">
      <c r="A1627" s="2">
        <v>42536</v>
      </c>
      <c r="B1627" s="1">
        <v>3914.02</v>
      </c>
      <c r="C1627" s="2">
        <f t="shared" si="216"/>
        <v>42536</v>
      </c>
      <c r="D1627" s="1">
        <f t="shared" si="217"/>
        <v>3914.02</v>
      </c>
      <c r="E1627" s="4">
        <f t="shared" si="218"/>
        <v>3915.2035999999998</v>
      </c>
      <c r="F1627" s="3">
        <f t="shared" si="219"/>
        <v>0.99969769132823649</v>
      </c>
      <c r="G1627" s="18">
        <f t="shared" si="220"/>
        <v>1</v>
      </c>
      <c r="H1627" s="3">
        <f t="shared" si="221"/>
        <v>-1.7623369965799052E-3</v>
      </c>
      <c r="I1627" s="3">
        <f t="shared" si="222"/>
        <v>-1.7623369965799052E-3</v>
      </c>
      <c r="K1627" s="12" t="str">
        <f>IF(AND(G1627=1,G1626&lt;&gt;1),MAX($K$50:K1626)+1,"")</f>
        <v/>
      </c>
      <c r="L1627" s="13" t="str">
        <f>IF(AND(G1627&lt;&gt;1,G1626=1),MAX($L$50:L1626)+1,"")</f>
        <v/>
      </c>
      <c r="M1627" s="13" t="str">
        <f>IF(AND(G1627=-1,G1626&lt;&gt;-1),MAX($M$50:M1626)+1,"")</f>
        <v/>
      </c>
      <c r="N1627" s="13" t="str">
        <f>IF(AND(G1627&lt;&gt;-1,G1626=-1),MAX($N$50:N1626)+1,"")</f>
        <v/>
      </c>
      <c r="T1627" s="7">
        <f t="shared" si="223"/>
        <v>115.35377802360796</v>
      </c>
      <c r="U1627" s="1">
        <f t="shared" si="224"/>
        <v>205.64496214449747</v>
      </c>
    </row>
    <row r="1628" spans="1:21" x14ac:dyDescent="0.3">
      <c r="A1628" s="2">
        <v>42537</v>
      </c>
      <c r="B1628" s="1">
        <v>3926.93</v>
      </c>
      <c r="C1628" s="2">
        <f t="shared" si="216"/>
        <v>42537</v>
      </c>
      <c r="D1628" s="1">
        <f t="shared" si="217"/>
        <v>3926.93</v>
      </c>
      <c r="E1628" s="4">
        <f t="shared" si="218"/>
        <v>3915.9740000000002</v>
      </c>
      <c r="F1628" s="3">
        <f t="shared" si="219"/>
        <v>1.0027977713845904</v>
      </c>
      <c r="G1628" s="18">
        <f t="shared" si="220"/>
        <v>1</v>
      </c>
      <c r="H1628" s="3">
        <f t="shared" si="221"/>
        <v>3.298399088405235E-3</v>
      </c>
      <c r="I1628" s="3">
        <f t="shared" si="222"/>
        <v>3.298399088405235E-3</v>
      </c>
      <c r="K1628" s="12" t="str">
        <f>IF(AND(G1628=1,G1627&lt;&gt;1),MAX($K$50:K1627)+1,"")</f>
        <v/>
      </c>
      <c r="L1628" s="13" t="str">
        <f>IF(AND(G1628&lt;&gt;1,G1627=1),MAX($L$50:L1627)+1,"")</f>
        <v/>
      </c>
      <c r="M1628" s="13" t="str">
        <f>IF(AND(G1628=-1,G1627&lt;&gt;-1),MAX($M$50:M1627)+1,"")</f>
        <v/>
      </c>
      <c r="N1628" s="13" t="str">
        <f>IF(AND(G1628&lt;&gt;-1,G1627=-1),MAX($N$50:N1627)+1,"")</f>
        <v/>
      </c>
      <c r="T1628" s="7">
        <f t="shared" si="223"/>
        <v>115.73426081988512</v>
      </c>
      <c r="U1628" s="1">
        <f t="shared" si="224"/>
        <v>206.32326130017</v>
      </c>
    </row>
    <row r="1629" spans="1:21" x14ac:dyDescent="0.3">
      <c r="A1629" s="2">
        <v>42538</v>
      </c>
      <c r="B1629" s="1">
        <v>3914.15</v>
      </c>
      <c r="C1629" s="2">
        <f t="shared" si="216"/>
        <v>42538</v>
      </c>
      <c r="D1629" s="1">
        <f t="shared" si="217"/>
        <v>3914.15</v>
      </c>
      <c r="E1629" s="4">
        <f t="shared" si="218"/>
        <v>3917.4174000000003</v>
      </c>
      <c r="F1629" s="3">
        <f t="shared" si="219"/>
        <v>0.99916593008444798</v>
      </c>
      <c r="G1629" s="18">
        <f t="shared" si="220"/>
        <v>1</v>
      </c>
      <c r="H1629" s="3">
        <f t="shared" si="221"/>
        <v>-3.2544506777558713E-3</v>
      </c>
      <c r="I1629" s="3">
        <f t="shared" si="222"/>
        <v>-3.2544506777558713E-3</v>
      </c>
      <c r="K1629" s="12" t="str">
        <f>IF(AND(G1629=1,G1628&lt;&gt;1),MAX($K$50:K1628)+1,"")</f>
        <v/>
      </c>
      <c r="L1629" s="13" t="str">
        <f>IF(AND(G1629&lt;&gt;1,G1628=1),MAX($L$50:L1628)+1,"")</f>
        <v/>
      </c>
      <c r="M1629" s="13" t="str">
        <f>IF(AND(G1629=-1,G1628&lt;&gt;-1),MAX($M$50:M1628)+1,"")</f>
        <v/>
      </c>
      <c r="N1629" s="13" t="str">
        <f>IF(AND(G1629&lt;&gt;-1,G1628=-1),MAX($N$50:N1628)+1,"")</f>
        <v/>
      </c>
      <c r="T1629" s="7">
        <f t="shared" si="223"/>
        <v>115.35760937632027</v>
      </c>
      <c r="U1629" s="1">
        <f t="shared" si="224"/>
        <v>205.65179242259487</v>
      </c>
    </row>
    <row r="1630" spans="1:21" x14ac:dyDescent="0.3">
      <c r="A1630" s="2">
        <v>42541</v>
      </c>
      <c r="B1630" s="1">
        <v>3936.91</v>
      </c>
      <c r="C1630" s="2">
        <f t="shared" si="216"/>
        <v>42541</v>
      </c>
      <c r="D1630" s="1">
        <f t="shared" si="217"/>
        <v>3936.91</v>
      </c>
      <c r="E1630" s="4">
        <f t="shared" si="218"/>
        <v>3919.1012000000005</v>
      </c>
      <c r="F1630" s="3">
        <f t="shared" si="219"/>
        <v>1.0045441031224198</v>
      </c>
      <c r="G1630" s="18">
        <f t="shared" si="220"/>
        <v>1</v>
      </c>
      <c r="H1630" s="3">
        <f t="shared" si="221"/>
        <v>5.8148001481803657E-3</v>
      </c>
      <c r="I1630" s="3">
        <f t="shared" si="222"/>
        <v>5.8148001481803657E-3</v>
      </c>
      <c r="K1630" s="12" t="str">
        <f>IF(AND(G1630=1,G1629&lt;&gt;1),MAX($K$50:K1629)+1,"")</f>
        <v/>
      </c>
      <c r="L1630" s="13" t="str">
        <f>IF(AND(G1630&lt;&gt;1,G1629=1),MAX($L$50:L1629)+1,"")</f>
        <v/>
      </c>
      <c r="M1630" s="13" t="str">
        <f>IF(AND(G1630=-1,G1629&lt;&gt;-1),MAX($M$50:M1629)+1,"")</f>
        <v/>
      </c>
      <c r="N1630" s="13" t="str">
        <f>IF(AND(G1630&lt;&gt;-1,G1629=-1),MAX($N$50:N1629)+1,"")</f>
        <v/>
      </c>
      <c r="T1630" s="7">
        <f t="shared" si="223"/>
        <v>116.02839082041542</v>
      </c>
      <c r="U1630" s="1">
        <f t="shared" si="224"/>
        <v>206.84761649564732</v>
      </c>
    </row>
    <row r="1631" spans="1:21" x14ac:dyDescent="0.3">
      <c r="A1631" s="2">
        <v>42542</v>
      </c>
      <c r="B1631" s="1">
        <v>3947.94</v>
      </c>
      <c r="C1631" s="2">
        <f t="shared" si="216"/>
        <v>42542</v>
      </c>
      <c r="D1631" s="1">
        <f t="shared" si="217"/>
        <v>3947.94</v>
      </c>
      <c r="E1631" s="4">
        <f t="shared" si="218"/>
        <v>3921.2166000000002</v>
      </c>
      <c r="F1631" s="3">
        <f t="shared" si="219"/>
        <v>1.0068150787691759</v>
      </c>
      <c r="G1631" s="18">
        <f t="shared" si="220"/>
        <v>1</v>
      </c>
      <c r="H1631" s="3">
        <f t="shared" si="221"/>
        <v>2.8016896500047128E-3</v>
      </c>
      <c r="I1631" s="3">
        <f t="shared" si="222"/>
        <v>2.8016896500047128E-3</v>
      </c>
      <c r="K1631" s="12" t="str">
        <f>IF(AND(G1631=1,G1630&lt;&gt;1),MAX($K$50:K1630)+1,"")</f>
        <v/>
      </c>
      <c r="L1631" s="13" t="str">
        <f>IF(AND(G1631&lt;&gt;1,G1630=1),MAX($L$50:L1630)+1,"")</f>
        <v/>
      </c>
      <c r="M1631" s="13" t="str">
        <f>IF(AND(G1631=-1,G1630&lt;&gt;-1),MAX($M$50:M1630)+1,"")</f>
        <v/>
      </c>
      <c r="N1631" s="13" t="str">
        <f>IF(AND(G1631&lt;&gt;-1,G1630=-1),MAX($N$50:N1630)+1,"")</f>
        <v/>
      </c>
      <c r="T1631" s="7">
        <f t="shared" si="223"/>
        <v>116.35346636208368</v>
      </c>
      <c r="U1631" s="1">
        <f t="shared" si="224"/>
        <v>207.42713932191131</v>
      </c>
    </row>
    <row r="1632" spans="1:21" x14ac:dyDescent="0.3">
      <c r="A1632" s="2">
        <v>42543</v>
      </c>
      <c r="B1632" s="1">
        <v>3941.45</v>
      </c>
      <c r="C1632" s="2">
        <f t="shared" si="216"/>
        <v>42543</v>
      </c>
      <c r="D1632" s="1">
        <f t="shared" si="217"/>
        <v>3941.45</v>
      </c>
      <c r="E1632" s="4">
        <f t="shared" si="218"/>
        <v>3922.4572000000003</v>
      </c>
      <c r="F1632" s="3">
        <f t="shared" si="219"/>
        <v>1.0048420668554394</v>
      </c>
      <c r="G1632" s="18">
        <f t="shared" si="220"/>
        <v>1</v>
      </c>
      <c r="H1632" s="3">
        <f t="shared" si="221"/>
        <v>-1.6438952972943621E-3</v>
      </c>
      <c r="I1632" s="3">
        <f t="shared" si="222"/>
        <v>-1.6438952972943621E-3</v>
      </c>
      <c r="K1632" s="12" t="str">
        <f>IF(AND(G1632=1,G1631&lt;&gt;1),MAX($K$50:K1631)+1,"")</f>
        <v/>
      </c>
      <c r="L1632" s="13" t="str">
        <f>IF(AND(G1632&lt;&gt;1,G1631=1),MAX($L$50:L1631)+1,"")</f>
        <v/>
      </c>
      <c r="M1632" s="13" t="str">
        <f>IF(AND(G1632=-1,G1631&lt;&gt;-1),MAX($M$50:M1631)+1,"")</f>
        <v/>
      </c>
      <c r="N1632" s="13" t="str">
        <f>IF(AND(G1632&lt;&gt;-1,G1631=-1),MAX($N$50:N1631)+1,"")</f>
        <v/>
      </c>
      <c r="T1632" s="7">
        <f t="shared" si="223"/>
        <v>116.16219344590715</v>
      </c>
      <c r="U1632" s="1">
        <f t="shared" si="224"/>
        <v>207.0861508230488</v>
      </c>
    </row>
    <row r="1633" spans="1:21" x14ac:dyDescent="0.3">
      <c r="A1633" s="2">
        <v>42544</v>
      </c>
      <c r="B1633" s="1">
        <v>3994.18</v>
      </c>
      <c r="C1633" s="2">
        <f t="shared" si="216"/>
        <v>42544</v>
      </c>
      <c r="D1633" s="1">
        <f t="shared" si="217"/>
        <v>3994.18</v>
      </c>
      <c r="E1633" s="4">
        <f t="shared" si="218"/>
        <v>3923.9618000000005</v>
      </c>
      <c r="F1633" s="3">
        <f t="shared" si="219"/>
        <v>1.0178947205857098</v>
      </c>
      <c r="G1633" s="18">
        <f t="shared" si="220"/>
        <v>1</v>
      </c>
      <c r="H1633" s="3">
        <f t="shared" si="221"/>
        <v>1.3378325235636535E-2</v>
      </c>
      <c r="I1633" s="3">
        <f t="shared" si="222"/>
        <v>1.3378325235636535E-2</v>
      </c>
      <c r="K1633" s="12" t="str">
        <f>IF(AND(G1633=1,G1632&lt;&gt;1),MAX($K$50:K1632)+1,"")</f>
        <v/>
      </c>
      <c r="L1633" s="13" t="str">
        <f>IF(AND(G1633&lt;&gt;1,G1632=1),MAX($L$50:L1632)+1,"")</f>
        <v/>
      </c>
      <c r="M1633" s="13" t="str">
        <f>IF(AND(G1633=-1,G1632&lt;&gt;-1),MAX($M$50:M1632)+1,"")</f>
        <v/>
      </c>
      <c r="N1633" s="13" t="str">
        <f>IF(AND(G1633&lt;&gt;-1,G1632=-1),MAX($N$50:N1632)+1,"")</f>
        <v/>
      </c>
      <c r="T1633" s="7">
        <f t="shared" si="223"/>
        <v>117.71624904991143</v>
      </c>
      <c r="U1633" s="1">
        <f t="shared" si="224"/>
        <v>209.85661670055563</v>
      </c>
    </row>
    <row r="1634" spans="1:21" x14ac:dyDescent="0.3">
      <c r="A1634" s="2">
        <v>42545</v>
      </c>
      <c r="B1634" s="1">
        <v>3850.7</v>
      </c>
      <c r="C1634" s="2">
        <f t="shared" si="216"/>
        <v>42545</v>
      </c>
      <c r="D1634" s="1">
        <f t="shared" si="217"/>
        <v>3850.7</v>
      </c>
      <c r="E1634" s="4">
        <f t="shared" si="218"/>
        <v>3922.5752000000007</v>
      </c>
      <c r="F1634" s="3">
        <f t="shared" si="219"/>
        <v>0.98167652719570531</v>
      </c>
      <c r="G1634" s="18">
        <f t="shared" si="220"/>
        <v>1</v>
      </c>
      <c r="H1634" s="3">
        <f t="shared" si="221"/>
        <v>-3.5922266898337107E-2</v>
      </c>
      <c r="I1634" s="3">
        <f t="shared" si="222"/>
        <v>-3.5922266898337107E-2</v>
      </c>
      <c r="K1634" s="12" t="str">
        <f>IF(AND(G1634=1,G1633&lt;&gt;1),MAX($K$50:K1633)+1,"")</f>
        <v/>
      </c>
      <c r="L1634" s="13" t="str">
        <f>IF(AND(G1634&lt;&gt;1,G1633=1),MAX($L$50:L1633)+1,"")</f>
        <v/>
      </c>
      <c r="M1634" s="13" t="str">
        <f>IF(AND(G1634=-1,G1633&lt;&gt;-1),MAX($M$50:M1633)+1,"")</f>
        <v/>
      </c>
      <c r="N1634" s="13" t="str">
        <f>IF(AND(G1634&lt;&gt;-1,G1633=-1),MAX($N$50:N1633)+1,"")</f>
        <v/>
      </c>
      <c r="T1634" s="7">
        <f t="shared" si="223"/>
        <v>113.48761453326938</v>
      </c>
      <c r="U1634" s="1">
        <f t="shared" si="224"/>
        <v>202.31809130505624</v>
      </c>
    </row>
    <row r="1635" spans="1:21" x14ac:dyDescent="0.3">
      <c r="A1635" s="2">
        <v>42548</v>
      </c>
      <c r="B1635" s="1">
        <v>3781.02</v>
      </c>
      <c r="C1635" s="2">
        <f t="shared" si="216"/>
        <v>42548</v>
      </c>
      <c r="D1635" s="1">
        <f t="shared" si="217"/>
        <v>3781.02</v>
      </c>
      <c r="E1635" s="4">
        <f t="shared" si="218"/>
        <v>3919.8722000000002</v>
      </c>
      <c r="F1635" s="3">
        <f t="shared" si="219"/>
        <v>0.96457736555798934</v>
      </c>
      <c r="G1635" s="18">
        <f t="shared" si="220"/>
        <v>1</v>
      </c>
      <c r="H1635" s="3">
        <f t="shared" si="221"/>
        <v>-1.8095411223933322E-2</v>
      </c>
      <c r="I1635" s="3">
        <f t="shared" si="222"/>
        <v>-1.8095411223933322E-2</v>
      </c>
      <c r="K1635" s="12" t="str">
        <f>IF(AND(G1635=1,G1634&lt;&gt;1),MAX($K$50:K1634)+1,"")</f>
        <v/>
      </c>
      <c r="L1635" s="13" t="str">
        <f>IF(AND(G1635&lt;&gt;1,G1634=1),MAX($L$50:L1634)+1,"")</f>
        <v/>
      </c>
      <c r="M1635" s="13" t="str">
        <f>IF(AND(G1635=-1,G1634&lt;&gt;-1),MAX($M$50:M1634)+1,"")</f>
        <v/>
      </c>
      <c r="N1635" s="13" t="str">
        <f>IF(AND(G1635&lt;&gt;-1,G1634=-1),MAX($N$50:N1634)+1,"")</f>
        <v/>
      </c>
      <c r="T1635" s="7">
        <f t="shared" si="223"/>
        <v>111.43400947946664</v>
      </c>
      <c r="U1635" s="1">
        <f t="shared" si="224"/>
        <v>198.65706224484998</v>
      </c>
    </row>
    <row r="1636" spans="1:21" x14ac:dyDescent="0.3">
      <c r="A1636" s="2">
        <v>42549</v>
      </c>
      <c r="B1636" s="1">
        <v>3849.05</v>
      </c>
      <c r="C1636" s="2">
        <f t="shared" si="216"/>
        <v>42549</v>
      </c>
      <c r="D1636" s="1">
        <f t="shared" si="217"/>
        <v>3849.05</v>
      </c>
      <c r="E1636" s="4">
        <f t="shared" si="218"/>
        <v>3918.0159999999996</v>
      </c>
      <c r="F1636" s="3">
        <f t="shared" si="219"/>
        <v>0.98239772374589607</v>
      </c>
      <c r="G1636" s="18">
        <f t="shared" si="220"/>
        <v>1</v>
      </c>
      <c r="H1636" s="3">
        <f t="shared" si="221"/>
        <v>1.799249937847458E-2</v>
      </c>
      <c r="I1636" s="3">
        <f t="shared" si="222"/>
        <v>1.799249937847458E-2</v>
      </c>
      <c r="K1636" s="12" t="str">
        <f>IF(AND(G1636=1,G1635&lt;&gt;1),MAX($K$50:K1635)+1,"")</f>
        <v/>
      </c>
      <c r="L1636" s="13" t="str">
        <f>IF(AND(G1636&lt;&gt;1,G1635=1),MAX($L$50:L1635)+1,"")</f>
        <v/>
      </c>
      <c r="M1636" s="13" t="str">
        <f>IF(AND(G1636=-1,G1635&lt;&gt;-1),MAX($M$50:M1635)+1,"")</f>
        <v/>
      </c>
      <c r="N1636" s="13" t="str">
        <f>IF(AND(G1636&lt;&gt;-1,G1635=-1),MAX($N$50:N1635)+1,"")</f>
        <v/>
      </c>
      <c r="T1636" s="7">
        <f t="shared" si="223"/>
        <v>113.43898582576688</v>
      </c>
      <c r="U1636" s="1">
        <f t="shared" si="224"/>
        <v>202.23139931382002</v>
      </c>
    </row>
    <row r="1637" spans="1:21" x14ac:dyDescent="0.3">
      <c r="A1637" s="2">
        <v>42550</v>
      </c>
      <c r="B1637" s="1">
        <v>3915.1</v>
      </c>
      <c r="C1637" s="2">
        <f t="shared" si="216"/>
        <v>42550</v>
      </c>
      <c r="D1637" s="1">
        <f t="shared" si="217"/>
        <v>3915.1</v>
      </c>
      <c r="E1637" s="4">
        <f t="shared" si="218"/>
        <v>3917.2378000000003</v>
      </c>
      <c r="F1637" s="3">
        <f t="shared" si="219"/>
        <v>0.99945425830415491</v>
      </c>
      <c r="G1637" s="18">
        <f t="shared" si="220"/>
        <v>1</v>
      </c>
      <c r="H1637" s="3">
        <f t="shared" si="221"/>
        <v>1.7160078460918937E-2</v>
      </c>
      <c r="I1637" s="3">
        <f t="shared" si="222"/>
        <v>1.7160078460918937E-2</v>
      </c>
      <c r="K1637" s="12" t="str">
        <f>IF(AND(G1637=1,G1636&lt;&gt;1),MAX($K$50:K1636)+1,"")</f>
        <v/>
      </c>
      <c r="L1637" s="13" t="str">
        <f>IF(AND(G1637&lt;&gt;1,G1636=1),MAX($L$50:L1636)+1,"")</f>
        <v/>
      </c>
      <c r="M1637" s="13" t="str">
        <f>IF(AND(G1637=-1,G1636&lt;&gt;-1),MAX($M$50:M1636)+1,"")</f>
        <v/>
      </c>
      <c r="N1637" s="13" t="str">
        <f>IF(AND(G1637&lt;&gt;-1,G1636=-1),MAX($N$50:N1636)+1,"")</f>
        <v/>
      </c>
      <c r="T1637" s="7">
        <f t="shared" si="223"/>
        <v>115.38560772306411</v>
      </c>
      <c r="U1637" s="1">
        <f t="shared" si="224"/>
        <v>205.70170599330658</v>
      </c>
    </row>
    <row r="1638" spans="1:21" x14ac:dyDescent="0.3">
      <c r="A1638" s="2">
        <v>42551</v>
      </c>
      <c r="B1638" s="1">
        <v>3968.21</v>
      </c>
      <c r="C1638" s="2">
        <f t="shared" si="216"/>
        <v>42551</v>
      </c>
      <c r="D1638" s="1">
        <f t="shared" si="217"/>
        <v>3968.21</v>
      </c>
      <c r="E1638" s="4">
        <f t="shared" si="218"/>
        <v>3917.4570000000003</v>
      </c>
      <c r="F1638" s="3">
        <f t="shared" si="219"/>
        <v>1.0129555984915724</v>
      </c>
      <c r="G1638" s="18">
        <f t="shared" si="220"/>
        <v>1</v>
      </c>
      <c r="H1638" s="3">
        <f t="shared" si="221"/>
        <v>1.3565426170468298E-2</v>
      </c>
      <c r="I1638" s="3">
        <f t="shared" si="222"/>
        <v>1.3565426170468298E-2</v>
      </c>
      <c r="K1638" s="12" t="str">
        <f>IF(AND(G1638=1,G1637&lt;&gt;1),MAX($K$50:K1637)+1,"")</f>
        <v/>
      </c>
      <c r="L1638" s="13" t="str">
        <f>IF(AND(G1638&lt;&gt;1,G1637=1),MAX($L$50:L1637)+1,"")</f>
        <v/>
      </c>
      <c r="M1638" s="13" t="str">
        <f>IF(AND(G1638=-1,G1637&lt;&gt;-1),MAX($M$50:M1637)+1,"")</f>
        <v/>
      </c>
      <c r="N1638" s="13" t="str">
        <f>IF(AND(G1638&lt;&gt;-1,G1637=-1),MAX($N$50:N1637)+1,"")</f>
        <v/>
      </c>
      <c r="T1638" s="7">
        <f t="shared" si="223"/>
        <v>116.95086266576595</v>
      </c>
      <c r="U1638" s="1">
        <f t="shared" si="224"/>
        <v>208.49213729909815</v>
      </c>
    </row>
    <row r="1639" spans="1:21" x14ac:dyDescent="0.3">
      <c r="A1639" s="2">
        <v>42552</v>
      </c>
      <c r="B1639" s="1">
        <v>3976.68</v>
      </c>
      <c r="C1639" s="2">
        <f t="shared" si="216"/>
        <v>42552</v>
      </c>
      <c r="D1639" s="1">
        <f t="shared" si="217"/>
        <v>3976.68</v>
      </c>
      <c r="E1639" s="4">
        <f t="shared" si="218"/>
        <v>3918.2545999999998</v>
      </c>
      <c r="F1639" s="3">
        <f t="shared" si="219"/>
        <v>1.0149110780090707</v>
      </c>
      <c r="G1639" s="18">
        <f t="shared" si="220"/>
        <v>1</v>
      </c>
      <c r="H1639" s="3">
        <f t="shared" si="221"/>
        <v>2.1344636498572545E-3</v>
      </c>
      <c r="I1639" s="3">
        <f t="shared" si="222"/>
        <v>2.1344636498572545E-3</v>
      </c>
      <c r="K1639" s="12" t="str">
        <f>IF(AND(G1639=1,G1638&lt;&gt;1),MAX($K$50:K1638)+1,"")</f>
        <v/>
      </c>
      <c r="L1639" s="13" t="str">
        <f>IF(AND(G1639&lt;&gt;1,G1638=1),MAX($L$50:L1638)+1,"")</f>
        <v/>
      </c>
      <c r="M1639" s="13" t="str">
        <f>IF(AND(G1639=-1,G1638&lt;&gt;-1),MAX($M$50:M1638)+1,"")</f>
        <v/>
      </c>
      <c r="N1639" s="13" t="str">
        <f>IF(AND(G1639&lt;&gt;-1,G1638=-1),MAX($N$50:N1638)+1,"")</f>
        <v/>
      </c>
      <c r="T1639" s="7">
        <f t="shared" si="223"/>
        <v>117.20049003094547</v>
      </c>
      <c r="U1639" s="1">
        <f t="shared" si="224"/>
        <v>208.93715618744409</v>
      </c>
    </row>
    <row r="1640" spans="1:21" x14ac:dyDescent="0.3">
      <c r="A1640" s="2">
        <v>42556</v>
      </c>
      <c r="B1640" s="1">
        <v>3949.72</v>
      </c>
      <c r="C1640" s="2">
        <f t="shared" si="216"/>
        <v>42556</v>
      </c>
      <c r="D1640" s="1">
        <f t="shared" si="217"/>
        <v>3949.72</v>
      </c>
      <c r="E1640" s="4">
        <f t="shared" si="218"/>
        <v>3918.5089999999996</v>
      </c>
      <c r="F1640" s="3">
        <f t="shared" si="219"/>
        <v>1.0079650193479204</v>
      </c>
      <c r="G1640" s="18">
        <f t="shared" si="220"/>
        <v>1</v>
      </c>
      <c r="H1640" s="3">
        <f t="shared" si="221"/>
        <v>-6.7795246285846655E-3</v>
      </c>
      <c r="I1640" s="3">
        <f t="shared" si="222"/>
        <v>-6.7795246285846655E-3</v>
      </c>
      <c r="K1640" s="12" t="str">
        <f>IF(AND(G1640=1,G1639&lt;&gt;1),MAX($K$50:K1639)+1,"")</f>
        <v/>
      </c>
      <c r="L1640" s="13" t="str">
        <f>IF(AND(G1640&lt;&gt;1,G1639=1),MAX($L$50:L1639)+1,"")</f>
        <v/>
      </c>
      <c r="M1640" s="13" t="str">
        <f>IF(AND(G1640=-1,G1639&lt;&gt;-1),MAX($M$50:M1639)+1,"")</f>
        <v/>
      </c>
      <c r="N1640" s="13" t="str">
        <f>IF(AND(G1640&lt;&gt;-1,G1639=-1),MAX($N$50:N1639)+1,"")</f>
        <v/>
      </c>
      <c r="T1640" s="7">
        <f t="shared" si="223"/>
        <v>116.40592642229849</v>
      </c>
      <c r="U1640" s="1">
        <f t="shared" si="224"/>
        <v>207.52066159124485</v>
      </c>
    </row>
    <row r="1641" spans="1:21" x14ac:dyDescent="0.3">
      <c r="A1641" s="2">
        <v>42557</v>
      </c>
      <c r="B1641" s="1">
        <v>3972.26</v>
      </c>
      <c r="C1641" s="2">
        <f t="shared" si="216"/>
        <v>42557</v>
      </c>
      <c r="D1641" s="1">
        <f t="shared" si="217"/>
        <v>3972.26</v>
      </c>
      <c r="E1641" s="4">
        <f t="shared" si="218"/>
        <v>3919.3565999999996</v>
      </c>
      <c r="F1641" s="3">
        <f t="shared" si="219"/>
        <v>1.0134979807655167</v>
      </c>
      <c r="G1641" s="18">
        <f t="shared" si="220"/>
        <v>1</v>
      </c>
      <c r="H1641" s="3">
        <f t="shared" si="221"/>
        <v>5.7067336418785697E-3</v>
      </c>
      <c r="I1641" s="3">
        <f t="shared" si="222"/>
        <v>5.7067336418785697E-3</v>
      </c>
      <c r="K1641" s="12" t="str">
        <f>IF(AND(G1641=1,G1640&lt;&gt;1),MAX($K$50:K1640)+1,"")</f>
        <v/>
      </c>
      <c r="L1641" s="13" t="str">
        <f>IF(AND(G1641&lt;&gt;1,G1640=1),MAX($L$50:L1640)+1,"")</f>
        <v/>
      </c>
      <c r="M1641" s="13" t="str">
        <f>IF(AND(G1641=-1,G1640&lt;&gt;-1),MAX($M$50:M1640)+1,"")</f>
        <v/>
      </c>
      <c r="N1641" s="13" t="str">
        <f>IF(AND(G1641&lt;&gt;-1,G1640=-1),MAX($N$50:N1640)+1,"")</f>
        <v/>
      </c>
      <c r="T1641" s="7">
        <f t="shared" si="223"/>
        <v>117.07022403872666</v>
      </c>
      <c r="U1641" s="1">
        <f t="shared" si="224"/>
        <v>208.70492673213249</v>
      </c>
    </row>
    <row r="1642" spans="1:21" x14ac:dyDescent="0.3">
      <c r="A1642" s="2">
        <v>42558</v>
      </c>
      <c r="B1642" s="1">
        <v>3969.19</v>
      </c>
      <c r="C1642" s="2">
        <f t="shared" si="216"/>
        <v>42558</v>
      </c>
      <c r="D1642" s="1">
        <f t="shared" si="217"/>
        <v>3969.19</v>
      </c>
      <c r="E1642" s="4">
        <f t="shared" si="218"/>
        <v>3919.9957999999997</v>
      </c>
      <c r="F1642" s="3">
        <f t="shared" si="219"/>
        <v>1.0125495542622776</v>
      </c>
      <c r="G1642" s="18">
        <f t="shared" si="220"/>
        <v>1</v>
      </c>
      <c r="H1642" s="3">
        <f t="shared" si="221"/>
        <v>-7.728597825923389E-4</v>
      </c>
      <c r="I1642" s="3">
        <f t="shared" si="222"/>
        <v>-7.728597825923389E-4</v>
      </c>
      <c r="K1642" s="12" t="str">
        <f>IF(AND(G1642=1,G1641&lt;&gt;1),MAX($K$50:K1641)+1,"")</f>
        <v/>
      </c>
      <c r="L1642" s="13" t="str">
        <f>IF(AND(G1642&lt;&gt;1,G1641=1),MAX($L$50:L1641)+1,"")</f>
        <v/>
      </c>
      <c r="M1642" s="13" t="str">
        <f>IF(AND(G1642=-1,G1641&lt;&gt;-1),MAX($M$50:M1641)+1,"")</f>
        <v/>
      </c>
      <c r="N1642" s="13" t="str">
        <f>IF(AND(G1642&lt;&gt;-1,G1641=-1),MAX($N$50:N1641)+1,"")</f>
        <v/>
      </c>
      <c r="T1642" s="7">
        <f t="shared" si="223"/>
        <v>116.97974517082805</v>
      </c>
      <c r="U1642" s="1">
        <f t="shared" si="224"/>
        <v>208.54362708783233</v>
      </c>
    </row>
    <row r="1643" spans="1:21" x14ac:dyDescent="0.3">
      <c r="A1643" s="2">
        <v>42559</v>
      </c>
      <c r="B1643" s="1">
        <v>4029.75</v>
      </c>
      <c r="C1643" s="2">
        <f t="shared" si="216"/>
        <v>42559</v>
      </c>
      <c r="D1643" s="1">
        <f t="shared" si="217"/>
        <v>4029.75</v>
      </c>
      <c r="E1643" s="4">
        <f t="shared" si="218"/>
        <v>3921.7103999999999</v>
      </c>
      <c r="F1643" s="3">
        <f t="shared" si="219"/>
        <v>1.0275491020448628</v>
      </c>
      <c r="G1643" s="18">
        <f t="shared" si="220"/>
        <v>1</v>
      </c>
      <c r="H1643" s="3">
        <f t="shared" si="221"/>
        <v>1.5257521055933365E-2</v>
      </c>
      <c r="I1643" s="3">
        <f t="shared" si="222"/>
        <v>1.5257521055933365E-2</v>
      </c>
      <c r="K1643" s="12" t="str">
        <f>IF(AND(G1643=1,G1642&lt;&gt;1),MAX($K$50:K1642)+1,"")</f>
        <v/>
      </c>
      <c r="L1643" s="13" t="str">
        <f>IF(AND(G1643&lt;&gt;1,G1642=1),MAX($L$50:L1642)+1,"")</f>
        <v/>
      </c>
      <c r="M1643" s="13" t="str">
        <f>IF(AND(G1643=-1,G1642&lt;&gt;-1),MAX($M$50:M1642)+1,"")</f>
        <v/>
      </c>
      <c r="N1643" s="13" t="str">
        <f>IF(AND(G1643&lt;&gt;-1,G1642=-1),MAX($N$50:N1642)+1,"")</f>
        <v/>
      </c>
      <c r="T1643" s="7">
        <f t="shared" si="223"/>
        <v>118.76456609588968</v>
      </c>
      <c r="U1643" s="1">
        <f t="shared" si="224"/>
        <v>211.72548586920564</v>
      </c>
    </row>
    <row r="1644" spans="1:21" x14ac:dyDescent="0.3">
      <c r="A1644" s="2">
        <v>42562</v>
      </c>
      <c r="B1644" s="1">
        <v>4043.49</v>
      </c>
      <c r="C1644" s="2">
        <f t="shared" si="216"/>
        <v>42562</v>
      </c>
      <c r="D1644" s="1">
        <f t="shared" si="217"/>
        <v>4043.49</v>
      </c>
      <c r="E1644" s="4">
        <f t="shared" si="218"/>
        <v>3924.4225999999994</v>
      </c>
      <c r="F1644" s="3">
        <f t="shared" si="219"/>
        <v>1.0303401065930056</v>
      </c>
      <c r="G1644" s="18">
        <f t="shared" si="220"/>
        <v>1</v>
      </c>
      <c r="H1644" s="3">
        <f t="shared" si="221"/>
        <v>3.4096407965753528E-3</v>
      </c>
      <c r="I1644" s="3">
        <f t="shared" si="222"/>
        <v>3.4096407965753528E-3</v>
      </c>
      <c r="K1644" s="12" t="str">
        <f>IF(AND(G1644=1,G1643&lt;&gt;1),MAX($K$50:K1643)+1,"")</f>
        <v/>
      </c>
      <c r="L1644" s="13" t="str">
        <f>IF(AND(G1644&lt;&gt;1,G1643=1),MAX($L$50:L1643)+1,"")</f>
        <v/>
      </c>
      <c r="M1644" s="13" t="str">
        <f>IF(AND(G1644=-1,G1643&lt;&gt;-1),MAX($M$50:M1643)+1,"")</f>
        <v/>
      </c>
      <c r="N1644" s="13" t="str">
        <f>IF(AND(G1644&lt;&gt;-1,G1643=-1),MAX($N$50:N1643)+1,"")</f>
        <v/>
      </c>
      <c r="T1644" s="7">
        <f t="shared" si="223"/>
        <v>119.1695106056378</v>
      </c>
      <c r="U1644" s="1">
        <f t="shared" si="224"/>
        <v>212.44739372350003</v>
      </c>
    </row>
    <row r="1645" spans="1:21" x14ac:dyDescent="0.3">
      <c r="A1645" s="2">
        <v>42563</v>
      </c>
      <c r="B1645" s="1">
        <v>4071.85</v>
      </c>
      <c r="C1645" s="2">
        <f t="shared" si="216"/>
        <v>42563</v>
      </c>
      <c r="D1645" s="1">
        <f t="shared" si="217"/>
        <v>4071.85</v>
      </c>
      <c r="E1645" s="4">
        <f t="shared" si="218"/>
        <v>3928.0969999999998</v>
      </c>
      <c r="F1645" s="3">
        <f t="shared" si="219"/>
        <v>1.0365960922044442</v>
      </c>
      <c r="G1645" s="18">
        <f t="shared" si="220"/>
        <v>1</v>
      </c>
      <c r="H1645" s="3">
        <f t="shared" si="221"/>
        <v>7.013743078380319E-3</v>
      </c>
      <c r="I1645" s="3">
        <f t="shared" si="222"/>
        <v>7.013743078380319E-3</v>
      </c>
      <c r="K1645" s="12" t="str">
        <f>IF(AND(G1645=1,G1644&lt;&gt;1),MAX($K$50:K1644)+1,"")</f>
        <v/>
      </c>
      <c r="L1645" s="13" t="str">
        <f>IF(AND(G1645&lt;&gt;1,G1644=1),MAX($L$50:L1644)+1,"")</f>
        <v/>
      </c>
      <c r="M1645" s="13" t="str">
        <f>IF(AND(G1645=-1,G1644&lt;&gt;-1),MAX($M$50:M1644)+1,"")</f>
        <v/>
      </c>
      <c r="N1645" s="13" t="str">
        <f>IF(AND(G1645&lt;&gt;-1,G1644=-1),MAX($N$50:N1644)+1,"")</f>
        <v/>
      </c>
      <c r="T1645" s="7">
        <f t="shared" si="223"/>
        <v>120.00533493580205</v>
      </c>
      <c r="U1645" s="1">
        <f t="shared" si="224"/>
        <v>213.93744516074815</v>
      </c>
    </row>
    <row r="1646" spans="1:21" x14ac:dyDescent="0.3">
      <c r="A1646" s="2">
        <v>42564</v>
      </c>
      <c r="B1646" s="1">
        <v>4072.77</v>
      </c>
      <c r="C1646" s="2">
        <f t="shared" si="216"/>
        <v>42564</v>
      </c>
      <c r="D1646" s="1">
        <f t="shared" si="217"/>
        <v>4072.77</v>
      </c>
      <c r="E1646" s="4">
        <f t="shared" si="218"/>
        <v>3931.1817999999989</v>
      </c>
      <c r="F1646" s="3">
        <f t="shared" si="219"/>
        <v>1.0360167011355215</v>
      </c>
      <c r="G1646" s="18">
        <f t="shared" si="220"/>
        <v>1</v>
      </c>
      <c r="H1646" s="3">
        <f t="shared" si="221"/>
        <v>2.259415253509367E-4</v>
      </c>
      <c r="I1646" s="3">
        <f t="shared" si="222"/>
        <v>2.259415253509367E-4</v>
      </c>
      <c r="K1646" s="12" t="str">
        <f>IF(AND(G1646=1,G1645&lt;&gt;1),MAX($K$50:K1645)+1,"")</f>
        <v/>
      </c>
      <c r="L1646" s="13" t="str">
        <f>IF(AND(G1646&lt;&gt;1,G1645=1),MAX($L$50:L1645)+1,"")</f>
        <v/>
      </c>
      <c r="M1646" s="13" t="str">
        <f>IF(AND(G1646=-1,G1645&lt;&gt;-1),MAX($M$50:M1645)+1,"")</f>
        <v/>
      </c>
      <c r="N1646" s="13" t="str">
        <f>IF(AND(G1646&lt;&gt;-1,G1645=-1),MAX($N$50:N1645)+1,"")</f>
        <v/>
      </c>
      <c r="T1646" s="7">
        <f t="shared" si="223"/>
        <v>120.0324491242277</v>
      </c>
      <c r="U1646" s="1">
        <f t="shared" si="224"/>
        <v>213.98578251343744</v>
      </c>
    </row>
    <row r="1647" spans="1:21" x14ac:dyDescent="0.3">
      <c r="A1647" s="2">
        <v>42565</v>
      </c>
      <c r="B1647" s="1">
        <v>4094.28</v>
      </c>
      <c r="C1647" s="2">
        <f t="shared" si="216"/>
        <v>42565</v>
      </c>
      <c r="D1647" s="1">
        <f t="shared" si="217"/>
        <v>4094.28</v>
      </c>
      <c r="E1647" s="4">
        <f t="shared" si="218"/>
        <v>3935.3747999999991</v>
      </c>
      <c r="F1647" s="3">
        <f t="shared" si="219"/>
        <v>1.0403786699045796</v>
      </c>
      <c r="G1647" s="18">
        <f t="shared" si="220"/>
        <v>1</v>
      </c>
      <c r="H1647" s="3">
        <f t="shared" si="221"/>
        <v>5.2814178065543338E-3</v>
      </c>
      <c r="I1647" s="3">
        <f t="shared" si="222"/>
        <v>5.2814178065543338E-3</v>
      </c>
      <c r="K1647" s="12" t="str">
        <f>IF(AND(G1647=1,G1646&lt;&gt;1),MAX($K$50:K1646)+1,"")</f>
        <v/>
      </c>
      <c r="L1647" s="13" t="str">
        <f>IF(AND(G1647&lt;&gt;1,G1646=1),MAX($L$50:L1646)+1,"")</f>
        <v/>
      </c>
      <c r="M1647" s="13" t="str">
        <f>IF(AND(G1647=-1,G1646&lt;&gt;-1),MAX($M$50:M1646)+1,"")</f>
        <v/>
      </c>
      <c r="N1647" s="13" t="str">
        <f>IF(AND(G1647&lt;&gt;-1,G1646=-1),MAX($N$50:N1646)+1,"")</f>
        <v/>
      </c>
      <c r="T1647" s="7">
        <f t="shared" si="223"/>
        <v>120.66639063839672</v>
      </c>
      <c r="U1647" s="1">
        <f t="shared" si="224"/>
        <v>215.11593083555337</v>
      </c>
    </row>
    <row r="1648" spans="1:21" x14ac:dyDescent="0.3">
      <c r="A1648" s="2">
        <v>42566</v>
      </c>
      <c r="B1648" s="1">
        <v>4090.49</v>
      </c>
      <c r="C1648" s="2">
        <f t="shared" si="216"/>
        <v>42566</v>
      </c>
      <c r="D1648" s="1">
        <f t="shared" si="217"/>
        <v>4090.49</v>
      </c>
      <c r="E1648" s="4">
        <f t="shared" si="218"/>
        <v>3939.9365999999991</v>
      </c>
      <c r="F1648" s="3">
        <f t="shared" si="219"/>
        <v>1.0382121377283078</v>
      </c>
      <c r="G1648" s="18">
        <f t="shared" si="220"/>
        <v>1</v>
      </c>
      <c r="H1648" s="3">
        <f t="shared" si="221"/>
        <v>-9.2568168273798879E-4</v>
      </c>
      <c r="I1648" s="3">
        <f t="shared" si="222"/>
        <v>-9.2568168273798879E-4</v>
      </c>
      <c r="K1648" s="12" t="str">
        <f>IF(AND(G1648=1,G1647&lt;&gt;1),MAX($K$50:K1647)+1,"")</f>
        <v/>
      </c>
      <c r="L1648" s="13" t="str">
        <f>IF(AND(G1648&lt;&gt;1,G1647=1),MAX($L$50:L1647)+1,"")</f>
        <v/>
      </c>
      <c r="M1648" s="13" t="str">
        <f>IF(AND(G1648=-1,G1647&lt;&gt;-1),MAX($M$50:M1647)+1,"")</f>
        <v/>
      </c>
      <c r="N1648" s="13" t="str">
        <f>IF(AND(G1648&lt;&gt;-1,G1647=-1),MAX($N$50:N1647)+1,"")</f>
        <v/>
      </c>
      <c r="T1648" s="7">
        <f t="shared" si="223"/>
        <v>120.55469197086065</v>
      </c>
      <c r="U1648" s="1">
        <f t="shared" si="224"/>
        <v>214.91680195871379</v>
      </c>
    </row>
    <row r="1649" spans="1:21" x14ac:dyDescent="0.3">
      <c r="A1649" s="2">
        <v>42569</v>
      </c>
      <c r="B1649" s="1">
        <v>4100.3999999999996</v>
      </c>
      <c r="C1649" s="2">
        <f t="shared" si="216"/>
        <v>42569</v>
      </c>
      <c r="D1649" s="1">
        <f t="shared" si="217"/>
        <v>4100.3999999999996</v>
      </c>
      <c r="E1649" s="4">
        <f t="shared" si="218"/>
        <v>3944.6965999999984</v>
      </c>
      <c r="F1649" s="3">
        <f t="shared" si="219"/>
        <v>1.0394715781183277</v>
      </c>
      <c r="G1649" s="18">
        <f t="shared" si="220"/>
        <v>1</v>
      </c>
      <c r="H1649" s="3">
        <f t="shared" si="221"/>
        <v>2.4226926358454914E-3</v>
      </c>
      <c r="I1649" s="3">
        <f t="shared" si="222"/>
        <v>2.4226926358454914E-3</v>
      </c>
      <c r="K1649" s="12" t="str">
        <f>IF(AND(G1649=1,G1648&lt;&gt;1),MAX($K$50:K1648)+1,"")</f>
        <v/>
      </c>
      <c r="L1649" s="13" t="str">
        <f>IF(AND(G1649&lt;&gt;1,G1648=1),MAX($L$50:L1648)+1,"")</f>
        <v/>
      </c>
      <c r="M1649" s="13" t="str">
        <f>IF(AND(G1649=-1,G1648&lt;&gt;-1),MAX($M$50:M1648)+1,"")</f>
        <v/>
      </c>
      <c r="N1649" s="13" t="str">
        <f>IF(AND(G1649&lt;&gt;-1,G1648=-1),MAX($N$50:N1648)+1,"")</f>
        <v/>
      </c>
      <c r="T1649" s="7">
        <f t="shared" si="223"/>
        <v>120.84675893531507</v>
      </c>
      <c r="U1649" s="1">
        <f t="shared" si="224"/>
        <v>215.43747931213863</v>
      </c>
    </row>
    <row r="1650" spans="1:21" x14ac:dyDescent="0.3">
      <c r="A1650" s="2">
        <v>42570</v>
      </c>
      <c r="B1650" s="1">
        <v>4094.61</v>
      </c>
      <c r="C1650" s="2">
        <f t="shared" si="216"/>
        <v>42570</v>
      </c>
      <c r="D1650" s="1">
        <f t="shared" si="217"/>
        <v>4094.61</v>
      </c>
      <c r="E1650" s="4">
        <f t="shared" si="218"/>
        <v>3949.0851999999986</v>
      </c>
      <c r="F1650" s="3">
        <f t="shared" si="219"/>
        <v>1.0368502558516595</v>
      </c>
      <c r="G1650" s="18">
        <f t="shared" si="220"/>
        <v>1</v>
      </c>
      <c r="H1650" s="3">
        <f t="shared" si="221"/>
        <v>-1.4120573602574016E-3</v>
      </c>
      <c r="I1650" s="3">
        <f t="shared" si="222"/>
        <v>-1.4120573602574016E-3</v>
      </c>
      <c r="K1650" s="12" t="str">
        <f>IF(AND(G1650=1,G1649&lt;&gt;1),MAX($K$50:K1649)+1,"")</f>
        <v/>
      </c>
      <c r="L1650" s="13" t="str">
        <f>IF(AND(G1650&lt;&gt;1,G1649=1),MAX($L$50:L1649)+1,"")</f>
        <v/>
      </c>
      <c r="M1650" s="13" t="str">
        <f>IF(AND(G1650=-1,G1649&lt;&gt;-1),MAX($M$50:M1649)+1,"")</f>
        <v/>
      </c>
      <c r="N1650" s="13" t="str">
        <f>IF(AND(G1650&lt;&gt;-1,G1649=-1),MAX($N$50:N1649)+1,"")</f>
        <v/>
      </c>
      <c r="T1650" s="7">
        <f t="shared" si="223"/>
        <v>120.67611637989721</v>
      </c>
      <c r="U1650" s="1">
        <f t="shared" si="224"/>
        <v>215.13326923380063</v>
      </c>
    </row>
    <row r="1651" spans="1:21" x14ac:dyDescent="0.3">
      <c r="A1651" s="2">
        <v>42571</v>
      </c>
      <c r="B1651" s="1">
        <v>4112.6099999999997</v>
      </c>
      <c r="C1651" s="2">
        <f t="shared" si="216"/>
        <v>42571</v>
      </c>
      <c r="D1651" s="1">
        <f t="shared" si="217"/>
        <v>4112.6099999999997</v>
      </c>
      <c r="E1651" s="4">
        <f t="shared" si="218"/>
        <v>3953.7745999999979</v>
      </c>
      <c r="F1651" s="3">
        <f t="shared" si="219"/>
        <v>1.0401731044556768</v>
      </c>
      <c r="G1651" s="18">
        <f t="shared" si="220"/>
        <v>1</v>
      </c>
      <c r="H1651" s="3">
        <f t="shared" si="221"/>
        <v>4.3960230644675136E-3</v>
      </c>
      <c r="I1651" s="3">
        <f t="shared" si="222"/>
        <v>4.3960230644675136E-3</v>
      </c>
      <c r="K1651" s="12" t="str">
        <f>IF(AND(G1651=1,G1650&lt;&gt;1),MAX($K$50:K1650)+1,"")</f>
        <v/>
      </c>
      <c r="L1651" s="13" t="str">
        <f>IF(AND(G1651&lt;&gt;1,G1650=1),MAX($L$50:L1650)+1,"")</f>
        <v/>
      </c>
      <c r="M1651" s="13" t="str">
        <f>IF(AND(G1651=-1,G1650&lt;&gt;-1),MAX($M$50:M1650)+1,"")</f>
        <v/>
      </c>
      <c r="N1651" s="13" t="str">
        <f>IF(AND(G1651&lt;&gt;-1,G1650=-1),MAX($N$50:N1650)+1,"")</f>
        <v/>
      </c>
      <c r="T1651" s="7">
        <f t="shared" si="223"/>
        <v>121.2066113708336</v>
      </c>
      <c r="U1651" s="1">
        <f t="shared" si="224"/>
        <v>216.07900004728674</v>
      </c>
    </row>
    <row r="1652" spans="1:21" x14ac:dyDescent="0.3">
      <c r="A1652" s="2">
        <v>42572</v>
      </c>
      <c r="B1652" s="1">
        <v>4097.82</v>
      </c>
      <c r="C1652" s="2">
        <f t="shared" ref="C1652:C1715" si="225">A1652</f>
        <v>42572</v>
      </c>
      <c r="D1652" s="1">
        <f t="shared" ref="D1652:D1715" si="226">B1652</f>
        <v>4097.82</v>
      </c>
      <c r="E1652" s="4">
        <f t="shared" ref="E1652:E1715" si="227">AVERAGE(B1603:B1652)</f>
        <v>3957.1983999999984</v>
      </c>
      <c r="F1652" s="3">
        <f t="shared" ref="F1652:F1715" si="228">D1652/E1652</f>
        <v>1.0355356456224185</v>
      </c>
      <c r="G1652" s="18">
        <f t="shared" ref="G1652:G1715" si="229">IF(F1652&gt;=$Q$51,1,IF(F1652&lt;=$Q$52,-1,0))</f>
        <v>1</v>
      </c>
      <c r="H1652" s="3">
        <f t="shared" si="221"/>
        <v>-3.5962563919262891E-3</v>
      </c>
      <c r="I1652" s="3">
        <f t="shared" si="222"/>
        <v>-3.5962563919262891E-3</v>
      </c>
      <c r="K1652" s="12" t="str">
        <f>IF(AND(G1652=1,G1651&lt;&gt;1),MAX($K$50:K1651)+1,"")</f>
        <v/>
      </c>
      <c r="L1652" s="13" t="str">
        <f>IF(AND(G1652&lt;&gt;1,G1651=1),MAX($L$50:L1651)+1,"")</f>
        <v/>
      </c>
      <c r="M1652" s="13" t="str">
        <f>IF(AND(G1652=-1,G1651&lt;&gt;-1),MAX($M$50:M1651)+1,"")</f>
        <v/>
      </c>
      <c r="N1652" s="13" t="str">
        <f>IF(AND(G1652&lt;&gt;-1,G1651=-1),MAX($N$50:N1651)+1,"")</f>
        <v/>
      </c>
      <c r="T1652" s="7">
        <f t="shared" si="223"/>
        <v>120.77072131994751</v>
      </c>
      <c r="U1652" s="1">
        <f t="shared" si="224"/>
        <v>215.30192456220564</v>
      </c>
    </row>
    <row r="1653" spans="1:21" x14ac:dyDescent="0.3">
      <c r="A1653" s="2">
        <v>42573</v>
      </c>
      <c r="B1653" s="1">
        <v>4116.5</v>
      </c>
      <c r="C1653" s="2">
        <f t="shared" si="225"/>
        <v>42573</v>
      </c>
      <c r="D1653" s="1">
        <f t="shared" si="226"/>
        <v>4116.5</v>
      </c>
      <c r="E1653" s="4">
        <f t="shared" si="227"/>
        <v>3961.7057999999984</v>
      </c>
      <c r="F1653" s="3">
        <f t="shared" si="228"/>
        <v>1.0390726136201234</v>
      </c>
      <c r="G1653" s="18">
        <f t="shared" si="229"/>
        <v>1</v>
      </c>
      <c r="H1653" s="3">
        <f t="shared" ref="H1653:H1716" si="230">D1653/D1652-1</f>
        <v>4.5585213601377905E-3</v>
      </c>
      <c r="I1653" s="3">
        <f t="shared" ref="I1653:I1716" si="231">G1652*H1653</f>
        <v>4.5585213601377905E-3</v>
      </c>
      <c r="K1653" s="12" t="str">
        <f>IF(AND(G1653=1,G1652&lt;&gt;1),MAX($K$50:K1652)+1,"")</f>
        <v/>
      </c>
      <c r="L1653" s="13" t="str">
        <f>IF(AND(G1653&lt;&gt;1,G1652=1),MAX($L$50:L1652)+1,"")</f>
        <v/>
      </c>
      <c r="M1653" s="13" t="str">
        <f>IF(AND(G1653=-1,G1652&lt;&gt;-1),MAX($M$50:M1652)+1,"")</f>
        <v/>
      </c>
      <c r="N1653" s="13" t="str">
        <f>IF(AND(G1653&lt;&gt;-1,G1652=-1),MAX($N$50:N1652)+1,"")</f>
        <v/>
      </c>
      <c r="T1653" s="7">
        <f t="shared" ref="T1653:T1716" si="232">T1652*(1+I1653)</f>
        <v>121.32125723276374</v>
      </c>
      <c r="U1653" s="1">
        <f t="shared" ref="U1653:U1716" si="233">U1652*D1653/D1652</f>
        <v>216.28338298420127</v>
      </c>
    </row>
    <row r="1654" spans="1:21" x14ac:dyDescent="0.3">
      <c r="A1654" s="2">
        <v>42576</v>
      </c>
      <c r="B1654" s="1">
        <v>4104.13</v>
      </c>
      <c r="C1654" s="2">
        <f t="shared" si="225"/>
        <v>42576</v>
      </c>
      <c r="D1654" s="1">
        <f t="shared" si="226"/>
        <v>4104.13</v>
      </c>
      <c r="E1654" s="4">
        <f t="shared" si="227"/>
        <v>3965.971399999999</v>
      </c>
      <c r="F1654" s="3">
        <f t="shared" si="228"/>
        <v>1.0348360051209651</v>
      </c>
      <c r="G1654" s="18">
        <f t="shared" si="229"/>
        <v>1</v>
      </c>
      <c r="H1654" s="3">
        <f t="shared" si="230"/>
        <v>-3.004979958702747E-3</v>
      </c>
      <c r="I1654" s="3">
        <f t="shared" si="231"/>
        <v>-3.004979958702747E-3</v>
      </c>
      <c r="K1654" s="12" t="str">
        <f>IF(AND(G1654=1,G1653&lt;&gt;1),MAX($K$50:K1653)+1,"")</f>
        <v/>
      </c>
      <c r="L1654" s="13" t="str">
        <f>IF(AND(G1654&lt;&gt;1,G1653=1),MAX($L$50:L1653)+1,"")</f>
        <v/>
      </c>
      <c r="M1654" s="13" t="str">
        <f>IF(AND(G1654=-1,G1653&lt;&gt;-1),MAX($M$50:M1653)+1,"")</f>
        <v/>
      </c>
      <c r="N1654" s="13" t="str">
        <f>IF(AND(G1654&lt;&gt;-1,G1653=-1),MAX($N$50:N1653)+1,"")</f>
        <v/>
      </c>
      <c r="T1654" s="7">
        <f t="shared" si="232"/>
        <v>120.95668928621467</v>
      </c>
      <c r="U1654" s="1">
        <f t="shared" si="233"/>
        <v>215.63345575293332</v>
      </c>
    </row>
    <row r="1655" spans="1:21" x14ac:dyDescent="0.3">
      <c r="A1655" s="2">
        <v>42577</v>
      </c>
      <c r="B1655" s="1">
        <v>4105.57</v>
      </c>
      <c r="C1655" s="2">
        <f t="shared" si="225"/>
        <v>42577</v>
      </c>
      <c r="D1655" s="1">
        <f t="shared" si="226"/>
        <v>4105.57</v>
      </c>
      <c r="E1655" s="4">
        <f t="shared" si="227"/>
        <v>3970.9193999999989</v>
      </c>
      <c r="F1655" s="3">
        <f t="shared" si="228"/>
        <v>1.0339091747870786</v>
      </c>
      <c r="G1655" s="18">
        <f t="shared" si="229"/>
        <v>1</v>
      </c>
      <c r="H1655" s="3">
        <f t="shared" si="230"/>
        <v>3.5086607880341347E-4</v>
      </c>
      <c r="I1655" s="3">
        <f t="shared" si="231"/>
        <v>3.5086607880341347E-4</v>
      </c>
      <c r="K1655" s="12" t="str">
        <f>IF(AND(G1655=1,G1654&lt;&gt;1),MAX($K$50:K1654)+1,"")</f>
        <v/>
      </c>
      <c r="L1655" s="13" t="str">
        <f>IF(AND(G1655&lt;&gt;1,G1654=1),MAX($L$50:L1654)+1,"")</f>
        <v/>
      </c>
      <c r="M1655" s="13" t="str">
        <f>IF(AND(G1655=-1,G1654&lt;&gt;-1),MAX($M$50:M1654)+1,"")</f>
        <v/>
      </c>
      <c r="N1655" s="13" t="str">
        <f>IF(AND(G1655&lt;&gt;-1,G1654=-1),MAX($N$50:N1654)+1,"")</f>
        <v/>
      </c>
      <c r="T1655" s="7">
        <f t="shared" si="232"/>
        <v>120.99912888548957</v>
      </c>
      <c r="U1655" s="1">
        <f t="shared" si="233"/>
        <v>215.70911421801219</v>
      </c>
    </row>
    <row r="1656" spans="1:21" x14ac:dyDescent="0.3">
      <c r="A1656" s="2">
        <v>42578</v>
      </c>
      <c r="B1656" s="1">
        <v>4100.8100000000004</v>
      </c>
      <c r="C1656" s="2">
        <f t="shared" si="225"/>
        <v>42578</v>
      </c>
      <c r="D1656" s="1">
        <f t="shared" si="226"/>
        <v>4100.8100000000004</v>
      </c>
      <c r="E1656" s="4">
        <f t="shared" si="227"/>
        <v>3975.0083999999993</v>
      </c>
      <c r="F1656" s="3">
        <f t="shared" si="228"/>
        <v>1.0316481343787856</v>
      </c>
      <c r="G1656" s="18">
        <f t="shared" si="229"/>
        <v>1</v>
      </c>
      <c r="H1656" s="3">
        <f t="shared" si="230"/>
        <v>-1.1594005217300252E-3</v>
      </c>
      <c r="I1656" s="3">
        <f t="shared" si="231"/>
        <v>-1.1594005217300252E-3</v>
      </c>
      <c r="K1656" s="12" t="str">
        <f>IF(AND(G1656=1,G1655&lt;&gt;1),MAX($K$50:K1655)+1,"")</f>
        <v/>
      </c>
      <c r="L1656" s="13" t="str">
        <f>IF(AND(G1656&lt;&gt;1,G1655=1),MAX($L$50:L1655)+1,"")</f>
        <v/>
      </c>
      <c r="M1656" s="13" t="str">
        <f>IF(AND(G1656=-1,G1655&lt;&gt;-1),MAX($M$50:M1655)+1,"")</f>
        <v/>
      </c>
      <c r="N1656" s="13" t="str">
        <f>IF(AND(G1656&lt;&gt;-1,G1655=-1),MAX($N$50:N1655)+1,"")</f>
        <v/>
      </c>
      <c r="T1656" s="7">
        <f t="shared" si="232"/>
        <v>120.85884243233086</v>
      </c>
      <c r="U1656" s="1">
        <f t="shared" si="233"/>
        <v>215.4590209584459</v>
      </c>
    </row>
    <row r="1657" spans="1:21" x14ac:dyDescent="0.3">
      <c r="A1657" s="2">
        <v>42579</v>
      </c>
      <c r="B1657" s="1">
        <v>4107.75</v>
      </c>
      <c r="C1657" s="2">
        <f t="shared" si="225"/>
        <v>42579</v>
      </c>
      <c r="D1657" s="1">
        <f t="shared" si="226"/>
        <v>4107.75</v>
      </c>
      <c r="E1657" s="4">
        <f t="shared" si="227"/>
        <v>3979.9457999999991</v>
      </c>
      <c r="F1657" s="3">
        <f t="shared" si="228"/>
        <v>1.0321120453449393</v>
      </c>
      <c r="G1657" s="18">
        <f t="shared" si="229"/>
        <v>1</v>
      </c>
      <c r="H1657" s="3">
        <f t="shared" si="230"/>
        <v>1.6923485847917252E-3</v>
      </c>
      <c r="I1657" s="3">
        <f t="shared" si="231"/>
        <v>1.6923485847917252E-3</v>
      </c>
      <c r="K1657" s="12" t="str">
        <f>IF(AND(G1657=1,G1656&lt;&gt;1),MAX($K$50:K1656)+1,"")</f>
        <v/>
      </c>
      <c r="L1657" s="13" t="str">
        <f>IF(AND(G1657&lt;&gt;1,G1656=1),MAX($L$50:L1656)+1,"")</f>
        <v/>
      </c>
      <c r="M1657" s="13" t="str">
        <f>IF(AND(G1657=-1,G1656&lt;&gt;-1),MAX($M$50:M1656)+1,"")</f>
        <v/>
      </c>
      <c r="N1657" s="13" t="str">
        <f>IF(AND(G1657&lt;&gt;-1,G1656=-1),MAX($N$50:N1656)+1,"")</f>
        <v/>
      </c>
      <c r="T1657" s="7">
        <f t="shared" si="232"/>
        <v>121.06337772328078</v>
      </c>
      <c r="U1657" s="1">
        <f t="shared" si="233"/>
        <v>215.82365272764554</v>
      </c>
    </row>
    <row r="1658" spans="1:21" x14ac:dyDescent="0.3">
      <c r="A1658" s="2">
        <v>42580</v>
      </c>
      <c r="B1658" s="1">
        <v>4114.51</v>
      </c>
      <c r="C1658" s="2">
        <f t="shared" si="225"/>
        <v>42580</v>
      </c>
      <c r="D1658" s="1">
        <f t="shared" si="226"/>
        <v>4114.51</v>
      </c>
      <c r="E1658" s="4">
        <f t="shared" si="227"/>
        <v>3984.9909999999991</v>
      </c>
      <c r="F1658" s="3">
        <f t="shared" si="228"/>
        <v>1.0325017045207885</v>
      </c>
      <c r="G1658" s="18">
        <f t="shared" si="229"/>
        <v>1</v>
      </c>
      <c r="H1658" s="3">
        <f t="shared" si="230"/>
        <v>1.6456697705558021E-3</v>
      </c>
      <c r="I1658" s="3">
        <f t="shared" si="231"/>
        <v>1.6456697705558021E-3</v>
      </c>
      <c r="K1658" s="12" t="str">
        <f>IF(AND(G1658=1,G1657&lt;&gt;1),MAX($K$50:K1657)+1,"")</f>
        <v/>
      </c>
      <c r="L1658" s="13" t="str">
        <f>IF(AND(G1658&lt;&gt;1,G1657=1),MAX($L$50:L1657)+1,"")</f>
        <v/>
      </c>
      <c r="M1658" s="13" t="str">
        <f>IF(AND(G1658=-1,G1657&lt;&gt;-1),MAX($M$50:M1657)+1,"")</f>
        <v/>
      </c>
      <c r="N1658" s="13" t="str">
        <f>IF(AND(G1658&lt;&gt;-1,G1657=-1),MAX($N$50:N1657)+1,"")</f>
        <v/>
      </c>
      <c r="T1658" s="7">
        <f t="shared" si="232"/>
        <v>121.26260806432136</v>
      </c>
      <c r="U1658" s="1">
        <f t="shared" si="233"/>
        <v>216.17882718871033</v>
      </c>
    </row>
    <row r="1659" spans="1:21" x14ac:dyDescent="0.3">
      <c r="A1659" s="2">
        <v>42583</v>
      </c>
      <c r="B1659" s="1">
        <v>4109.28</v>
      </c>
      <c r="C1659" s="2">
        <f t="shared" si="225"/>
        <v>42583</v>
      </c>
      <c r="D1659" s="1">
        <f t="shared" si="226"/>
        <v>4109.28</v>
      </c>
      <c r="E1659" s="4">
        <f t="shared" si="227"/>
        <v>3990.2171999999991</v>
      </c>
      <c r="F1659" s="3">
        <f t="shared" si="228"/>
        <v>1.0298386764509964</v>
      </c>
      <c r="G1659" s="18">
        <f t="shared" si="229"/>
        <v>1</v>
      </c>
      <c r="H1659" s="3">
        <f t="shared" si="230"/>
        <v>-1.2711112623375875E-3</v>
      </c>
      <c r="I1659" s="3">
        <f t="shared" si="231"/>
        <v>-1.2711112623375875E-3</v>
      </c>
      <c r="K1659" s="12" t="str">
        <f>IF(AND(G1659=1,G1658&lt;&gt;1),MAX($K$50:K1658)+1,"")</f>
        <v/>
      </c>
      <c r="L1659" s="13" t="str">
        <f>IF(AND(G1659&lt;&gt;1,G1658=1),MAX($L$50:L1658)+1,"")</f>
        <v/>
      </c>
      <c r="M1659" s="13" t="str">
        <f>IF(AND(G1659=-1,G1658&lt;&gt;-1),MAX($M$50:M1658)+1,"")</f>
        <v/>
      </c>
      <c r="N1659" s="13" t="str">
        <f>IF(AND(G1659&lt;&gt;-1,G1658=-1),MAX($N$50:N1658)+1,"")</f>
        <v/>
      </c>
      <c r="T1659" s="7">
        <f t="shared" si="232"/>
        <v>121.10846979751037</v>
      </c>
      <c r="U1659" s="1">
        <f t="shared" si="233"/>
        <v>215.90403984679185</v>
      </c>
    </row>
    <row r="1660" spans="1:21" x14ac:dyDescent="0.3">
      <c r="A1660" s="2">
        <v>42584</v>
      </c>
      <c r="B1660" s="1">
        <v>4083.25</v>
      </c>
      <c r="C1660" s="2">
        <f t="shared" si="225"/>
        <v>42584</v>
      </c>
      <c r="D1660" s="1">
        <f t="shared" si="226"/>
        <v>4083.25</v>
      </c>
      <c r="E1660" s="4">
        <f t="shared" si="227"/>
        <v>3994.4471999999992</v>
      </c>
      <c r="F1660" s="3">
        <f t="shared" si="228"/>
        <v>1.0222315618541662</v>
      </c>
      <c r="G1660" s="18">
        <f t="shared" si="229"/>
        <v>1</v>
      </c>
      <c r="H1660" s="3">
        <f t="shared" si="230"/>
        <v>-6.3344430167814325E-3</v>
      </c>
      <c r="I1660" s="3">
        <f t="shared" si="231"/>
        <v>-6.3344430167814325E-3</v>
      </c>
      <c r="K1660" s="12" t="str">
        <f>IF(AND(G1660=1,G1659&lt;&gt;1),MAX($K$50:K1659)+1,"")</f>
        <v/>
      </c>
      <c r="L1660" s="13" t="str">
        <f>IF(AND(G1660&lt;&gt;1,G1659=1),MAX($L$50:L1659)+1,"")</f>
        <v/>
      </c>
      <c r="M1660" s="13" t="str">
        <f>IF(AND(G1660=-1,G1659&lt;&gt;-1),MAX($M$50:M1659)+1,"")</f>
        <v/>
      </c>
      <c r="N1660" s="13" t="str">
        <f>IF(AND(G1660&lt;&gt;-1,G1659=-1),MAX($N$50:N1659)+1,"")</f>
        <v/>
      </c>
      <c r="T1660" s="7">
        <f t="shared" si="232"/>
        <v>120.34131509672844</v>
      </c>
      <c r="U1660" s="1">
        <f t="shared" si="233"/>
        <v>214.53640800928943</v>
      </c>
    </row>
    <row r="1661" spans="1:21" x14ac:dyDescent="0.3">
      <c r="A1661" s="2">
        <v>42585</v>
      </c>
      <c r="B1661" s="1">
        <v>4097.3</v>
      </c>
      <c r="C1661" s="2">
        <f t="shared" si="225"/>
        <v>42585</v>
      </c>
      <c r="D1661" s="1">
        <f t="shared" si="226"/>
        <v>4097.3</v>
      </c>
      <c r="E1661" s="4">
        <f t="shared" si="227"/>
        <v>3999.1167999999993</v>
      </c>
      <c r="F1661" s="3">
        <f t="shared" si="228"/>
        <v>1.0245512209095771</v>
      </c>
      <c r="G1661" s="18">
        <f t="shared" si="229"/>
        <v>1</v>
      </c>
      <c r="H1661" s="3">
        <f t="shared" si="230"/>
        <v>3.4408865487052243E-3</v>
      </c>
      <c r="I1661" s="3">
        <f t="shared" si="231"/>
        <v>3.4408865487052243E-3</v>
      </c>
      <c r="K1661" s="12" t="str">
        <f>IF(AND(G1661=1,G1660&lt;&gt;1),MAX($K$50:K1660)+1,"")</f>
        <v/>
      </c>
      <c r="L1661" s="13" t="str">
        <f>IF(AND(G1661&lt;&gt;1,G1660=1),MAX($L$50:L1660)+1,"")</f>
        <v/>
      </c>
      <c r="M1661" s="13" t="str">
        <f>IF(AND(G1661=-1,G1660&lt;&gt;-1),MAX($M$50:M1660)+1,"")</f>
        <v/>
      </c>
      <c r="N1661" s="13" t="str">
        <f>IF(AND(G1661&lt;&gt;-1,G1660=-1),MAX($N$50:N1660)+1,"")</f>
        <v/>
      </c>
      <c r="T1661" s="7">
        <f t="shared" si="232"/>
        <v>120.75539590909827</v>
      </c>
      <c r="U1661" s="1">
        <f t="shared" si="233"/>
        <v>215.27460344981608</v>
      </c>
    </row>
    <row r="1662" spans="1:21" x14ac:dyDescent="0.3">
      <c r="A1662" s="2">
        <v>42586</v>
      </c>
      <c r="B1662" s="1">
        <v>4099.21</v>
      </c>
      <c r="C1662" s="2">
        <f t="shared" si="225"/>
        <v>42586</v>
      </c>
      <c r="D1662" s="1">
        <f t="shared" si="226"/>
        <v>4099.21</v>
      </c>
      <c r="E1662" s="4">
        <f t="shared" si="227"/>
        <v>4002.7655999999993</v>
      </c>
      <c r="F1662" s="3">
        <f t="shared" si="228"/>
        <v>1.0240944411034212</v>
      </c>
      <c r="G1662" s="18">
        <f t="shared" si="229"/>
        <v>1</v>
      </c>
      <c r="H1662" s="3">
        <f t="shared" si="230"/>
        <v>4.6616064237414712E-4</v>
      </c>
      <c r="I1662" s="3">
        <f t="shared" si="231"/>
        <v>4.6616064237414712E-4</v>
      </c>
      <c r="K1662" s="12" t="str">
        <f>IF(AND(G1662=1,G1661&lt;&gt;1),MAX($K$50:K1661)+1,"")</f>
        <v/>
      </c>
      <c r="L1662" s="13" t="str">
        <f>IF(AND(G1662&lt;&gt;1,G1661=1),MAX($L$50:L1661)+1,"")</f>
        <v/>
      </c>
      <c r="M1662" s="13" t="str">
        <f>IF(AND(G1662=-1,G1661&lt;&gt;-1),MAX($M$50:M1661)+1,"")</f>
        <v/>
      </c>
      <c r="N1662" s="13" t="str">
        <f>IF(AND(G1662&lt;&gt;-1,G1661=-1),MAX($N$50:N1661)+1,"")</f>
        <v/>
      </c>
      <c r="T1662" s="7">
        <f t="shared" si="232"/>
        <v>120.81168732202539</v>
      </c>
      <c r="U1662" s="1">
        <f t="shared" si="233"/>
        <v>215.3749559972471</v>
      </c>
    </row>
    <row r="1663" spans="1:21" x14ac:dyDescent="0.3">
      <c r="A1663" s="2">
        <v>42587</v>
      </c>
      <c r="B1663" s="1">
        <v>4134.5600000000004</v>
      </c>
      <c r="C1663" s="2">
        <f t="shared" si="225"/>
        <v>42587</v>
      </c>
      <c r="D1663" s="1">
        <f t="shared" si="226"/>
        <v>4134.5600000000004</v>
      </c>
      <c r="E1663" s="4">
        <f t="shared" si="227"/>
        <v>4006.5701999999997</v>
      </c>
      <c r="F1663" s="3">
        <f t="shared" si="228"/>
        <v>1.0319449787751132</v>
      </c>
      <c r="G1663" s="18">
        <f t="shared" si="229"/>
        <v>1</v>
      </c>
      <c r="H1663" s="3">
        <f t="shared" si="230"/>
        <v>8.6236128424745928E-3</v>
      </c>
      <c r="I1663" s="3">
        <f t="shared" si="231"/>
        <v>8.6236128424745928E-3</v>
      </c>
      <c r="K1663" s="12" t="str">
        <f>IF(AND(G1663=1,G1662&lt;&gt;1),MAX($K$50:K1662)+1,"")</f>
        <v/>
      </c>
      <c r="L1663" s="13" t="str">
        <f>IF(AND(G1663&lt;&gt;1,G1662=1),MAX($L$50:L1662)+1,"")</f>
        <v/>
      </c>
      <c r="M1663" s="13" t="str">
        <f>IF(AND(G1663=-1,G1662&lt;&gt;-1),MAX($M$50:M1662)+1,"")</f>
        <v/>
      </c>
      <c r="N1663" s="13" t="str">
        <f>IF(AND(G1663&lt;&gt;-1,G1662=-1),MAX($N$50:N1662)+1,"")</f>
        <v/>
      </c>
      <c r="T1663" s="7">
        <f t="shared" si="232"/>
        <v>121.85352054033663</v>
      </c>
      <c r="U1663" s="1">
        <f t="shared" si="233"/>
        <v>217.23226623373236</v>
      </c>
    </row>
    <row r="1664" spans="1:21" x14ac:dyDescent="0.3">
      <c r="A1664" s="2">
        <v>42590</v>
      </c>
      <c r="B1664" s="1">
        <v>4131.1899999999996</v>
      </c>
      <c r="C1664" s="2">
        <f t="shared" si="225"/>
        <v>42590</v>
      </c>
      <c r="D1664" s="1">
        <f t="shared" si="226"/>
        <v>4131.1899999999996</v>
      </c>
      <c r="E1664" s="4">
        <f t="shared" si="227"/>
        <v>4010.3130000000001</v>
      </c>
      <c r="F1664" s="3">
        <f t="shared" si="228"/>
        <v>1.0301415375807323</v>
      </c>
      <c r="G1664" s="18">
        <f t="shared" si="229"/>
        <v>1</v>
      </c>
      <c r="H1664" s="3">
        <f t="shared" si="230"/>
        <v>-8.1508068573221681E-4</v>
      </c>
      <c r="I1664" s="3">
        <f t="shared" si="231"/>
        <v>-8.1508068573221681E-4</v>
      </c>
      <c r="K1664" s="12" t="str">
        <f>IF(AND(G1664=1,G1663&lt;&gt;1),MAX($K$50:K1663)+1,"")</f>
        <v/>
      </c>
      <c r="L1664" s="13" t="str">
        <f>IF(AND(G1664&lt;&gt;1,G1663=1),MAX($L$50:L1663)+1,"")</f>
        <v/>
      </c>
      <c r="M1664" s="13" t="str">
        <f>IF(AND(G1664=-1,G1663&lt;&gt;-1),MAX($M$50:M1663)+1,"")</f>
        <v/>
      </c>
      <c r="N1664" s="13" t="str">
        <f>IF(AND(G1664&lt;&gt;-1,G1663=-1),MAX($N$50:N1663)+1,"")</f>
        <v/>
      </c>
      <c r="T1664" s="7">
        <f t="shared" si="232"/>
        <v>121.75420008925573</v>
      </c>
      <c r="U1664" s="1">
        <f t="shared" si="233"/>
        <v>217.05520440920742</v>
      </c>
    </row>
    <row r="1665" spans="1:21" x14ac:dyDescent="0.3">
      <c r="A1665" s="2">
        <v>42591</v>
      </c>
      <c r="B1665" s="1">
        <v>4132.96</v>
      </c>
      <c r="C1665" s="2">
        <f t="shared" si="225"/>
        <v>42591</v>
      </c>
      <c r="D1665" s="1">
        <f t="shared" si="226"/>
        <v>4132.96</v>
      </c>
      <c r="E1665" s="4">
        <f t="shared" si="227"/>
        <v>4013.7387999999996</v>
      </c>
      <c r="F1665" s="3">
        <f t="shared" si="228"/>
        <v>1.0297032781505364</v>
      </c>
      <c r="G1665" s="18">
        <f t="shared" si="229"/>
        <v>1</v>
      </c>
      <c r="H1665" s="3">
        <f t="shared" si="230"/>
        <v>4.2844797745944518E-4</v>
      </c>
      <c r="I1665" s="3">
        <f t="shared" si="231"/>
        <v>4.2844797745944518E-4</v>
      </c>
      <c r="K1665" s="12" t="str">
        <f>IF(AND(G1665=1,G1664&lt;&gt;1),MAX($K$50:K1664)+1,"")</f>
        <v/>
      </c>
      <c r="L1665" s="13" t="str">
        <f>IF(AND(G1665&lt;&gt;1,G1664=1),MAX($L$50:L1664)+1,"")</f>
        <v/>
      </c>
      <c r="M1665" s="13" t="str">
        <f>IF(AND(G1665=-1,G1664&lt;&gt;-1),MAX($M$50:M1664)+1,"")</f>
        <v/>
      </c>
      <c r="N1665" s="13" t="str">
        <f>IF(AND(G1665&lt;&gt;-1,G1664=-1),MAX($N$50:N1664)+1,"")</f>
        <v/>
      </c>
      <c r="T1665" s="7">
        <f t="shared" si="232"/>
        <v>121.80636543003116</v>
      </c>
      <c r="U1665" s="1">
        <f t="shared" si="233"/>
        <v>217.14820127253356</v>
      </c>
    </row>
    <row r="1666" spans="1:21" x14ac:dyDescent="0.3">
      <c r="A1666" s="2">
        <v>42592</v>
      </c>
      <c r="B1666" s="1">
        <v>4122.6499999999996</v>
      </c>
      <c r="C1666" s="2">
        <f t="shared" si="225"/>
        <v>42592</v>
      </c>
      <c r="D1666" s="1">
        <f t="shared" si="226"/>
        <v>4122.6499999999996</v>
      </c>
      <c r="E1666" s="4">
        <f t="shared" si="227"/>
        <v>4017.0327999999995</v>
      </c>
      <c r="F1666" s="3">
        <f t="shared" si="228"/>
        <v>1.0262923419495107</v>
      </c>
      <c r="G1666" s="18">
        <f t="shared" si="229"/>
        <v>1</v>
      </c>
      <c r="H1666" s="3">
        <f t="shared" si="230"/>
        <v>-2.4945801556270908E-3</v>
      </c>
      <c r="I1666" s="3">
        <f t="shared" si="231"/>
        <v>-2.4945801556270908E-3</v>
      </c>
      <c r="K1666" s="12" t="str">
        <f>IF(AND(G1666=1,G1665&lt;&gt;1),MAX($K$50:K1665)+1,"")</f>
        <v/>
      </c>
      <c r="L1666" s="13" t="str">
        <f>IF(AND(G1666&lt;&gt;1,G1665=1),MAX($L$50:L1665)+1,"")</f>
        <v/>
      </c>
      <c r="M1666" s="13" t="str">
        <f>IF(AND(G1666=-1,G1665&lt;&gt;-1),MAX($M$50:M1665)+1,"")</f>
        <v/>
      </c>
      <c r="N1666" s="13" t="str">
        <f>IF(AND(G1666&lt;&gt;-1,G1665=-1),MAX($N$50:N1665)+1,"")</f>
        <v/>
      </c>
      <c r="T1666" s="7">
        <f t="shared" si="232"/>
        <v>121.50250968800034</v>
      </c>
      <c r="U1666" s="1">
        <f t="shared" si="233"/>
        <v>216.60650767880898</v>
      </c>
    </row>
    <row r="1667" spans="1:21" x14ac:dyDescent="0.3">
      <c r="A1667" s="2">
        <v>42593</v>
      </c>
      <c r="B1667" s="1">
        <v>4142.72</v>
      </c>
      <c r="C1667" s="2">
        <f t="shared" si="225"/>
        <v>42593</v>
      </c>
      <c r="D1667" s="1">
        <f t="shared" si="226"/>
        <v>4142.72</v>
      </c>
      <c r="E1667" s="4">
        <f t="shared" si="227"/>
        <v>4020.6251999999995</v>
      </c>
      <c r="F1667" s="3">
        <f t="shared" si="228"/>
        <v>1.0303671180293057</v>
      </c>
      <c r="G1667" s="18">
        <f t="shared" si="229"/>
        <v>1</v>
      </c>
      <c r="H1667" s="3">
        <f t="shared" si="230"/>
        <v>4.8682279601715006E-3</v>
      </c>
      <c r="I1667" s="3">
        <f t="shared" si="231"/>
        <v>4.8682279601715006E-3</v>
      </c>
      <c r="K1667" s="12" t="str">
        <f>IF(AND(G1667=1,G1666&lt;&gt;1),MAX($K$50:K1666)+1,"")</f>
        <v/>
      </c>
      <c r="L1667" s="13" t="str">
        <f>IF(AND(G1667&lt;&gt;1,G1666=1),MAX($L$50:L1666)+1,"")</f>
        <v/>
      </c>
      <c r="M1667" s="13" t="str">
        <f>IF(AND(G1667=-1,G1666&lt;&gt;-1),MAX($M$50:M1666)+1,"")</f>
        <v/>
      </c>
      <c r="N1667" s="13" t="str">
        <f>IF(AND(G1667&lt;&gt;-1,G1666=-1),MAX($N$50:N1666)+1,"")</f>
        <v/>
      </c>
      <c r="T1667" s="7">
        <f t="shared" si="232"/>
        <v>122.09401160289448</v>
      </c>
      <c r="U1667" s="1">
        <f t="shared" si="233"/>
        <v>217.66099753584604</v>
      </c>
    </row>
    <row r="1668" spans="1:21" x14ac:dyDescent="0.3">
      <c r="A1668" s="2">
        <v>42594</v>
      </c>
      <c r="B1668" s="1">
        <v>4139.63</v>
      </c>
      <c r="C1668" s="2">
        <f t="shared" si="225"/>
        <v>42594</v>
      </c>
      <c r="D1668" s="1">
        <f t="shared" si="226"/>
        <v>4139.63</v>
      </c>
      <c r="E1668" s="4">
        <f t="shared" si="227"/>
        <v>4023.9225999999999</v>
      </c>
      <c r="F1668" s="3">
        <f t="shared" si="228"/>
        <v>1.0287548771440087</v>
      </c>
      <c r="G1668" s="18">
        <f t="shared" si="229"/>
        <v>1</v>
      </c>
      <c r="H1668" s="3">
        <f t="shared" si="230"/>
        <v>-7.4588676038933599E-4</v>
      </c>
      <c r="I1668" s="3">
        <f t="shared" si="231"/>
        <v>-7.4588676038933599E-4</v>
      </c>
      <c r="K1668" s="12" t="str">
        <f>IF(AND(G1668=1,G1667&lt;&gt;1),MAX($K$50:K1667)+1,"")</f>
        <v/>
      </c>
      <c r="L1668" s="13" t="str">
        <f>IF(AND(G1668&lt;&gt;1,G1667=1),MAX($L$50:L1667)+1,"")</f>
        <v/>
      </c>
      <c r="M1668" s="13" t="str">
        <f>IF(AND(G1668=-1,G1667&lt;&gt;-1),MAX($M$50:M1667)+1,"")</f>
        <v/>
      </c>
      <c r="N1668" s="13" t="str">
        <f>IF(AND(G1668&lt;&gt;-1,G1667=-1),MAX($N$50:N1667)+1,"")</f>
        <v/>
      </c>
      <c r="T1668" s="7">
        <f t="shared" si="232"/>
        <v>122.00294329611707</v>
      </c>
      <c r="U1668" s="1">
        <f t="shared" si="233"/>
        <v>217.49864707953091</v>
      </c>
    </row>
    <row r="1669" spans="1:21" x14ac:dyDescent="0.3">
      <c r="A1669" s="2">
        <v>42597</v>
      </c>
      <c r="B1669" s="1">
        <v>4151.6899999999996</v>
      </c>
      <c r="C1669" s="2">
        <f t="shared" si="225"/>
        <v>42597</v>
      </c>
      <c r="D1669" s="1">
        <f t="shared" si="226"/>
        <v>4151.6899999999996</v>
      </c>
      <c r="E1669" s="4">
        <f t="shared" si="227"/>
        <v>4027.6918000000001</v>
      </c>
      <c r="F1669" s="3">
        <f t="shared" si="228"/>
        <v>1.0307864171732304</v>
      </c>
      <c r="G1669" s="18">
        <f t="shared" si="229"/>
        <v>1</v>
      </c>
      <c r="H1669" s="3">
        <f t="shared" si="230"/>
        <v>2.9133038459958627E-3</v>
      </c>
      <c r="I1669" s="3">
        <f t="shared" si="231"/>
        <v>2.9133038459958627E-3</v>
      </c>
      <c r="K1669" s="12" t="str">
        <f>IF(AND(G1669=1,G1668&lt;&gt;1),MAX($K$50:K1668)+1,"")</f>
        <v/>
      </c>
      <c r="L1669" s="13" t="str">
        <f>IF(AND(G1669&lt;&gt;1,G1668=1),MAX($L$50:L1668)+1,"")</f>
        <v/>
      </c>
      <c r="M1669" s="13" t="str">
        <f>IF(AND(G1669=-1,G1668&lt;&gt;-1),MAX($M$50:M1668)+1,"")</f>
        <v/>
      </c>
      <c r="N1669" s="13" t="str">
        <f>IF(AND(G1669&lt;&gt;-1,G1668=-1),MAX($N$50:N1668)+1,"")</f>
        <v/>
      </c>
      <c r="T1669" s="7">
        <f t="shared" si="232"/>
        <v>122.35837494004446</v>
      </c>
      <c r="U1669" s="1">
        <f t="shared" si="233"/>
        <v>218.13228672456657</v>
      </c>
    </row>
    <row r="1670" spans="1:21" x14ac:dyDescent="0.3">
      <c r="A1670" s="2">
        <v>42598</v>
      </c>
      <c r="B1670" s="1">
        <v>4129.68</v>
      </c>
      <c r="C1670" s="2">
        <f t="shared" si="225"/>
        <v>42598</v>
      </c>
      <c r="D1670" s="1">
        <f t="shared" si="226"/>
        <v>4129.68</v>
      </c>
      <c r="E1670" s="4">
        <f t="shared" si="227"/>
        <v>4030.6306</v>
      </c>
      <c r="F1670" s="3">
        <f t="shared" si="228"/>
        <v>1.0245741696100854</v>
      </c>
      <c r="G1670" s="18">
        <f t="shared" si="229"/>
        <v>1</v>
      </c>
      <c r="H1670" s="3">
        <f t="shared" si="230"/>
        <v>-5.3014555518353657E-3</v>
      </c>
      <c r="I1670" s="3">
        <f t="shared" si="231"/>
        <v>-5.3014555518353657E-3</v>
      </c>
      <c r="K1670" s="12" t="str">
        <f>IF(AND(G1670=1,G1669&lt;&gt;1),MAX($K$50:K1669)+1,"")</f>
        <v/>
      </c>
      <c r="L1670" s="13" t="str">
        <f>IF(AND(G1670&lt;&gt;1,G1669=1),MAX($L$50:L1669)+1,"")</f>
        <v/>
      </c>
      <c r="M1670" s="13" t="str">
        <f>IF(AND(G1670=-1,G1669&lt;&gt;-1),MAX($M$50:M1669)+1,"")</f>
        <v/>
      </c>
      <c r="N1670" s="13" t="str">
        <f>IF(AND(G1670&lt;&gt;-1,G1669=-1),MAX($N$50:N1669)+1,"")</f>
        <v/>
      </c>
      <c r="T1670" s="7">
        <f t="shared" si="232"/>
        <v>121.70969745390501</v>
      </c>
      <c r="U1670" s="1">
        <f t="shared" si="233"/>
        <v>216.97586810207608</v>
      </c>
    </row>
    <row r="1671" spans="1:21" x14ac:dyDescent="0.3">
      <c r="A1671" s="2">
        <v>42599</v>
      </c>
      <c r="B1671" s="1">
        <v>4138.42</v>
      </c>
      <c r="C1671" s="2">
        <f t="shared" si="225"/>
        <v>42599</v>
      </c>
      <c r="D1671" s="1">
        <f t="shared" si="226"/>
        <v>4138.42</v>
      </c>
      <c r="E1671" s="4">
        <f t="shared" si="227"/>
        <v>4033.6397999999999</v>
      </c>
      <c r="F1671" s="3">
        <f t="shared" si="228"/>
        <v>1.0259765881921337</v>
      </c>
      <c r="G1671" s="18">
        <f t="shared" si="229"/>
        <v>1</v>
      </c>
      <c r="H1671" s="3">
        <f t="shared" si="230"/>
        <v>2.1163867418299009E-3</v>
      </c>
      <c r="I1671" s="3">
        <f t="shared" si="231"/>
        <v>2.1163867418299009E-3</v>
      </c>
      <c r="K1671" s="12" t="str">
        <f>IF(AND(G1671=1,G1670&lt;&gt;1),MAX($K$50:K1670)+1,"")</f>
        <v/>
      </c>
      <c r="L1671" s="13" t="str">
        <f>IF(AND(G1671&lt;&gt;1,G1670=1),MAX($L$50:L1670)+1,"")</f>
        <v/>
      </c>
      <c r="M1671" s="13" t="str">
        <f>IF(AND(G1671=-1,G1670&lt;&gt;-1),MAX($M$50:M1670)+1,"")</f>
        <v/>
      </c>
      <c r="N1671" s="13" t="str">
        <f>IF(AND(G1671&lt;&gt;-1,G1670=-1),MAX($N$50:N1670)+1,"")</f>
        <v/>
      </c>
      <c r="T1671" s="7">
        <f t="shared" si="232"/>
        <v>121.96728224394857</v>
      </c>
      <c r="U1671" s="1">
        <f t="shared" si="233"/>
        <v>217.43507295262432</v>
      </c>
    </row>
    <row r="1672" spans="1:21" x14ac:dyDescent="0.3">
      <c r="A1672" s="2">
        <v>42600</v>
      </c>
      <c r="B1672" s="1">
        <v>4147.6400000000003</v>
      </c>
      <c r="C1672" s="2">
        <f t="shared" si="225"/>
        <v>42600</v>
      </c>
      <c r="D1672" s="1">
        <f t="shared" si="226"/>
        <v>4147.6400000000003</v>
      </c>
      <c r="E1672" s="4">
        <f t="shared" si="227"/>
        <v>4036.5530000000003</v>
      </c>
      <c r="F1672" s="3">
        <f t="shared" si="228"/>
        <v>1.0275202629570328</v>
      </c>
      <c r="G1672" s="18">
        <f t="shared" si="229"/>
        <v>1</v>
      </c>
      <c r="H1672" s="3">
        <f t="shared" si="230"/>
        <v>2.2279034027479216E-3</v>
      </c>
      <c r="I1672" s="3">
        <f t="shared" si="231"/>
        <v>2.2279034027479216E-3</v>
      </c>
      <c r="K1672" s="12" t="str">
        <f>IF(AND(G1672=1,G1671&lt;&gt;1),MAX($K$50:K1671)+1,"")</f>
        <v/>
      </c>
      <c r="L1672" s="13" t="str">
        <f>IF(AND(G1672&lt;&gt;1,G1671=1),MAX($L$50:L1671)+1,"")</f>
        <v/>
      </c>
      <c r="M1672" s="13" t="str">
        <f>IF(AND(G1672=-1,G1671&lt;&gt;-1),MAX($M$50:M1671)+1,"")</f>
        <v/>
      </c>
      <c r="N1672" s="13" t="str">
        <f>IF(AND(G1672&lt;&gt;-1,G1671=-1),MAX($N$50:N1671)+1,"")</f>
        <v/>
      </c>
      <c r="T1672" s="7">
        <f t="shared" si="232"/>
        <v>122.23901356708379</v>
      </c>
      <c r="U1672" s="1">
        <f t="shared" si="233"/>
        <v>217.91949729153225</v>
      </c>
    </row>
    <row r="1673" spans="1:21" x14ac:dyDescent="0.3">
      <c r="A1673" s="2">
        <v>42601</v>
      </c>
      <c r="B1673" s="1">
        <v>4142.2299999999996</v>
      </c>
      <c r="C1673" s="2">
        <f t="shared" si="225"/>
        <v>42601</v>
      </c>
      <c r="D1673" s="1">
        <f t="shared" si="226"/>
        <v>4142.2299999999996</v>
      </c>
      <c r="E1673" s="4">
        <f t="shared" si="227"/>
        <v>4039.4920000000006</v>
      </c>
      <c r="F1673" s="3">
        <f t="shared" si="228"/>
        <v>1.0254333960804969</v>
      </c>
      <c r="G1673" s="18">
        <f t="shared" si="229"/>
        <v>1</v>
      </c>
      <c r="H1673" s="3">
        <f t="shared" si="230"/>
        <v>-1.3043562122075913E-3</v>
      </c>
      <c r="I1673" s="3">
        <f t="shared" si="231"/>
        <v>-1.3043562122075913E-3</v>
      </c>
      <c r="K1673" s="12" t="str">
        <f>IF(AND(G1673=1,G1672&lt;&gt;1),MAX($K$50:K1672)+1,"")</f>
        <v/>
      </c>
      <c r="L1673" s="13" t="str">
        <f>IF(AND(G1673&lt;&gt;1,G1672=1),MAX($L$50:L1672)+1,"")</f>
        <v/>
      </c>
      <c r="M1673" s="13" t="str">
        <f>IF(AND(G1673=-1,G1672&lt;&gt;-1),MAX($M$50:M1672)+1,"")</f>
        <v/>
      </c>
      <c r="N1673" s="13" t="str">
        <f>IF(AND(G1673&lt;&gt;-1,G1672=-1),MAX($N$50:N1672)+1,"")</f>
        <v/>
      </c>
      <c r="T1673" s="7">
        <f t="shared" si="232"/>
        <v>122.07957035036344</v>
      </c>
      <c r="U1673" s="1">
        <f t="shared" si="233"/>
        <v>217.63525264147887</v>
      </c>
    </row>
    <row r="1674" spans="1:21" x14ac:dyDescent="0.3">
      <c r="A1674" s="2">
        <v>42604</v>
      </c>
      <c r="B1674" s="1">
        <v>4139.97</v>
      </c>
      <c r="C1674" s="2">
        <f t="shared" si="225"/>
        <v>42604</v>
      </c>
      <c r="D1674" s="1">
        <f t="shared" si="226"/>
        <v>4139.97</v>
      </c>
      <c r="E1674" s="4">
        <f t="shared" si="227"/>
        <v>4043.1178000000009</v>
      </c>
      <c r="F1674" s="3">
        <f t="shared" si="228"/>
        <v>1.0239548301066073</v>
      </c>
      <c r="G1674" s="18">
        <f t="shared" si="229"/>
        <v>1</v>
      </c>
      <c r="H1674" s="3">
        <f t="shared" si="230"/>
        <v>-5.4559983390567446E-4</v>
      </c>
      <c r="I1674" s="3">
        <f t="shared" si="231"/>
        <v>-5.4559983390567446E-4</v>
      </c>
      <c r="K1674" s="12" t="str">
        <f>IF(AND(G1674=1,G1673&lt;&gt;1),MAX($K$50:K1673)+1,"")</f>
        <v/>
      </c>
      <c r="L1674" s="13" t="str">
        <f>IF(AND(G1674&lt;&gt;1,G1673=1),MAX($L$50:L1673)+1,"")</f>
        <v/>
      </c>
      <c r="M1674" s="13" t="str">
        <f>IF(AND(G1674=-1,G1673&lt;&gt;-1),MAX($M$50:M1673)+1,"")</f>
        <v/>
      </c>
      <c r="N1674" s="13" t="str">
        <f>IF(AND(G1674&lt;&gt;-1,G1673=-1),MAX($N$50:N1673)+1,"")</f>
        <v/>
      </c>
      <c r="T1674" s="7">
        <f t="shared" si="232"/>
        <v>122.01296375705701</v>
      </c>
      <c r="U1674" s="1">
        <f t="shared" si="233"/>
        <v>217.51651088378566</v>
      </c>
    </row>
    <row r="1675" spans="1:21" x14ac:dyDescent="0.3">
      <c r="A1675" s="2">
        <v>42605</v>
      </c>
      <c r="B1675" s="1">
        <v>4148.16</v>
      </c>
      <c r="C1675" s="2">
        <f t="shared" si="225"/>
        <v>42605</v>
      </c>
      <c r="D1675" s="1">
        <f t="shared" si="226"/>
        <v>4148.16</v>
      </c>
      <c r="E1675" s="4">
        <f t="shared" si="227"/>
        <v>4047.5264000000006</v>
      </c>
      <c r="F1675" s="3">
        <f t="shared" si="228"/>
        <v>1.0248629879226974</v>
      </c>
      <c r="G1675" s="18">
        <f t="shared" si="229"/>
        <v>1</v>
      </c>
      <c r="H1675" s="3">
        <f t="shared" si="230"/>
        <v>1.9782752048926877E-3</v>
      </c>
      <c r="I1675" s="3">
        <f t="shared" si="231"/>
        <v>1.9782752048926877E-3</v>
      </c>
      <c r="K1675" s="12" t="str">
        <f>IF(AND(G1675=1,G1674&lt;&gt;1),MAX($K$50:K1674)+1,"")</f>
        <v/>
      </c>
      <c r="L1675" s="13" t="str">
        <f>IF(AND(G1675&lt;&gt;1,G1674=1),MAX($L$50:L1674)+1,"")</f>
        <v/>
      </c>
      <c r="M1675" s="13" t="str">
        <f>IF(AND(G1675=-1,G1674&lt;&gt;-1),MAX($M$50:M1674)+1,"")</f>
        <v/>
      </c>
      <c r="N1675" s="13" t="str">
        <f>IF(AND(G1675&lt;&gt;-1,G1674=-1),MAX($N$50:N1674)+1,"")</f>
        <v/>
      </c>
      <c r="T1675" s="7">
        <f t="shared" si="232"/>
        <v>122.25433897793306</v>
      </c>
      <c r="U1675" s="1">
        <f t="shared" si="233"/>
        <v>217.94681840392184</v>
      </c>
    </row>
    <row r="1676" spans="1:21" x14ac:dyDescent="0.3">
      <c r="A1676" s="2">
        <v>42606</v>
      </c>
      <c r="B1676" s="1">
        <v>4126.6499999999996</v>
      </c>
      <c r="C1676" s="2">
        <f t="shared" si="225"/>
        <v>42606</v>
      </c>
      <c r="D1676" s="1">
        <f t="shared" si="226"/>
        <v>4126.6499999999996</v>
      </c>
      <c r="E1676" s="4">
        <f t="shared" si="227"/>
        <v>4051.6408000000006</v>
      </c>
      <c r="F1676" s="3">
        <f t="shared" si="228"/>
        <v>1.0185132897269666</v>
      </c>
      <c r="G1676" s="18">
        <f t="shared" si="229"/>
        <v>1</v>
      </c>
      <c r="H1676" s="3">
        <f t="shared" si="230"/>
        <v>-5.1854316130526268E-3</v>
      </c>
      <c r="I1676" s="3">
        <f t="shared" si="231"/>
        <v>-5.1854316130526268E-3</v>
      </c>
      <c r="K1676" s="12" t="str">
        <f>IF(AND(G1676=1,G1675&lt;&gt;1),MAX($K$50:K1675)+1,"")</f>
        <v/>
      </c>
      <c r="L1676" s="13" t="str">
        <f>IF(AND(G1676&lt;&gt;1,G1675=1),MAX($L$50:L1675)+1,"")</f>
        <v/>
      </c>
      <c r="M1676" s="13" t="str">
        <f>IF(AND(G1676=-1,G1675&lt;&gt;-1),MAX($M$50:M1675)+1,"")</f>
        <v/>
      </c>
      <c r="N1676" s="13" t="str">
        <f>IF(AND(G1676&lt;&gt;-1,G1675=-1),MAX($N$50:N1675)+1,"")</f>
        <v/>
      </c>
      <c r="T1676" s="7">
        <f t="shared" si="232"/>
        <v>121.62039746376404</v>
      </c>
      <c r="U1676" s="1">
        <f t="shared" si="233"/>
        <v>216.81667008180591</v>
      </c>
    </row>
    <row r="1677" spans="1:21" x14ac:dyDescent="0.3">
      <c r="A1677" s="2">
        <v>42607</v>
      </c>
      <c r="B1677" s="1">
        <v>4121.09</v>
      </c>
      <c r="C1677" s="2">
        <f t="shared" si="225"/>
        <v>42607</v>
      </c>
      <c r="D1677" s="1">
        <f t="shared" si="226"/>
        <v>4121.09</v>
      </c>
      <c r="E1677" s="4">
        <f t="shared" si="227"/>
        <v>4055.782200000001</v>
      </c>
      <c r="F1677" s="3">
        <f t="shared" si="228"/>
        <v>1.0161023932695397</v>
      </c>
      <c r="G1677" s="18">
        <f t="shared" si="229"/>
        <v>1</v>
      </c>
      <c r="H1677" s="3">
        <f t="shared" si="230"/>
        <v>-1.3473398519379121E-3</v>
      </c>
      <c r="I1677" s="3">
        <f t="shared" si="231"/>
        <v>-1.3473398519379121E-3</v>
      </c>
      <c r="K1677" s="12" t="str">
        <f>IF(AND(G1677=1,G1676&lt;&gt;1),MAX($K$50:K1676)+1,"")</f>
        <v/>
      </c>
      <c r="L1677" s="13" t="str">
        <f>IF(AND(G1677&lt;&gt;1,G1676=1),MAX($L$50:L1676)+1,"")</f>
        <v/>
      </c>
      <c r="M1677" s="13" t="str">
        <f>IF(AND(G1677=-1,G1676&lt;&gt;-1),MAX($M$50:M1676)+1,"")</f>
        <v/>
      </c>
      <c r="N1677" s="13" t="str">
        <f>IF(AND(G1677&lt;&gt;-1,G1676=-1),MAX($N$50:N1676)+1,"")</f>
        <v/>
      </c>
      <c r="T1677" s="7">
        <f t="shared" si="232"/>
        <v>121.45653345545257</v>
      </c>
      <c r="U1677" s="1">
        <f t="shared" si="233"/>
        <v>216.52454434164022</v>
      </c>
    </row>
    <row r="1678" spans="1:21" x14ac:dyDescent="0.3">
      <c r="A1678" s="2">
        <v>42608</v>
      </c>
      <c r="B1678" s="1">
        <v>4114.68</v>
      </c>
      <c r="C1678" s="2">
        <f t="shared" si="225"/>
        <v>42608</v>
      </c>
      <c r="D1678" s="1">
        <f t="shared" si="226"/>
        <v>4114.68</v>
      </c>
      <c r="E1678" s="4">
        <f t="shared" si="227"/>
        <v>4059.5372000000002</v>
      </c>
      <c r="F1678" s="3">
        <f t="shared" si="228"/>
        <v>1.0135835188306688</v>
      </c>
      <c r="G1678" s="18">
        <f t="shared" si="229"/>
        <v>1</v>
      </c>
      <c r="H1678" s="3">
        <f t="shared" si="230"/>
        <v>-1.5554137376275756E-3</v>
      </c>
      <c r="I1678" s="3">
        <f t="shared" si="231"/>
        <v>-1.5554137376275756E-3</v>
      </c>
      <c r="K1678" s="12" t="str">
        <f>IF(AND(G1678=1,G1677&lt;&gt;1),MAX($K$50:K1677)+1,"")</f>
        <v/>
      </c>
      <c r="L1678" s="13" t="str">
        <f>IF(AND(G1678&lt;&gt;1,G1677=1),MAX($L$50:L1677)+1,"")</f>
        <v/>
      </c>
      <c r="M1678" s="13" t="str">
        <f>IF(AND(G1678=-1,G1677&lt;&gt;-1),MAX($M$50:M1677)+1,"")</f>
        <v/>
      </c>
      <c r="N1678" s="13" t="str">
        <f>IF(AND(G1678&lt;&gt;-1,G1677=-1),MAX($N$50:N1677)+1,"")</f>
        <v/>
      </c>
      <c r="T1678" s="7">
        <f t="shared" si="232"/>
        <v>121.26761829479133</v>
      </c>
      <c r="U1678" s="1">
        <f t="shared" si="233"/>
        <v>216.18775909083769</v>
      </c>
    </row>
    <row r="1679" spans="1:21" x14ac:dyDescent="0.3">
      <c r="A1679" s="2">
        <v>42611</v>
      </c>
      <c r="B1679" s="1">
        <v>4136.75</v>
      </c>
      <c r="C1679" s="2">
        <f t="shared" si="225"/>
        <v>42611</v>
      </c>
      <c r="D1679" s="1">
        <f t="shared" si="226"/>
        <v>4136.75</v>
      </c>
      <c r="E1679" s="4">
        <f t="shared" si="227"/>
        <v>4063.9892000000004</v>
      </c>
      <c r="F1679" s="3">
        <f t="shared" si="228"/>
        <v>1.0179037877364436</v>
      </c>
      <c r="G1679" s="18">
        <f t="shared" si="229"/>
        <v>1</v>
      </c>
      <c r="H1679" s="3">
        <f t="shared" si="230"/>
        <v>5.3637220877442715E-3</v>
      </c>
      <c r="I1679" s="3">
        <f t="shared" si="231"/>
        <v>5.3637220877442715E-3</v>
      </c>
      <c r="K1679" s="12" t="str">
        <f>IF(AND(G1679=1,G1678&lt;&gt;1),MAX($K$50:K1678)+1,"")</f>
        <v/>
      </c>
      <c r="L1679" s="13" t="str">
        <f>IF(AND(G1679&lt;&gt;1,G1678=1),MAX($L$50:L1678)+1,"")</f>
        <v/>
      </c>
      <c r="M1679" s="13" t="str">
        <f>IF(AND(G1679=-1,G1678&lt;&gt;-1),MAX($M$50:M1678)+1,"")</f>
        <v/>
      </c>
      <c r="N1679" s="13" t="str">
        <f>IF(AND(G1679&lt;&gt;-1,G1678=-1),MAX($N$50:N1678)+1,"")</f>
        <v/>
      </c>
      <c r="T1679" s="7">
        <f t="shared" si="232"/>
        <v>121.91806409756725</v>
      </c>
      <c r="U1679" s="1">
        <f t="shared" si="233"/>
        <v>217.34733014937316</v>
      </c>
    </row>
    <row r="1680" spans="1:21" x14ac:dyDescent="0.3">
      <c r="A1680" s="2">
        <v>42612</v>
      </c>
      <c r="B1680" s="1">
        <v>4129.34</v>
      </c>
      <c r="C1680" s="2">
        <f t="shared" si="225"/>
        <v>42612</v>
      </c>
      <c r="D1680" s="1">
        <f t="shared" si="226"/>
        <v>4129.34</v>
      </c>
      <c r="E1680" s="4">
        <f t="shared" si="227"/>
        <v>4067.8378000000007</v>
      </c>
      <c r="F1680" s="3">
        <f t="shared" si="228"/>
        <v>1.0151191377394644</v>
      </c>
      <c r="G1680" s="18">
        <f t="shared" si="229"/>
        <v>1</v>
      </c>
      <c r="H1680" s="3">
        <f t="shared" si="230"/>
        <v>-1.7912612558167451E-3</v>
      </c>
      <c r="I1680" s="3">
        <f t="shared" si="231"/>
        <v>-1.7912612558167451E-3</v>
      </c>
      <c r="K1680" s="12" t="str">
        <f>IF(AND(G1680=1,G1679&lt;&gt;1),MAX($K$50:K1679)+1,"")</f>
        <v/>
      </c>
      <c r="L1680" s="13" t="str">
        <f>IF(AND(G1680&lt;&gt;1,G1679=1),MAX($L$50:L1679)+1,"")</f>
        <v/>
      </c>
      <c r="M1680" s="13" t="str">
        <f>IF(AND(G1680=-1,G1679&lt;&gt;-1),MAX($M$50:M1679)+1,"")</f>
        <v/>
      </c>
      <c r="N1680" s="13" t="str">
        <f>IF(AND(G1680&lt;&gt;-1,G1679=-1),MAX($N$50:N1679)+1,"")</f>
        <v/>
      </c>
      <c r="T1680" s="7">
        <f t="shared" si="232"/>
        <v>121.6996769929651</v>
      </c>
      <c r="U1680" s="1">
        <f t="shared" si="233"/>
        <v>216.95800429782139</v>
      </c>
    </row>
    <row r="1681" spans="1:21" x14ac:dyDescent="0.3">
      <c r="A1681" s="2">
        <v>42613</v>
      </c>
      <c r="B1681" s="1">
        <v>4120.29</v>
      </c>
      <c r="C1681" s="2">
        <f t="shared" si="225"/>
        <v>42613</v>
      </c>
      <c r="D1681" s="1">
        <f t="shared" si="226"/>
        <v>4120.29</v>
      </c>
      <c r="E1681" s="4">
        <f t="shared" si="227"/>
        <v>4071.2847999999999</v>
      </c>
      <c r="F1681" s="3">
        <f t="shared" si="228"/>
        <v>1.0120367899587865</v>
      </c>
      <c r="G1681" s="18">
        <f t="shared" si="229"/>
        <v>1</v>
      </c>
      <c r="H1681" s="3">
        <f t="shared" si="230"/>
        <v>-2.1916335298135525E-3</v>
      </c>
      <c r="I1681" s="3">
        <f t="shared" si="231"/>
        <v>-2.1916335298135525E-3</v>
      </c>
      <c r="K1681" s="12" t="str">
        <f>IF(AND(G1681=1,G1680&lt;&gt;1),MAX($K$50:K1680)+1,"")</f>
        <v/>
      </c>
      <c r="L1681" s="13" t="str">
        <f>IF(AND(G1681&lt;&gt;1,G1680=1),MAX($L$50:L1680)+1,"")</f>
        <v/>
      </c>
      <c r="M1681" s="13" t="str">
        <f>IF(AND(G1681=-1,G1680&lt;&gt;-1),MAX($M$50:M1680)+1,"")</f>
        <v/>
      </c>
      <c r="N1681" s="13" t="str">
        <f>IF(AND(G1681&lt;&gt;-1,G1680=-1),MAX($N$50:N1680)+1,"")</f>
        <v/>
      </c>
      <c r="T1681" s="7">
        <f t="shared" si="232"/>
        <v>121.43295590029983</v>
      </c>
      <c r="U1681" s="1">
        <f t="shared" si="233"/>
        <v>216.48251186104088</v>
      </c>
    </row>
    <row r="1682" spans="1:21" x14ac:dyDescent="0.3">
      <c r="A1682" s="2">
        <v>42614</v>
      </c>
      <c r="B1682" s="1">
        <v>4120.17</v>
      </c>
      <c r="C1682" s="2">
        <f t="shared" si="225"/>
        <v>42614</v>
      </c>
      <c r="D1682" s="1">
        <f t="shared" si="226"/>
        <v>4120.17</v>
      </c>
      <c r="E1682" s="4">
        <f t="shared" si="227"/>
        <v>4074.8592000000008</v>
      </c>
      <c r="F1682" s="3">
        <f t="shared" si="228"/>
        <v>1.0111195989299457</v>
      </c>
      <c r="G1682" s="18">
        <f t="shared" si="229"/>
        <v>1</v>
      </c>
      <c r="H1682" s="3">
        <f t="shared" si="230"/>
        <v>-2.9124163590354968E-5</v>
      </c>
      <c r="I1682" s="3">
        <f t="shared" si="231"/>
        <v>-2.9124163590354968E-5</v>
      </c>
      <c r="K1682" s="12" t="str">
        <f>IF(AND(G1682=1,G1681&lt;&gt;1),MAX($K$50:K1681)+1,"")</f>
        <v/>
      </c>
      <c r="L1682" s="13" t="str">
        <f>IF(AND(G1682&lt;&gt;1,G1681=1),MAX($L$50:L1681)+1,"")</f>
        <v/>
      </c>
      <c r="M1682" s="13" t="str">
        <f>IF(AND(G1682=-1,G1681&lt;&gt;-1),MAX($M$50:M1681)+1,"")</f>
        <v/>
      </c>
      <c r="N1682" s="13" t="str">
        <f>IF(AND(G1682&lt;&gt;-1,G1681=-1),MAX($N$50:N1681)+1,"")</f>
        <v/>
      </c>
      <c r="T1682" s="7">
        <f t="shared" si="232"/>
        <v>121.42941926702693</v>
      </c>
      <c r="U1682" s="1">
        <f t="shared" si="233"/>
        <v>216.47620698895099</v>
      </c>
    </row>
    <row r="1683" spans="1:21" x14ac:dyDescent="0.3">
      <c r="A1683" s="2">
        <v>42615</v>
      </c>
      <c r="B1683" s="1">
        <v>4137.7</v>
      </c>
      <c r="C1683" s="2">
        <f t="shared" si="225"/>
        <v>42615</v>
      </c>
      <c r="D1683" s="1">
        <f t="shared" si="226"/>
        <v>4137.7</v>
      </c>
      <c r="E1683" s="4">
        <f t="shared" si="227"/>
        <v>4077.7296000000015</v>
      </c>
      <c r="F1683" s="3">
        <f t="shared" si="228"/>
        <v>1.0147068113589479</v>
      </c>
      <c r="G1683" s="18">
        <f t="shared" si="229"/>
        <v>1</v>
      </c>
      <c r="H1683" s="3">
        <f t="shared" si="230"/>
        <v>4.2546788117965306E-3</v>
      </c>
      <c r="I1683" s="3">
        <f t="shared" si="231"/>
        <v>4.2546788117965306E-3</v>
      </c>
      <c r="K1683" s="12" t="str">
        <f>IF(AND(G1683=1,G1682&lt;&gt;1),MAX($K$50:K1682)+1,"")</f>
        <v/>
      </c>
      <c r="L1683" s="13" t="str">
        <f>IF(AND(G1683&lt;&gt;1,G1682=1),MAX($L$50:L1682)+1,"")</f>
        <v/>
      </c>
      <c r="M1683" s="13" t="str">
        <f>IF(AND(G1683=-1,G1682&lt;&gt;-1),MAX($M$50:M1682)+1,"")</f>
        <v/>
      </c>
      <c r="N1683" s="13" t="str">
        <f>IF(AND(G1683&lt;&gt;-1,G1682=-1),MAX($N$50:N1682)+1,"")</f>
        <v/>
      </c>
      <c r="T1683" s="7">
        <f t="shared" si="232"/>
        <v>121.94606244431111</v>
      </c>
      <c r="U1683" s="1">
        <f t="shared" si="233"/>
        <v>217.39724372008496</v>
      </c>
    </row>
    <row r="1684" spans="1:21" x14ac:dyDescent="0.3">
      <c r="A1684" s="2">
        <v>42619</v>
      </c>
      <c r="B1684" s="1">
        <v>4150.1099999999997</v>
      </c>
      <c r="C1684" s="2">
        <f t="shared" si="225"/>
        <v>42619</v>
      </c>
      <c r="D1684" s="1">
        <f t="shared" si="226"/>
        <v>4150.1099999999997</v>
      </c>
      <c r="E1684" s="4">
        <f t="shared" si="227"/>
        <v>4083.7178000000008</v>
      </c>
      <c r="F1684" s="3">
        <f t="shared" si="228"/>
        <v>1.0162577835324464</v>
      </c>
      <c r="G1684" s="18">
        <f t="shared" si="229"/>
        <v>1</v>
      </c>
      <c r="H1684" s="3">
        <f t="shared" si="230"/>
        <v>2.999250791502428E-3</v>
      </c>
      <c r="I1684" s="3">
        <f t="shared" si="231"/>
        <v>2.999250791502428E-3</v>
      </c>
      <c r="K1684" s="12" t="str">
        <f>IF(AND(G1684=1,G1683&lt;&gt;1),MAX($K$50:K1683)+1,"")</f>
        <v/>
      </c>
      <c r="L1684" s="13" t="str">
        <f>IF(AND(G1684&lt;&gt;1,G1683=1),MAX($L$50:L1683)+1,"")</f>
        <v/>
      </c>
      <c r="M1684" s="13" t="str">
        <f>IF(AND(G1684=-1,G1683&lt;&gt;-1),MAX($M$50:M1683)+1,"")</f>
        <v/>
      </c>
      <c r="N1684" s="13" t="str">
        <f>IF(AND(G1684&lt;&gt;-1,G1683=-1),MAX($N$50:N1683)+1,"")</f>
        <v/>
      </c>
      <c r="T1684" s="7">
        <f t="shared" si="232"/>
        <v>122.31180926861782</v>
      </c>
      <c r="U1684" s="1">
        <f t="shared" si="233"/>
        <v>218.04927257538287</v>
      </c>
    </row>
    <row r="1685" spans="1:21" x14ac:dyDescent="0.3">
      <c r="A1685" s="2">
        <v>42620</v>
      </c>
      <c r="B1685" s="1">
        <v>4150.51</v>
      </c>
      <c r="C1685" s="2">
        <f t="shared" si="225"/>
        <v>42620</v>
      </c>
      <c r="D1685" s="1">
        <f t="shared" si="226"/>
        <v>4150.51</v>
      </c>
      <c r="E1685" s="4">
        <f t="shared" si="227"/>
        <v>4091.1076000000012</v>
      </c>
      <c r="F1685" s="3">
        <f t="shared" si="228"/>
        <v>1.0145198820974541</v>
      </c>
      <c r="G1685" s="18">
        <f t="shared" si="229"/>
        <v>1</v>
      </c>
      <c r="H1685" s="3">
        <f t="shared" si="230"/>
        <v>9.6382987438969892E-5</v>
      </c>
      <c r="I1685" s="3">
        <f t="shared" si="231"/>
        <v>9.6382987438969892E-5</v>
      </c>
      <c r="K1685" s="12" t="str">
        <f>IF(AND(G1685=1,G1684&lt;&gt;1),MAX($K$50:K1684)+1,"")</f>
        <v/>
      </c>
      <c r="L1685" s="13" t="str">
        <f>IF(AND(G1685&lt;&gt;1,G1684=1),MAX($L$50:L1684)+1,"")</f>
        <v/>
      </c>
      <c r="M1685" s="13" t="str">
        <f>IF(AND(G1685=-1,G1684&lt;&gt;-1),MAX($M$50:M1684)+1,"")</f>
        <v/>
      </c>
      <c r="N1685" s="13" t="str">
        <f>IF(AND(G1685&lt;&gt;-1,G1684=-1),MAX($N$50:N1684)+1,"")</f>
        <v/>
      </c>
      <c r="T1685" s="7">
        <f t="shared" si="232"/>
        <v>122.32359804619419</v>
      </c>
      <c r="U1685" s="1">
        <f t="shared" si="233"/>
        <v>218.0702888156826</v>
      </c>
    </row>
    <row r="1686" spans="1:21" x14ac:dyDescent="0.3">
      <c r="A1686" s="2">
        <v>42621</v>
      </c>
      <c r="B1686" s="1">
        <v>4141.46</v>
      </c>
      <c r="C1686" s="2">
        <f t="shared" si="225"/>
        <v>42621</v>
      </c>
      <c r="D1686" s="1">
        <f t="shared" si="226"/>
        <v>4141.46</v>
      </c>
      <c r="E1686" s="4">
        <f t="shared" si="227"/>
        <v>4096.9558000000006</v>
      </c>
      <c r="F1686" s="3">
        <f t="shared" si="228"/>
        <v>1.0108627483850325</v>
      </c>
      <c r="G1686" s="18">
        <f t="shared" si="229"/>
        <v>1</v>
      </c>
      <c r="H1686" s="3">
        <f t="shared" si="230"/>
        <v>-2.180454932044551E-3</v>
      </c>
      <c r="I1686" s="3">
        <f t="shared" si="231"/>
        <v>-2.180454932044551E-3</v>
      </c>
      <c r="K1686" s="12" t="str">
        <f>IF(AND(G1686=1,G1685&lt;&gt;1),MAX($K$50:K1685)+1,"")</f>
        <v/>
      </c>
      <c r="L1686" s="13" t="str">
        <f>IF(AND(G1686&lt;&gt;1,G1685=1),MAX($L$50:L1685)+1,"")</f>
        <v/>
      </c>
      <c r="M1686" s="13" t="str">
        <f>IF(AND(G1686=-1,G1685&lt;&gt;-1),MAX($M$50:M1685)+1,"")</f>
        <v/>
      </c>
      <c r="N1686" s="13" t="str">
        <f>IF(AND(G1686&lt;&gt;-1,G1685=-1),MAX($N$50:N1685)+1,"")</f>
        <v/>
      </c>
      <c r="T1686" s="7">
        <f t="shared" si="232"/>
        <v>122.05687695352893</v>
      </c>
      <c r="U1686" s="1">
        <f t="shared" si="233"/>
        <v>217.59479637890206</v>
      </c>
    </row>
    <row r="1687" spans="1:21" x14ac:dyDescent="0.3">
      <c r="A1687" s="2">
        <v>42622</v>
      </c>
      <c r="B1687" s="1">
        <v>4039.95</v>
      </c>
      <c r="C1687" s="2">
        <f t="shared" si="225"/>
        <v>42622</v>
      </c>
      <c r="D1687" s="1">
        <f t="shared" si="226"/>
        <v>4039.95</v>
      </c>
      <c r="E1687" s="4">
        <f t="shared" si="227"/>
        <v>4099.4528000000009</v>
      </c>
      <c r="F1687" s="3">
        <f t="shared" si="228"/>
        <v>0.98548518475441382</v>
      </c>
      <c r="G1687" s="18">
        <f t="shared" si="229"/>
        <v>1</v>
      </c>
      <c r="H1687" s="3">
        <f t="shared" si="230"/>
        <v>-2.4510679808570024E-2</v>
      </c>
      <c r="I1687" s="3">
        <f t="shared" si="231"/>
        <v>-2.4510679808570024E-2</v>
      </c>
      <c r="K1687" s="12" t="str">
        <f>IF(AND(G1687=1,G1686&lt;&gt;1),MAX($K$50:K1686)+1,"")</f>
        <v/>
      </c>
      <c r="L1687" s="13" t="str">
        <f>IF(AND(G1687&lt;&gt;1,G1686=1),MAX($L$50:L1686)+1,"")</f>
        <v/>
      </c>
      <c r="M1687" s="13" t="str">
        <f>IF(AND(G1687=-1,G1686&lt;&gt;-1),MAX($M$50:M1686)+1,"")</f>
        <v/>
      </c>
      <c r="N1687" s="13" t="str">
        <f>IF(AND(G1687&lt;&gt;-1,G1686=-1),MAX($N$50:N1686)+1,"")</f>
        <v/>
      </c>
      <c r="T1687" s="7">
        <f t="shared" si="232"/>
        <v>119.06517992408695</v>
      </c>
      <c r="U1687" s="1">
        <f t="shared" si="233"/>
        <v>212.26139999684781</v>
      </c>
    </row>
    <row r="1688" spans="1:21" x14ac:dyDescent="0.3">
      <c r="A1688" s="2">
        <v>42625</v>
      </c>
      <c r="B1688" s="1">
        <v>4099.47</v>
      </c>
      <c r="C1688" s="2">
        <f t="shared" si="225"/>
        <v>42625</v>
      </c>
      <c r="D1688" s="1">
        <f t="shared" si="226"/>
        <v>4099.47</v>
      </c>
      <c r="E1688" s="4">
        <f t="shared" si="227"/>
        <v>4102.0780000000013</v>
      </c>
      <c r="F1688" s="3">
        <f t="shared" si="228"/>
        <v>0.99936422466857011</v>
      </c>
      <c r="G1688" s="18">
        <f t="shared" si="229"/>
        <v>1</v>
      </c>
      <c r="H1688" s="3">
        <f t="shared" si="230"/>
        <v>1.4732855604648654E-2</v>
      </c>
      <c r="I1688" s="3">
        <f t="shared" si="231"/>
        <v>1.4732855604648654E-2</v>
      </c>
      <c r="K1688" s="12" t="str">
        <f>IF(AND(G1688=1,G1687&lt;&gt;1),MAX($K$50:K1687)+1,"")</f>
        <v/>
      </c>
      <c r="L1688" s="13" t="str">
        <f>IF(AND(G1688&lt;&gt;1,G1687=1),MAX($L$50:L1687)+1,"")</f>
        <v/>
      </c>
      <c r="M1688" s="13" t="str">
        <f>IF(AND(G1688=-1,G1687&lt;&gt;-1),MAX($M$50:M1687)+1,"")</f>
        <v/>
      </c>
      <c r="N1688" s="13" t="str">
        <f>IF(AND(G1688&lt;&gt;-1,G1687=-1),MAX($N$50:N1687)+1,"")</f>
        <v/>
      </c>
      <c r="T1688" s="7">
        <f t="shared" si="232"/>
        <v>120.81935002745003</v>
      </c>
      <c r="U1688" s="1">
        <f t="shared" si="233"/>
        <v>215.38861655344195</v>
      </c>
    </row>
    <row r="1689" spans="1:21" x14ac:dyDescent="0.3">
      <c r="A1689" s="2">
        <v>42626</v>
      </c>
      <c r="B1689" s="1">
        <v>4039.92</v>
      </c>
      <c r="C1689" s="2">
        <f t="shared" si="225"/>
        <v>42626</v>
      </c>
      <c r="D1689" s="1">
        <f t="shared" si="226"/>
        <v>4039.92</v>
      </c>
      <c r="E1689" s="4">
        <f t="shared" si="227"/>
        <v>4103.3428000000013</v>
      </c>
      <c r="F1689" s="3">
        <f t="shared" si="228"/>
        <v>0.98454362623566294</v>
      </c>
      <c r="G1689" s="18">
        <f t="shared" si="229"/>
        <v>1</v>
      </c>
      <c r="H1689" s="3">
        <f t="shared" si="230"/>
        <v>-1.4526268029769751E-2</v>
      </c>
      <c r="I1689" s="3">
        <f t="shared" si="231"/>
        <v>-1.4526268029769751E-2</v>
      </c>
      <c r="K1689" s="12" t="str">
        <f>IF(AND(G1689=1,G1688&lt;&gt;1),MAX($K$50:K1688)+1,"")</f>
        <v/>
      </c>
      <c r="L1689" s="13" t="str">
        <f>IF(AND(G1689&lt;&gt;1,G1688=1),MAX($L$50:L1688)+1,"")</f>
        <v/>
      </c>
      <c r="M1689" s="13" t="str">
        <f>IF(AND(G1689=-1,G1688&lt;&gt;-1),MAX($M$50:M1688)+1,"")</f>
        <v/>
      </c>
      <c r="N1689" s="13" t="str">
        <f>IF(AND(G1689&lt;&gt;-1,G1688=-1),MAX($N$50:N1688)+1,"")</f>
        <v/>
      </c>
      <c r="T1689" s="7">
        <f t="shared" si="232"/>
        <v>119.06429576576872</v>
      </c>
      <c r="U1689" s="1">
        <f t="shared" si="233"/>
        <v>212.25982377882534</v>
      </c>
    </row>
    <row r="1690" spans="1:21" x14ac:dyDescent="0.3">
      <c r="A1690" s="2">
        <v>42627</v>
      </c>
      <c r="B1690" s="1">
        <v>4037.83</v>
      </c>
      <c r="C1690" s="2">
        <f t="shared" si="225"/>
        <v>42627</v>
      </c>
      <c r="D1690" s="1">
        <f t="shared" si="226"/>
        <v>4037.83</v>
      </c>
      <c r="E1690" s="4">
        <f t="shared" si="227"/>
        <v>4105.1050000000005</v>
      </c>
      <c r="F1690" s="3">
        <f t="shared" si="228"/>
        <v>0.98361186863673389</v>
      </c>
      <c r="G1690" s="18">
        <f t="shared" si="229"/>
        <v>1</v>
      </c>
      <c r="H1690" s="3">
        <f t="shared" si="230"/>
        <v>-5.1733697696987324E-4</v>
      </c>
      <c r="I1690" s="3">
        <f t="shared" si="231"/>
        <v>-5.1733697696987324E-4</v>
      </c>
      <c r="K1690" s="12" t="str">
        <f>IF(AND(G1690=1,G1689&lt;&gt;1),MAX($K$50:K1689)+1,"")</f>
        <v/>
      </c>
      <c r="L1690" s="13" t="str">
        <f>IF(AND(G1690&lt;&gt;1,G1689=1),MAX($L$50:L1689)+1,"")</f>
        <v/>
      </c>
      <c r="M1690" s="13" t="str">
        <f>IF(AND(G1690=-1,G1689&lt;&gt;-1),MAX($M$50:M1689)+1,"")</f>
        <v/>
      </c>
      <c r="N1690" s="13" t="str">
        <f>IF(AND(G1690&lt;&gt;-1,G1689=-1),MAX($N$50:N1689)+1,"")</f>
        <v/>
      </c>
      <c r="T1690" s="7">
        <f t="shared" si="232"/>
        <v>119.00269940293221</v>
      </c>
      <c r="U1690" s="1">
        <f t="shared" si="233"/>
        <v>212.15001392325945</v>
      </c>
    </row>
    <row r="1691" spans="1:21" x14ac:dyDescent="0.3">
      <c r="A1691" s="2">
        <v>42628</v>
      </c>
      <c r="B1691" s="1">
        <v>4079.32</v>
      </c>
      <c r="C1691" s="2">
        <f t="shared" si="225"/>
        <v>42628</v>
      </c>
      <c r="D1691" s="1">
        <f t="shared" si="226"/>
        <v>4079.32</v>
      </c>
      <c r="E1691" s="4">
        <f t="shared" si="227"/>
        <v>4107.2462000000014</v>
      </c>
      <c r="F1691" s="3">
        <f t="shared" si="228"/>
        <v>0.99320074847229722</v>
      </c>
      <c r="G1691" s="18">
        <f t="shared" si="229"/>
        <v>1</v>
      </c>
      <c r="H1691" s="3">
        <f t="shared" si="230"/>
        <v>1.0275321150221783E-2</v>
      </c>
      <c r="I1691" s="3">
        <f t="shared" si="231"/>
        <v>1.0275321150221783E-2</v>
      </c>
      <c r="K1691" s="12" t="str">
        <f>IF(AND(G1691=1,G1690&lt;&gt;1),MAX($K$50:K1690)+1,"")</f>
        <v/>
      </c>
      <c r="L1691" s="13" t="str">
        <f>IF(AND(G1691&lt;&gt;1,G1690=1),MAX($L$50:L1690)+1,"")</f>
        <v/>
      </c>
      <c r="M1691" s="13" t="str">
        <f>IF(AND(G1691=-1,G1690&lt;&gt;-1),MAX($M$50:M1690)+1,"")</f>
        <v/>
      </c>
      <c r="N1691" s="13" t="str">
        <f>IF(AND(G1691&lt;&gt;-1,G1690=-1),MAX($N$50:N1690)+1,"")</f>
        <v/>
      </c>
      <c r="T1691" s="7">
        <f t="shared" si="232"/>
        <v>120.22549035704064</v>
      </c>
      <c r="U1691" s="1">
        <f t="shared" si="233"/>
        <v>214.32992344834497</v>
      </c>
    </row>
    <row r="1692" spans="1:21" x14ac:dyDescent="0.3">
      <c r="A1692" s="2">
        <v>42629</v>
      </c>
      <c r="B1692" s="1">
        <v>4063.97</v>
      </c>
      <c r="C1692" s="2">
        <f t="shared" si="225"/>
        <v>42629</v>
      </c>
      <c r="D1692" s="1">
        <f t="shared" si="226"/>
        <v>4063.97</v>
      </c>
      <c r="E1692" s="4">
        <f t="shared" si="227"/>
        <v>4109.1418000000003</v>
      </c>
      <c r="F1692" s="3">
        <f t="shared" si="228"/>
        <v>0.98900699897968947</v>
      </c>
      <c r="G1692" s="18">
        <f t="shared" si="229"/>
        <v>1</v>
      </c>
      <c r="H1692" s="3">
        <f t="shared" si="230"/>
        <v>-3.7628820489690185E-3</v>
      </c>
      <c r="I1692" s="3">
        <f t="shared" si="231"/>
        <v>-3.7628820489690185E-3</v>
      </c>
      <c r="K1692" s="12" t="str">
        <f>IF(AND(G1692=1,G1691&lt;&gt;1),MAX($K$50:K1691)+1,"")</f>
        <v/>
      </c>
      <c r="L1692" s="13" t="str">
        <f>IF(AND(G1692&lt;&gt;1,G1691=1),MAX($L$50:L1691)+1,"")</f>
        <v/>
      </c>
      <c r="M1692" s="13" t="str">
        <f>IF(AND(G1692=-1,G1691&lt;&gt;-1),MAX($M$50:M1691)+1,"")</f>
        <v/>
      </c>
      <c r="N1692" s="13" t="str">
        <f>IF(AND(G1692&lt;&gt;-1,G1691=-1),MAX($N$50:N1691)+1,"")</f>
        <v/>
      </c>
      <c r="T1692" s="7">
        <f t="shared" si="232"/>
        <v>119.77309601754763</v>
      </c>
      <c r="U1692" s="1">
        <f t="shared" si="233"/>
        <v>213.5234252268443</v>
      </c>
    </row>
    <row r="1693" spans="1:21" x14ac:dyDescent="0.3">
      <c r="A1693" s="2">
        <v>42632</v>
      </c>
      <c r="B1693" s="1">
        <v>4063.94</v>
      </c>
      <c r="C1693" s="2">
        <f t="shared" si="225"/>
        <v>42632</v>
      </c>
      <c r="D1693" s="1">
        <f t="shared" si="226"/>
        <v>4063.94</v>
      </c>
      <c r="E1693" s="4">
        <f t="shared" si="227"/>
        <v>4109.8256000000001</v>
      </c>
      <c r="F1693" s="3">
        <f t="shared" si="228"/>
        <v>0.98883514667873007</v>
      </c>
      <c r="G1693" s="18">
        <f t="shared" si="229"/>
        <v>1</v>
      </c>
      <c r="H1693" s="3">
        <f t="shared" si="230"/>
        <v>-7.3819442564238003E-6</v>
      </c>
      <c r="I1693" s="3">
        <f t="shared" si="231"/>
        <v>-7.3819442564238003E-6</v>
      </c>
      <c r="K1693" s="12" t="str">
        <f>IF(AND(G1693=1,G1692&lt;&gt;1),MAX($K$50:K1692)+1,"")</f>
        <v/>
      </c>
      <c r="L1693" s="13" t="str">
        <f>IF(AND(G1693&lt;&gt;1,G1692=1),MAX($L$50:L1692)+1,"")</f>
        <v/>
      </c>
      <c r="M1693" s="13" t="str">
        <f>IF(AND(G1693=-1,G1692&lt;&gt;-1),MAX($M$50:M1692)+1,"")</f>
        <v/>
      </c>
      <c r="N1693" s="13" t="str">
        <f>IF(AND(G1693&lt;&gt;-1,G1692=-1),MAX($N$50:N1692)+1,"")</f>
        <v/>
      </c>
      <c r="T1693" s="7">
        <f t="shared" si="232"/>
        <v>119.77221185922942</v>
      </c>
      <c r="U1693" s="1">
        <f t="shared" si="233"/>
        <v>213.52184900882185</v>
      </c>
    </row>
    <row r="1694" spans="1:21" x14ac:dyDescent="0.3">
      <c r="A1694" s="2">
        <v>42633</v>
      </c>
      <c r="B1694" s="1">
        <v>4065.2</v>
      </c>
      <c r="C1694" s="2">
        <f t="shared" si="225"/>
        <v>42633</v>
      </c>
      <c r="D1694" s="1">
        <f t="shared" si="226"/>
        <v>4065.2</v>
      </c>
      <c r="E1694" s="4">
        <f t="shared" si="227"/>
        <v>4110.2598000000016</v>
      </c>
      <c r="F1694" s="3">
        <f t="shared" si="228"/>
        <v>0.98903723798675647</v>
      </c>
      <c r="G1694" s="18">
        <f t="shared" si="229"/>
        <v>1</v>
      </c>
      <c r="H1694" s="3">
        <f t="shared" si="230"/>
        <v>3.1004394749922781E-4</v>
      </c>
      <c r="I1694" s="3">
        <f t="shared" si="231"/>
        <v>3.1004394749922781E-4</v>
      </c>
      <c r="K1694" s="12" t="str">
        <f>IF(AND(G1694=1,G1693&lt;&gt;1),MAX($K$50:K1693)+1,"")</f>
        <v/>
      </c>
      <c r="L1694" s="13" t="str">
        <f>IF(AND(G1694&lt;&gt;1,G1693=1),MAX($L$50:L1693)+1,"")</f>
        <v/>
      </c>
      <c r="M1694" s="13" t="str">
        <f>IF(AND(G1694=-1,G1693&lt;&gt;-1),MAX($M$50:M1693)+1,"")</f>
        <v/>
      </c>
      <c r="N1694" s="13" t="str">
        <f>IF(AND(G1694&lt;&gt;-1,G1693=-1),MAX($N$50:N1693)+1,"")</f>
        <v/>
      </c>
      <c r="T1694" s="7">
        <f t="shared" si="232"/>
        <v>119.80934650859497</v>
      </c>
      <c r="U1694" s="1">
        <f t="shared" si="233"/>
        <v>213.58805016576585</v>
      </c>
    </row>
    <row r="1695" spans="1:21" x14ac:dyDescent="0.3">
      <c r="A1695" s="2">
        <v>42634</v>
      </c>
      <c r="B1695" s="1">
        <v>4109.63</v>
      </c>
      <c r="C1695" s="2">
        <f t="shared" si="225"/>
        <v>42634</v>
      </c>
      <c r="D1695" s="1">
        <f t="shared" si="226"/>
        <v>4109.63</v>
      </c>
      <c r="E1695" s="4">
        <f t="shared" si="227"/>
        <v>4111.0154000000011</v>
      </c>
      <c r="F1695" s="3">
        <f t="shared" si="228"/>
        <v>0.99966300296515531</v>
      </c>
      <c r="G1695" s="18">
        <f t="shared" si="229"/>
        <v>1</v>
      </c>
      <c r="H1695" s="3">
        <f t="shared" si="230"/>
        <v>1.0929351569418655E-2</v>
      </c>
      <c r="I1695" s="3">
        <f t="shared" si="231"/>
        <v>1.0929351569418655E-2</v>
      </c>
      <c r="K1695" s="12" t="str">
        <f>IF(AND(G1695=1,G1694&lt;&gt;1),MAX($K$50:K1694)+1,"")</f>
        <v/>
      </c>
      <c r="L1695" s="13" t="str">
        <f>IF(AND(G1695&lt;&gt;1,G1694=1),MAX($L$50:L1694)+1,"")</f>
        <v/>
      </c>
      <c r="M1695" s="13" t="str">
        <f>IF(AND(G1695=-1,G1694&lt;&gt;-1),MAX($M$50:M1694)+1,"")</f>
        <v/>
      </c>
      <c r="N1695" s="13" t="str">
        <f>IF(AND(G1695&lt;&gt;-1,G1694=-1),MAX($N$50:N1694)+1,"")</f>
        <v/>
      </c>
      <c r="T1695" s="7">
        <f t="shared" si="232"/>
        <v>121.1187849778897</v>
      </c>
      <c r="U1695" s="1">
        <f t="shared" si="233"/>
        <v>215.92242905705413</v>
      </c>
    </row>
    <row r="1696" spans="1:21" x14ac:dyDescent="0.3">
      <c r="A1696" s="2">
        <v>42635</v>
      </c>
      <c r="B1696" s="1">
        <v>4136.41</v>
      </c>
      <c r="C1696" s="2">
        <f t="shared" si="225"/>
        <v>42635</v>
      </c>
      <c r="D1696" s="1">
        <f t="shared" si="226"/>
        <v>4136.41</v>
      </c>
      <c r="E1696" s="4">
        <f t="shared" si="227"/>
        <v>4112.2882000000009</v>
      </c>
      <c r="F1696" s="3">
        <f t="shared" si="228"/>
        <v>1.0058657853795361</v>
      </c>
      <c r="G1696" s="18">
        <f t="shared" si="229"/>
        <v>1</v>
      </c>
      <c r="H1696" s="3">
        <f t="shared" si="230"/>
        <v>6.5164017198628965E-3</v>
      </c>
      <c r="I1696" s="3">
        <f t="shared" si="231"/>
        <v>6.5164017198628965E-3</v>
      </c>
      <c r="K1696" s="12" t="str">
        <f>IF(AND(G1696=1,G1695&lt;&gt;1),MAX($K$50:K1695)+1,"")</f>
        <v/>
      </c>
      <c r="L1696" s="13" t="str">
        <f>IF(AND(G1696&lt;&gt;1,G1695=1),MAX($L$50:L1695)+1,"")</f>
        <v/>
      </c>
      <c r="M1696" s="13" t="str">
        <f>IF(AND(G1696=-1,G1695&lt;&gt;-1),MAX($M$50:M1695)+1,"")</f>
        <v/>
      </c>
      <c r="N1696" s="13" t="str">
        <f>IF(AND(G1696&lt;&gt;-1,G1695=-1),MAX($N$50:N1695)+1,"")</f>
        <v/>
      </c>
      <c r="T1696" s="7">
        <f t="shared" si="232"/>
        <v>121.90804363662733</v>
      </c>
      <c r="U1696" s="1">
        <f t="shared" si="233"/>
        <v>217.32946634511848</v>
      </c>
    </row>
    <row r="1697" spans="1:21" x14ac:dyDescent="0.3">
      <c r="A1697" s="2">
        <v>42636</v>
      </c>
      <c r="B1697" s="1">
        <v>4112.6899999999996</v>
      </c>
      <c r="C1697" s="2">
        <f t="shared" si="225"/>
        <v>42636</v>
      </c>
      <c r="D1697" s="1">
        <f t="shared" si="226"/>
        <v>4112.6899999999996</v>
      </c>
      <c r="E1697" s="4">
        <f t="shared" si="227"/>
        <v>4112.6564000000017</v>
      </c>
      <c r="F1697" s="3">
        <f t="shared" si="228"/>
        <v>1.0000081699020609</v>
      </c>
      <c r="G1697" s="18">
        <f t="shared" si="229"/>
        <v>1</v>
      </c>
      <c r="H1697" s="3">
        <f t="shared" si="230"/>
        <v>-5.734441218351205E-3</v>
      </c>
      <c r="I1697" s="3">
        <f t="shared" si="231"/>
        <v>-5.734441218351205E-3</v>
      </c>
      <c r="K1697" s="12" t="str">
        <f>IF(AND(G1697=1,G1696&lt;&gt;1),MAX($K$50:K1696)+1,"")</f>
        <v/>
      </c>
      <c r="L1697" s="13" t="str">
        <f>IF(AND(G1697&lt;&gt;1,G1696=1),MAX($L$50:L1696)+1,"")</f>
        <v/>
      </c>
      <c r="M1697" s="13" t="str">
        <f>IF(AND(G1697=-1,G1696&lt;&gt;-1),MAX($M$50:M1696)+1,"")</f>
        <v/>
      </c>
      <c r="N1697" s="13" t="str">
        <f>IF(AND(G1697&lt;&gt;-1,G1696=-1),MAX($N$50:N1696)+1,"")</f>
        <v/>
      </c>
      <c r="T1697" s="7">
        <f t="shared" si="232"/>
        <v>121.20896912634889</v>
      </c>
      <c r="U1697" s="1">
        <f t="shared" si="233"/>
        <v>216.08320329534675</v>
      </c>
    </row>
    <row r="1698" spans="1:21" x14ac:dyDescent="0.3">
      <c r="A1698" s="2">
        <v>42639</v>
      </c>
      <c r="B1698" s="1">
        <v>4077.71</v>
      </c>
      <c r="C1698" s="2">
        <f t="shared" si="225"/>
        <v>42639</v>
      </c>
      <c r="D1698" s="1">
        <f t="shared" si="226"/>
        <v>4077.71</v>
      </c>
      <c r="E1698" s="4">
        <f t="shared" si="227"/>
        <v>4112.4008000000013</v>
      </c>
      <c r="F1698" s="3">
        <f t="shared" si="228"/>
        <v>0.99156434363109713</v>
      </c>
      <c r="G1698" s="18">
        <f t="shared" si="229"/>
        <v>1</v>
      </c>
      <c r="H1698" s="3">
        <f t="shared" si="230"/>
        <v>-8.5053821221632298E-3</v>
      </c>
      <c r="I1698" s="3">
        <f t="shared" si="231"/>
        <v>-8.5053821221632298E-3</v>
      </c>
      <c r="K1698" s="12" t="str">
        <f>IF(AND(G1698=1,G1697&lt;&gt;1),MAX($K$50:K1697)+1,"")</f>
        <v/>
      </c>
      <c r="L1698" s="13" t="str">
        <f>IF(AND(G1698&lt;&gt;1,G1697=1),MAX($L$50:L1697)+1,"")</f>
        <v/>
      </c>
      <c r="M1698" s="13" t="str">
        <f>IF(AND(G1698=-1,G1697&lt;&gt;-1),MAX($M$50:M1697)+1,"")</f>
        <v/>
      </c>
      <c r="N1698" s="13" t="str">
        <f>IF(AND(G1698&lt;&gt;-1,G1697=-1),MAX($N$50:N1697)+1,"")</f>
        <v/>
      </c>
      <c r="T1698" s="7">
        <f t="shared" si="232"/>
        <v>120.17804052729581</v>
      </c>
      <c r="U1698" s="1">
        <f t="shared" si="233"/>
        <v>214.24533308113874</v>
      </c>
    </row>
    <row r="1699" spans="1:21" x14ac:dyDescent="0.3">
      <c r="A1699" s="2">
        <v>42640</v>
      </c>
      <c r="B1699" s="1">
        <v>4104.18</v>
      </c>
      <c r="C1699" s="2">
        <f t="shared" si="225"/>
        <v>42640</v>
      </c>
      <c r="D1699" s="1">
        <f t="shared" si="226"/>
        <v>4104.18</v>
      </c>
      <c r="E1699" s="4">
        <f t="shared" si="227"/>
        <v>4112.4764000000014</v>
      </c>
      <c r="F1699" s="3">
        <f t="shared" si="228"/>
        <v>0.99798262672097005</v>
      </c>
      <c r="G1699" s="18">
        <f t="shared" si="229"/>
        <v>1</v>
      </c>
      <c r="H1699" s="3">
        <f t="shared" si="230"/>
        <v>6.4913885489650269E-3</v>
      </c>
      <c r="I1699" s="3">
        <f t="shared" si="231"/>
        <v>6.4913885489650269E-3</v>
      </c>
      <c r="K1699" s="12" t="str">
        <f>IF(AND(G1699=1,G1698&lt;&gt;1),MAX($K$50:K1698)+1,"")</f>
        <v/>
      </c>
      <c r="L1699" s="13" t="str">
        <f>IF(AND(G1699&lt;&gt;1,G1698=1),MAX($L$50:L1698)+1,"")</f>
        <v/>
      </c>
      <c r="M1699" s="13" t="str">
        <f>IF(AND(G1699=-1,G1698&lt;&gt;-1),MAX($M$50:M1698)+1,"")</f>
        <v/>
      </c>
      <c r="N1699" s="13" t="str">
        <f>IF(AND(G1699&lt;&gt;-1,G1698=-1),MAX($N$50:N1698)+1,"")</f>
        <v/>
      </c>
      <c r="T1699" s="7">
        <f t="shared" si="232"/>
        <v>120.95816288341175</v>
      </c>
      <c r="U1699" s="1">
        <f t="shared" si="233"/>
        <v>215.63608278297085</v>
      </c>
    </row>
    <row r="1700" spans="1:21" x14ac:dyDescent="0.3">
      <c r="A1700" s="2">
        <v>42641</v>
      </c>
      <c r="B1700" s="1">
        <v>4126.83</v>
      </c>
      <c r="C1700" s="2">
        <f t="shared" si="225"/>
        <v>42641</v>
      </c>
      <c r="D1700" s="1">
        <f t="shared" si="226"/>
        <v>4126.83</v>
      </c>
      <c r="E1700" s="4">
        <f t="shared" si="227"/>
        <v>4113.1208000000006</v>
      </c>
      <c r="F1700" s="3">
        <f t="shared" si="228"/>
        <v>1.0033330409357293</v>
      </c>
      <c r="G1700" s="18">
        <f t="shared" si="229"/>
        <v>1</v>
      </c>
      <c r="H1700" s="3">
        <f t="shared" si="230"/>
        <v>5.5187637969094094E-3</v>
      </c>
      <c r="I1700" s="3">
        <f t="shared" si="231"/>
        <v>5.5187637969094094E-3</v>
      </c>
      <c r="K1700" s="12" t="str">
        <f>IF(AND(G1700=1,G1699&lt;&gt;1),MAX($K$50:K1699)+1,"")</f>
        <v/>
      </c>
      <c r="L1700" s="13" t="str">
        <f>IF(AND(G1700&lt;&gt;1,G1699=1),MAX($L$50:L1699)+1,"")</f>
        <v/>
      </c>
      <c r="M1700" s="13" t="str">
        <f>IF(AND(G1700=-1,G1699&lt;&gt;-1),MAX($M$50:M1699)+1,"")</f>
        <v/>
      </c>
      <c r="N1700" s="13" t="str">
        <f>IF(AND(G1700&lt;&gt;-1,G1699=-1),MAX($N$50:N1699)+1,"")</f>
        <v/>
      </c>
      <c r="T1700" s="7">
        <f t="shared" si="232"/>
        <v>121.62570241367339</v>
      </c>
      <c r="U1700" s="1">
        <f t="shared" si="233"/>
        <v>216.82612738994086</v>
      </c>
    </row>
    <row r="1701" spans="1:21" x14ac:dyDescent="0.3">
      <c r="A1701" s="2">
        <v>42642</v>
      </c>
      <c r="B1701" s="1">
        <v>4088.47</v>
      </c>
      <c r="C1701" s="2">
        <f t="shared" si="225"/>
        <v>42642</v>
      </c>
      <c r="D1701" s="1">
        <f t="shared" si="226"/>
        <v>4088.47</v>
      </c>
      <c r="E1701" s="4">
        <f t="shared" si="227"/>
        <v>4112.6380000000008</v>
      </c>
      <c r="F1701" s="3">
        <f t="shared" si="228"/>
        <v>0.9941234798686388</v>
      </c>
      <c r="G1701" s="18">
        <f t="shared" si="229"/>
        <v>1</v>
      </c>
      <c r="H1701" s="3">
        <f t="shared" si="230"/>
        <v>-9.2952702195148174E-3</v>
      </c>
      <c r="I1701" s="3">
        <f t="shared" si="231"/>
        <v>-9.2952702195148174E-3</v>
      </c>
      <c r="K1701" s="12" t="str">
        <f>IF(AND(G1701=1,G1700&lt;&gt;1),MAX($K$50:K1700)+1,"")</f>
        <v/>
      </c>
      <c r="L1701" s="13" t="str">
        <f>IF(AND(G1701&lt;&gt;1,G1700=1),MAX($L$50:L1700)+1,"")</f>
        <v/>
      </c>
      <c r="M1701" s="13" t="str">
        <f>IF(AND(G1701=-1,G1700&lt;&gt;-1),MAX($M$50:M1700)+1,"")</f>
        <v/>
      </c>
      <c r="N1701" s="13" t="str">
        <f>IF(AND(G1701&lt;&gt;-1,G1700=-1),MAX($N$50:N1700)+1,"")</f>
        <v/>
      </c>
      <c r="T1701" s="7">
        <f t="shared" si="232"/>
        <v>120.4951586441</v>
      </c>
      <c r="U1701" s="1">
        <f t="shared" si="233"/>
        <v>214.81066994520043</v>
      </c>
    </row>
    <row r="1702" spans="1:21" x14ac:dyDescent="0.3">
      <c r="A1702" s="2">
        <v>42643</v>
      </c>
      <c r="B1702" s="1">
        <v>4121.0600000000004</v>
      </c>
      <c r="C1702" s="2">
        <f t="shared" si="225"/>
        <v>42643</v>
      </c>
      <c r="D1702" s="1">
        <f t="shared" si="226"/>
        <v>4121.0600000000004</v>
      </c>
      <c r="E1702" s="4">
        <f t="shared" si="227"/>
        <v>4113.1028000000006</v>
      </c>
      <c r="F1702" s="3">
        <f t="shared" si="228"/>
        <v>1.0019345978904295</v>
      </c>
      <c r="G1702" s="18">
        <f t="shared" si="229"/>
        <v>1</v>
      </c>
      <c r="H1702" s="3">
        <f t="shared" si="230"/>
        <v>7.971197049263079E-3</v>
      </c>
      <c r="I1702" s="3">
        <f t="shared" si="231"/>
        <v>7.971197049263079E-3</v>
      </c>
      <c r="K1702" s="12" t="str">
        <f>IF(AND(G1702=1,G1701&lt;&gt;1),MAX($K$50:K1701)+1,"")</f>
        <v/>
      </c>
      <c r="L1702" s="13" t="str">
        <f>IF(AND(G1702&lt;&gt;1,G1701=1),MAX($L$50:L1701)+1,"")</f>
        <v/>
      </c>
      <c r="M1702" s="13" t="str">
        <f>IF(AND(G1702=-1,G1701&lt;&gt;-1),MAX($M$50:M1701)+1,"")</f>
        <v/>
      </c>
      <c r="N1702" s="13" t="str">
        <f>IF(AND(G1702&lt;&gt;-1,G1701=-1),MAX($N$50:N1701)+1,"")</f>
        <v/>
      </c>
      <c r="T1702" s="7">
        <f t="shared" si="232"/>
        <v>121.45564929713434</v>
      </c>
      <c r="U1702" s="1">
        <f t="shared" si="233"/>
        <v>216.52296812361786</v>
      </c>
    </row>
    <row r="1703" spans="1:21" x14ac:dyDescent="0.3">
      <c r="A1703" s="2">
        <v>42646</v>
      </c>
      <c r="B1703" s="1">
        <v>4108.13</v>
      </c>
      <c r="C1703" s="2">
        <f t="shared" si="225"/>
        <v>42646</v>
      </c>
      <c r="D1703" s="1">
        <f t="shared" si="226"/>
        <v>4108.13</v>
      </c>
      <c r="E1703" s="4">
        <f t="shared" si="227"/>
        <v>4112.9354000000003</v>
      </c>
      <c r="F1703" s="3">
        <f t="shared" si="228"/>
        <v>0.99883163737509706</v>
      </c>
      <c r="G1703" s="18">
        <f t="shared" si="229"/>
        <v>1</v>
      </c>
      <c r="H1703" s="3">
        <f t="shared" si="230"/>
        <v>-3.1375422828108235E-3</v>
      </c>
      <c r="I1703" s="3">
        <f t="shared" si="231"/>
        <v>-3.1375422828108235E-3</v>
      </c>
      <c r="K1703" s="12" t="str">
        <f>IF(AND(G1703=1,G1702&lt;&gt;1),MAX($K$50:K1702)+1,"")</f>
        <v/>
      </c>
      <c r="L1703" s="13" t="str">
        <f>IF(AND(G1703&lt;&gt;1,G1702=1),MAX($L$50:L1702)+1,"")</f>
        <v/>
      </c>
      <c r="M1703" s="13" t="str">
        <f>IF(AND(G1703=-1,G1702&lt;&gt;-1),MAX($M$50:M1702)+1,"")</f>
        <v/>
      </c>
      <c r="N1703" s="13" t="str">
        <f>IF(AND(G1703&lt;&gt;-1,G1702=-1),MAX($N$50:N1702)+1,"")</f>
        <v/>
      </c>
      <c r="T1703" s="7">
        <f t="shared" si="232"/>
        <v>121.07457706197835</v>
      </c>
      <c r="U1703" s="1">
        <f t="shared" si="233"/>
        <v>215.8436181559303</v>
      </c>
    </row>
    <row r="1704" spans="1:21" x14ac:dyDescent="0.3">
      <c r="A1704" s="2">
        <v>42647</v>
      </c>
      <c r="B1704" s="1">
        <v>4088.17</v>
      </c>
      <c r="C1704" s="2">
        <f t="shared" si="225"/>
        <v>42647</v>
      </c>
      <c r="D1704" s="1">
        <f t="shared" si="226"/>
        <v>4088.17</v>
      </c>
      <c r="E1704" s="4">
        <f t="shared" si="227"/>
        <v>4112.6162000000004</v>
      </c>
      <c r="F1704" s="3">
        <f t="shared" si="228"/>
        <v>0.99405580321353593</v>
      </c>
      <c r="G1704" s="18">
        <f t="shared" si="229"/>
        <v>1</v>
      </c>
      <c r="H1704" s="3">
        <f t="shared" si="230"/>
        <v>-4.8586583189919041E-3</v>
      </c>
      <c r="I1704" s="3">
        <f t="shared" si="231"/>
        <v>-4.8586583189919041E-3</v>
      </c>
      <c r="K1704" s="12" t="str">
        <f>IF(AND(G1704=1,G1703&lt;&gt;1),MAX($K$50:K1703)+1,"")</f>
        <v/>
      </c>
      <c r="L1704" s="13" t="str">
        <f>IF(AND(G1704&lt;&gt;1,G1703=1),MAX($L$50:L1703)+1,"")</f>
        <v/>
      </c>
      <c r="M1704" s="13" t="str">
        <f>IF(AND(G1704=-1,G1703&lt;&gt;-1),MAX($M$50:M1703)+1,"")</f>
        <v/>
      </c>
      <c r="N1704" s="13" t="str">
        <f>IF(AND(G1704&lt;&gt;-1,G1703=-1),MAX($N$50:N1703)+1,"")</f>
        <v/>
      </c>
      <c r="T1704" s="7">
        <f t="shared" si="232"/>
        <v>120.48631706091774</v>
      </c>
      <c r="U1704" s="1">
        <f t="shared" si="233"/>
        <v>214.7949077649757</v>
      </c>
    </row>
    <row r="1705" spans="1:21" x14ac:dyDescent="0.3">
      <c r="A1705" s="2">
        <v>42648</v>
      </c>
      <c r="B1705" s="1">
        <v>4107.3999999999996</v>
      </c>
      <c r="C1705" s="2">
        <f t="shared" si="225"/>
        <v>42648</v>
      </c>
      <c r="D1705" s="1">
        <f t="shared" si="226"/>
        <v>4107.3999999999996</v>
      </c>
      <c r="E1705" s="4">
        <f t="shared" si="227"/>
        <v>4112.6527999999998</v>
      </c>
      <c r="F1705" s="3">
        <f t="shared" si="228"/>
        <v>0.99872277085972339</v>
      </c>
      <c r="G1705" s="18">
        <f t="shared" si="229"/>
        <v>1</v>
      </c>
      <c r="H1705" s="3">
        <f t="shared" si="230"/>
        <v>4.7038161328907258E-3</v>
      </c>
      <c r="I1705" s="3">
        <f t="shared" si="231"/>
        <v>4.7038161328907258E-3</v>
      </c>
      <c r="K1705" s="12" t="str">
        <f>IF(AND(G1705=1,G1704&lt;&gt;1),MAX($K$50:K1704)+1,"")</f>
        <v/>
      </c>
      <c r="L1705" s="13" t="str">
        <f>IF(AND(G1705&lt;&gt;1,G1704=1),MAX($L$50:L1704)+1,"")</f>
        <v/>
      </c>
      <c r="M1705" s="13" t="str">
        <f>IF(AND(G1705=-1,G1704&lt;&gt;-1),MAX($M$50:M1704)+1,"")</f>
        <v/>
      </c>
      <c r="N1705" s="13" t="str">
        <f>IF(AND(G1705&lt;&gt;-1,G1704=-1),MAX($N$50:N1704)+1,"")</f>
        <v/>
      </c>
      <c r="T1705" s="7">
        <f t="shared" si="232"/>
        <v>121.05306254290147</v>
      </c>
      <c r="U1705" s="1">
        <f t="shared" si="233"/>
        <v>215.80526351738337</v>
      </c>
    </row>
    <row r="1706" spans="1:21" x14ac:dyDescent="0.3">
      <c r="A1706" s="2">
        <v>42649</v>
      </c>
      <c r="B1706" s="1">
        <v>4109.49</v>
      </c>
      <c r="C1706" s="2">
        <f t="shared" si="225"/>
        <v>42649</v>
      </c>
      <c r="D1706" s="1">
        <f t="shared" si="226"/>
        <v>4109.49</v>
      </c>
      <c r="E1706" s="4">
        <f t="shared" si="227"/>
        <v>4112.8263999999999</v>
      </c>
      <c r="F1706" s="3">
        <f t="shared" si="228"/>
        <v>0.99918878170982361</v>
      </c>
      <c r="G1706" s="18">
        <f t="shared" si="229"/>
        <v>1</v>
      </c>
      <c r="H1706" s="3">
        <f t="shared" si="230"/>
        <v>5.0883770755216773E-4</v>
      </c>
      <c r="I1706" s="3">
        <f t="shared" si="231"/>
        <v>5.0883770755216773E-4</v>
      </c>
      <c r="K1706" s="12" t="str">
        <f>IF(AND(G1706=1,G1705&lt;&gt;1),MAX($K$50:K1705)+1,"")</f>
        <v/>
      </c>
      <c r="L1706" s="13" t="str">
        <f>IF(AND(G1706&lt;&gt;1,G1705=1),MAX($L$50:L1705)+1,"")</f>
        <v/>
      </c>
      <c r="M1706" s="13" t="str">
        <f>IF(AND(G1706=-1,G1705&lt;&gt;-1),MAX($M$50:M1705)+1,"")</f>
        <v/>
      </c>
      <c r="N1706" s="13" t="str">
        <f>IF(AND(G1706&lt;&gt;-1,G1705=-1),MAX($N$50:N1705)+1,"")</f>
        <v/>
      </c>
      <c r="T1706" s="7">
        <f t="shared" si="232"/>
        <v>121.11465890573797</v>
      </c>
      <c r="U1706" s="1">
        <f t="shared" si="233"/>
        <v>215.91507337294928</v>
      </c>
    </row>
    <row r="1707" spans="1:21" x14ac:dyDescent="0.3">
      <c r="A1707" s="2">
        <v>42650</v>
      </c>
      <c r="B1707" s="1">
        <v>4096.25</v>
      </c>
      <c r="C1707" s="2">
        <f t="shared" si="225"/>
        <v>42650</v>
      </c>
      <c r="D1707" s="1">
        <f t="shared" si="226"/>
        <v>4096.25</v>
      </c>
      <c r="E1707" s="4">
        <f t="shared" si="227"/>
        <v>4112.5963999999994</v>
      </c>
      <c r="F1707" s="3">
        <f t="shared" si="228"/>
        <v>0.99602528465958895</v>
      </c>
      <c r="G1707" s="18">
        <f t="shared" si="229"/>
        <v>1</v>
      </c>
      <c r="H1707" s="3">
        <f t="shared" si="230"/>
        <v>-3.2218109789778904E-3</v>
      </c>
      <c r="I1707" s="3">
        <f t="shared" si="231"/>
        <v>-3.2218109789778904E-3</v>
      </c>
      <c r="K1707" s="12" t="str">
        <f>IF(AND(G1707=1,G1706&lt;&gt;1),MAX($K$50:K1706)+1,"")</f>
        <v/>
      </c>
      <c r="L1707" s="13" t="str">
        <f>IF(AND(G1707&lt;&gt;1,G1706=1),MAX($L$50:L1706)+1,"")</f>
        <v/>
      </c>
      <c r="M1707" s="13" t="str">
        <f>IF(AND(G1707=-1,G1706&lt;&gt;-1),MAX($M$50:M1706)+1,"")</f>
        <v/>
      </c>
      <c r="N1707" s="13" t="str">
        <f>IF(AND(G1707&lt;&gt;-1,G1706=-1),MAX($N$50:N1706)+1,"")</f>
        <v/>
      </c>
      <c r="T1707" s="7">
        <f t="shared" si="232"/>
        <v>120.7244503679603</v>
      </c>
      <c r="U1707" s="1">
        <f t="shared" si="233"/>
        <v>215.21943581902948</v>
      </c>
    </row>
    <row r="1708" spans="1:21" x14ac:dyDescent="0.3">
      <c r="A1708" s="2">
        <v>42653</v>
      </c>
      <c r="B1708" s="1">
        <v>4115.12</v>
      </c>
      <c r="C1708" s="2">
        <f t="shared" si="225"/>
        <v>42653</v>
      </c>
      <c r="D1708" s="1">
        <f t="shared" si="226"/>
        <v>4115.12</v>
      </c>
      <c r="E1708" s="4">
        <f t="shared" si="227"/>
        <v>4112.6085999999996</v>
      </c>
      <c r="F1708" s="3">
        <f t="shared" si="228"/>
        <v>1.0006106586461936</v>
      </c>
      <c r="G1708" s="18">
        <f t="shared" si="229"/>
        <v>1</v>
      </c>
      <c r="H1708" s="3">
        <f t="shared" si="230"/>
        <v>4.6066524259993358E-3</v>
      </c>
      <c r="I1708" s="3">
        <f t="shared" si="231"/>
        <v>4.6066524259993358E-3</v>
      </c>
      <c r="K1708" s="12" t="str">
        <f>IF(AND(G1708=1,G1707&lt;&gt;1),MAX($K$50:K1707)+1,"")</f>
        <v/>
      </c>
      <c r="L1708" s="13" t="str">
        <f>IF(AND(G1708&lt;&gt;1,G1707=1),MAX($L$50:L1707)+1,"")</f>
        <v/>
      </c>
      <c r="M1708" s="13" t="str">
        <f>IF(AND(G1708=-1,G1707&lt;&gt;-1),MAX($M$50:M1707)+1,"")</f>
        <v/>
      </c>
      <c r="N1708" s="13" t="str">
        <f>IF(AND(G1708&lt;&gt;-1,G1707=-1),MAX($N$50:N1707)+1,"")</f>
        <v/>
      </c>
      <c r="T1708" s="7">
        <f t="shared" si="232"/>
        <v>121.2805859501253</v>
      </c>
      <c r="U1708" s="1">
        <f t="shared" si="233"/>
        <v>216.21087695516744</v>
      </c>
    </row>
    <row r="1709" spans="1:21" x14ac:dyDescent="0.3">
      <c r="A1709" s="2">
        <v>42654</v>
      </c>
      <c r="B1709" s="1">
        <v>4063.92</v>
      </c>
      <c r="C1709" s="2">
        <f t="shared" si="225"/>
        <v>42654</v>
      </c>
      <c r="D1709" s="1">
        <f t="shared" si="226"/>
        <v>4063.92</v>
      </c>
      <c r="E1709" s="4">
        <f t="shared" si="227"/>
        <v>4111.7013999999999</v>
      </c>
      <c r="F1709" s="3">
        <f t="shared" si="228"/>
        <v>0.98837916586063379</v>
      </c>
      <c r="G1709" s="18">
        <f t="shared" si="229"/>
        <v>1</v>
      </c>
      <c r="H1709" s="3">
        <f t="shared" si="230"/>
        <v>-1.2441921499251496E-2</v>
      </c>
      <c r="I1709" s="3">
        <f t="shared" si="231"/>
        <v>-1.2441921499251496E-2</v>
      </c>
      <c r="K1709" s="12" t="str">
        <f>IF(AND(G1709=1,G1708&lt;&gt;1),MAX($K$50:K1708)+1,"")</f>
        <v/>
      </c>
      <c r="L1709" s="13" t="str">
        <f>IF(AND(G1709&lt;&gt;1,G1708=1),MAX($L$50:L1708)+1,"")</f>
        <v/>
      </c>
      <c r="M1709" s="13" t="str">
        <f>IF(AND(G1709=-1,G1708&lt;&gt;-1),MAX($M$50:M1708)+1,"")</f>
        <v/>
      </c>
      <c r="N1709" s="13" t="str">
        <f>IF(AND(G1709&lt;&gt;-1,G1708=-1),MAX($N$50:N1708)+1,"")</f>
        <v/>
      </c>
      <c r="T1709" s="7">
        <f t="shared" si="232"/>
        <v>119.77162242035061</v>
      </c>
      <c r="U1709" s="1">
        <f t="shared" si="233"/>
        <v>213.52079819680691</v>
      </c>
    </row>
    <row r="1710" spans="1:21" x14ac:dyDescent="0.3">
      <c r="A1710" s="2">
        <v>42655</v>
      </c>
      <c r="B1710" s="1">
        <v>4068.92</v>
      </c>
      <c r="C1710" s="2">
        <f t="shared" si="225"/>
        <v>42655</v>
      </c>
      <c r="D1710" s="1">
        <f t="shared" si="226"/>
        <v>4068.92</v>
      </c>
      <c r="E1710" s="4">
        <f t="shared" si="227"/>
        <v>4111.4147999999996</v>
      </c>
      <c r="F1710" s="3">
        <f t="shared" si="228"/>
        <v>0.98966419053606569</v>
      </c>
      <c r="G1710" s="18">
        <f t="shared" si="229"/>
        <v>1</v>
      </c>
      <c r="H1710" s="3">
        <f t="shared" si="230"/>
        <v>1.2303391799051155E-3</v>
      </c>
      <c r="I1710" s="3">
        <f t="shared" si="231"/>
        <v>1.2303391799051155E-3</v>
      </c>
      <c r="K1710" s="12" t="str">
        <f>IF(AND(G1710=1,G1709&lt;&gt;1),MAX($K$50:K1709)+1,"")</f>
        <v/>
      </c>
      <c r="L1710" s="13" t="str">
        <f>IF(AND(G1710&lt;&gt;1,G1709=1),MAX($L$50:L1709)+1,"")</f>
        <v/>
      </c>
      <c r="M1710" s="13" t="str">
        <f>IF(AND(G1710=-1,G1709&lt;&gt;-1),MAX($M$50:M1709)+1,"")</f>
        <v/>
      </c>
      <c r="N1710" s="13" t="str">
        <f>IF(AND(G1710&lt;&gt;-1,G1709=-1),MAX($N$50:N1709)+1,"")</f>
        <v/>
      </c>
      <c r="T1710" s="7">
        <f t="shared" si="232"/>
        <v>119.91898214005516</v>
      </c>
      <c r="U1710" s="1">
        <f t="shared" si="233"/>
        <v>213.78350120055305</v>
      </c>
    </row>
    <row r="1711" spans="1:21" x14ac:dyDescent="0.3">
      <c r="A1711" s="2">
        <v>42656</v>
      </c>
      <c r="B1711" s="1">
        <v>4056.45</v>
      </c>
      <c r="C1711" s="2">
        <f t="shared" si="225"/>
        <v>42656</v>
      </c>
      <c r="D1711" s="1">
        <f t="shared" si="226"/>
        <v>4056.45</v>
      </c>
      <c r="E1711" s="4">
        <f t="shared" si="227"/>
        <v>4110.5978000000005</v>
      </c>
      <c r="F1711" s="3">
        <f t="shared" si="228"/>
        <v>0.98682726877341276</v>
      </c>
      <c r="G1711" s="18">
        <f t="shared" si="229"/>
        <v>1</v>
      </c>
      <c r="H1711" s="3">
        <f t="shared" si="230"/>
        <v>-3.0646952999814348E-3</v>
      </c>
      <c r="I1711" s="3">
        <f t="shared" si="231"/>
        <v>-3.0646952999814348E-3</v>
      </c>
      <c r="K1711" s="12" t="str">
        <f>IF(AND(G1711=1,G1710&lt;&gt;1),MAX($K$50:K1710)+1,"")</f>
        <v/>
      </c>
      <c r="L1711" s="13" t="str">
        <f>IF(AND(G1711&lt;&gt;1,G1710=1),MAX($L$50:L1710)+1,"")</f>
        <v/>
      </c>
      <c r="M1711" s="13" t="str">
        <f>IF(AND(G1711=-1,G1710&lt;&gt;-1),MAX($M$50:M1710)+1,"")</f>
        <v/>
      </c>
      <c r="N1711" s="13" t="str">
        <f>IF(AND(G1711&lt;&gt;-1,G1710=-1),MAX($N$50:N1710)+1,"")</f>
        <v/>
      </c>
      <c r="T1711" s="7">
        <f t="shared" si="232"/>
        <v>119.55146699911198</v>
      </c>
      <c r="U1711" s="1">
        <f t="shared" si="233"/>
        <v>213.12831990921015</v>
      </c>
    </row>
    <row r="1712" spans="1:21" x14ac:dyDescent="0.3">
      <c r="A1712" s="2">
        <v>42657</v>
      </c>
      <c r="B1712" s="1">
        <v>4057.28</v>
      </c>
      <c r="C1712" s="2">
        <f t="shared" si="225"/>
        <v>42657</v>
      </c>
      <c r="D1712" s="1">
        <f t="shared" si="226"/>
        <v>4057.28</v>
      </c>
      <c r="E1712" s="4">
        <f t="shared" si="227"/>
        <v>4109.7592000000004</v>
      </c>
      <c r="F1712" s="3">
        <f t="shared" si="228"/>
        <v>0.98723059005500857</v>
      </c>
      <c r="G1712" s="18">
        <f t="shared" si="229"/>
        <v>1</v>
      </c>
      <c r="H1712" s="3">
        <f t="shared" si="230"/>
        <v>2.0461240740066167E-4</v>
      </c>
      <c r="I1712" s="3">
        <f t="shared" si="231"/>
        <v>2.0461240740066167E-4</v>
      </c>
      <c r="K1712" s="12" t="str">
        <f>IF(AND(G1712=1,G1711&lt;&gt;1),MAX($K$50:K1711)+1,"")</f>
        <v/>
      </c>
      <c r="L1712" s="13" t="str">
        <f>IF(AND(G1712&lt;&gt;1,G1711=1),MAX($L$50:L1711)+1,"")</f>
        <v/>
      </c>
      <c r="M1712" s="13" t="str">
        <f>IF(AND(G1712=-1,G1711&lt;&gt;-1),MAX($M$50:M1711)+1,"")</f>
        <v/>
      </c>
      <c r="N1712" s="13" t="str">
        <f>IF(AND(G1712&lt;&gt;-1,G1711=-1),MAX($N$50:N1711)+1,"")</f>
        <v/>
      </c>
      <c r="T1712" s="7">
        <f t="shared" si="232"/>
        <v>119.57592871258295</v>
      </c>
      <c r="U1712" s="1">
        <f t="shared" si="233"/>
        <v>213.17192860783203</v>
      </c>
    </row>
    <row r="1713" spans="1:21" x14ac:dyDescent="0.3">
      <c r="A1713" s="2">
        <v>42660</v>
      </c>
      <c r="B1713" s="1">
        <v>4045.07</v>
      </c>
      <c r="C1713" s="2">
        <f t="shared" si="225"/>
        <v>42660</v>
      </c>
      <c r="D1713" s="1">
        <f t="shared" si="226"/>
        <v>4045.07</v>
      </c>
      <c r="E1713" s="4">
        <f t="shared" si="227"/>
        <v>4107.9694000000009</v>
      </c>
      <c r="F1713" s="3">
        <f t="shared" si="228"/>
        <v>0.98468844485550433</v>
      </c>
      <c r="G1713" s="18">
        <f t="shared" si="229"/>
        <v>1</v>
      </c>
      <c r="H1713" s="3">
        <f t="shared" si="230"/>
        <v>-3.0094053158766787E-3</v>
      </c>
      <c r="I1713" s="3">
        <f t="shared" si="231"/>
        <v>-3.0094053158766787E-3</v>
      </c>
      <c r="K1713" s="12" t="str">
        <f>IF(AND(G1713=1,G1712&lt;&gt;1),MAX($K$50:K1712)+1,"")</f>
        <v/>
      </c>
      <c r="L1713" s="13" t="str">
        <f>IF(AND(G1713&lt;&gt;1,G1712=1),MAX($L$50:L1712)+1,"")</f>
        <v/>
      </c>
      <c r="M1713" s="13" t="str">
        <f>IF(AND(G1713=-1,G1712&lt;&gt;-1),MAX($M$50:M1712)+1,"")</f>
        <v/>
      </c>
      <c r="N1713" s="13" t="str">
        <f>IF(AND(G1713&lt;&gt;-1,G1712=-1),MAX($N$50:N1712)+1,"")</f>
        <v/>
      </c>
      <c r="T1713" s="7">
        <f t="shared" si="232"/>
        <v>119.21607627706442</v>
      </c>
      <c r="U1713" s="1">
        <f t="shared" si="233"/>
        <v>212.53040787268392</v>
      </c>
    </row>
    <row r="1714" spans="1:21" x14ac:dyDescent="0.3">
      <c r="A1714" s="2">
        <v>42661</v>
      </c>
      <c r="B1714" s="1">
        <v>4069.99</v>
      </c>
      <c r="C1714" s="2">
        <f t="shared" si="225"/>
        <v>42661</v>
      </c>
      <c r="D1714" s="1">
        <f t="shared" si="226"/>
        <v>4069.99</v>
      </c>
      <c r="E1714" s="4">
        <f t="shared" si="227"/>
        <v>4106.7454000000007</v>
      </c>
      <c r="F1714" s="3">
        <f t="shared" si="228"/>
        <v>0.99104999301880248</v>
      </c>
      <c r="G1714" s="18">
        <f t="shared" si="229"/>
        <v>1</v>
      </c>
      <c r="H1714" s="3">
        <f t="shared" si="230"/>
        <v>6.1605856017323823E-3</v>
      </c>
      <c r="I1714" s="3">
        <f t="shared" si="231"/>
        <v>6.1605856017323823E-3</v>
      </c>
      <c r="K1714" s="12" t="str">
        <f>IF(AND(G1714=1,G1713&lt;&gt;1),MAX($K$50:K1713)+1,"")</f>
        <v/>
      </c>
      <c r="L1714" s="13" t="str">
        <f>IF(AND(G1714&lt;&gt;1,G1713=1),MAX($L$50:L1713)+1,"")</f>
        <v/>
      </c>
      <c r="M1714" s="13" t="str">
        <f>IF(AND(G1714=-1,G1713&lt;&gt;-1),MAX($M$50:M1713)+1,"")</f>
        <v/>
      </c>
      <c r="N1714" s="13" t="str">
        <f>IF(AND(G1714&lt;&gt;-1,G1713=-1),MAX($N$50:N1713)+1,"")</f>
        <v/>
      </c>
      <c r="T1714" s="7">
        <f t="shared" si="232"/>
        <v>119.95051712007194</v>
      </c>
      <c r="U1714" s="1">
        <f t="shared" si="233"/>
        <v>213.8397196433547</v>
      </c>
    </row>
    <row r="1715" spans="1:21" x14ac:dyDescent="0.3">
      <c r="A1715" s="2">
        <v>42662</v>
      </c>
      <c r="B1715" s="1">
        <v>4079.5</v>
      </c>
      <c r="C1715" s="2">
        <f t="shared" si="225"/>
        <v>42662</v>
      </c>
      <c r="D1715" s="1">
        <f t="shared" si="226"/>
        <v>4079.5</v>
      </c>
      <c r="E1715" s="4">
        <f t="shared" si="227"/>
        <v>4105.6762000000008</v>
      </c>
      <c r="F1715" s="3">
        <f t="shared" si="228"/>
        <v>0.99362438762218974</v>
      </c>
      <c r="G1715" s="18">
        <f t="shared" si="229"/>
        <v>1</v>
      </c>
      <c r="H1715" s="3">
        <f t="shared" si="230"/>
        <v>2.3366150776784611E-3</v>
      </c>
      <c r="I1715" s="3">
        <f t="shared" si="231"/>
        <v>2.3366150776784611E-3</v>
      </c>
      <c r="K1715" s="12" t="str">
        <f>IF(AND(G1715=1,G1714&lt;&gt;1),MAX($K$50:K1714)+1,"")</f>
        <v/>
      </c>
      <c r="L1715" s="13" t="str">
        <f>IF(AND(G1715&lt;&gt;1,G1714=1),MAX($L$50:L1714)+1,"")</f>
        <v/>
      </c>
      <c r="M1715" s="13" t="str">
        <f>IF(AND(G1715=-1,G1714&lt;&gt;-1),MAX($M$50:M1714)+1,"")</f>
        <v/>
      </c>
      <c r="N1715" s="13" t="str">
        <f>IF(AND(G1715&lt;&gt;-1,G1714=-1),MAX($N$50:N1714)+1,"")</f>
        <v/>
      </c>
      <c r="T1715" s="7">
        <f t="shared" si="232"/>
        <v>120.23079530695003</v>
      </c>
      <c r="U1715" s="1">
        <f t="shared" si="233"/>
        <v>214.33938075647987</v>
      </c>
    </row>
    <row r="1716" spans="1:21" x14ac:dyDescent="0.3">
      <c r="A1716" s="2">
        <v>42663</v>
      </c>
      <c r="B1716" s="1">
        <v>4074.18</v>
      </c>
      <c r="C1716" s="2">
        <f t="shared" ref="C1716:C1779" si="234">A1716</f>
        <v>42663</v>
      </c>
      <c r="D1716" s="1">
        <f t="shared" ref="D1716:D1779" si="235">B1716</f>
        <v>4074.18</v>
      </c>
      <c r="E1716" s="4">
        <f t="shared" ref="E1716:E1779" si="236">AVERAGE(B1667:B1716)</f>
        <v>4104.7068000000008</v>
      </c>
      <c r="F1716" s="3">
        <f t="shared" ref="F1716:F1779" si="237">D1716/E1716</f>
        <v>0.99256297672710725</v>
      </c>
      <c r="G1716" s="18">
        <f t="shared" ref="G1716:G1779" si="238">IF(F1716&gt;=$Q$51,1,IF(F1716&lt;=$Q$52,-1,0))</f>
        <v>1</v>
      </c>
      <c r="H1716" s="3">
        <f t="shared" si="230"/>
        <v>-1.3040813825223596E-3</v>
      </c>
      <c r="I1716" s="3">
        <f t="shared" si="231"/>
        <v>-1.3040813825223596E-3</v>
      </c>
      <c r="K1716" s="12" t="str">
        <f>IF(AND(G1716=1,G1715&lt;&gt;1),MAX($K$50:K1715)+1,"")</f>
        <v/>
      </c>
      <c r="L1716" s="13" t="str">
        <f>IF(AND(G1716&lt;&gt;1,G1715=1),MAX($L$50:L1715)+1,"")</f>
        <v/>
      </c>
      <c r="M1716" s="13" t="str">
        <f>IF(AND(G1716=-1,G1715&lt;&gt;-1),MAX($M$50:M1715)+1,"")</f>
        <v/>
      </c>
      <c r="N1716" s="13" t="str">
        <f>IF(AND(G1716&lt;&gt;-1,G1715=-1),MAX($N$50:N1715)+1,"")</f>
        <v/>
      </c>
      <c r="T1716" s="7">
        <f t="shared" si="232"/>
        <v>120.07400456518438</v>
      </c>
      <c r="U1716" s="1">
        <f t="shared" si="233"/>
        <v>214.05986476049398</v>
      </c>
    </row>
    <row r="1717" spans="1:21" x14ac:dyDescent="0.3">
      <c r="A1717" s="2">
        <v>42664</v>
      </c>
      <c r="B1717" s="1">
        <v>4073.85</v>
      </c>
      <c r="C1717" s="2">
        <f t="shared" si="234"/>
        <v>42664</v>
      </c>
      <c r="D1717" s="1">
        <f t="shared" si="235"/>
        <v>4073.85</v>
      </c>
      <c r="E1717" s="4">
        <f t="shared" si="236"/>
        <v>4103.3294000000014</v>
      </c>
      <c r="F1717" s="3">
        <f t="shared" si="237"/>
        <v>0.99281573641150977</v>
      </c>
      <c r="G1717" s="18">
        <f t="shared" si="238"/>
        <v>1</v>
      </c>
      <c r="H1717" s="3">
        <f t="shared" ref="H1717:H1780" si="239">D1717/D1716-1</f>
        <v>-8.0997894054690711E-5</v>
      </c>
      <c r="I1717" s="3">
        <f t="shared" ref="I1717:I1780" si="240">G1716*H1717</f>
        <v>-8.0997894054690711E-5</v>
      </c>
      <c r="K1717" s="12" t="str">
        <f>IF(AND(G1717=1,G1716&lt;&gt;1),MAX($K$50:K1716)+1,"")</f>
        <v/>
      </c>
      <c r="L1717" s="13" t="str">
        <f>IF(AND(G1717&lt;&gt;1,G1716=1),MAX($L$50:L1716)+1,"")</f>
        <v/>
      </c>
      <c r="M1717" s="13" t="str">
        <f>IF(AND(G1717=-1,G1716&lt;&gt;-1),MAX($M$50:M1716)+1,"")</f>
        <v/>
      </c>
      <c r="N1717" s="13" t="str">
        <f>IF(AND(G1717&lt;&gt;-1,G1716=-1),MAX($N$50:N1716)+1,"")</f>
        <v/>
      </c>
      <c r="T1717" s="7">
        <f t="shared" ref="T1717:T1780" si="241">T1716*(1+I1717)</f>
        <v>120.06427882368389</v>
      </c>
      <c r="U1717" s="1">
        <f t="shared" ref="U1717:U1780" si="242">U1716*D1717/D1716</f>
        <v>214.04252636224675</v>
      </c>
    </row>
    <row r="1718" spans="1:21" x14ac:dyDescent="0.3">
      <c r="A1718" s="2">
        <v>42667</v>
      </c>
      <c r="B1718" s="1">
        <v>4093.22</v>
      </c>
      <c r="C1718" s="2">
        <f t="shared" si="234"/>
        <v>42667</v>
      </c>
      <c r="D1718" s="1">
        <f t="shared" si="235"/>
        <v>4093.22</v>
      </c>
      <c r="E1718" s="4">
        <f t="shared" si="236"/>
        <v>4102.4012000000002</v>
      </c>
      <c r="F1718" s="3">
        <f t="shared" si="237"/>
        <v>0.99776199363436213</v>
      </c>
      <c r="G1718" s="18">
        <f t="shared" si="238"/>
        <v>1</v>
      </c>
      <c r="H1718" s="3">
        <f t="shared" si="239"/>
        <v>4.7547160548375711E-3</v>
      </c>
      <c r="I1718" s="3">
        <f t="shared" si="240"/>
        <v>4.7547160548375711E-3</v>
      </c>
      <c r="K1718" s="12" t="str">
        <f>IF(AND(G1718=1,G1717&lt;&gt;1),MAX($K$50:K1717)+1,"")</f>
        <v/>
      </c>
      <c r="L1718" s="13" t="str">
        <f>IF(AND(G1718&lt;&gt;1,G1717=1),MAX($L$50:L1717)+1,"")</f>
        <v/>
      </c>
      <c r="M1718" s="13" t="str">
        <f>IF(AND(G1718=-1,G1717&lt;&gt;-1),MAX($M$50:M1717)+1,"")</f>
        <v/>
      </c>
      <c r="N1718" s="13" t="str">
        <f>IF(AND(G1718&lt;&gt;-1,G1717=-1),MAX($N$50:N1717)+1,"")</f>
        <v/>
      </c>
      <c r="T1718" s="7">
        <f t="shared" si="241"/>
        <v>120.63515037781936</v>
      </c>
      <c r="U1718" s="1">
        <f t="shared" si="242"/>
        <v>215.06023779875932</v>
      </c>
    </row>
    <row r="1719" spans="1:21" x14ac:dyDescent="0.3">
      <c r="A1719" s="2">
        <v>42668</v>
      </c>
      <c r="B1719" s="1">
        <v>4077.8</v>
      </c>
      <c r="C1719" s="2">
        <f t="shared" si="234"/>
        <v>42668</v>
      </c>
      <c r="D1719" s="1">
        <f t="shared" si="235"/>
        <v>4077.8</v>
      </c>
      <c r="E1719" s="4">
        <f t="shared" si="236"/>
        <v>4100.9234000000006</v>
      </c>
      <c r="F1719" s="3">
        <f t="shared" si="237"/>
        <v>0.99436141626054264</v>
      </c>
      <c r="G1719" s="18">
        <f t="shared" si="238"/>
        <v>1</v>
      </c>
      <c r="H1719" s="3">
        <f t="shared" si="239"/>
        <v>-3.7672052809278878E-3</v>
      </c>
      <c r="I1719" s="3">
        <f t="shared" si="240"/>
        <v>-3.7672052809278878E-3</v>
      </c>
      <c r="K1719" s="12" t="str">
        <f>IF(AND(G1719=1,G1718&lt;&gt;1),MAX($K$50:K1718)+1,"")</f>
        <v/>
      </c>
      <c r="L1719" s="13" t="str">
        <f>IF(AND(G1719&lt;&gt;1,G1718=1),MAX($L$50:L1718)+1,"")</f>
        <v/>
      </c>
      <c r="M1719" s="13" t="str">
        <f>IF(AND(G1719=-1,G1718&lt;&gt;-1),MAX($M$50:M1718)+1,"")</f>
        <v/>
      </c>
      <c r="N1719" s="13" t="str">
        <f>IF(AND(G1719&lt;&gt;-1,G1718=-1),MAX($N$50:N1718)+1,"")</f>
        <v/>
      </c>
      <c r="T1719" s="7">
        <f t="shared" si="241"/>
        <v>120.18069300225051</v>
      </c>
      <c r="U1719" s="1">
        <f t="shared" si="242"/>
        <v>214.25006173520623</v>
      </c>
    </row>
    <row r="1720" spans="1:21" x14ac:dyDescent="0.3">
      <c r="A1720" s="2">
        <v>42669</v>
      </c>
      <c r="B1720" s="1">
        <v>4070.76</v>
      </c>
      <c r="C1720" s="2">
        <f t="shared" si="234"/>
        <v>42669</v>
      </c>
      <c r="D1720" s="1">
        <f t="shared" si="235"/>
        <v>4070.76</v>
      </c>
      <c r="E1720" s="4">
        <f t="shared" si="236"/>
        <v>4099.7450000000008</v>
      </c>
      <c r="F1720" s="3">
        <f t="shared" si="237"/>
        <v>0.99293004808835661</v>
      </c>
      <c r="G1720" s="18">
        <f t="shared" si="238"/>
        <v>1</v>
      </c>
      <c r="H1720" s="3">
        <f t="shared" si="239"/>
        <v>-1.726421109421783E-3</v>
      </c>
      <c r="I1720" s="3">
        <f t="shared" si="240"/>
        <v>-1.726421109421783E-3</v>
      </c>
      <c r="K1720" s="12" t="str">
        <f>IF(AND(G1720=1,G1719&lt;&gt;1),MAX($K$50:K1719)+1,"")</f>
        <v/>
      </c>
      <c r="L1720" s="13" t="str">
        <f>IF(AND(G1720&lt;&gt;1,G1719=1),MAX($L$50:L1719)+1,"")</f>
        <v/>
      </c>
      <c r="M1720" s="13" t="str">
        <f>IF(AND(G1720=-1,G1719&lt;&gt;-1),MAX($M$50:M1719)+1,"")</f>
        <v/>
      </c>
      <c r="N1720" s="13" t="str">
        <f>IF(AND(G1720&lt;&gt;-1,G1719=-1),MAX($N$50:N1719)+1,"")</f>
        <v/>
      </c>
      <c r="T1720" s="7">
        <f t="shared" si="241"/>
        <v>119.97321051690648</v>
      </c>
      <c r="U1720" s="1">
        <f t="shared" si="242"/>
        <v>213.88017590593165</v>
      </c>
    </row>
    <row r="1721" spans="1:21" x14ac:dyDescent="0.3">
      <c r="A1721" s="2">
        <v>42670</v>
      </c>
      <c r="B1721" s="1">
        <v>4058.75</v>
      </c>
      <c r="C1721" s="2">
        <f t="shared" si="234"/>
        <v>42670</v>
      </c>
      <c r="D1721" s="1">
        <f t="shared" si="235"/>
        <v>4058.75</v>
      </c>
      <c r="E1721" s="4">
        <f t="shared" si="236"/>
        <v>4098.1516000000011</v>
      </c>
      <c r="F1721" s="3">
        <f t="shared" si="237"/>
        <v>0.99038551916917839</v>
      </c>
      <c r="G1721" s="18">
        <f t="shared" si="238"/>
        <v>1</v>
      </c>
      <c r="H1721" s="3">
        <f t="shared" si="239"/>
        <v>-2.9503090332027027E-3</v>
      </c>
      <c r="I1721" s="3">
        <f t="shared" si="240"/>
        <v>-2.9503090332027027E-3</v>
      </c>
      <c r="K1721" s="12" t="str">
        <f>IF(AND(G1721=1,G1720&lt;&gt;1),MAX($K$50:K1720)+1,"")</f>
        <v/>
      </c>
      <c r="L1721" s="13" t="str">
        <f>IF(AND(G1721&lt;&gt;1,G1720=1),MAX($L$50:L1720)+1,"")</f>
        <v/>
      </c>
      <c r="M1721" s="13" t="str">
        <f>IF(AND(G1721=-1,G1720&lt;&gt;-1),MAX($M$50:M1720)+1,"")</f>
        <v/>
      </c>
      <c r="N1721" s="13" t="str">
        <f>IF(AND(G1721&lt;&gt;-1,G1720=-1),MAX($N$50:N1720)+1,"")</f>
        <v/>
      </c>
      <c r="T1721" s="7">
        <f t="shared" si="241"/>
        <v>119.61925247017612</v>
      </c>
      <c r="U1721" s="1">
        <f t="shared" si="242"/>
        <v>213.24916329093341</v>
      </c>
    </row>
    <row r="1722" spans="1:21" x14ac:dyDescent="0.3">
      <c r="A1722" s="2">
        <v>42671</v>
      </c>
      <c r="B1722" s="1">
        <v>4046.36</v>
      </c>
      <c r="C1722" s="2">
        <f t="shared" si="234"/>
        <v>42671</v>
      </c>
      <c r="D1722" s="1">
        <f t="shared" si="235"/>
        <v>4046.36</v>
      </c>
      <c r="E1722" s="4">
        <f t="shared" si="236"/>
        <v>4096.1260000000002</v>
      </c>
      <c r="F1722" s="3">
        <f t="shared" si="237"/>
        <v>0.98785047139663185</v>
      </c>
      <c r="G1722" s="18">
        <f t="shared" si="238"/>
        <v>1</v>
      </c>
      <c r="H1722" s="3">
        <f t="shared" si="239"/>
        <v>-3.0526639975361203E-3</v>
      </c>
      <c r="I1722" s="3">
        <f t="shared" si="240"/>
        <v>-3.0526639975361203E-3</v>
      </c>
      <c r="K1722" s="12" t="str">
        <f>IF(AND(G1722=1,G1721&lt;&gt;1),MAX($K$50:K1721)+1,"")</f>
        <v/>
      </c>
      <c r="L1722" s="13" t="str">
        <f>IF(AND(G1722&lt;&gt;1,G1721=1),MAX($L$50:L1721)+1,"")</f>
        <v/>
      </c>
      <c r="M1722" s="13" t="str">
        <f>IF(AND(G1722=-1,G1721&lt;&gt;-1),MAX($M$50:M1721)+1,"")</f>
        <v/>
      </c>
      <c r="N1722" s="13" t="str">
        <f>IF(AND(G1722&lt;&gt;-1,G1721=-1),MAX($N$50:N1721)+1,"")</f>
        <v/>
      </c>
      <c r="T1722" s="7">
        <f t="shared" si="241"/>
        <v>119.25409508474823</v>
      </c>
      <c r="U1722" s="1">
        <f t="shared" si="242"/>
        <v>212.59818524765046</v>
      </c>
    </row>
    <row r="1723" spans="1:21" x14ac:dyDescent="0.3">
      <c r="A1723" s="2">
        <v>42674</v>
      </c>
      <c r="B1723" s="1">
        <v>4045.89</v>
      </c>
      <c r="C1723" s="2">
        <f t="shared" si="234"/>
        <v>42674</v>
      </c>
      <c r="D1723" s="1">
        <f t="shared" si="235"/>
        <v>4045.89</v>
      </c>
      <c r="E1723" s="4">
        <f t="shared" si="236"/>
        <v>4094.1992000000009</v>
      </c>
      <c r="F1723" s="3">
        <f t="shared" si="237"/>
        <v>0.98820057411959805</v>
      </c>
      <c r="G1723" s="18">
        <f t="shared" si="238"/>
        <v>1</v>
      </c>
      <c r="H1723" s="3">
        <f t="shared" si="239"/>
        <v>-1.161537777163435E-4</v>
      </c>
      <c r="I1723" s="3">
        <f t="shared" si="240"/>
        <v>-1.161537777163435E-4</v>
      </c>
      <c r="K1723" s="12" t="str">
        <f>IF(AND(G1723=1,G1722&lt;&gt;1),MAX($K$50:K1722)+1,"")</f>
        <v/>
      </c>
      <c r="L1723" s="13" t="str">
        <f>IF(AND(G1723&lt;&gt;1,G1722=1),MAX($L$50:L1722)+1,"")</f>
        <v/>
      </c>
      <c r="M1723" s="13" t="str">
        <f>IF(AND(G1723=-1,G1722&lt;&gt;-1),MAX($M$50:M1722)+1,"")</f>
        <v/>
      </c>
      <c r="N1723" s="13" t="str">
        <f>IF(AND(G1723&lt;&gt;-1,G1722=-1),MAX($N$50:N1722)+1,"")</f>
        <v/>
      </c>
      <c r="T1723" s="7">
        <f t="shared" si="241"/>
        <v>119.24024327109599</v>
      </c>
      <c r="U1723" s="1">
        <f t="shared" si="242"/>
        <v>212.57349116529832</v>
      </c>
    </row>
    <row r="1724" spans="1:21" x14ac:dyDescent="0.3">
      <c r="A1724" s="2">
        <v>42675</v>
      </c>
      <c r="B1724" s="1">
        <v>4018.47</v>
      </c>
      <c r="C1724" s="2">
        <f t="shared" si="234"/>
        <v>42675</v>
      </c>
      <c r="D1724" s="1">
        <f t="shared" si="235"/>
        <v>4018.47</v>
      </c>
      <c r="E1724" s="4">
        <f t="shared" si="236"/>
        <v>4091.7692000000011</v>
      </c>
      <c r="F1724" s="3">
        <f t="shared" si="237"/>
        <v>0.98208618413765825</v>
      </c>
      <c r="G1724" s="18">
        <f t="shared" si="238"/>
        <v>1</v>
      </c>
      <c r="H1724" s="3">
        <f t="shared" si="239"/>
        <v>-6.7772480220668063E-3</v>
      </c>
      <c r="I1724" s="3">
        <f t="shared" si="240"/>
        <v>-6.7772480220668063E-3</v>
      </c>
      <c r="K1724" s="12" t="str">
        <f>IF(AND(G1724=1,G1723&lt;&gt;1),MAX($K$50:K1723)+1,"")</f>
        <v/>
      </c>
      <c r="L1724" s="13" t="str">
        <f>IF(AND(G1724&lt;&gt;1,G1723=1),MAX($L$50:L1723)+1,"")</f>
        <v/>
      </c>
      <c r="M1724" s="13" t="str">
        <f>IF(AND(G1724=-1,G1723&lt;&gt;-1),MAX($M$50:M1723)+1,"")</f>
        <v/>
      </c>
      <c r="N1724" s="13" t="str">
        <f>IF(AND(G1724&lt;&gt;-1,G1723=-1),MAX($N$50:N1723)+1,"")</f>
        <v/>
      </c>
      <c r="T1724" s="7">
        <f t="shared" si="241"/>
        <v>118.4321225682362</v>
      </c>
      <c r="U1724" s="1">
        <f t="shared" si="242"/>
        <v>211.13282789275445</v>
      </c>
    </row>
    <row r="1725" spans="1:21" x14ac:dyDescent="0.3">
      <c r="A1725" s="2">
        <v>42676</v>
      </c>
      <c r="B1725" s="1">
        <v>3992.76</v>
      </c>
      <c r="C1725" s="2">
        <f t="shared" si="234"/>
        <v>42676</v>
      </c>
      <c r="D1725" s="1">
        <f t="shared" si="235"/>
        <v>3992.76</v>
      </c>
      <c r="E1725" s="4">
        <f t="shared" si="236"/>
        <v>4088.6612000000009</v>
      </c>
      <c r="F1725" s="3">
        <f t="shared" si="237"/>
        <v>0.97654459606484378</v>
      </c>
      <c r="G1725" s="18">
        <f t="shared" si="238"/>
        <v>1</v>
      </c>
      <c r="H1725" s="3">
        <f t="shared" si="239"/>
        <v>-6.3979574315596865E-3</v>
      </c>
      <c r="I1725" s="3">
        <f t="shared" si="240"/>
        <v>-6.3979574315596865E-3</v>
      </c>
      <c r="K1725" s="12" t="str">
        <f>IF(AND(G1725=1,G1724&lt;&gt;1),MAX($K$50:K1724)+1,"")</f>
        <v/>
      </c>
      <c r="L1725" s="13" t="str">
        <f>IF(AND(G1725&lt;&gt;1,G1724=1),MAX($L$50:L1724)+1,"")</f>
        <v/>
      </c>
      <c r="M1725" s="13" t="str">
        <f>IF(AND(G1725=-1,G1724&lt;&gt;-1),MAX($M$50:M1724)+1,"")</f>
        <v/>
      </c>
      <c r="N1725" s="13" t="str">
        <f>IF(AND(G1725&lt;&gt;-1,G1724=-1),MAX($N$50:N1724)+1,"")</f>
        <v/>
      </c>
      <c r="T1725" s="7">
        <f t="shared" si="241"/>
        <v>117.67439888951536</v>
      </c>
      <c r="U1725" s="1">
        <f t="shared" si="242"/>
        <v>209.78200904749178</v>
      </c>
    </row>
    <row r="1726" spans="1:21" x14ac:dyDescent="0.3">
      <c r="A1726" s="2">
        <v>42677</v>
      </c>
      <c r="B1726" s="1">
        <v>3976.56</v>
      </c>
      <c r="C1726" s="2">
        <f t="shared" si="234"/>
        <v>42677</v>
      </c>
      <c r="D1726" s="1">
        <f t="shared" si="235"/>
        <v>3976.56</v>
      </c>
      <c r="E1726" s="4">
        <f t="shared" si="236"/>
        <v>4085.6594000000014</v>
      </c>
      <c r="F1726" s="3">
        <f t="shared" si="237"/>
        <v>0.97329699093370303</v>
      </c>
      <c r="G1726" s="18">
        <f t="shared" si="238"/>
        <v>1</v>
      </c>
      <c r="H1726" s="3">
        <f t="shared" si="239"/>
        <v>-4.0573437922640787E-3</v>
      </c>
      <c r="I1726" s="3">
        <f t="shared" si="240"/>
        <v>-4.0573437922640787E-3</v>
      </c>
      <c r="K1726" s="12" t="str">
        <f>IF(AND(G1726=1,G1725&lt;&gt;1),MAX($K$50:K1725)+1,"")</f>
        <v/>
      </c>
      <c r="L1726" s="13" t="str">
        <f>IF(AND(G1726&lt;&gt;1,G1725=1),MAX($L$50:L1725)+1,"")</f>
        <v/>
      </c>
      <c r="M1726" s="13" t="str">
        <f>IF(AND(G1726=-1,G1725&lt;&gt;-1),MAX($M$50:M1725)+1,"")</f>
        <v/>
      </c>
      <c r="N1726" s="13" t="str">
        <f>IF(AND(G1726&lt;&gt;-1,G1725=-1),MAX($N$50:N1725)+1,"")</f>
        <v/>
      </c>
      <c r="T1726" s="7">
        <f t="shared" si="241"/>
        <v>117.19695339767257</v>
      </c>
      <c r="U1726" s="1">
        <f t="shared" si="242"/>
        <v>208.93085131535426</v>
      </c>
    </row>
    <row r="1727" spans="1:21" x14ac:dyDescent="0.3">
      <c r="A1727" s="2">
        <v>42678</v>
      </c>
      <c r="B1727" s="1">
        <v>3970.02</v>
      </c>
      <c r="C1727" s="2">
        <f t="shared" si="234"/>
        <v>42678</v>
      </c>
      <c r="D1727" s="1">
        <f t="shared" si="235"/>
        <v>3970.02</v>
      </c>
      <c r="E1727" s="4">
        <f t="shared" si="236"/>
        <v>4082.6380000000004</v>
      </c>
      <c r="F1727" s="3">
        <f t="shared" si="237"/>
        <v>0.97241538436667652</v>
      </c>
      <c r="G1727" s="18">
        <f t="shared" si="238"/>
        <v>1</v>
      </c>
      <c r="H1727" s="3">
        <f t="shared" si="239"/>
        <v>-1.6446375761964838E-3</v>
      </c>
      <c r="I1727" s="3">
        <f t="shared" si="240"/>
        <v>-1.6446375761964838E-3</v>
      </c>
      <c r="K1727" s="12" t="str">
        <f>IF(AND(G1727=1,G1726&lt;&gt;1),MAX($K$50:K1726)+1,"")</f>
        <v/>
      </c>
      <c r="L1727" s="13" t="str">
        <f>IF(AND(G1727&lt;&gt;1,G1726=1),MAX($L$50:L1726)+1,"")</f>
        <v/>
      </c>
      <c r="M1727" s="13" t="str">
        <f>IF(AND(G1727=-1,G1726&lt;&gt;-1),MAX($M$50:M1726)+1,"")</f>
        <v/>
      </c>
      <c r="N1727" s="13" t="str">
        <f>IF(AND(G1727&lt;&gt;-1,G1726=-1),MAX($N$50:N1726)+1,"")</f>
        <v/>
      </c>
      <c r="T1727" s="7">
        <f t="shared" si="241"/>
        <v>117.00420688429901</v>
      </c>
      <c r="U1727" s="1">
        <f t="shared" si="242"/>
        <v>208.5872357864543</v>
      </c>
    </row>
    <row r="1728" spans="1:21" x14ac:dyDescent="0.3">
      <c r="A1728" s="2">
        <v>42681</v>
      </c>
      <c r="B1728" s="1">
        <v>4058.3</v>
      </c>
      <c r="C1728" s="2">
        <f t="shared" si="234"/>
        <v>42681</v>
      </c>
      <c r="D1728" s="1">
        <f t="shared" si="235"/>
        <v>4058.3</v>
      </c>
      <c r="E1728" s="4">
        <f t="shared" si="236"/>
        <v>4081.5104000000006</v>
      </c>
      <c r="F1728" s="3">
        <f t="shared" si="237"/>
        <v>0.99431328167141253</v>
      </c>
      <c r="G1728" s="18">
        <f t="shared" si="238"/>
        <v>1</v>
      </c>
      <c r="H1728" s="3">
        <f t="shared" si="239"/>
        <v>2.2236663795144551E-2</v>
      </c>
      <c r="I1728" s="3">
        <f t="shared" si="240"/>
        <v>2.2236663795144551E-2</v>
      </c>
      <c r="K1728" s="12" t="str">
        <f>IF(AND(G1728=1,G1727&lt;&gt;1),MAX($K$50:K1727)+1,"")</f>
        <v/>
      </c>
      <c r="L1728" s="13" t="str">
        <f>IF(AND(G1728&lt;&gt;1,G1727=1),MAX($L$50:L1727)+1,"")</f>
        <v/>
      </c>
      <c r="M1728" s="13" t="str">
        <f>IF(AND(G1728=-1,G1727&lt;&gt;-1),MAX($M$50:M1727)+1,"")</f>
        <v/>
      </c>
      <c r="N1728" s="13" t="str">
        <f>IF(AND(G1728&lt;&gt;-1,G1727=-1),MAX($N$50:N1727)+1,"")</f>
        <v/>
      </c>
      <c r="T1728" s="7">
        <f t="shared" si="241"/>
        <v>119.6059900954027</v>
      </c>
      <c r="U1728" s="1">
        <f t="shared" si="242"/>
        <v>213.22552002059624</v>
      </c>
    </row>
    <row r="1729" spans="1:21" x14ac:dyDescent="0.3">
      <c r="A1729" s="2">
        <v>42682</v>
      </c>
      <c r="B1729" s="1">
        <v>4075.61</v>
      </c>
      <c r="C1729" s="2">
        <f t="shared" si="234"/>
        <v>42682</v>
      </c>
      <c r="D1729" s="1">
        <f t="shared" si="235"/>
        <v>4075.61</v>
      </c>
      <c r="E1729" s="4">
        <f t="shared" si="236"/>
        <v>4080.2875999999997</v>
      </c>
      <c r="F1729" s="3">
        <f t="shared" si="237"/>
        <v>0.99885361022100516</v>
      </c>
      <c r="G1729" s="18">
        <f t="shared" si="238"/>
        <v>1</v>
      </c>
      <c r="H1729" s="3">
        <f t="shared" si="239"/>
        <v>4.2653327748072289E-3</v>
      </c>
      <c r="I1729" s="3">
        <f t="shared" si="240"/>
        <v>4.2653327748072289E-3</v>
      </c>
      <c r="K1729" s="12" t="str">
        <f>IF(AND(G1729=1,G1728&lt;&gt;1),MAX($K$50:K1728)+1,"")</f>
        <v/>
      </c>
      <c r="L1729" s="13" t="str">
        <f>IF(AND(G1729&lt;&gt;1,G1728=1),MAX($L$50:L1728)+1,"")</f>
        <v/>
      </c>
      <c r="M1729" s="13" t="str">
        <f>IF(AND(G1729=-1,G1728&lt;&gt;-1),MAX($M$50:M1728)+1,"")</f>
        <v/>
      </c>
      <c r="N1729" s="13" t="str">
        <f>IF(AND(G1729&lt;&gt;-1,G1728=-1),MAX($N$50:N1728)+1,"")</f>
        <v/>
      </c>
      <c r="T1729" s="7">
        <f t="shared" si="241"/>
        <v>120.11614944501989</v>
      </c>
      <c r="U1729" s="1">
        <f t="shared" si="242"/>
        <v>214.13499781956537</v>
      </c>
    </row>
    <row r="1730" spans="1:21" x14ac:dyDescent="0.3">
      <c r="A1730" s="2">
        <v>42683</v>
      </c>
      <c r="B1730" s="1">
        <v>4121.03</v>
      </c>
      <c r="C1730" s="2">
        <f t="shared" si="234"/>
        <v>42683</v>
      </c>
      <c r="D1730" s="1">
        <f t="shared" si="235"/>
        <v>4121.03</v>
      </c>
      <c r="E1730" s="4">
        <f t="shared" si="236"/>
        <v>4080.1213999999991</v>
      </c>
      <c r="F1730" s="3">
        <f t="shared" si="237"/>
        <v>1.0100263193149108</v>
      </c>
      <c r="G1730" s="18">
        <f t="shared" si="238"/>
        <v>1</v>
      </c>
      <c r="H1730" s="3">
        <f t="shared" si="239"/>
        <v>1.1144344036843501E-2</v>
      </c>
      <c r="I1730" s="3">
        <f t="shared" si="240"/>
        <v>1.1144344036843501E-2</v>
      </c>
      <c r="K1730" s="12" t="str">
        <f>IF(AND(G1730=1,G1729&lt;&gt;1),MAX($K$50:K1729)+1,"")</f>
        <v/>
      </c>
      <c r="L1730" s="13" t="str">
        <f>IF(AND(G1730&lt;&gt;1,G1729=1),MAX($L$50:L1729)+1,"")</f>
        <v/>
      </c>
      <c r="M1730" s="13" t="str">
        <f>IF(AND(G1730=-1,G1729&lt;&gt;-1),MAX($M$50:M1729)+1,"")</f>
        <v/>
      </c>
      <c r="N1730" s="13" t="str">
        <f>IF(AND(G1730&lt;&gt;-1,G1729=-1),MAX($N$50:N1729)+1,"")</f>
        <v/>
      </c>
      <c r="T1730" s="7">
        <f t="shared" si="241"/>
        <v>121.4547651388161</v>
      </c>
      <c r="U1730" s="1">
        <f t="shared" si="242"/>
        <v>216.52139190559535</v>
      </c>
    </row>
    <row r="1731" spans="1:21" x14ac:dyDescent="0.3">
      <c r="A1731" s="2">
        <v>42684</v>
      </c>
      <c r="B1731" s="1">
        <v>4129.46</v>
      </c>
      <c r="C1731" s="2">
        <f t="shared" si="234"/>
        <v>42684</v>
      </c>
      <c r="D1731" s="1">
        <f t="shared" si="235"/>
        <v>4129.46</v>
      </c>
      <c r="E1731" s="4">
        <f t="shared" si="236"/>
        <v>4080.3047999999994</v>
      </c>
      <c r="F1731" s="3">
        <f t="shared" si="237"/>
        <v>1.0120469431597368</v>
      </c>
      <c r="G1731" s="18">
        <f t="shared" si="238"/>
        <v>1</v>
      </c>
      <c r="H1731" s="3">
        <f t="shared" si="239"/>
        <v>2.0456051035786516E-3</v>
      </c>
      <c r="I1731" s="3">
        <f t="shared" si="240"/>
        <v>2.0456051035786516E-3</v>
      </c>
      <c r="K1731" s="12" t="str">
        <f>IF(AND(G1731=1,G1730&lt;&gt;1),MAX($K$50:K1730)+1,"")</f>
        <v/>
      </c>
      <c r="L1731" s="13" t="str">
        <f>IF(AND(G1731&lt;&gt;1,G1730=1),MAX($L$50:L1730)+1,"")</f>
        <v/>
      </c>
      <c r="M1731" s="13" t="str">
        <f>IF(AND(G1731=-1,G1730&lt;&gt;-1),MAX($M$50:M1730)+1,"")</f>
        <v/>
      </c>
      <c r="N1731" s="13" t="str">
        <f>IF(AND(G1731&lt;&gt;-1,G1730=-1),MAX($N$50:N1730)+1,"")</f>
        <v/>
      </c>
      <c r="T1731" s="7">
        <f t="shared" si="241"/>
        <v>121.70321362623801</v>
      </c>
      <c r="U1731" s="1">
        <f t="shared" si="242"/>
        <v>216.96430916991136</v>
      </c>
    </row>
    <row r="1732" spans="1:21" x14ac:dyDescent="0.3">
      <c r="A1732" s="2">
        <v>42685</v>
      </c>
      <c r="B1732" s="1">
        <v>4123.6899999999996</v>
      </c>
      <c r="C1732" s="2">
        <f t="shared" si="234"/>
        <v>42685</v>
      </c>
      <c r="D1732" s="1">
        <f t="shared" si="235"/>
        <v>4123.6899999999996</v>
      </c>
      <c r="E1732" s="4">
        <f t="shared" si="236"/>
        <v>4080.375199999999</v>
      </c>
      <c r="F1732" s="3">
        <f t="shared" si="237"/>
        <v>1.0106153963488458</v>
      </c>
      <c r="G1732" s="18">
        <f t="shared" si="238"/>
        <v>1</v>
      </c>
      <c r="H1732" s="3">
        <f t="shared" si="239"/>
        <v>-1.3972771258228267E-3</v>
      </c>
      <c r="I1732" s="3">
        <f t="shared" si="240"/>
        <v>-1.3972771258228267E-3</v>
      </c>
      <c r="K1732" s="12" t="str">
        <f>IF(AND(G1732=1,G1731&lt;&gt;1),MAX($K$50:K1731)+1,"")</f>
        <v/>
      </c>
      <c r="L1732" s="13" t="str">
        <f>IF(AND(G1732&lt;&gt;1,G1731=1),MAX($L$50:L1731)+1,"")</f>
        <v/>
      </c>
      <c r="M1732" s="13" t="str">
        <f>IF(AND(G1732=-1,G1731&lt;&gt;-1),MAX($M$50:M1731)+1,"")</f>
        <v/>
      </c>
      <c r="N1732" s="13" t="str">
        <f>IF(AND(G1732&lt;&gt;-1,G1731=-1),MAX($N$50:N1731)+1,"")</f>
        <v/>
      </c>
      <c r="T1732" s="7">
        <f t="shared" si="241"/>
        <v>121.53316050969894</v>
      </c>
      <c r="U1732" s="1">
        <f t="shared" si="242"/>
        <v>216.66114990358827</v>
      </c>
    </row>
    <row r="1733" spans="1:21" x14ac:dyDescent="0.3">
      <c r="A1733" s="2">
        <v>42688</v>
      </c>
      <c r="B1733" s="1">
        <v>4123.8100000000004</v>
      </c>
      <c r="C1733" s="2">
        <f t="shared" si="234"/>
        <v>42688</v>
      </c>
      <c r="D1733" s="1">
        <f t="shared" si="235"/>
        <v>4123.8100000000004</v>
      </c>
      <c r="E1733" s="4">
        <f t="shared" si="236"/>
        <v>4080.0973999999992</v>
      </c>
      <c r="F1733" s="3">
        <f t="shared" si="237"/>
        <v>1.010713616787678</v>
      </c>
      <c r="G1733" s="18">
        <f t="shared" si="238"/>
        <v>1</v>
      </c>
      <c r="H1733" s="3">
        <f t="shared" si="239"/>
        <v>2.910015059343074E-5</v>
      </c>
      <c r="I1733" s="3">
        <f t="shared" si="240"/>
        <v>2.910015059343074E-5</v>
      </c>
      <c r="K1733" s="12" t="str">
        <f>IF(AND(G1733=1,G1732&lt;&gt;1),MAX($K$50:K1732)+1,"")</f>
        <v/>
      </c>
      <c r="L1733" s="13" t="str">
        <f>IF(AND(G1733&lt;&gt;1,G1732=1),MAX($L$50:L1732)+1,"")</f>
        <v/>
      </c>
      <c r="M1733" s="13" t="str">
        <f>IF(AND(G1733=-1,G1732&lt;&gt;-1),MAX($M$50:M1732)+1,"")</f>
        <v/>
      </c>
      <c r="N1733" s="13" t="str">
        <f>IF(AND(G1733&lt;&gt;-1,G1732=-1),MAX($N$50:N1732)+1,"")</f>
        <v/>
      </c>
      <c r="T1733" s="7">
        <f t="shared" si="241"/>
        <v>121.53669714297187</v>
      </c>
      <c r="U1733" s="1">
        <f t="shared" si="242"/>
        <v>216.66745477567821</v>
      </c>
    </row>
    <row r="1734" spans="1:21" x14ac:dyDescent="0.3">
      <c r="A1734" s="2">
        <v>42689</v>
      </c>
      <c r="B1734" s="1">
        <v>4155.62</v>
      </c>
      <c r="C1734" s="2">
        <f t="shared" si="234"/>
        <v>42689</v>
      </c>
      <c r="D1734" s="1">
        <f t="shared" si="235"/>
        <v>4155.62</v>
      </c>
      <c r="E1734" s="4">
        <f t="shared" si="236"/>
        <v>4080.2075999999988</v>
      </c>
      <c r="F1734" s="3">
        <f t="shared" si="237"/>
        <v>1.0184824909399222</v>
      </c>
      <c r="G1734" s="18">
        <f t="shared" si="238"/>
        <v>1</v>
      </c>
      <c r="H1734" s="3">
        <f t="shared" si="239"/>
        <v>7.7137404487597205E-3</v>
      </c>
      <c r="I1734" s="3">
        <f t="shared" si="240"/>
        <v>7.7137404487597205E-3</v>
      </c>
      <c r="K1734" s="12" t="str">
        <f>IF(AND(G1734=1,G1733&lt;&gt;1),MAX($K$50:K1733)+1,"")</f>
        <v/>
      </c>
      <c r="L1734" s="13" t="str">
        <f>IF(AND(G1734&lt;&gt;1,G1733=1),MAX($L$50:L1733)+1,"")</f>
        <v/>
      </c>
      <c r="M1734" s="13" t="str">
        <f>IF(AND(G1734=-1,G1733&lt;&gt;-1),MAX($M$50:M1733)+1,"")</f>
        <v/>
      </c>
      <c r="N1734" s="13" t="str">
        <f>IF(AND(G1734&lt;&gt;-1,G1733=-1),MAX($N$50:N1733)+1,"")</f>
        <v/>
      </c>
      <c r="T1734" s="7">
        <f t="shared" si="241"/>
        <v>122.47419967973228</v>
      </c>
      <c r="U1734" s="1">
        <f t="shared" si="242"/>
        <v>218.33877128551117</v>
      </c>
    </row>
    <row r="1735" spans="1:21" x14ac:dyDescent="0.3">
      <c r="A1735" s="2">
        <v>42690</v>
      </c>
      <c r="B1735" s="1">
        <v>4150.21</v>
      </c>
      <c r="C1735" s="2">
        <f t="shared" si="234"/>
        <v>42690</v>
      </c>
      <c r="D1735" s="1">
        <f t="shared" si="235"/>
        <v>4150.21</v>
      </c>
      <c r="E1735" s="4">
        <f t="shared" si="236"/>
        <v>4080.2015999999985</v>
      </c>
      <c r="F1735" s="3">
        <f t="shared" si="237"/>
        <v>1.0171580737579244</v>
      </c>
      <c r="G1735" s="18">
        <f t="shared" si="238"/>
        <v>1</v>
      </c>
      <c r="H1735" s="3">
        <f t="shared" si="239"/>
        <v>-1.3018514686135019E-3</v>
      </c>
      <c r="I1735" s="3">
        <f t="shared" si="240"/>
        <v>-1.3018514686135019E-3</v>
      </c>
      <c r="K1735" s="12" t="str">
        <f>IF(AND(G1735=1,G1734&lt;&gt;1),MAX($K$50:K1734)+1,"")</f>
        <v/>
      </c>
      <c r="L1735" s="13" t="str">
        <f>IF(AND(G1735&lt;&gt;1,G1734=1),MAX($L$50:L1734)+1,"")</f>
        <v/>
      </c>
      <c r="M1735" s="13" t="str">
        <f>IF(AND(G1735=-1,G1734&lt;&gt;-1),MAX($M$50:M1734)+1,"")</f>
        <v/>
      </c>
      <c r="N1735" s="13" t="str">
        <f>IF(AND(G1735&lt;&gt;-1,G1734=-1),MAX($N$50:N1734)+1,"")</f>
        <v/>
      </c>
      <c r="T1735" s="7">
        <f t="shared" si="241"/>
        <v>122.31475646301196</v>
      </c>
      <c r="U1735" s="1">
        <f t="shared" si="242"/>
        <v>218.05452663545785</v>
      </c>
    </row>
    <row r="1736" spans="1:21" x14ac:dyDescent="0.3">
      <c r="A1736" s="2">
        <v>42691</v>
      </c>
      <c r="B1736" s="1">
        <v>4169.87</v>
      </c>
      <c r="C1736" s="2">
        <f t="shared" si="234"/>
        <v>42691</v>
      </c>
      <c r="D1736" s="1">
        <f t="shared" si="235"/>
        <v>4169.87</v>
      </c>
      <c r="E1736" s="4">
        <f t="shared" si="236"/>
        <v>4080.7697999999991</v>
      </c>
      <c r="F1736" s="3">
        <f t="shared" si="237"/>
        <v>1.021834164720588</v>
      </c>
      <c r="G1736" s="18">
        <f t="shared" si="238"/>
        <v>1</v>
      </c>
      <c r="H1736" s="3">
        <f t="shared" si="239"/>
        <v>4.7371096884254449E-3</v>
      </c>
      <c r="I1736" s="3">
        <f t="shared" si="240"/>
        <v>4.7371096884254449E-3</v>
      </c>
      <c r="K1736" s="12" t="str">
        <f>IF(AND(G1736=1,G1735&lt;&gt;1),MAX($K$50:K1735)+1,"")</f>
        <v/>
      </c>
      <c r="L1736" s="13" t="str">
        <f>IF(AND(G1736&lt;&gt;1,G1735=1),MAX($L$50:L1735)+1,"")</f>
        <v/>
      </c>
      <c r="M1736" s="13" t="str">
        <f>IF(AND(G1736=-1,G1735&lt;&gt;-1),MAX($M$50:M1735)+1,"")</f>
        <v/>
      </c>
      <c r="N1736" s="13" t="str">
        <f>IF(AND(G1736&lt;&gt;-1,G1735=-1),MAX($N$50:N1735)+1,"")</f>
        <v/>
      </c>
      <c r="T1736" s="7">
        <f t="shared" si="241"/>
        <v>122.89417488089029</v>
      </c>
      <c r="U1736" s="1">
        <f t="shared" si="242"/>
        <v>219.08747484618769</v>
      </c>
    </row>
    <row r="1737" spans="1:21" x14ac:dyDescent="0.3">
      <c r="A1737" s="2">
        <v>42692</v>
      </c>
      <c r="B1737" s="1">
        <v>4160.58</v>
      </c>
      <c r="C1737" s="2">
        <f t="shared" si="234"/>
        <v>42692</v>
      </c>
      <c r="D1737" s="1">
        <f t="shared" si="235"/>
        <v>4160.58</v>
      </c>
      <c r="E1737" s="4">
        <f t="shared" si="236"/>
        <v>4083.1823999999988</v>
      </c>
      <c r="F1737" s="3">
        <f t="shared" si="237"/>
        <v>1.0189552149323531</v>
      </c>
      <c r="G1737" s="18">
        <f t="shared" si="238"/>
        <v>1</v>
      </c>
      <c r="H1737" s="3">
        <f t="shared" si="239"/>
        <v>-2.2278872003204109E-3</v>
      </c>
      <c r="I1737" s="3">
        <f t="shared" si="240"/>
        <v>-2.2278872003204109E-3</v>
      </c>
      <c r="K1737" s="12" t="str">
        <f>IF(AND(G1737=1,G1736&lt;&gt;1),MAX($K$50:K1736)+1,"")</f>
        <v/>
      </c>
      <c r="L1737" s="13" t="str">
        <f>IF(AND(G1737&lt;&gt;1,G1736=1),MAX($L$50:L1736)+1,"")</f>
        <v/>
      </c>
      <c r="M1737" s="13" t="str">
        <f>IF(AND(G1737=-1,G1736&lt;&gt;-1),MAX($M$50:M1736)+1,"")</f>
        <v/>
      </c>
      <c r="N1737" s="13" t="str">
        <f>IF(AND(G1737&lt;&gt;-1,G1736=-1),MAX($N$50:N1736)+1,"")</f>
        <v/>
      </c>
      <c r="T1737" s="7">
        <f t="shared" si="241"/>
        <v>122.62038052167922</v>
      </c>
      <c r="U1737" s="1">
        <f t="shared" si="242"/>
        <v>218.59937266522738</v>
      </c>
    </row>
    <row r="1738" spans="1:21" x14ac:dyDescent="0.3">
      <c r="A1738" s="2">
        <v>42695</v>
      </c>
      <c r="B1738" s="1">
        <v>4191.68</v>
      </c>
      <c r="C1738" s="2">
        <f t="shared" si="234"/>
        <v>42695</v>
      </c>
      <c r="D1738" s="1">
        <f t="shared" si="235"/>
        <v>4191.68</v>
      </c>
      <c r="E1738" s="4">
        <f t="shared" si="236"/>
        <v>4085.0265999999988</v>
      </c>
      <c r="F1738" s="3">
        <f t="shared" si="237"/>
        <v>1.0261083734436396</v>
      </c>
      <c r="G1738" s="18">
        <f t="shared" si="238"/>
        <v>1</v>
      </c>
      <c r="H1738" s="3">
        <f t="shared" si="239"/>
        <v>7.4749193622043464E-3</v>
      </c>
      <c r="I1738" s="3">
        <f t="shared" si="240"/>
        <v>7.4749193622043464E-3</v>
      </c>
      <c r="K1738" s="12" t="str">
        <f>IF(AND(G1738=1,G1737&lt;&gt;1),MAX($K$50:K1737)+1,"")</f>
        <v/>
      </c>
      <c r="L1738" s="13" t="str">
        <f>IF(AND(G1738&lt;&gt;1,G1737=1),MAX($L$50:L1737)+1,"")</f>
        <v/>
      </c>
      <c r="M1738" s="13" t="str">
        <f>IF(AND(G1738=-1,G1737&lt;&gt;-1),MAX($M$50:M1737)+1,"")</f>
        <v/>
      </c>
      <c r="N1738" s="13" t="str">
        <f>IF(AND(G1738&lt;&gt;-1,G1737=-1),MAX($N$50:N1737)+1,"")</f>
        <v/>
      </c>
      <c r="T1738" s="7">
        <f t="shared" si="241"/>
        <v>123.53695797824159</v>
      </c>
      <c r="U1738" s="1">
        <f t="shared" si="242"/>
        <v>220.23338534852843</v>
      </c>
    </row>
    <row r="1739" spans="1:21" x14ac:dyDescent="0.3">
      <c r="A1739" s="2">
        <v>42696</v>
      </c>
      <c r="B1739" s="1">
        <v>4200.95</v>
      </c>
      <c r="C1739" s="2">
        <f t="shared" si="234"/>
        <v>42696</v>
      </c>
      <c r="D1739" s="1">
        <f t="shared" si="235"/>
        <v>4200.95</v>
      </c>
      <c r="E1739" s="4">
        <f t="shared" si="236"/>
        <v>4088.2471999999984</v>
      </c>
      <c r="F1739" s="3">
        <f t="shared" si="237"/>
        <v>1.0275675110839682</v>
      </c>
      <c r="G1739" s="18">
        <f t="shared" si="238"/>
        <v>1</v>
      </c>
      <c r="H1739" s="3">
        <f t="shared" si="239"/>
        <v>2.2115237804412047E-3</v>
      </c>
      <c r="I1739" s="3">
        <f t="shared" si="240"/>
        <v>2.2115237804412047E-3</v>
      </c>
      <c r="K1739" s="12" t="str">
        <f>IF(AND(G1739=1,G1738&lt;&gt;1),MAX($K$50:K1738)+1,"")</f>
        <v/>
      </c>
      <c r="L1739" s="13" t="str">
        <f>IF(AND(G1739&lt;&gt;1,G1738=1),MAX($L$50:L1738)+1,"")</f>
        <v/>
      </c>
      <c r="M1739" s="13" t="str">
        <f>IF(AND(G1739=-1,G1738&lt;&gt;-1),MAX($M$50:M1738)+1,"")</f>
        <v/>
      </c>
      <c r="N1739" s="13" t="str">
        <f>IF(AND(G1739&lt;&gt;-1,G1738=-1),MAX($N$50:N1738)+1,"")</f>
        <v/>
      </c>
      <c r="T1739" s="7">
        <f t="shared" si="241"/>
        <v>123.81016289857384</v>
      </c>
      <c r="U1739" s="1">
        <f t="shared" si="242"/>
        <v>220.72043671747377</v>
      </c>
    </row>
    <row r="1740" spans="1:21" x14ac:dyDescent="0.3">
      <c r="A1740" s="2">
        <v>42697</v>
      </c>
      <c r="B1740" s="1">
        <v>4204.49</v>
      </c>
      <c r="C1740" s="2">
        <f t="shared" si="234"/>
        <v>42697</v>
      </c>
      <c r="D1740" s="1">
        <f t="shared" si="235"/>
        <v>4204.49</v>
      </c>
      <c r="E1740" s="4">
        <f t="shared" si="236"/>
        <v>4091.5803999999985</v>
      </c>
      <c r="F1740" s="3">
        <f t="shared" si="237"/>
        <v>1.0275955960684535</v>
      </c>
      <c r="G1740" s="18">
        <f t="shared" si="238"/>
        <v>1</v>
      </c>
      <c r="H1740" s="3">
        <f t="shared" si="239"/>
        <v>8.4266653971121208E-4</v>
      </c>
      <c r="I1740" s="3">
        <f t="shared" si="240"/>
        <v>8.4266653971121208E-4</v>
      </c>
      <c r="K1740" s="12" t="str">
        <f>IF(AND(G1740=1,G1739&lt;&gt;1),MAX($K$50:K1739)+1,"")</f>
        <v/>
      </c>
      <c r="L1740" s="13" t="str">
        <f>IF(AND(G1740&lt;&gt;1,G1739=1),MAX($L$50:L1739)+1,"")</f>
        <v/>
      </c>
      <c r="M1740" s="13" t="str">
        <f>IF(AND(G1740=-1,G1739&lt;&gt;-1),MAX($M$50:M1739)+1,"")</f>
        <v/>
      </c>
      <c r="N1740" s="13" t="str">
        <f>IF(AND(G1740&lt;&gt;-1,G1739=-1),MAX($N$50:N1739)+1,"")</f>
        <v/>
      </c>
      <c r="T1740" s="7">
        <f t="shared" si="241"/>
        <v>123.91449358012466</v>
      </c>
      <c r="U1740" s="1">
        <f t="shared" si="242"/>
        <v>220.90643044412602</v>
      </c>
    </row>
    <row r="1741" spans="1:21" x14ac:dyDescent="0.3">
      <c r="A1741" s="2">
        <v>42699</v>
      </c>
      <c r="B1741" s="1">
        <v>4221.0200000000004</v>
      </c>
      <c r="C1741" s="2">
        <f t="shared" si="234"/>
        <v>42699</v>
      </c>
      <c r="D1741" s="1">
        <f t="shared" si="235"/>
        <v>4221.0200000000004</v>
      </c>
      <c r="E1741" s="4">
        <f t="shared" si="236"/>
        <v>4094.4143999999983</v>
      </c>
      <c r="F1741" s="3">
        <f t="shared" si="237"/>
        <v>1.030921540330652</v>
      </c>
      <c r="G1741" s="18">
        <f t="shared" si="238"/>
        <v>1</v>
      </c>
      <c r="H1741" s="3">
        <f t="shared" si="239"/>
        <v>3.9315113129061441E-3</v>
      </c>
      <c r="I1741" s="3">
        <f t="shared" si="240"/>
        <v>3.9315113129061441E-3</v>
      </c>
      <c r="K1741" s="12" t="str">
        <f>IF(AND(G1741=1,G1740&lt;&gt;1),MAX($K$50:K1740)+1,"")</f>
        <v/>
      </c>
      <c r="L1741" s="13" t="str">
        <f>IF(AND(G1741&lt;&gt;1,G1740=1),MAX($L$50:L1740)+1,"")</f>
        <v/>
      </c>
      <c r="M1741" s="13" t="str">
        <f>IF(AND(G1741=-1,G1740&lt;&gt;-1),MAX($M$50:M1740)+1,"")</f>
        <v/>
      </c>
      <c r="N1741" s="13" t="str">
        <f>IF(AND(G1741&lt;&gt;-1,G1740=-1),MAX($N$50:N1740)+1,"")</f>
        <v/>
      </c>
      <c r="T1741" s="7">
        <f t="shared" si="241"/>
        <v>124.40166481346795</v>
      </c>
      <c r="U1741" s="1">
        <f t="shared" si="242"/>
        <v>221.7749265745108</v>
      </c>
    </row>
    <row r="1742" spans="1:21" x14ac:dyDescent="0.3">
      <c r="A1742" s="2">
        <v>42702</v>
      </c>
      <c r="B1742" s="1">
        <v>4199.3900000000003</v>
      </c>
      <c r="C1742" s="2">
        <f t="shared" si="234"/>
        <v>42702</v>
      </c>
      <c r="D1742" s="1">
        <f t="shared" si="235"/>
        <v>4199.3900000000003</v>
      </c>
      <c r="E1742" s="4">
        <f t="shared" si="236"/>
        <v>4097.1227999999983</v>
      </c>
      <c r="F1742" s="3">
        <f t="shared" si="237"/>
        <v>1.0249607358607855</v>
      </c>
      <c r="G1742" s="18">
        <f t="shared" si="238"/>
        <v>1</v>
      </c>
      <c r="H1742" s="3">
        <f t="shared" si="239"/>
        <v>-5.1243538291693147E-3</v>
      </c>
      <c r="I1742" s="3">
        <f t="shared" si="240"/>
        <v>-5.1243538291693147E-3</v>
      </c>
      <c r="K1742" s="12" t="str">
        <f>IF(AND(G1742=1,G1741&lt;&gt;1),MAX($K$50:K1741)+1,"")</f>
        <v/>
      </c>
      <c r="L1742" s="13" t="str">
        <f>IF(AND(G1742&lt;&gt;1,G1741=1),MAX($L$50:L1741)+1,"")</f>
        <v/>
      </c>
      <c r="M1742" s="13" t="str">
        <f>IF(AND(G1742=-1,G1741&lt;&gt;-1),MAX($M$50:M1741)+1,"")</f>
        <v/>
      </c>
      <c r="N1742" s="13" t="str">
        <f>IF(AND(G1742&lt;&gt;-1,G1741=-1),MAX($N$50:N1741)+1,"")</f>
        <v/>
      </c>
      <c r="T1742" s="7">
        <f t="shared" si="241"/>
        <v>123.76418666602602</v>
      </c>
      <c r="U1742" s="1">
        <f t="shared" si="242"/>
        <v>220.63847338030499</v>
      </c>
    </row>
    <row r="1743" spans="1:21" x14ac:dyDescent="0.3">
      <c r="A1743" s="2">
        <v>42703</v>
      </c>
      <c r="B1743" s="1">
        <v>4205.99</v>
      </c>
      <c r="C1743" s="2">
        <f t="shared" si="234"/>
        <v>42703</v>
      </c>
      <c r="D1743" s="1">
        <f t="shared" si="235"/>
        <v>4205.99</v>
      </c>
      <c r="E1743" s="4">
        <f t="shared" si="236"/>
        <v>4099.9637999999986</v>
      </c>
      <c r="F1743" s="3">
        <f t="shared" si="237"/>
        <v>1.0258602771078129</v>
      </c>
      <c r="G1743" s="18">
        <f t="shared" si="238"/>
        <v>1</v>
      </c>
      <c r="H1743" s="3">
        <f t="shared" si="239"/>
        <v>1.5716568358736804E-3</v>
      </c>
      <c r="I1743" s="3">
        <f t="shared" si="240"/>
        <v>1.5716568358736804E-3</v>
      </c>
      <c r="K1743" s="12" t="str">
        <f>IF(AND(G1743=1,G1742&lt;&gt;1),MAX($K$50:K1742)+1,"")</f>
        <v/>
      </c>
      <c r="L1743" s="13" t="str">
        <f>IF(AND(G1743&lt;&gt;1,G1742=1),MAX($L$50:L1742)+1,"")</f>
        <v/>
      </c>
      <c r="M1743" s="13" t="str">
        <f>IF(AND(G1743=-1,G1742&lt;&gt;-1),MAX($M$50:M1742)+1,"")</f>
        <v/>
      </c>
      <c r="N1743" s="13" t="str">
        <f>IF(AND(G1743&lt;&gt;-1,G1742=-1),MAX($N$50:N1742)+1,"")</f>
        <v/>
      </c>
      <c r="T1743" s="7">
        <f t="shared" si="241"/>
        <v>123.95870149603603</v>
      </c>
      <c r="U1743" s="1">
        <f t="shared" si="242"/>
        <v>220.98524134524988</v>
      </c>
    </row>
    <row r="1744" spans="1:21" x14ac:dyDescent="0.3">
      <c r="A1744" s="2">
        <v>42704</v>
      </c>
      <c r="B1744" s="1">
        <v>4195.7299999999996</v>
      </c>
      <c r="C1744" s="2">
        <f t="shared" si="234"/>
        <v>42704</v>
      </c>
      <c r="D1744" s="1">
        <f t="shared" si="235"/>
        <v>4195.7299999999996</v>
      </c>
      <c r="E1744" s="4">
        <f t="shared" si="236"/>
        <v>4102.5743999999986</v>
      </c>
      <c r="F1744" s="3">
        <f t="shared" si="237"/>
        <v>1.0227066205063828</v>
      </c>
      <c r="G1744" s="18">
        <f t="shared" si="238"/>
        <v>1</v>
      </c>
      <c r="H1744" s="3">
        <f t="shared" si="239"/>
        <v>-2.4393781250074964E-3</v>
      </c>
      <c r="I1744" s="3">
        <f t="shared" si="240"/>
        <v>-2.4393781250074964E-3</v>
      </c>
      <c r="K1744" s="12" t="str">
        <f>IF(AND(G1744=1,G1743&lt;&gt;1),MAX($K$50:K1743)+1,"")</f>
        <v/>
      </c>
      <c r="L1744" s="13" t="str">
        <f>IF(AND(G1744&lt;&gt;1,G1743=1),MAX($L$50:L1743)+1,"")</f>
        <v/>
      </c>
      <c r="M1744" s="13" t="str">
        <f>IF(AND(G1744=-1,G1743&lt;&gt;-1),MAX($M$50:M1743)+1,"")</f>
        <v/>
      </c>
      <c r="N1744" s="13" t="str">
        <f>IF(AND(G1744&lt;&gt;-1,G1743=-1),MAX($N$50:N1743)+1,"")</f>
        <v/>
      </c>
      <c r="T1744" s="7">
        <f t="shared" si="241"/>
        <v>123.65631935120226</v>
      </c>
      <c r="U1744" s="1">
        <f t="shared" si="242"/>
        <v>220.44617478156277</v>
      </c>
    </row>
    <row r="1745" spans="1:21" x14ac:dyDescent="0.3">
      <c r="A1745" s="2">
        <v>42705</v>
      </c>
      <c r="B1745" s="1">
        <v>4181.1499999999996</v>
      </c>
      <c r="C1745" s="2">
        <f t="shared" si="234"/>
        <v>42705</v>
      </c>
      <c r="D1745" s="1">
        <f t="shared" si="235"/>
        <v>4181.1499999999996</v>
      </c>
      <c r="E1745" s="4">
        <f t="shared" si="236"/>
        <v>4104.0047999999988</v>
      </c>
      <c r="F1745" s="3">
        <f t="shared" si="237"/>
        <v>1.0187975413673982</v>
      </c>
      <c r="G1745" s="18">
        <f t="shared" si="238"/>
        <v>1</v>
      </c>
      <c r="H1745" s="3">
        <f t="shared" si="239"/>
        <v>-3.4749614489015812E-3</v>
      </c>
      <c r="I1745" s="3">
        <f t="shared" si="240"/>
        <v>-3.4749614489015812E-3</v>
      </c>
      <c r="K1745" s="12" t="str">
        <f>IF(AND(G1745=1,G1744&lt;&gt;1),MAX($K$50:K1744)+1,"")</f>
        <v/>
      </c>
      <c r="L1745" s="13" t="str">
        <f>IF(AND(G1745&lt;&gt;1,G1744=1),MAX($L$50:L1744)+1,"")</f>
        <v/>
      </c>
      <c r="M1745" s="13" t="str">
        <f>IF(AND(G1745=-1,G1744&lt;&gt;-1),MAX($M$50:M1744)+1,"")</f>
        <v/>
      </c>
      <c r="N1745" s="13" t="str">
        <f>IF(AND(G1745&lt;&gt;-1,G1744=-1),MAX($N$50:N1744)+1,"")</f>
        <v/>
      </c>
      <c r="T1745" s="7">
        <f t="shared" si="241"/>
        <v>123.22661840854377</v>
      </c>
      <c r="U1745" s="1">
        <f t="shared" si="242"/>
        <v>219.68013282263902</v>
      </c>
    </row>
    <row r="1746" spans="1:21" x14ac:dyDescent="0.3">
      <c r="A1746" s="2">
        <v>42706</v>
      </c>
      <c r="B1746" s="1">
        <v>4182.8100000000004</v>
      </c>
      <c r="C1746" s="2">
        <f t="shared" si="234"/>
        <v>42706</v>
      </c>
      <c r="D1746" s="1">
        <f t="shared" si="235"/>
        <v>4182.8100000000004</v>
      </c>
      <c r="E1746" s="4">
        <f t="shared" si="236"/>
        <v>4104.9327999999987</v>
      </c>
      <c r="F1746" s="3">
        <f t="shared" si="237"/>
        <v>1.0189716138593066</v>
      </c>
      <c r="G1746" s="18">
        <f t="shared" si="238"/>
        <v>1</v>
      </c>
      <c r="H1746" s="3">
        <f t="shared" si="239"/>
        <v>3.9701995862406747E-4</v>
      </c>
      <c r="I1746" s="3">
        <f t="shared" si="240"/>
        <v>3.9701995862406747E-4</v>
      </c>
      <c r="K1746" s="12" t="str">
        <f>IF(AND(G1746=1,G1745&lt;&gt;1),MAX($K$50:K1745)+1,"")</f>
        <v/>
      </c>
      <c r="L1746" s="13" t="str">
        <f>IF(AND(G1746&lt;&gt;1,G1745=1),MAX($L$50:L1745)+1,"")</f>
        <v/>
      </c>
      <c r="M1746" s="13" t="str">
        <f>IF(AND(G1746=-1,G1745&lt;&gt;-1),MAX($M$50:M1745)+1,"")</f>
        <v/>
      </c>
      <c r="N1746" s="13" t="str">
        <f>IF(AND(G1746&lt;&gt;-1,G1745=-1),MAX($N$50:N1745)+1,"")</f>
        <v/>
      </c>
      <c r="T1746" s="7">
        <f t="shared" si="241"/>
        <v>123.27554183548571</v>
      </c>
      <c r="U1746" s="1">
        <f t="shared" si="242"/>
        <v>219.76735021988279</v>
      </c>
    </row>
    <row r="1747" spans="1:21" x14ac:dyDescent="0.3">
      <c r="A1747" s="2">
        <v>42709</v>
      </c>
      <c r="B1747" s="1">
        <v>4207.57</v>
      </c>
      <c r="C1747" s="2">
        <f t="shared" si="234"/>
        <v>42709</v>
      </c>
      <c r="D1747" s="1">
        <f t="shared" si="235"/>
        <v>4207.57</v>
      </c>
      <c r="E1747" s="4">
        <f t="shared" si="236"/>
        <v>4106.8303999999989</v>
      </c>
      <c r="F1747" s="3">
        <f t="shared" si="237"/>
        <v>1.0245297687481814</v>
      </c>
      <c r="G1747" s="18">
        <f t="shared" si="238"/>
        <v>1</v>
      </c>
      <c r="H1747" s="3">
        <f t="shared" si="239"/>
        <v>5.919465622392428E-3</v>
      </c>
      <c r="I1747" s="3">
        <f t="shared" si="240"/>
        <v>5.919465622392428E-3</v>
      </c>
      <c r="K1747" s="12" t="str">
        <f>IF(AND(G1747=1,G1746&lt;&gt;1),MAX($K$50:K1746)+1,"")</f>
        <v/>
      </c>
      <c r="L1747" s="13" t="str">
        <f>IF(AND(G1747&lt;&gt;1,G1746=1),MAX($L$50:L1746)+1,"")</f>
        <v/>
      </c>
      <c r="M1747" s="13" t="str">
        <f>IF(AND(G1747=-1,G1746&lt;&gt;-1),MAX($M$50:M1746)+1,"")</f>
        <v/>
      </c>
      <c r="N1747" s="13" t="str">
        <f>IF(AND(G1747&lt;&gt;-1,G1746=-1),MAX($N$50:N1746)+1,"")</f>
        <v/>
      </c>
      <c r="T1747" s="7">
        <f t="shared" si="241"/>
        <v>124.00526716746266</v>
      </c>
      <c r="U1747" s="1">
        <f t="shared" si="242"/>
        <v>221.06825549443366</v>
      </c>
    </row>
    <row r="1748" spans="1:21" x14ac:dyDescent="0.3">
      <c r="A1748" s="2">
        <v>42710</v>
      </c>
      <c r="B1748" s="1">
        <v>4222.04</v>
      </c>
      <c r="C1748" s="2">
        <f t="shared" si="234"/>
        <v>42710</v>
      </c>
      <c r="D1748" s="1">
        <f t="shared" si="235"/>
        <v>4222.04</v>
      </c>
      <c r="E1748" s="4">
        <f t="shared" si="236"/>
        <v>4109.7169999999996</v>
      </c>
      <c r="F1748" s="3">
        <f t="shared" si="237"/>
        <v>1.0273310790013035</v>
      </c>
      <c r="G1748" s="18">
        <f t="shared" si="238"/>
        <v>1</v>
      </c>
      <c r="H1748" s="3">
        <f t="shared" si="239"/>
        <v>3.4390396357042441E-3</v>
      </c>
      <c r="I1748" s="3">
        <f t="shared" si="240"/>
        <v>3.4390396357042441E-3</v>
      </c>
      <c r="K1748" s="12" t="str">
        <f>IF(AND(G1748=1,G1747&lt;&gt;1),MAX($K$50:K1747)+1,"")</f>
        <v/>
      </c>
      <c r="L1748" s="13" t="str">
        <f>IF(AND(G1748&lt;&gt;1,G1747=1),MAX($L$50:L1747)+1,"")</f>
        <v/>
      </c>
      <c r="M1748" s="13" t="str">
        <f>IF(AND(G1748=-1,G1747&lt;&gt;-1),MAX($M$50:M1747)+1,"")</f>
        <v/>
      </c>
      <c r="N1748" s="13" t="str">
        <f>IF(AND(G1748&lt;&gt;-1,G1747=-1),MAX($N$50:N1747)+1,"")</f>
        <v/>
      </c>
      <c r="T1748" s="7">
        <f t="shared" si="241"/>
        <v>124.43172619628766</v>
      </c>
      <c r="U1748" s="1">
        <f t="shared" si="242"/>
        <v>221.82851798727501</v>
      </c>
    </row>
    <row r="1749" spans="1:21" x14ac:dyDescent="0.3">
      <c r="A1749" s="2">
        <v>42711</v>
      </c>
      <c r="B1749" s="1">
        <v>4278.4399999999996</v>
      </c>
      <c r="C1749" s="2">
        <f t="shared" si="234"/>
        <v>42711</v>
      </c>
      <c r="D1749" s="1">
        <f t="shared" si="235"/>
        <v>4278.4399999999996</v>
      </c>
      <c r="E1749" s="4">
        <f t="shared" si="236"/>
        <v>4113.2021999999997</v>
      </c>
      <c r="F1749" s="3">
        <f t="shared" si="237"/>
        <v>1.0401725448848589</v>
      </c>
      <c r="G1749" s="18">
        <f t="shared" si="238"/>
        <v>1</v>
      </c>
      <c r="H1749" s="3">
        <f t="shared" si="239"/>
        <v>1.3358471260338511E-2</v>
      </c>
      <c r="I1749" s="3">
        <f t="shared" si="240"/>
        <v>1.3358471260338511E-2</v>
      </c>
      <c r="K1749" s="12" t="str">
        <f>IF(AND(G1749=1,G1748&lt;&gt;1),MAX($K$50:K1748)+1,"")</f>
        <v/>
      </c>
      <c r="L1749" s="13" t="str">
        <f>IF(AND(G1749&lt;&gt;1,G1748=1),MAX($L$50:L1748)+1,"")</f>
        <v/>
      </c>
      <c r="M1749" s="13" t="str">
        <f>IF(AND(G1749=-1,G1748&lt;&gt;-1),MAX($M$50:M1748)+1,"")</f>
        <v/>
      </c>
      <c r="N1749" s="13" t="str">
        <f>IF(AND(G1749&lt;&gt;-1,G1748=-1),MAX($N$50:N1748)+1,"")</f>
        <v/>
      </c>
      <c r="T1749" s="7">
        <f t="shared" si="241"/>
        <v>126.09394383455508</v>
      </c>
      <c r="U1749" s="1">
        <f t="shared" si="242"/>
        <v>224.79180786953148</v>
      </c>
    </row>
    <row r="1750" spans="1:21" x14ac:dyDescent="0.3">
      <c r="A1750" s="2">
        <v>42712</v>
      </c>
      <c r="B1750" s="1">
        <v>4288.1000000000004</v>
      </c>
      <c r="C1750" s="2">
        <f t="shared" si="234"/>
        <v>42712</v>
      </c>
      <c r="D1750" s="1">
        <f t="shared" si="235"/>
        <v>4288.1000000000004</v>
      </c>
      <c r="E1750" s="4">
        <f t="shared" si="236"/>
        <v>4116.4276</v>
      </c>
      <c r="F1750" s="3">
        <f t="shared" si="237"/>
        <v>1.0417042194547526</v>
      </c>
      <c r="G1750" s="18">
        <f t="shared" si="238"/>
        <v>1</v>
      </c>
      <c r="H1750" s="3">
        <f t="shared" si="239"/>
        <v>2.257832294013884E-3</v>
      </c>
      <c r="I1750" s="3">
        <f t="shared" si="240"/>
        <v>2.257832294013884E-3</v>
      </c>
      <c r="K1750" s="12" t="str">
        <f>IF(AND(G1750=1,G1749&lt;&gt;1),MAX($K$50:K1749)+1,"")</f>
        <v/>
      </c>
      <c r="L1750" s="13" t="str">
        <f>IF(AND(G1750&lt;&gt;1,G1749=1),MAX($L$50:L1749)+1,"")</f>
        <v/>
      </c>
      <c r="M1750" s="13" t="str">
        <f>IF(AND(G1750=-1,G1749&lt;&gt;-1),MAX($M$50:M1749)+1,"")</f>
        <v/>
      </c>
      <c r="N1750" s="13" t="str">
        <f>IF(AND(G1750&lt;&gt;-1,G1749=-1),MAX($N$50:N1749)+1,"")</f>
        <v/>
      </c>
      <c r="T1750" s="7">
        <f t="shared" si="241"/>
        <v>126.37864281302431</v>
      </c>
      <c r="U1750" s="1">
        <f t="shared" si="242"/>
        <v>225.29935007276907</v>
      </c>
    </row>
    <row r="1751" spans="1:21" x14ac:dyDescent="0.3">
      <c r="A1751" s="2">
        <v>42713</v>
      </c>
      <c r="B1751" s="1">
        <v>4313.6099999999997</v>
      </c>
      <c r="C1751" s="2">
        <f t="shared" si="234"/>
        <v>42713</v>
      </c>
      <c r="D1751" s="1">
        <f t="shared" si="235"/>
        <v>4313.6099999999997</v>
      </c>
      <c r="E1751" s="4">
        <f t="shared" si="236"/>
        <v>4120.9303999999993</v>
      </c>
      <c r="F1751" s="3">
        <f t="shared" si="237"/>
        <v>1.0467563344433093</v>
      </c>
      <c r="G1751" s="18">
        <f t="shared" si="238"/>
        <v>1</v>
      </c>
      <c r="H1751" s="3">
        <f t="shared" si="239"/>
        <v>5.9490217112472266E-3</v>
      </c>
      <c r="I1751" s="3">
        <f t="shared" si="240"/>
        <v>5.9490217112472266E-3</v>
      </c>
      <c r="K1751" s="12" t="str">
        <f>IF(AND(G1751=1,G1750&lt;&gt;1),MAX($K$50:K1750)+1,"")</f>
        <v/>
      </c>
      <c r="L1751" s="13" t="str">
        <f>IF(AND(G1751&lt;&gt;1,G1750=1),MAX($L$50:L1750)+1,"")</f>
        <v/>
      </c>
      <c r="M1751" s="13" t="str">
        <f>IF(AND(G1751=-1,G1750&lt;&gt;-1),MAX($M$50:M1750)+1,"")</f>
        <v/>
      </c>
      <c r="N1751" s="13" t="str">
        <f>IF(AND(G1751&lt;&gt;-1,G1750=-1),MAX($N$50:N1750)+1,"")</f>
        <v/>
      </c>
      <c r="T1751" s="7">
        <f t="shared" si="241"/>
        <v>127.13047210295696</v>
      </c>
      <c r="U1751" s="1">
        <f t="shared" si="242"/>
        <v>226.63966079788187</v>
      </c>
    </row>
    <row r="1752" spans="1:21" x14ac:dyDescent="0.3">
      <c r="A1752" s="2">
        <v>42716</v>
      </c>
      <c r="B1752" s="1">
        <v>4308.9399999999996</v>
      </c>
      <c r="C1752" s="2">
        <f t="shared" si="234"/>
        <v>42716</v>
      </c>
      <c r="D1752" s="1">
        <f t="shared" si="235"/>
        <v>4308.9399999999996</v>
      </c>
      <c r="E1752" s="4">
        <f t="shared" si="236"/>
        <v>4124.6879999999992</v>
      </c>
      <c r="F1752" s="3">
        <f t="shared" si="237"/>
        <v>1.0446705302316202</v>
      </c>
      <c r="G1752" s="18">
        <f t="shared" si="238"/>
        <v>1</v>
      </c>
      <c r="H1752" s="3">
        <f t="shared" si="239"/>
        <v>-1.082619893778114E-3</v>
      </c>
      <c r="I1752" s="3">
        <f t="shared" si="240"/>
        <v>-1.082619893778114E-3</v>
      </c>
      <c r="K1752" s="12" t="str">
        <f>IF(AND(G1752=1,G1751&lt;&gt;1),MAX($K$50:K1751)+1,"")</f>
        <v/>
      </c>
      <c r="L1752" s="13" t="str">
        <f>IF(AND(G1752&lt;&gt;1,G1751=1),MAX($L$50:L1751)+1,"")</f>
        <v/>
      </c>
      <c r="M1752" s="13" t="str">
        <f>IF(AND(G1752=-1,G1751&lt;&gt;-1),MAX($M$50:M1751)+1,"")</f>
        <v/>
      </c>
      <c r="N1752" s="13" t="str">
        <f>IF(AND(G1752&lt;&gt;-1,G1751=-1),MAX($N$50:N1751)+1,"")</f>
        <v/>
      </c>
      <c r="T1752" s="7">
        <f t="shared" si="241"/>
        <v>126.99283812475289</v>
      </c>
      <c r="U1752" s="1">
        <f t="shared" si="242"/>
        <v>226.394296192383</v>
      </c>
    </row>
    <row r="1753" spans="1:21" x14ac:dyDescent="0.3">
      <c r="A1753" s="2">
        <v>42717</v>
      </c>
      <c r="B1753" s="1">
        <v>4337.8599999999997</v>
      </c>
      <c r="C1753" s="2">
        <f t="shared" si="234"/>
        <v>42717</v>
      </c>
      <c r="D1753" s="1">
        <f t="shared" si="235"/>
        <v>4337.8599999999997</v>
      </c>
      <c r="E1753" s="4">
        <f t="shared" si="236"/>
        <v>4129.2825999999995</v>
      </c>
      <c r="F1753" s="3">
        <f t="shared" si="237"/>
        <v>1.0505117765492729</v>
      </c>
      <c r="G1753" s="18">
        <f t="shared" si="238"/>
        <v>1</v>
      </c>
      <c r="H1753" s="3">
        <f t="shared" si="239"/>
        <v>6.7116274536196396E-3</v>
      </c>
      <c r="I1753" s="3">
        <f t="shared" si="240"/>
        <v>6.7116274536196396E-3</v>
      </c>
      <c r="K1753" s="12" t="str">
        <f>IF(AND(G1753=1,G1752&lt;&gt;1),MAX($K$50:K1752)+1,"")</f>
        <v/>
      </c>
      <c r="L1753" s="13" t="str">
        <f>IF(AND(G1753&lt;&gt;1,G1752=1),MAX($L$50:L1752)+1,"")</f>
        <v/>
      </c>
      <c r="M1753" s="13" t="str">
        <f>IF(AND(G1753=-1,G1752&lt;&gt;-1),MAX($M$50:M1752)+1,"")</f>
        <v/>
      </c>
      <c r="N1753" s="13" t="str">
        <f>IF(AND(G1753&lt;&gt;-1,G1752=-1),MAX($N$50:N1752)+1,"")</f>
        <v/>
      </c>
      <c r="T1753" s="7">
        <f t="shared" si="241"/>
        <v>127.84516674352406</v>
      </c>
      <c r="U1753" s="1">
        <f t="shared" si="242"/>
        <v>227.9137703660507</v>
      </c>
    </row>
    <row r="1754" spans="1:21" x14ac:dyDescent="0.3">
      <c r="A1754" s="2">
        <v>42718</v>
      </c>
      <c r="B1754" s="1">
        <v>4302.93</v>
      </c>
      <c r="C1754" s="2">
        <f t="shared" si="234"/>
        <v>42718</v>
      </c>
      <c r="D1754" s="1">
        <f t="shared" si="235"/>
        <v>4302.93</v>
      </c>
      <c r="E1754" s="4">
        <f t="shared" si="236"/>
        <v>4133.5778</v>
      </c>
      <c r="F1754" s="3">
        <f t="shared" si="237"/>
        <v>1.0409698832812582</v>
      </c>
      <c r="G1754" s="18">
        <f t="shared" si="238"/>
        <v>1</v>
      </c>
      <c r="H1754" s="3">
        <f t="shared" si="239"/>
        <v>-8.0523576141229292E-3</v>
      </c>
      <c r="I1754" s="3">
        <f t="shared" si="240"/>
        <v>-8.0523576141229292E-3</v>
      </c>
      <c r="K1754" s="12" t="str">
        <f>IF(AND(G1754=1,G1753&lt;&gt;1),MAX($K$50:K1753)+1,"")</f>
        <v/>
      </c>
      <c r="L1754" s="13" t="str">
        <f>IF(AND(G1754&lt;&gt;1,G1753=1),MAX($L$50:L1753)+1,"")</f>
        <v/>
      </c>
      <c r="M1754" s="13" t="str">
        <f>IF(AND(G1754=-1,G1753&lt;&gt;-1),MAX($M$50:M1753)+1,"")</f>
        <v/>
      </c>
      <c r="N1754" s="13" t="str">
        <f>IF(AND(G1754&lt;&gt;-1,G1753=-1),MAX($N$50:N1753)+1,"")</f>
        <v/>
      </c>
      <c r="T1754" s="7">
        <f t="shared" si="241"/>
        <v>126.81571174166803</v>
      </c>
      <c r="U1754" s="1">
        <f t="shared" si="242"/>
        <v>226.07852718188016</v>
      </c>
    </row>
    <row r="1755" spans="1:21" x14ac:dyDescent="0.3">
      <c r="A1755" s="2">
        <v>42719</v>
      </c>
      <c r="B1755" s="1">
        <v>4319.84</v>
      </c>
      <c r="C1755" s="2">
        <f t="shared" si="234"/>
        <v>42719</v>
      </c>
      <c r="D1755" s="1">
        <f t="shared" si="235"/>
        <v>4319.84</v>
      </c>
      <c r="E1755" s="4">
        <f t="shared" si="236"/>
        <v>4137.8265999999994</v>
      </c>
      <c r="F1755" s="3">
        <f t="shared" si="237"/>
        <v>1.0439876818424438</v>
      </c>
      <c r="G1755" s="18">
        <f t="shared" si="238"/>
        <v>1</v>
      </c>
      <c r="H1755" s="3">
        <f t="shared" si="239"/>
        <v>3.9298803373515323E-3</v>
      </c>
      <c r="I1755" s="3">
        <f t="shared" si="240"/>
        <v>3.9298803373515323E-3</v>
      </c>
      <c r="K1755" s="12" t="str">
        <f>IF(AND(G1755=1,G1754&lt;&gt;1),MAX($K$50:K1754)+1,"")</f>
        <v/>
      </c>
      <c r="L1755" s="13" t="str">
        <f>IF(AND(G1755&lt;&gt;1,G1754=1),MAX($L$50:L1754)+1,"")</f>
        <v/>
      </c>
      <c r="M1755" s="13" t="str">
        <f>IF(AND(G1755=-1,G1754&lt;&gt;-1),MAX($M$50:M1754)+1,"")</f>
        <v/>
      </c>
      <c r="N1755" s="13" t="str">
        <f>IF(AND(G1755&lt;&gt;-1,G1754=-1),MAX($N$50:N1754)+1,"")</f>
        <v/>
      </c>
      <c r="T1755" s="7">
        <f t="shared" si="241"/>
        <v>127.31408231370885</v>
      </c>
      <c r="U1755" s="1">
        <f t="shared" si="242"/>
        <v>226.96698874054962</v>
      </c>
    </row>
    <row r="1756" spans="1:21" x14ac:dyDescent="0.3">
      <c r="A1756" s="2">
        <v>42720</v>
      </c>
      <c r="B1756" s="1">
        <v>4312.3999999999996</v>
      </c>
      <c r="C1756" s="2">
        <f t="shared" si="234"/>
        <v>42720</v>
      </c>
      <c r="D1756" s="1">
        <f t="shared" si="235"/>
        <v>4312.3999999999996</v>
      </c>
      <c r="E1756" s="4">
        <f t="shared" si="236"/>
        <v>4141.8847999999998</v>
      </c>
      <c r="F1756" s="3">
        <f t="shared" si="237"/>
        <v>1.0411685037691052</v>
      </c>
      <c r="G1756" s="18">
        <f t="shared" si="238"/>
        <v>1</v>
      </c>
      <c r="H1756" s="3">
        <f t="shared" si="239"/>
        <v>-1.7222860105930993E-3</v>
      </c>
      <c r="I1756" s="3">
        <f t="shared" si="240"/>
        <v>-1.7222860105930993E-3</v>
      </c>
      <c r="K1756" s="12" t="str">
        <f>IF(AND(G1756=1,G1755&lt;&gt;1),MAX($K$50:K1755)+1,"")</f>
        <v/>
      </c>
      <c r="L1756" s="13" t="str">
        <f>IF(AND(G1756&lt;&gt;1,G1755=1),MAX($L$50:L1755)+1,"")</f>
        <v/>
      </c>
      <c r="M1756" s="13" t="str">
        <f>IF(AND(G1756=-1,G1755&lt;&gt;-1),MAX($M$50:M1755)+1,"")</f>
        <v/>
      </c>
      <c r="N1756" s="13" t="str">
        <f>IF(AND(G1756&lt;&gt;-1,G1755=-1),MAX($N$50:N1755)+1,"")</f>
        <v/>
      </c>
      <c r="T1756" s="7">
        <f t="shared" si="241"/>
        <v>127.09481105078845</v>
      </c>
      <c r="U1756" s="1">
        <f t="shared" si="242"/>
        <v>226.57608667097534</v>
      </c>
    </row>
    <row r="1757" spans="1:21" x14ac:dyDescent="0.3">
      <c r="A1757" s="2">
        <v>42723</v>
      </c>
      <c r="B1757" s="1">
        <v>4321.0200000000004</v>
      </c>
      <c r="C1757" s="2">
        <f t="shared" si="234"/>
        <v>42723</v>
      </c>
      <c r="D1757" s="1">
        <f t="shared" si="235"/>
        <v>4321.0200000000004</v>
      </c>
      <c r="E1757" s="4">
        <f t="shared" si="236"/>
        <v>4146.3801999999996</v>
      </c>
      <c r="F1757" s="3">
        <f t="shared" si="237"/>
        <v>1.0421186171012491</v>
      </c>
      <c r="G1757" s="18">
        <f t="shared" si="238"/>
        <v>1</v>
      </c>
      <c r="H1757" s="3">
        <f t="shared" si="239"/>
        <v>1.9988869307117074E-3</v>
      </c>
      <c r="I1757" s="3">
        <f t="shared" si="240"/>
        <v>1.9988869307117074E-3</v>
      </c>
      <c r="K1757" s="12" t="str">
        <f>IF(AND(G1757=1,G1756&lt;&gt;1),MAX($K$50:K1756)+1,"")</f>
        <v/>
      </c>
      <c r="L1757" s="13" t="str">
        <f>IF(AND(G1757&lt;&gt;1,G1756=1),MAX($L$50:L1756)+1,"")</f>
        <v/>
      </c>
      <c r="M1757" s="13" t="str">
        <f>IF(AND(G1757=-1,G1756&lt;&gt;-1),MAX($M$50:M1756)+1,"")</f>
        <v/>
      </c>
      <c r="N1757" s="13" t="str">
        <f>IF(AND(G1757&lt;&gt;-1,G1756=-1),MAX($N$50:N1756)+1,"")</f>
        <v/>
      </c>
      <c r="T1757" s="7">
        <f t="shared" si="241"/>
        <v>127.34885920755914</v>
      </c>
      <c r="U1757" s="1">
        <f t="shared" si="242"/>
        <v>227.02898664943373</v>
      </c>
    </row>
    <row r="1758" spans="1:21" x14ac:dyDescent="0.3">
      <c r="A1758" s="2">
        <v>42724</v>
      </c>
      <c r="B1758" s="1">
        <v>4337.3599999999997</v>
      </c>
      <c r="C1758" s="2">
        <f t="shared" si="234"/>
        <v>42724</v>
      </c>
      <c r="D1758" s="1">
        <f t="shared" si="235"/>
        <v>4337.3599999999997</v>
      </c>
      <c r="E1758" s="4">
        <f t="shared" si="236"/>
        <v>4150.8249999999998</v>
      </c>
      <c r="F1758" s="3">
        <f t="shared" si="237"/>
        <v>1.0449392590629574</v>
      </c>
      <c r="G1758" s="18">
        <f t="shared" si="238"/>
        <v>1</v>
      </c>
      <c r="H1758" s="3">
        <f t="shared" si="239"/>
        <v>3.7815145498052427E-3</v>
      </c>
      <c r="I1758" s="3">
        <f t="shared" si="240"/>
        <v>3.7815145498052427E-3</v>
      </c>
      <c r="K1758" s="12" t="str">
        <f>IF(AND(G1758=1,G1757&lt;&gt;1),MAX($K$50:K1757)+1,"")</f>
        <v/>
      </c>
      <c r="L1758" s="13" t="str">
        <f>IF(AND(G1758&lt;&gt;1,G1757=1),MAX($L$50:L1757)+1,"")</f>
        <v/>
      </c>
      <c r="M1758" s="13" t="str">
        <f>IF(AND(G1758=-1,G1757&lt;&gt;-1),MAX($M$50:M1757)+1,"")</f>
        <v/>
      </c>
      <c r="N1758" s="13" t="str">
        <f>IF(AND(G1758&lt;&gt;-1,G1757=-1),MAX($N$50:N1757)+1,"")</f>
        <v/>
      </c>
      <c r="T1758" s="7">
        <f t="shared" si="241"/>
        <v>127.83043077155362</v>
      </c>
      <c r="U1758" s="1">
        <f t="shared" si="242"/>
        <v>227.88750006567611</v>
      </c>
    </row>
    <row r="1759" spans="1:21" x14ac:dyDescent="0.3">
      <c r="A1759" s="2">
        <v>42725</v>
      </c>
      <c r="B1759" s="1">
        <v>4326.8500000000004</v>
      </c>
      <c r="C1759" s="2">
        <f t="shared" si="234"/>
        <v>42725</v>
      </c>
      <c r="D1759" s="1">
        <f t="shared" si="235"/>
        <v>4326.8500000000004</v>
      </c>
      <c r="E1759" s="4">
        <f t="shared" si="236"/>
        <v>4156.0835999999999</v>
      </c>
      <c r="F1759" s="3">
        <f t="shared" si="237"/>
        <v>1.0410882976463709</v>
      </c>
      <c r="G1759" s="18">
        <f t="shared" si="238"/>
        <v>1</v>
      </c>
      <c r="H1759" s="3">
        <f t="shared" si="239"/>
        <v>-2.4231329656748679E-3</v>
      </c>
      <c r="I1759" s="3">
        <f t="shared" si="240"/>
        <v>-2.4231329656748679E-3</v>
      </c>
      <c r="K1759" s="12" t="str">
        <f>IF(AND(G1759=1,G1758&lt;&gt;1),MAX($K$50:K1758)+1,"")</f>
        <v/>
      </c>
      <c r="L1759" s="13" t="str">
        <f>IF(AND(G1759&lt;&gt;1,G1758=1),MAX($L$50:L1758)+1,"")</f>
        <v/>
      </c>
      <c r="M1759" s="13" t="str">
        <f>IF(AND(G1759=-1,G1758&lt;&gt;-1),MAX($M$50:M1758)+1,"")</f>
        <v/>
      </c>
      <c r="N1759" s="13" t="str">
        <f>IF(AND(G1759&lt;&gt;-1,G1758=-1),MAX($N$50:N1758)+1,"")</f>
        <v/>
      </c>
      <c r="T1759" s="7">
        <f t="shared" si="241"/>
        <v>127.52068064073465</v>
      </c>
      <c r="U1759" s="1">
        <f t="shared" si="242"/>
        <v>227.33529835180175</v>
      </c>
    </row>
    <row r="1760" spans="1:21" x14ac:dyDescent="0.3">
      <c r="A1760" s="2">
        <v>42726</v>
      </c>
      <c r="B1760" s="1">
        <v>4319.33</v>
      </c>
      <c r="C1760" s="2">
        <f t="shared" si="234"/>
        <v>42726</v>
      </c>
      <c r="D1760" s="1">
        <f t="shared" si="235"/>
        <v>4319.33</v>
      </c>
      <c r="E1760" s="4">
        <f t="shared" si="236"/>
        <v>4161.0917999999992</v>
      </c>
      <c r="F1760" s="3">
        <f t="shared" si="237"/>
        <v>1.0380280483117437</v>
      </c>
      <c r="G1760" s="18">
        <f t="shared" si="238"/>
        <v>1</v>
      </c>
      <c r="H1760" s="3">
        <f t="shared" si="239"/>
        <v>-1.7379849081896603E-3</v>
      </c>
      <c r="I1760" s="3">
        <f t="shared" si="240"/>
        <v>-1.7379849081896603E-3</v>
      </c>
      <c r="K1760" s="12" t="str">
        <f>IF(AND(G1760=1,G1759&lt;&gt;1),MAX($K$50:K1759)+1,"")</f>
        <v/>
      </c>
      <c r="L1760" s="13" t="str">
        <f>IF(AND(G1760&lt;&gt;1,G1759=1),MAX($L$50:L1759)+1,"")</f>
        <v/>
      </c>
      <c r="M1760" s="13" t="str">
        <f>IF(AND(G1760=-1,G1759&lt;&gt;-1),MAX($M$50:M1759)+1,"")</f>
        <v/>
      </c>
      <c r="N1760" s="13" t="str">
        <f>IF(AND(G1760&lt;&gt;-1,G1759=-1),MAX($N$50:N1759)+1,"")</f>
        <v/>
      </c>
      <c r="T1760" s="7">
        <f t="shared" si="241"/>
        <v>127.29905162229899</v>
      </c>
      <c r="U1760" s="1">
        <f t="shared" si="242"/>
        <v>226.94019303416755</v>
      </c>
    </row>
    <row r="1761" spans="1:21" x14ac:dyDescent="0.3">
      <c r="A1761" s="2">
        <v>42727</v>
      </c>
      <c r="B1761" s="1">
        <v>4325.17</v>
      </c>
      <c r="C1761" s="2">
        <f t="shared" si="234"/>
        <v>42727</v>
      </c>
      <c r="D1761" s="1">
        <f t="shared" si="235"/>
        <v>4325.17</v>
      </c>
      <c r="E1761" s="4">
        <f t="shared" si="236"/>
        <v>4166.4661999999989</v>
      </c>
      <c r="F1761" s="3">
        <f t="shared" si="237"/>
        <v>1.0380907446219054</v>
      </c>
      <c r="G1761" s="18">
        <f t="shared" si="238"/>
        <v>1</v>
      </c>
      <c r="H1761" s="3">
        <f t="shared" si="239"/>
        <v>1.352061546582517E-3</v>
      </c>
      <c r="I1761" s="3">
        <f t="shared" si="240"/>
        <v>1.352061546582517E-3</v>
      </c>
      <c r="K1761" s="12" t="str">
        <f>IF(AND(G1761=1,G1760&lt;&gt;1),MAX($K$50:K1760)+1,"")</f>
        <v/>
      </c>
      <c r="L1761" s="13" t="str">
        <f>IF(AND(G1761&lt;&gt;1,G1760=1),MAX($L$50:L1760)+1,"")</f>
        <v/>
      </c>
      <c r="M1761" s="13" t="str">
        <f>IF(AND(G1761=-1,G1760&lt;&gt;-1),MAX($M$50:M1760)+1,"")</f>
        <v/>
      </c>
      <c r="N1761" s="13" t="str">
        <f>IF(AND(G1761&lt;&gt;-1,G1760=-1),MAX($N$50:N1760)+1,"")</f>
        <v/>
      </c>
      <c r="T1761" s="7">
        <f t="shared" si="241"/>
        <v>127.47116777491392</v>
      </c>
      <c r="U1761" s="1">
        <f t="shared" si="242"/>
        <v>227.24703014254305</v>
      </c>
    </row>
    <row r="1762" spans="1:21" x14ac:dyDescent="0.3">
      <c r="A1762" s="2">
        <v>42731</v>
      </c>
      <c r="B1762" s="1">
        <v>4334.93</v>
      </c>
      <c r="C1762" s="2">
        <f t="shared" si="234"/>
        <v>42731</v>
      </c>
      <c r="D1762" s="1">
        <f t="shared" si="235"/>
        <v>4334.93</v>
      </c>
      <c r="E1762" s="4">
        <f t="shared" si="236"/>
        <v>4172.0191999999988</v>
      </c>
      <c r="F1762" s="3">
        <f t="shared" si="237"/>
        <v>1.0390484300743394</v>
      </c>
      <c r="G1762" s="18">
        <f t="shared" si="238"/>
        <v>1</v>
      </c>
      <c r="H1762" s="3">
        <f t="shared" si="239"/>
        <v>2.2565587017389088E-3</v>
      </c>
      <c r="I1762" s="3">
        <f t="shared" si="240"/>
        <v>2.2565587017389088E-3</v>
      </c>
      <c r="K1762" s="12" t="str">
        <f>IF(AND(G1762=1,G1761&lt;&gt;1),MAX($K$50:K1761)+1,"")</f>
        <v/>
      </c>
      <c r="L1762" s="13" t="str">
        <f>IF(AND(G1762&lt;&gt;1,G1761=1),MAX($L$50:L1761)+1,"")</f>
        <v/>
      </c>
      <c r="M1762" s="13" t="str">
        <f>IF(AND(G1762=-1,G1761&lt;&gt;-1),MAX($M$50:M1761)+1,"")</f>
        <v/>
      </c>
      <c r="N1762" s="13" t="str">
        <f>IF(AND(G1762&lt;&gt;-1,G1761=-1),MAX($N$50:N1761)+1,"")</f>
        <v/>
      </c>
      <c r="T1762" s="7">
        <f t="shared" si="241"/>
        <v>127.75881394777723</v>
      </c>
      <c r="U1762" s="1">
        <f t="shared" si="242"/>
        <v>227.75982640585556</v>
      </c>
    </row>
    <row r="1763" spans="1:21" x14ac:dyDescent="0.3">
      <c r="A1763" s="2">
        <v>42732</v>
      </c>
      <c r="B1763" s="1">
        <v>4299.45</v>
      </c>
      <c r="C1763" s="2">
        <f t="shared" si="234"/>
        <v>42732</v>
      </c>
      <c r="D1763" s="1">
        <f t="shared" si="235"/>
        <v>4299.45</v>
      </c>
      <c r="E1763" s="4">
        <f t="shared" si="236"/>
        <v>4177.1067999999996</v>
      </c>
      <c r="F1763" s="3">
        <f t="shared" si="237"/>
        <v>1.029288980592979</v>
      </c>
      <c r="G1763" s="18">
        <f t="shared" si="238"/>
        <v>1</v>
      </c>
      <c r="H1763" s="3">
        <f t="shared" si="239"/>
        <v>-8.1846765691718781E-3</v>
      </c>
      <c r="I1763" s="3">
        <f t="shared" si="240"/>
        <v>-8.1846765691718781E-3</v>
      </c>
      <c r="K1763" s="12" t="str">
        <f>IF(AND(G1763=1,G1762&lt;&gt;1),MAX($K$50:K1762)+1,"")</f>
        <v/>
      </c>
      <c r="L1763" s="13" t="str">
        <f>IF(AND(G1763&lt;&gt;1,G1762=1),MAX($L$50:L1762)+1,"")</f>
        <v/>
      </c>
      <c r="M1763" s="13" t="str">
        <f>IF(AND(G1763=-1,G1762&lt;&gt;-1),MAX($M$50:M1762)+1,"")</f>
        <v/>
      </c>
      <c r="N1763" s="13" t="str">
        <f>IF(AND(G1763&lt;&gt;-1,G1762=-1),MAX($N$50:N1762)+1,"")</f>
        <v/>
      </c>
      <c r="T1763" s="7">
        <f t="shared" si="241"/>
        <v>126.71314937675366</v>
      </c>
      <c r="U1763" s="1">
        <f t="shared" si="242"/>
        <v>225.89568589127288</v>
      </c>
    </row>
    <row r="1764" spans="1:21" x14ac:dyDescent="0.3">
      <c r="A1764" s="2">
        <v>42733</v>
      </c>
      <c r="B1764" s="1">
        <v>4298.3900000000003</v>
      </c>
      <c r="C1764" s="2">
        <f t="shared" si="234"/>
        <v>42733</v>
      </c>
      <c r="D1764" s="1">
        <f t="shared" si="235"/>
        <v>4298.3900000000003</v>
      </c>
      <c r="E1764" s="4">
        <f t="shared" si="236"/>
        <v>4181.6747999999998</v>
      </c>
      <c r="F1764" s="3">
        <f t="shared" si="237"/>
        <v>1.0279111135088745</v>
      </c>
      <c r="G1764" s="18">
        <f t="shared" si="238"/>
        <v>1</v>
      </c>
      <c r="H1764" s="3">
        <f t="shared" si="239"/>
        <v>-2.4654316249739239E-4</v>
      </c>
      <c r="I1764" s="3">
        <f t="shared" si="240"/>
        <v>-2.4654316249739239E-4</v>
      </c>
      <c r="K1764" s="12" t="str">
        <f>IF(AND(G1764=1,G1763&lt;&gt;1),MAX($K$50:K1763)+1,"")</f>
        <v/>
      </c>
      <c r="L1764" s="13" t="str">
        <f>IF(AND(G1764&lt;&gt;1,G1763=1),MAX($L$50:L1763)+1,"")</f>
        <v/>
      </c>
      <c r="M1764" s="13" t="str">
        <f>IF(AND(G1764=-1,G1763&lt;&gt;-1),MAX($M$50:M1763)+1,"")</f>
        <v/>
      </c>
      <c r="N1764" s="13" t="str">
        <f>IF(AND(G1764&lt;&gt;-1,G1763=-1),MAX($N$50:N1763)+1,"")</f>
        <v/>
      </c>
      <c r="T1764" s="7">
        <f t="shared" si="241"/>
        <v>126.68190911617631</v>
      </c>
      <c r="U1764" s="1">
        <f t="shared" si="242"/>
        <v>225.83999285447871</v>
      </c>
    </row>
    <row r="1765" spans="1:21" x14ac:dyDescent="0.3">
      <c r="A1765" s="2">
        <v>42734</v>
      </c>
      <c r="B1765" s="1">
        <v>4278.66</v>
      </c>
      <c r="C1765" s="2">
        <f t="shared" si="234"/>
        <v>42734</v>
      </c>
      <c r="D1765" s="1">
        <f t="shared" si="235"/>
        <v>4278.66</v>
      </c>
      <c r="E1765" s="4">
        <f t="shared" si="236"/>
        <v>4185.6579999999994</v>
      </c>
      <c r="F1765" s="3">
        <f t="shared" si="237"/>
        <v>1.0222192066337001</v>
      </c>
      <c r="G1765" s="18">
        <f t="shared" si="238"/>
        <v>1</v>
      </c>
      <c r="H1765" s="3">
        <f t="shared" si="239"/>
        <v>-4.5900907083815667E-3</v>
      </c>
      <c r="I1765" s="3">
        <f t="shared" si="240"/>
        <v>-4.5900907083815667E-3</v>
      </c>
      <c r="K1765" s="12" t="str">
        <f>IF(AND(G1765=1,G1764&lt;&gt;1),MAX($K$50:K1764)+1,"")</f>
        <v/>
      </c>
      <c r="L1765" s="13" t="str">
        <f>IF(AND(G1765&lt;&gt;1,G1764=1),MAX($L$50:L1764)+1,"")</f>
        <v/>
      </c>
      <c r="M1765" s="13" t="str">
        <f>IF(AND(G1765=-1,G1764&lt;&gt;-1),MAX($M$50:M1764)+1,"")</f>
        <v/>
      </c>
      <c r="N1765" s="13" t="str">
        <f>IF(AND(G1765&lt;&gt;-1,G1764=-1),MAX($N$50:N1764)+1,"")</f>
        <v/>
      </c>
      <c r="T1765" s="7">
        <f t="shared" si="241"/>
        <v>126.10042766222212</v>
      </c>
      <c r="U1765" s="1">
        <f t="shared" si="242"/>
        <v>224.8033668016964</v>
      </c>
    </row>
    <row r="1766" spans="1:21" x14ac:dyDescent="0.3">
      <c r="A1766" s="2">
        <v>42738</v>
      </c>
      <c r="B1766" s="1">
        <v>4315.08</v>
      </c>
      <c r="C1766" s="2">
        <f t="shared" si="234"/>
        <v>42738</v>
      </c>
      <c r="D1766" s="1">
        <f t="shared" si="235"/>
        <v>4315.08</v>
      </c>
      <c r="E1766" s="4">
        <f t="shared" si="236"/>
        <v>4190.4759999999987</v>
      </c>
      <c r="F1766" s="3">
        <f t="shared" si="237"/>
        <v>1.0297350468061388</v>
      </c>
      <c r="G1766" s="18">
        <f t="shared" si="238"/>
        <v>1</v>
      </c>
      <c r="H1766" s="3">
        <f t="shared" si="239"/>
        <v>8.5120107697269631E-3</v>
      </c>
      <c r="I1766" s="3">
        <f t="shared" si="240"/>
        <v>8.5120107697269631E-3</v>
      </c>
      <c r="K1766" s="12" t="str">
        <f>IF(AND(G1766=1,G1765&lt;&gt;1),MAX($K$50:K1765)+1,"")</f>
        <v/>
      </c>
      <c r="L1766" s="13" t="str">
        <f>IF(AND(G1766&lt;&gt;1,G1765=1),MAX($L$50:L1765)+1,"")</f>
        <v/>
      </c>
      <c r="M1766" s="13" t="str">
        <f>IF(AND(G1766=-1,G1765&lt;&gt;-1),MAX($M$50:M1765)+1,"")</f>
        <v/>
      </c>
      <c r="N1766" s="13" t="str">
        <f>IF(AND(G1766&lt;&gt;-1,G1765=-1),MAX($N$50:N1765)+1,"")</f>
        <v/>
      </c>
      <c r="T1766" s="7">
        <f t="shared" si="241"/>
        <v>127.17379586055013</v>
      </c>
      <c r="U1766" s="1">
        <f t="shared" si="242"/>
        <v>226.71689548098331</v>
      </c>
    </row>
    <row r="1767" spans="1:21" x14ac:dyDescent="0.3">
      <c r="A1767" s="2">
        <v>42739</v>
      </c>
      <c r="B1767" s="1">
        <v>4340.75</v>
      </c>
      <c r="C1767" s="2">
        <f t="shared" si="234"/>
        <v>42739</v>
      </c>
      <c r="D1767" s="1">
        <f t="shared" si="235"/>
        <v>4340.75</v>
      </c>
      <c r="E1767" s="4">
        <f t="shared" si="236"/>
        <v>4195.8139999999994</v>
      </c>
      <c r="F1767" s="3">
        <f t="shared" si="237"/>
        <v>1.0345429992845252</v>
      </c>
      <c r="G1767" s="18">
        <f t="shared" si="238"/>
        <v>1</v>
      </c>
      <c r="H1767" s="3">
        <f t="shared" si="239"/>
        <v>5.9489047711744902E-3</v>
      </c>
      <c r="I1767" s="3">
        <f t="shared" si="240"/>
        <v>5.9489047711744902E-3</v>
      </c>
      <c r="K1767" s="12" t="str">
        <f>IF(AND(G1767=1,G1766&lt;&gt;1),MAX($K$50:K1766)+1,"")</f>
        <v/>
      </c>
      <c r="L1767" s="13" t="str">
        <f>IF(AND(G1767&lt;&gt;1,G1766=1),MAX($L$50:L1766)+1,"")</f>
        <v/>
      </c>
      <c r="M1767" s="13" t="str">
        <f>IF(AND(G1767=-1,G1766&lt;&gt;-1),MAX($M$50:M1766)+1,"")</f>
        <v/>
      </c>
      <c r="N1767" s="13" t="str">
        <f>IF(AND(G1767&lt;&gt;-1,G1766=-1),MAX($N$50:N1766)+1,"")</f>
        <v/>
      </c>
      <c r="T1767" s="7">
        <f t="shared" si="241"/>
        <v>127.93034066151333</v>
      </c>
      <c r="U1767" s="1">
        <f t="shared" si="242"/>
        <v>228.06561270221601</v>
      </c>
    </row>
    <row r="1768" spans="1:21" x14ac:dyDescent="0.3">
      <c r="A1768" s="2">
        <v>42740</v>
      </c>
      <c r="B1768" s="1">
        <v>4337.45</v>
      </c>
      <c r="C1768" s="2">
        <f t="shared" si="234"/>
        <v>42740</v>
      </c>
      <c r="D1768" s="1">
        <f t="shared" si="235"/>
        <v>4337.45</v>
      </c>
      <c r="E1768" s="4">
        <f t="shared" si="236"/>
        <v>4200.6985999999997</v>
      </c>
      <c r="F1768" s="3">
        <f t="shared" si="237"/>
        <v>1.0325544422539623</v>
      </c>
      <c r="G1768" s="18">
        <f t="shared" si="238"/>
        <v>1</v>
      </c>
      <c r="H1768" s="3">
        <f t="shared" si="239"/>
        <v>-7.6023728618335173E-4</v>
      </c>
      <c r="I1768" s="3">
        <f t="shared" si="240"/>
        <v>-7.6023728618335173E-4</v>
      </c>
      <c r="K1768" s="12" t="str">
        <f>IF(AND(G1768=1,G1767&lt;&gt;1),MAX($K$50:K1767)+1,"")</f>
        <v/>
      </c>
      <c r="L1768" s="13" t="str">
        <f>IF(AND(G1768&lt;&gt;1,G1767=1),MAX($L$50:L1767)+1,"")</f>
        <v/>
      </c>
      <c r="M1768" s="13" t="str">
        <f>IF(AND(G1768=-1,G1767&lt;&gt;-1),MAX($M$50:M1767)+1,"")</f>
        <v/>
      </c>
      <c r="N1768" s="13" t="str">
        <f>IF(AND(G1768&lt;&gt;-1,G1767=-1),MAX($N$50:N1767)+1,"")</f>
        <v/>
      </c>
      <c r="T1768" s="7">
        <f t="shared" si="241"/>
        <v>127.83308324650831</v>
      </c>
      <c r="U1768" s="1">
        <f t="shared" si="242"/>
        <v>227.89222871974354</v>
      </c>
    </row>
    <row r="1769" spans="1:21" x14ac:dyDescent="0.3">
      <c r="A1769" s="2">
        <v>42741</v>
      </c>
      <c r="B1769" s="1">
        <v>4354.05</v>
      </c>
      <c r="C1769" s="2">
        <f t="shared" si="234"/>
        <v>42741</v>
      </c>
      <c r="D1769" s="1">
        <f t="shared" si="235"/>
        <v>4354.05</v>
      </c>
      <c r="E1769" s="4">
        <f t="shared" si="236"/>
        <v>4206.2235999999994</v>
      </c>
      <c r="F1769" s="3">
        <f t="shared" si="237"/>
        <v>1.0351446841770373</v>
      </c>
      <c r="G1769" s="18">
        <f t="shared" si="238"/>
        <v>1</v>
      </c>
      <c r="H1769" s="3">
        <f t="shared" si="239"/>
        <v>3.8271334539881074E-3</v>
      </c>
      <c r="I1769" s="3">
        <f t="shared" si="240"/>
        <v>3.8271334539881074E-3</v>
      </c>
      <c r="K1769" s="12" t="str">
        <f>IF(AND(G1769=1,G1768&lt;&gt;1),MAX($K$50:K1768)+1,"")</f>
        <v/>
      </c>
      <c r="L1769" s="13" t="str">
        <f>IF(AND(G1769&lt;&gt;1,G1768=1),MAX($L$50:L1768)+1,"")</f>
        <v/>
      </c>
      <c r="M1769" s="13" t="str">
        <f>IF(AND(G1769=-1,G1768&lt;&gt;-1),MAX($M$50:M1768)+1,"")</f>
        <v/>
      </c>
      <c r="N1769" s="13" t="str">
        <f>IF(AND(G1769&lt;&gt;-1,G1768=-1),MAX($N$50:N1768)+1,"")</f>
        <v/>
      </c>
      <c r="T1769" s="7">
        <f t="shared" si="241"/>
        <v>128.32231751592747</v>
      </c>
      <c r="U1769" s="1">
        <f t="shared" si="242"/>
        <v>228.76440269218077</v>
      </c>
    </row>
    <row r="1770" spans="1:21" x14ac:dyDescent="0.3">
      <c r="A1770" s="2">
        <v>42744</v>
      </c>
      <c r="B1770" s="1">
        <v>4338.62</v>
      </c>
      <c r="C1770" s="2">
        <f t="shared" si="234"/>
        <v>42744</v>
      </c>
      <c r="D1770" s="1">
        <f t="shared" si="235"/>
        <v>4338.62</v>
      </c>
      <c r="E1770" s="4">
        <f t="shared" si="236"/>
        <v>4211.5807999999997</v>
      </c>
      <c r="F1770" s="3">
        <f t="shared" si="237"/>
        <v>1.0301642556638115</v>
      </c>
      <c r="G1770" s="18">
        <f t="shared" si="238"/>
        <v>1</v>
      </c>
      <c r="H1770" s="3">
        <f t="shared" si="239"/>
        <v>-3.5438270116329162E-3</v>
      </c>
      <c r="I1770" s="3">
        <f t="shared" si="240"/>
        <v>-3.5438270116329162E-3</v>
      </c>
      <c r="K1770" s="12" t="str">
        <f>IF(AND(G1770=1,G1769&lt;&gt;1),MAX($K$50:K1769)+1,"")</f>
        <v/>
      </c>
      <c r="L1770" s="13" t="str">
        <f>IF(AND(G1770&lt;&gt;1,G1769=1),MAX($L$50:L1769)+1,"")</f>
        <v/>
      </c>
      <c r="M1770" s="13" t="str">
        <f>IF(AND(G1770=-1,G1769&lt;&gt;-1),MAX($M$50:M1769)+1,"")</f>
        <v/>
      </c>
      <c r="N1770" s="13" t="str">
        <f>IF(AND(G1770&lt;&gt;-1,G1769=-1),MAX($N$50:N1769)+1,"")</f>
        <v/>
      </c>
      <c r="T1770" s="7">
        <f t="shared" si="241"/>
        <v>127.86756542091919</v>
      </c>
      <c r="U1770" s="1">
        <f t="shared" si="242"/>
        <v>227.95370122262014</v>
      </c>
    </row>
    <row r="1771" spans="1:21" x14ac:dyDescent="0.3">
      <c r="A1771" s="2">
        <v>42745</v>
      </c>
      <c r="B1771" s="1">
        <v>4338.6400000000003</v>
      </c>
      <c r="C1771" s="2">
        <f t="shared" si="234"/>
        <v>42745</v>
      </c>
      <c r="D1771" s="1">
        <f t="shared" si="235"/>
        <v>4338.6400000000003</v>
      </c>
      <c r="E1771" s="4">
        <f t="shared" si="236"/>
        <v>4217.1786000000002</v>
      </c>
      <c r="F1771" s="3">
        <f t="shared" si="237"/>
        <v>1.0288015783822861</v>
      </c>
      <c r="G1771" s="18">
        <f t="shared" si="238"/>
        <v>1</v>
      </c>
      <c r="H1771" s="3">
        <f t="shared" si="239"/>
        <v>4.6097607073747326E-6</v>
      </c>
      <c r="I1771" s="3">
        <f t="shared" si="240"/>
        <v>4.6097607073747326E-6</v>
      </c>
      <c r="K1771" s="12" t="str">
        <f>IF(AND(G1771=1,G1770&lt;&gt;1),MAX($K$50:K1770)+1,"")</f>
        <v/>
      </c>
      <c r="L1771" s="13" t="str">
        <f>IF(AND(G1771&lt;&gt;1,G1770=1),MAX($L$50:L1770)+1,"")</f>
        <v/>
      </c>
      <c r="M1771" s="13" t="str">
        <f>IF(AND(G1771=-1,G1770&lt;&gt;-1),MAX($M$50:M1770)+1,"")</f>
        <v/>
      </c>
      <c r="N1771" s="13" t="str">
        <f>IF(AND(G1771&lt;&gt;-1,G1770=-1),MAX($N$50:N1770)+1,"")</f>
        <v/>
      </c>
      <c r="T1771" s="7">
        <f t="shared" si="241"/>
        <v>127.86815485979801</v>
      </c>
      <c r="U1771" s="1">
        <f t="shared" si="242"/>
        <v>227.95475203463513</v>
      </c>
    </row>
    <row r="1772" spans="1:21" x14ac:dyDescent="0.3">
      <c r="A1772" s="2">
        <v>42746</v>
      </c>
      <c r="B1772" s="1">
        <v>4351.32</v>
      </c>
      <c r="C1772" s="2">
        <f t="shared" si="234"/>
        <v>42746</v>
      </c>
      <c r="D1772" s="1">
        <f t="shared" si="235"/>
        <v>4351.32</v>
      </c>
      <c r="E1772" s="4">
        <f t="shared" si="236"/>
        <v>4223.2777999999998</v>
      </c>
      <c r="F1772" s="3">
        <f t="shared" si="237"/>
        <v>1.0303182044998318</v>
      </c>
      <c r="G1772" s="18">
        <f t="shared" si="238"/>
        <v>1</v>
      </c>
      <c r="H1772" s="3">
        <f t="shared" si="239"/>
        <v>2.9225748160712772E-3</v>
      </c>
      <c r="I1772" s="3">
        <f t="shared" si="240"/>
        <v>2.9225748160712772E-3</v>
      </c>
      <c r="K1772" s="12" t="str">
        <f>IF(AND(G1772=1,G1771&lt;&gt;1),MAX($K$50:K1771)+1,"")</f>
        <v/>
      </c>
      <c r="L1772" s="13" t="str">
        <f>IF(AND(G1772&lt;&gt;1,G1771=1),MAX($L$50:L1771)+1,"")</f>
        <v/>
      </c>
      <c r="M1772" s="13" t="str">
        <f>IF(AND(G1772=-1,G1771&lt;&gt;-1),MAX($M$50:M1771)+1,"")</f>
        <v/>
      </c>
      <c r="N1772" s="13" t="str">
        <f>IF(AND(G1772&lt;&gt;-1,G1771=-1),MAX($N$50:N1771)+1,"")</f>
        <v/>
      </c>
      <c r="T1772" s="7">
        <f t="shared" si="241"/>
        <v>128.24185910896875</v>
      </c>
      <c r="U1772" s="1">
        <f t="shared" si="242"/>
        <v>228.62096685213533</v>
      </c>
    </row>
    <row r="1773" spans="1:21" x14ac:dyDescent="0.3">
      <c r="A1773" s="2">
        <v>42747</v>
      </c>
      <c r="B1773" s="1">
        <v>4342.09</v>
      </c>
      <c r="C1773" s="2">
        <f t="shared" si="234"/>
        <v>42747</v>
      </c>
      <c r="D1773" s="1">
        <f t="shared" si="235"/>
        <v>4342.09</v>
      </c>
      <c r="E1773" s="4">
        <f t="shared" si="236"/>
        <v>4229.2018000000007</v>
      </c>
      <c r="F1773" s="3">
        <f t="shared" si="237"/>
        <v>1.0266925546092407</v>
      </c>
      <c r="G1773" s="18">
        <f t="shared" si="238"/>
        <v>1</v>
      </c>
      <c r="H1773" s="3">
        <f t="shared" si="239"/>
        <v>-2.1211954073705463E-3</v>
      </c>
      <c r="I1773" s="3">
        <f t="shared" si="240"/>
        <v>-2.1211954073705463E-3</v>
      </c>
      <c r="K1773" s="12" t="str">
        <f>IF(AND(G1773=1,G1772&lt;&gt;1),MAX($K$50:K1772)+1,"")</f>
        <v/>
      </c>
      <c r="L1773" s="13" t="str">
        <f>IF(AND(G1773&lt;&gt;1,G1772=1),MAX($L$50:L1772)+1,"")</f>
        <v/>
      </c>
      <c r="M1773" s="13" t="str">
        <f>IF(AND(G1773=-1,G1772&lt;&gt;-1),MAX($M$50:M1772)+1,"")</f>
        <v/>
      </c>
      <c r="N1773" s="13" t="str">
        <f>IF(AND(G1773&lt;&gt;-1,G1772=-1),MAX($N$50:N1772)+1,"")</f>
        <v/>
      </c>
      <c r="T1773" s="7">
        <f t="shared" si="241"/>
        <v>127.96983306639414</v>
      </c>
      <c r="U1773" s="1">
        <f t="shared" si="242"/>
        <v>228.13601710721997</v>
      </c>
    </row>
    <row r="1774" spans="1:21" x14ac:dyDescent="0.3">
      <c r="A1774" s="2">
        <v>42748</v>
      </c>
      <c r="B1774" s="1">
        <v>4350.1099999999997</v>
      </c>
      <c r="C1774" s="2">
        <f t="shared" si="234"/>
        <v>42748</v>
      </c>
      <c r="D1774" s="1">
        <f t="shared" si="235"/>
        <v>4350.1099999999997</v>
      </c>
      <c r="E1774" s="4">
        <f t="shared" si="236"/>
        <v>4235.8345999999992</v>
      </c>
      <c r="F1774" s="3">
        <f t="shared" si="237"/>
        <v>1.0269782488674133</v>
      </c>
      <c r="G1774" s="18">
        <f t="shared" si="238"/>
        <v>1</v>
      </c>
      <c r="H1774" s="3">
        <f t="shared" si="239"/>
        <v>1.8470367956444633E-3</v>
      </c>
      <c r="I1774" s="3">
        <f t="shared" si="240"/>
        <v>1.8470367956444633E-3</v>
      </c>
      <c r="K1774" s="12" t="str">
        <f>IF(AND(G1774=1,G1773&lt;&gt;1),MAX($K$50:K1773)+1,"")</f>
        <v/>
      </c>
      <c r="L1774" s="13" t="str">
        <f>IF(AND(G1774&lt;&gt;1,G1773=1),MAX($L$50:L1773)+1,"")</f>
        <v/>
      </c>
      <c r="M1774" s="13" t="str">
        <f>IF(AND(G1774=-1,G1773&lt;&gt;-1),MAX($M$50:M1773)+1,"")</f>
        <v/>
      </c>
      <c r="N1774" s="13" t="str">
        <f>IF(AND(G1774&lt;&gt;-1,G1773=-1),MAX($N$50:N1773)+1,"")</f>
        <v/>
      </c>
      <c r="T1774" s="7">
        <f t="shared" si="241"/>
        <v>128.20619805680025</v>
      </c>
      <c r="U1774" s="1">
        <f t="shared" si="242"/>
        <v>228.55739272522877</v>
      </c>
    </row>
    <row r="1775" spans="1:21" x14ac:dyDescent="0.3">
      <c r="A1775" s="2">
        <v>42752</v>
      </c>
      <c r="B1775" s="1">
        <v>4337.2</v>
      </c>
      <c r="C1775" s="2">
        <f t="shared" si="234"/>
        <v>42752</v>
      </c>
      <c r="D1775" s="1">
        <f t="shared" si="235"/>
        <v>4337.2</v>
      </c>
      <c r="E1775" s="4">
        <f t="shared" si="236"/>
        <v>4242.7233999999999</v>
      </c>
      <c r="F1775" s="3">
        <f t="shared" si="237"/>
        <v>1.0222679140478494</v>
      </c>
      <c r="G1775" s="18">
        <f t="shared" si="238"/>
        <v>1</v>
      </c>
      <c r="H1775" s="3">
        <f t="shared" si="239"/>
        <v>-2.9677410456286912E-3</v>
      </c>
      <c r="I1775" s="3">
        <f t="shared" si="240"/>
        <v>-2.9677410456286912E-3</v>
      </c>
      <c r="K1775" s="12" t="str">
        <f>IF(AND(G1775=1,G1774&lt;&gt;1),MAX($K$50:K1774)+1,"")</f>
        <v/>
      </c>
      <c r="L1775" s="13" t="str">
        <f>IF(AND(G1775&lt;&gt;1,G1774=1),MAX($L$50:L1774)+1,"")</f>
        <v/>
      </c>
      <c r="M1775" s="13" t="str">
        <f>IF(AND(G1775=-1,G1774&lt;&gt;-1),MAX($M$50:M1774)+1,"")</f>
        <v/>
      </c>
      <c r="N1775" s="13" t="str">
        <f>IF(AND(G1775&lt;&gt;-1,G1774=-1),MAX($N$50:N1774)+1,"")</f>
        <v/>
      </c>
      <c r="T1775" s="7">
        <f t="shared" si="241"/>
        <v>127.82571526052308</v>
      </c>
      <c r="U1775" s="1">
        <f t="shared" si="242"/>
        <v>227.87909356955623</v>
      </c>
    </row>
    <row r="1776" spans="1:21" x14ac:dyDescent="0.3">
      <c r="A1776" s="2">
        <v>42753</v>
      </c>
      <c r="B1776" s="1">
        <v>4345.57</v>
      </c>
      <c r="C1776" s="2">
        <f t="shared" si="234"/>
        <v>42753</v>
      </c>
      <c r="D1776" s="1">
        <f t="shared" si="235"/>
        <v>4345.57</v>
      </c>
      <c r="E1776" s="4">
        <f t="shared" si="236"/>
        <v>4250.1036000000004</v>
      </c>
      <c r="F1776" s="3">
        <f t="shared" si="237"/>
        <v>1.0224621348053726</v>
      </c>
      <c r="G1776" s="18">
        <f t="shared" si="238"/>
        <v>1</v>
      </c>
      <c r="H1776" s="3">
        <f t="shared" si="239"/>
        <v>1.9298164714562915E-3</v>
      </c>
      <c r="I1776" s="3">
        <f t="shared" si="240"/>
        <v>1.9298164714562915E-3</v>
      </c>
      <c r="K1776" s="12" t="str">
        <f>IF(AND(G1776=1,G1775&lt;&gt;1),MAX($K$50:K1775)+1,"")</f>
        <v/>
      </c>
      <c r="L1776" s="13" t="str">
        <f>IF(AND(G1776&lt;&gt;1,G1775=1),MAX($L$50:L1775)+1,"")</f>
        <v/>
      </c>
      <c r="M1776" s="13" t="str">
        <f>IF(AND(G1776=-1,G1775&lt;&gt;-1),MAX($M$50:M1775)+1,"")</f>
        <v/>
      </c>
      <c r="N1776" s="13" t="str">
        <f>IF(AND(G1776&lt;&gt;-1,G1775=-1),MAX($N$50:N1775)+1,"")</f>
        <v/>
      </c>
      <c r="T1776" s="7">
        <f t="shared" si="241"/>
        <v>128.07239543130854</v>
      </c>
      <c r="U1776" s="1">
        <f t="shared" si="242"/>
        <v>228.31885839782726</v>
      </c>
    </row>
    <row r="1777" spans="1:21" x14ac:dyDescent="0.3">
      <c r="A1777" s="2">
        <v>42754</v>
      </c>
      <c r="B1777" s="1">
        <v>4329.96</v>
      </c>
      <c r="C1777" s="2">
        <f t="shared" si="234"/>
        <v>42754</v>
      </c>
      <c r="D1777" s="1">
        <f t="shared" si="235"/>
        <v>4329.96</v>
      </c>
      <c r="E1777" s="4">
        <f t="shared" si="236"/>
        <v>4257.3024000000005</v>
      </c>
      <c r="F1777" s="3">
        <f t="shared" si="237"/>
        <v>1.0170665818805824</v>
      </c>
      <c r="G1777" s="18">
        <f t="shared" si="238"/>
        <v>1</v>
      </c>
      <c r="H1777" s="3">
        <f t="shared" si="239"/>
        <v>-3.5921639738859534E-3</v>
      </c>
      <c r="I1777" s="3">
        <f t="shared" si="240"/>
        <v>-3.5921639738859534E-3</v>
      </c>
      <c r="K1777" s="12" t="str">
        <f>IF(AND(G1777=1,G1776&lt;&gt;1),MAX($K$50:K1776)+1,"")</f>
        <v/>
      </c>
      <c r="L1777" s="13" t="str">
        <f>IF(AND(G1777&lt;&gt;1,G1776=1),MAX($L$50:L1776)+1,"")</f>
        <v/>
      </c>
      <c r="M1777" s="13" t="str">
        <f>IF(AND(G1777=-1,G1776&lt;&gt;-1),MAX($M$50:M1776)+1,"")</f>
        <v/>
      </c>
      <c r="N1777" s="13" t="str">
        <f>IF(AND(G1777&lt;&gt;-1,G1776=-1),MAX($N$50:N1776)+1,"")</f>
        <v/>
      </c>
      <c r="T1777" s="7">
        <f t="shared" si="241"/>
        <v>127.61233838639092</v>
      </c>
      <c r="U1777" s="1">
        <f t="shared" si="242"/>
        <v>227.49869962013182</v>
      </c>
    </row>
    <row r="1778" spans="1:21" x14ac:dyDescent="0.3">
      <c r="A1778" s="2">
        <v>42755</v>
      </c>
      <c r="B1778" s="1">
        <v>4344.67</v>
      </c>
      <c r="C1778" s="2">
        <f t="shared" si="234"/>
        <v>42755</v>
      </c>
      <c r="D1778" s="1">
        <f t="shared" si="235"/>
        <v>4344.67</v>
      </c>
      <c r="E1778" s="4">
        <f t="shared" si="236"/>
        <v>4263.0298000000003</v>
      </c>
      <c r="F1778" s="3">
        <f t="shared" si="237"/>
        <v>1.0191507457911742</v>
      </c>
      <c r="G1778" s="18">
        <f t="shared" si="238"/>
        <v>1</v>
      </c>
      <c r="H1778" s="3">
        <f t="shared" si="239"/>
        <v>3.3972600208778125E-3</v>
      </c>
      <c r="I1778" s="3">
        <f t="shared" si="240"/>
        <v>3.3972600208778125E-3</v>
      </c>
      <c r="K1778" s="12" t="str">
        <f>IF(AND(G1778=1,G1777&lt;&gt;1),MAX($K$50:K1777)+1,"")</f>
        <v/>
      </c>
      <c r="L1778" s="13" t="str">
        <f>IF(AND(G1778&lt;&gt;1,G1777=1),MAX($L$50:L1777)+1,"")</f>
        <v/>
      </c>
      <c r="M1778" s="13" t="str">
        <f>IF(AND(G1778=-1,G1777&lt;&gt;-1),MAX($M$50:M1777)+1,"")</f>
        <v/>
      </c>
      <c r="N1778" s="13" t="str">
        <f>IF(AND(G1778&lt;&gt;-1,G1777=-1),MAX($N$50:N1777)+1,"")</f>
        <v/>
      </c>
      <c r="T1778" s="7">
        <f t="shared" si="241"/>
        <v>128.04587068176173</v>
      </c>
      <c r="U1778" s="1">
        <f t="shared" si="242"/>
        <v>228.27157185715296</v>
      </c>
    </row>
    <row r="1779" spans="1:21" x14ac:dyDescent="0.3">
      <c r="A1779" s="2">
        <v>42758</v>
      </c>
      <c r="B1779" s="1">
        <v>4333.1000000000004</v>
      </c>
      <c r="C1779" s="2">
        <f t="shared" si="234"/>
        <v>42758</v>
      </c>
      <c r="D1779" s="1">
        <f t="shared" si="235"/>
        <v>4333.1000000000004</v>
      </c>
      <c r="E1779" s="4">
        <f t="shared" si="236"/>
        <v>4268.1796000000004</v>
      </c>
      <c r="F1779" s="3">
        <f t="shared" si="237"/>
        <v>1.0152103252637259</v>
      </c>
      <c r="G1779" s="18">
        <f t="shared" si="238"/>
        <v>1</v>
      </c>
      <c r="H1779" s="3">
        <f t="shared" si="239"/>
        <v>-2.6630330957241322E-3</v>
      </c>
      <c r="I1779" s="3">
        <f t="shared" si="240"/>
        <v>-2.6630330957241322E-3</v>
      </c>
      <c r="K1779" s="12" t="str">
        <f>IF(AND(G1779=1,G1778&lt;&gt;1),MAX($K$50:K1778)+1,"")</f>
        <v/>
      </c>
      <c r="L1779" s="13" t="str">
        <f>IF(AND(G1779&lt;&gt;1,G1778=1),MAX($L$50:L1778)+1,"")</f>
        <v/>
      </c>
      <c r="M1779" s="13" t="str">
        <f>IF(AND(G1779=-1,G1778&lt;&gt;-1),MAX($M$50:M1778)+1,"")</f>
        <v/>
      </c>
      <c r="N1779" s="13" t="str">
        <f>IF(AND(G1779&lt;&gt;-1,G1778=-1),MAX($N$50:N1778)+1,"")</f>
        <v/>
      </c>
      <c r="T1779" s="7">
        <f t="shared" si="241"/>
        <v>127.70488029036538</v>
      </c>
      <c r="U1779" s="1">
        <f t="shared" si="242"/>
        <v>227.66367710648441</v>
      </c>
    </row>
    <row r="1780" spans="1:21" x14ac:dyDescent="0.3">
      <c r="A1780" s="2">
        <v>42759</v>
      </c>
      <c r="B1780" s="1">
        <v>4361.5600000000004</v>
      </c>
      <c r="C1780" s="2">
        <f t="shared" ref="C1780:C1843" si="243">A1780</f>
        <v>42759</v>
      </c>
      <c r="D1780" s="1">
        <f t="shared" ref="D1780:D1843" si="244">B1780</f>
        <v>4361.5600000000004</v>
      </c>
      <c r="E1780" s="4">
        <f t="shared" ref="E1780:E1843" si="245">AVERAGE(B1731:B1780)</f>
        <v>4272.9902000000011</v>
      </c>
      <c r="F1780" s="3">
        <f t="shared" ref="F1780:F1843" si="246">D1780/E1780</f>
        <v>1.0207278266165927</v>
      </c>
      <c r="G1780" s="18">
        <f t="shared" ref="G1780:G1843" si="247">IF(F1780&gt;=$Q$51,1,IF(F1780&lt;=$Q$52,-1,0))</f>
        <v>1</v>
      </c>
      <c r="H1780" s="3">
        <f t="shared" si="239"/>
        <v>6.5680459717061268E-3</v>
      </c>
      <c r="I1780" s="3">
        <f t="shared" si="240"/>
        <v>6.5680459717061268E-3</v>
      </c>
      <c r="K1780" s="12" t="str">
        <f>IF(AND(G1780=1,G1779&lt;&gt;1),MAX($K$50:K1779)+1,"")</f>
        <v/>
      </c>
      <c r="L1780" s="13" t="str">
        <f>IF(AND(G1780&lt;&gt;1,G1779=1),MAX($L$50:L1779)+1,"")</f>
        <v/>
      </c>
      <c r="M1780" s="13" t="str">
        <f>IF(AND(G1780=-1,G1779&lt;&gt;-1),MAX($M$50:M1779)+1,"")</f>
        <v/>
      </c>
      <c r="N1780" s="13" t="str">
        <f>IF(AND(G1780&lt;&gt;-1,G1779=-1),MAX($N$50:N1779)+1,"")</f>
        <v/>
      </c>
      <c r="T1780" s="7">
        <f t="shared" si="241"/>
        <v>128.54365181492372</v>
      </c>
      <c r="U1780" s="1">
        <f t="shared" si="242"/>
        <v>229.15898260380746</v>
      </c>
    </row>
    <row r="1781" spans="1:21" x14ac:dyDescent="0.3">
      <c r="A1781" s="2">
        <v>42760</v>
      </c>
      <c r="B1781" s="1">
        <v>4396.57</v>
      </c>
      <c r="C1781" s="2">
        <f t="shared" si="243"/>
        <v>42760</v>
      </c>
      <c r="D1781" s="1">
        <f t="shared" si="244"/>
        <v>4396.57</v>
      </c>
      <c r="E1781" s="4">
        <f t="shared" si="245"/>
        <v>4278.3324000000011</v>
      </c>
      <c r="F1781" s="3">
        <f t="shared" si="246"/>
        <v>1.0276363753316593</v>
      </c>
      <c r="G1781" s="18">
        <f t="shared" si="247"/>
        <v>1</v>
      </c>
      <c r="H1781" s="3">
        <f t="shared" ref="H1781:H1844" si="248">D1781/D1780-1</f>
        <v>8.0269444877518747E-3</v>
      </c>
      <c r="I1781" s="3">
        <f t="shared" ref="I1781:I1844" si="249">G1780*H1781</f>
        <v>8.0269444877518747E-3</v>
      </c>
      <c r="K1781" s="12" t="str">
        <f>IF(AND(G1781=1,G1780&lt;&gt;1),MAX($K$50:K1780)+1,"")</f>
        <v/>
      </c>
      <c r="L1781" s="13" t="str">
        <f>IF(AND(G1781&lt;&gt;1,G1780=1),MAX($L$50:L1780)+1,"")</f>
        <v/>
      </c>
      <c r="M1781" s="13" t="str">
        <f>IF(AND(G1781=-1,G1780&lt;&gt;-1),MAX($M$50:M1780)+1,"")</f>
        <v/>
      </c>
      <c r="N1781" s="13" t="str">
        <f>IF(AND(G1781&lt;&gt;-1,G1780=-1),MAX($N$50:N1780)+1,"")</f>
        <v/>
      </c>
      <c r="T1781" s="7">
        <f t="shared" ref="T1781:T1844" si="250">T1780*(1+I1781)</f>
        <v>129.575464572295</v>
      </c>
      <c r="U1781" s="1">
        <f t="shared" ref="U1781:U1844" si="251">U1780*D1781/D1780</f>
        <v>230.99842903603795</v>
      </c>
    </row>
    <row r="1782" spans="1:21" x14ac:dyDescent="0.3">
      <c r="A1782" s="2">
        <v>42761</v>
      </c>
      <c r="B1782" s="1">
        <v>4393.43</v>
      </c>
      <c r="C1782" s="2">
        <f t="shared" si="243"/>
        <v>42761</v>
      </c>
      <c r="D1782" s="1">
        <f t="shared" si="244"/>
        <v>4393.43</v>
      </c>
      <c r="E1782" s="4">
        <f t="shared" si="245"/>
        <v>4283.7272000000012</v>
      </c>
      <c r="F1782" s="3">
        <f t="shared" si="246"/>
        <v>1.0256091937880636</v>
      </c>
      <c r="G1782" s="18">
        <f t="shared" si="247"/>
        <v>1</v>
      </c>
      <c r="H1782" s="3">
        <f t="shared" si="248"/>
        <v>-7.1419310962850258E-4</v>
      </c>
      <c r="I1782" s="3">
        <f t="shared" si="249"/>
        <v>-7.1419310962850258E-4</v>
      </c>
      <c r="K1782" s="12" t="str">
        <f>IF(AND(G1782=1,G1781&lt;&gt;1),MAX($K$50:K1781)+1,"")</f>
        <v/>
      </c>
      <c r="L1782" s="13" t="str">
        <f>IF(AND(G1782&lt;&gt;1,G1781=1),MAX($L$50:L1781)+1,"")</f>
        <v/>
      </c>
      <c r="M1782" s="13" t="str">
        <f>IF(AND(G1782=-1,G1781&lt;&gt;-1),MAX($M$50:M1781)+1,"")</f>
        <v/>
      </c>
      <c r="N1782" s="13" t="str">
        <f>IF(AND(G1782&lt;&gt;-1,G1781=-1),MAX($N$50:N1781)+1,"")</f>
        <v/>
      </c>
      <c r="T1782" s="7">
        <f t="shared" si="250"/>
        <v>129.48292266832055</v>
      </c>
      <c r="U1782" s="1">
        <f t="shared" si="251"/>
        <v>230.83345154968538</v>
      </c>
    </row>
    <row r="1783" spans="1:21" x14ac:dyDescent="0.3">
      <c r="A1783" s="2">
        <v>42762</v>
      </c>
      <c r="B1783" s="1">
        <v>4389.8500000000004</v>
      </c>
      <c r="C1783" s="2">
        <f t="shared" si="243"/>
        <v>42762</v>
      </c>
      <c r="D1783" s="1">
        <f t="shared" si="244"/>
        <v>4389.8500000000004</v>
      </c>
      <c r="E1783" s="4">
        <f t="shared" si="245"/>
        <v>4289.0480000000007</v>
      </c>
      <c r="F1783" s="3">
        <f t="shared" si="246"/>
        <v>1.0235021851002832</v>
      </c>
      <c r="G1783" s="18">
        <f t="shared" si="247"/>
        <v>1</v>
      </c>
      <c r="H1783" s="3">
        <f t="shared" si="248"/>
        <v>-8.1485308745099516E-4</v>
      </c>
      <c r="I1783" s="3">
        <f t="shared" si="249"/>
        <v>-8.1485308745099516E-4</v>
      </c>
      <c r="K1783" s="12" t="str">
        <f>IF(AND(G1783=1,G1782&lt;&gt;1),MAX($K$50:K1782)+1,"")</f>
        <v/>
      </c>
      <c r="L1783" s="13" t="str">
        <f>IF(AND(G1783&lt;&gt;1,G1782=1),MAX($L$50:L1782)+1,"")</f>
        <v/>
      </c>
      <c r="M1783" s="13" t="str">
        <f>IF(AND(G1783=-1,G1782&lt;&gt;-1),MAX($M$50:M1782)+1,"")</f>
        <v/>
      </c>
      <c r="N1783" s="13" t="str">
        <f>IF(AND(G1783&lt;&gt;-1,G1782=-1),MAX($N$50:N1782)+1,"")</f>
        <v/>
      </c>
      <c r="T1783" s="7">
        <f t="shared" si="250"/>
        <v>129.37741310901208</v>
      </c>
      <c r="U1783" s="1">
        <f t="shared" si="251"/>
        <v>230.64535619900315</v>
      </c>
    </row>
    <row r="1784" spans="1:21" x14ac:dyDescent="0.3">
      <c r="A1784" s="2">
        <v>42765</v>
      </c>
      <c r="B1784" s="1">
        <v>4363.67</v>
      </c>
      <c r="C1784" s="2">
        <f t="shared" si="243"/>
        <v>42765</v>
      </c>
      <c r="D1784" s="1">
        <f t="shared" si="244"/>
        <v>4363.67</v>
      </c>
      <c r="E1784" s="4">
        <f t="shared" si="245"/>
        <v>4293.2090000000007</v>
      </c>
      <c r="F1784" s="3">
        <f t="shared" si="246"/>
        <v>1.0164121988936479</v>
      </c>
      <c r="G1784" s="18">
        <f t="shared" si="247"/>
        <v>1</v>
      </c>
      <c r="H1784" s="3">
        <f t="shared" si="248"/>
        <v>-5.9637573037804037E-3</v>
      </c>
      <c r="I1784" s="3">
        <f t="shared" si="249"/>
        <v>-5.9637573037804037E-3</v>
      </c>
      <c r="K1784" s="12" t="str">
        <f>IF(AND(G1784=1,G1783&lt;&gt;1),MAX($K$50:K1783)+1,"")</f>
        <v/>
      </c>
      <c r="L1784" s="13" t="str">
        <f>IF(AND(G1784&lt;&gt;1,G1783=1),MAX($L$50:L1783)+1,"")</f>
        <v/>
      </c>
      <c r="M1784" s="13" t="str">
        <f>IF(AND(G1784=-1,G1783&lt;&gt;-1),MAX($M$50:M1783)+1,"")</f>
        <v/>
      </c>
      <c r="N1784" s="13" t="str">
        <f>IF(AND(G1784&lt;&gt;-1,G1783=-1),MAX($N$50:N1783)+1,"")</f>
        <v/>
      </c>
      <c r="T1784" s="7">
        <f t="shared" si="250"/>
        <v>128.60583761663901</v>
      </c>
      <c r="U1784" s="1">
        <f t="shared" si="251"/>
        <v>229.26984327138831</v>
      </c>
    </row>
    <row r="1785" spans="1:21" x14ac:dyDescent="0.3">
      <c r="A1785" s="2">
        <v>42766</v>
      </c>
      <c r="B1785" s="1">
        <v>4359.8100000000004</v>
      </c>
      <c r="C1785" s="2">
        <f t="shared" si="243"/>
        <v>42766</v>
      </c>
      <c r="D1785" s="1">
        <f t="shared" si="244"/>
        <v>4359.8100000000004</v>
      </c>
      <c r="E1785" s="4">
        <f t="shared" si="245"/>
        <v>4297.4010000000007</v>
      </c>
      <c r="F1785" s="3">
        <f t="shared" si="246"/>
        <v>1.0145224985985715</v>
      </c>
      <c r="G1785" s="18">
        <f t="shared" si="247"/>
        <v>1</v>
      </c>
      <c r="H1785" s="3">
        <f t="shared" si="248"/>
        <v>-8.8457651472262366E-4</v>
      </c>
      <c r="I1785" s="3">
        <f t="shared" si="249"/>
        <v>-8.8457651472262366E-4</v>
      </c>
      <c r="K1785" s="12" t="str">
        <f>IF(AND(G1785=1,G1784&lt;&gt;1),MAX($K$50:K1784)+1,"")</f>
        <v/>
      </c>
      <c r="L1785" s="13" t="str">
        <f>IF(AND(G1785&lt;&gt;1,G1784=1),MAX($L$50:L1784)+1,"")</f>
        <v/>
      </c>
      <c r="M1785" s="13" t="str">
        <f>IF(AND(G1785=-1,G1784&lt;&gt;-1),MAX($M$50:M1784)+1,"")</f>
        <v/>
      </c>
      <c r="N1785" s="13" t="str">
        <f>IF(AND(G1785&lt;&gt;-1,G1784=-1),MAX($N$50:N1784)+1,"")</f>
        <v/>
      </c>
      <c r="T1785" s="7">
        <f t="shared" si="250"/>
        <v>128.49207591302709</v>
      </c>
      <c r="U1785" s="1">
        <f t="shared" si="251"/>
        <v>229.06703655249632</v>
      </c>
    </row>
    <row r="1786" spans="1:21" x14ac:dyDescent="0.3">
      <c r="A1786" s="2">
        <v>42767</v>
      </c>
      <c r="B1786" s="1">
        <v>4362.1000000000004</v>
      </c>
      <c r="C1786" s="2">
        <f t="shared" si="243"/>
        <v>42767</v>
      </c>
      <c r="D1786" s="1">
        <f t="shared" si="244"/>
        <v>4362.1000000000004</v>
      </c>
      <c r="E1786" s="4">
        <f t="shared" si="245"/>
        <v>4301.2456000000011</v>
      </c>
      <c r="F1786" s="3">
        <f t="shared" si="246"/>
        <v>1.0141480877074305</v>
      </c>
      <c r="G1786" s="18">
        <f t="shared" si="247"/>
        <v>1</v>
      </c>
      <c r="H1786" s="3">
        <f t="shared" si="248"/>
        <v>5.2525224723098951E-4</v>
      </c>
      <c r="I1786" s="3">
        <f t="shared" si="249"/>
        <v>5.2525224723098951E-4</v>
      </c>
      <c r="K1786" s="12" t="str">
        <f>IF(AND(G1786=1,G1785&lt;&gt;1),MAX($K$50:K1785)+1,"")</f>
        <v/>
      </c>
      <c r="L1786" s="13" t="str">
        <f>IF(AND(G1786&lt;&gt;1,G1785=1),MAX($L$50:L1785)+1,"")</f>
        <v/>
      </c>
      <c r="M1786" s="13" t="str">
        <f>IF(AND(G1786=-1,G1785&lt;&gt;-1),MAX($M$50:M1785)+1,"")</f>
        <v/>
      </c>
      <c r="N1786" s="13" t="str">
        <f>IF(AND(G1786&lt;&gt;-1,G1785=-1),MAX($N$50:N1785)+1,"")</f>
        <v/>
      </c>
      <c r="T1786" s="7">
        <f t="shared" si="250"/>
        <v>128.55956666465178</v>
      </c>
      <c r="U1786" s="1">
        <f t="shared" si="251"/>
        <v>229.18735452821204</v>
      </c>
    </row>
    <row r="1787" spans="1:21" x14ac:dyDescent="0.3">
      <c r="A1787" s="2">
        <v>42768</v>
      </c>
      <c r="B1787" s="1">
        <v>4364.8500000000004</v>
      </c>
      <c r="C1787" s="2">
        <f t="shared" si="243"/>
        <v>42768</v>
      </c>
      <c r="D1787" s="1">
        <f t="shared" si="244"/>
        <v>4364.8500000000004</v>
      </c>
      <c r="E1787" s="4">
        <f t="shared" si="245"/>
        <v>4305.3310000000001</v>
      </c>
      <c r="F1787" s="3">
        <f t="shared" si="246"/>
        <v>1.0138244887559169</v>
      </c>
      <c r="G1787" s="18">
        <f t="shared" si="247"/>
        <v>1</v>
      </c>
      <c r="H1787" s="3">
        <f t="shared" si="248"/>
        <v>6.3043029733389488E-4</v>
      </c>
      <c r="I1787" s="3">
        <f t="shared" si="249"/>
        <v>6.3043029733389488E-4</v>
      </c>
      <c r="K1787" s="12" t="str">
        <f>IF(AND(G1787=1,G1786&lt;&gt;1),MAX($K$50:K1786)+1,"")</f>
        <v/>
      </c>
      <c r="L1787" s="13" t="str">
        <f>IF(AND(G1787&lt;&gt;1,G1786=1),MAX($L$50:L1786)+1,"")</f>
        <v/>
      </c>
      <c r="M1787" s="13" t="str">
        <f>IF(AND(G1787=-1,G1786&lt;&gt;-1),MAX($M$50:M1786)+1,"")</f>
        <v/>
      </c>
      <c r="N1787" s="13" t="str">
        <f>IF(AND(G1787&lt;&gt;-1,G1786=-1),MAX($N$50:N1786)+1,"")</f>
        <v/>
      </c>
      <c r="T1787" s="7">
        <f t="shared" si="250"/>
        <v>128.64061451048929</v>
      </c>
      <c r="U1787" s="1">
        <f t="shared" si="251"/>
        <v>229.33184118027242</v>
      </c>
    </row>
    <row r="1788" spans="1:21" x14ac:dyDescent="0.3">
      <c r="A1788" s="2">
        <v>42769</v>
      </c>
      <c r="B1788" s="1">
        <v>4396.95</v>
      </c>
      <c r="C1788" s="2">
        <f t="shared" si="243"/>
        <v>42769</v>
      </c>
      <c r="D1788" s="1">
        <f t="shared" si="244"/>
        <v>4396.95</v>
      </c>
      <c r="E1788" s="4">
        <f t="shared" si="245"/>
        <v>4309.4364000000005</v>
      </c>
      <c r="F1788" s="3">
        <f t="shared" si="246"/>
        <v>1.0203074350975454</v>
      </c>
      <c r="G1788" s="18">
        <f t="shared" si="247"/>
        <v>1</v>
      </c>
      <c r="H1788" s="3">
        <f t="shared" si="248"/>
        <v>7.3542046118422189E-3</v>
      </c>
      <c r="I1788" s="3">
        <f t="shared" si="249"/>
        <v>7.3542046118422189E-3</v>
      </c>
      <c r="K1788" s="12" t="str">
        <f>IF(AND(G1788=1,G1787&lt;&gt;1),MAX($K$50:K1787)+1,"")</f>
        <v/>
      </c>
      <c r="L1788" s="13" t="str">
        <f>IF(AND(G1788&lt;&gt;1,G1787=1),MAX($L$50:L1787)+1,"")</f>
        <v/>
      </c>
      <c r="M1788" s="13" t="str">
        <f>IF(AND(G1788=-1,G1787&lt;&gt;-1),MAX($M$50:M1787)+1,"")</f>
        <v/>
      </c>
      <c r="N1788" s="13" t="str">
        <f>IF(AND(G1788&lt;&gt;-1,G1787=-1),MAX($N$50:N1787)+1,"")</f>
        <v/>
      </c>
      <c r="T1788" s="7">
        <f t="shared" si="250"/>
        <v>129.58666391099254</v>
      </c>
      <c r="U1788" s="1">
        <f t="shared" si="251"/>
        <v>231.01839446432265</v>
      </c>
    </row>
    <row r="1789" spans="1:21" x14ac:dyDescent="0.3">
      <c r="A1789" s="2">
        <v>42772</v>
      </c>
      <c r="B1789" s="1">
        <v>4387.67</v>
      </c>
      <c r="C1789" s="2">
        <f t="shared" si="243"/>
        <v>42772</v>
      </c>
      <c r="D1789" s="1">
        <f t="shared" si="244"/>
        <v>4387.67</v>
      </c>
      <c r="E1789" s="4">
        <f t="shared" si="245"/>
        <v>4313.1708000000017</v>
      </c>
      <c r="F1789" s="3">
        <f t="shared" si="246"/>
        <v>1.0172724901133057</v>
      </c>
      <c r="G1789" s="18">
        <f t="shared" si="247"/>
        <v>1</v>
      </c>
      <c r="H1789" s="3">
        <f t="shared" si="248"/>
        <v>-2.1105539066852419E-3</v>
      </c>
      <c r="I1789" s="3">
        <f t="shared" si="249"/>
        <v>-2.1105539066852419E-3</v>
      </c>
      <c r="K1789" s="12" t="str">
        <f>IF(AND(G1789=1,G1788&lt;&gt;1),MAX($K$50:K1788)+1,"")</f>
        <v/>
      </c>
      <c r="L1789" s="13" t="str">
        <f>IF(AND(G1789&lt;&gt;1,G1788=1),MAX($L$50:L1788)+1,"")</f>
        <v/>
      </c>
      <c r="M1789" s="13" t="str">
        <f>IF(AND(G1789=-1,G1788&lt;&gt;-1),MAX($M$50:M1788)+1,"")</f>
        <v/>
      </c>
      <c r="N1789" s="13" t="str">
        <f>IF(AND(G1789&lt;&gt;-1,G1788=-1),MAX($N$50:N1788)+1,"")</f>
        <v/>
      </c>
      <c r="T1789" s="7">
        <f t="shared" si="250"/>
        <v>129.3131642712209</v>
      </c>
      <c r="U1789" s="1">
        <f t="shared" si="251"/>
        <v>230.53081768936983</v>
      </c>
    </row>
    <row r="1790" spans="1:21" x14ac:dyDescent="0.3">
      <c r="A1790" s="2">
        <v>42773</v>
      </c>
      <c r="B1790" s="1">
        <v>4388.87</v>
      </c>
      <c r="C1790" s="2">
        <f t="shared" si="243"/>
        <v>42773</v>
      </c>
      <c r="D1790" s="1">
        <f t="shared" si="244"/>
        <v>4388.87</v>
      </c>
      <c r="E1790" s="4">
        <f t="shared" si="245"/>
        <v>4316.858400000001</v>
      </c>
      <c r="F1790" s="3">
        <f t="shared" si="246"/>
        <v>1.0166814829969866</v>
      </c>
      <c r="G1790" s="18">
        <f t="shared" si="247"/>
        <v>1</v>
      </c>
      <c r="H1790" s="3">
        <f t="shared" si="248"/>
        <v>2.7349367659823542E-4</v>
      </c>
      <c r="I1790" s="3">
        <f t="shared" si="249"/>
        <v>2.7349367659823542E-4</v>
      </c>
      <c r="K1790" s="12" t="str">
        <f>IF(AND(G1790=1,G1789&lt;&gt;1),MAX($K$50:K1789)+1,"")</f>
        <v/>
      </c>
      <c r="L1790" s="13" t="str">
        <f>IF(AND(G1790&lt;&gt;1,G1789=1),MAX($L$50:L1789)+1,"")</f>
        <v/>
      </c>
      <c r="M1790" s="13" t="str">
        <f>IF(AND(G1790=-1,G1789&lt;&gt;-1),MAX($M$50:M1789)+1,"")</f>
        <v/>
      </c>
      <c r="N1790" s="13" t="str">
        <f>IF(AND(G1790&lt;&gt;-1,G1789=-1),MAX($N$50:N1789)+1,"")</f>
        <v/>
      </c>
      <c r="T1790" s="7">
        <f t="shared" si="250"/>
        <v>129.34853060395</v>
      </c>
      <c r="U1790" s="1">
        <f t="shared" si="251"/>
        <v>230.5938664102689</v>
      </c>
    </row>
    <row r="1791" spans="1:21" x14ac:dyDescent="0.3">
      <c r="A1791" s="2">
        <v>42774</v>
      </c>
      <c r="B1791" s="1">
        <v>4393.3100000000004</v>
      </c>
      <c r="C1791" s="2">
        <f t="shared" si="243"/>
        <v>42774</v>
      </c>
      <c r="D1791" s="1">
        <f t="shared" si="244"/>
        <v>4393.3100000000004</v>
      </c>
      <c r="E1791" s="4">
        <f t="shared" si="245"/>
        <v>4320.3042000000014</v>
      </c>
      <c r="F1791" s="3">
        <f t="shared" si="246"/>
        <v>1.0168983008187245</v>
      </c>
      <c r="G1791" s="18">
        <f t="shared" si="247"/>
        <v>1</v>
      </c>
      <c r="H1791" s="3">
        <f t="shared" si="248"/>
        <v>1.0116499235568455E-3</v>
      </c>
      <c r="I1791" s="3">
        <f t="shared" si="249"/>
        <v>1.0116499235568455E-3</v>
      </c>
      <c r="K1791" s="12" t="str">
        <f>IF(AND(G1791=1,G1790&lt;&gt;1),MAX($K$50:K1790)+1,"")</f>
        <v/>
      </c>
      <c r="L1791" s="13" t="str">
        <f>IF(AND(G1791&lt;&gt;1,G1790=1),MAX($L$50:L1790)+1,"")</f>
        <v/>
      </c>
      <c r="M1791" s="13" t="str">
        <f>IF(AND(G1791=-1,G1790&lt;&gt;-1),MAX($M$50:M1790)+1,"")</f>
        <v/>
      </c>
      <c r="N1791" s="13" t="str">
        <f>IF(AND(G1791&lt;&gt;-1,G1790=-1),MAX($N$50:N1790)+1,"")</f>
        <v/>
      </c>
      <c r="T1791" s="7">
        <f t="shared" si="250"/>
        <v>129.47938603504767</v>
      </c>
      <c r="U1791" s="1">
        <f t="shared" si="251"/>
        <v>230.82714667759552</v>
      </c>
    </row>
    <row r="1792" spans="1:21" x14ac:dyDescent="0.3">
      <c r="A1792" s="2">
        <v>42775</v>
      </c>
      <c r="B1792" s="1">
        <v>4419.3999999999996</v>
      </c>
      <c r="C1792" s="2">
        <f t="shared" si="243"/>
        <v>42775</v>
      </c>
      <c r="D1792" s="1">
        <f t="shared" si="244"/>
        <v>4419.3999999999996</v>
      </c>
      <c r="E1792" s="4">
        <f t="shared" si="245"/>
        <v>4324.7044000000014</v>
      </c>
      <c r="F1792" s="3">
        <f t="shared" si="246"/>
        <v>1.0218964329677649</v>
      </c>
      <c r="G1792" s="18">
        <f t="shared" si="247"/>
        <v>1</v>
      </c>
      <c r="H1792" s="3">
        <f t="shared" si="248"/>
        <v>5.9385747875746464E-3</v>
      </c>
      <c r="I1792" s="3">
        <f t="shared" si="249"/>
        <v>5.9385747875746464E-3</v>
      </c>
      <c r="K1792" s="12" t="str">
        <f>IF(AND(G1792=1,G1791&lt;&gt;1),MAX($K$50:K1791)+1,"")</f>
        <v/>
      </c>
      <c r="L1792" s="13" t="str">
        <f>IF(AND(G1792&lt;&gt;1,G1791=1),MAX($L$50:L1791)+1,"")</f>
        <v/>
      </c>
      <c r="M1792" s="13" t="str">
        <f>IF(AND(G1792=-1,G1791&lt;&gt;-1),MAX($M$50:M1791)+1,"")</f>
        <v/>
      </c>
      <c r="N1792" s="13" t="str">
        <f>IF(AND(G1792&lt;&gt;-1,G1791=-1),MAX($N$50:N1791)+1,"")</f>
        <v/>
      </c>
      <c r="T1792" s="7">
        <f t="shared" si="250"/>
        <v>130.24830905246606</v>
      </c>
      <c r="U1792" s="1">
        <f t="shared" si="251"/>
        <v>232.19793095114287</v>
      </c>
    </row>
    <row r="1793" spans="1:21" x14ac:dyDescent="0.3">
      <c r="A1793" s="2">
        <v>42776</v>
      </c>
      <c r="B1793" s="1">
        <v>4435.42</v>
      </c>
      <c r="C1793" s="2">
        <f t="shared" si="243"/>
        <v>42776</v>
      </c>
      <c r="D1793" s="1">
        <f t="shared" si="244"/>
        <v>4435.42</v>
      </c>
      <c r="E1793" s="4">
        <f t="shared" si="245"/>
        <v>4329.2930000000015</v>
      </c>
      <c r="F1793" s="3">
        <f t="shared" si="246"/>
        <v>1.0245137023527857</v>
      </c>
      <c r="G1793" s="18">
        <f t="shared" si="247"/>
        <v>1</v>
      </c>
      <c r="H1793" s="3">
        <f t="shared" si="248"/>
        <v>3.6249264606056375E-3</v>
      </c>
      <c r="I1793" s="3">
        <f t="shared" si="249"/>
        <v>3.6249264606056375E-3</v>
      </c>
      <c r="K1793" s="12" t="str">
        <f>IF(AND(G1793=1,G1792&lt;&gt;1),MAX($K$50:K1792)+1,"")</f>
        <v/>
      </c>
      <c r="L1793" s="13" t="str">
        <f>IF(AND(G1793&lt;&gt;1,G1792=1),MAX($L$50:L1792)+1,"")</f>
        <v/>
      </c>
      <c r="M1793" s="13" t="str">
        <f>IF(AND(G1793=-1,G1792&lt;&gt;-1),MAX($M$50:M1792)+1,"")</f>
        <v/>
      </c>
      <c r="N1793" s="13" t="str">
        <f>IF(AND(G1793&lt;&gt;-1,G1792=-1),MAX($N$50:N1792)+1,"")</f>
        <v/>
      </c>
      <c r="T1793" s="7">
        <f t="shared" si="250"/>
        <v>130.72044959439947</v>
      </c>
      <c r="U1793" s="1">
        <f t="shared" si="251"/>
        <v>233.03963137514555</v>
      </c>
    </row>
    <row r="1794" spans="1:21" x14ac:dyDescent="0.3">
      <c r="A1794" s="2">
        <v>42779</v>
      </c>
      <c r="B1794" s="1">
        <v>4459.83</v>
      </c>
      <c r="C1794" s="2">
        <f t="shared" si="243"/>
        <v>42779</v>
      </c>
      <c r="D1794" s="1">
        <f t="shared" si="244"/>
        <v>4459.83</v>
      </c>
      <c r="E1794" s="4">
        <f t="shared" si="245"/>
        <v>4334.5750000000007</v>
      </c>
      <c r="F1794" s="3">
        <f t="shared" si="246"/>
        <v>1.0288967199783137</v>
      </c>
      <c r="G1794" s="18">
        <f t="shared" si="247"/>
        <v>1</v>
      </c>
      <c r="H1794" s="3">
        <f t="shared" si="248"/>
        <v>5.5034247038612261E-3</v>
      </c>
      <c r="I1794" s="3">
        <f t="shared" si="249"/>
        <v>5.5034247038612261E-3</v>
      </c>
      <c r="K1794" s="12" t="str">
        <f>IF(AND(G1794=1,G1793&lt;&gt;1),MAX($K$50:K1793)+1,"")</f>
        <v/>
      </c>
      <c r="L1794" s="13" t="str">
        <f>IF(AND(G1794&lt;&gt;1,G1793=1),MAX($L$50:L1793)+1,"")</f>
        <v/>
      </c>
      <c r="M1794" s="13" t="str">
        <f>IF(AND(G1794=-1,G1793&lt;&gt;-1),MAX($M$50:M1793)+1,"")</f>
        <v/>
      </c>
      <c r="N1794" s="13" t="str">
        <f>IF(AND(G1794&lt;&gt;-1,G1793=-1),MAX($N$50:N1793)+1,"")</f>
        <v/>
      </c>
      <c r="T1794" s="7">
        <f t="shared" si="250"/>
        <v>131.43985974599713</v>
      </c>
      <c r="U1794" s="1">
        <f t="shared" si="251"/>
        <v>234.32214743943422</v>
      </c>
    </row>
    <row r="1795" spans="1:21" x14ac:dyDescent="0.3">
      <c r="A1795" s="2">
        <v>42780</v>
      </c>
      <c r="B1795" s="1">
        <v>4478.9799999999996</v>
      </c>
      <c r="C1795" s="2">
        <f t="shared" si="243"/>
        <v>42780</v>
      </c>
      <c r="D1795" s="1">
        <f t="shared" si="244"/>
        <v>4478.9799999999996</v>
      </c>
      <c r="E1795" s="4">
        <f t="shared" si="245"/>
        <v>4340.5316000000012</v>
      </c>
      <c r="F1795" s="3">
        <f t="shared" si="246"/>
        <v>1.0318966460237262</v>
      </c>
      <c r="G1795" s="18">
        <f t="shared" si="247"/>
        <v>1</v>
      </c>
      <c r="H1795" s="3">
        <f t="shared" si="248"/>
        <v>4.2938856413807791E-3</v>
      </c>
      <c r="I1795" s="3">
        <f t="shared" si="249"/>
        <v>4.2938856413807791E-3</v>
      </c>
      <c r="K1795" s="12" t="str">
        <f>IF(AND(G1795=1,G1794&lt;&gt;1),MAX($K$50:K1794)+1,"")</f>
        <v/>
      </c>
      <c r="L1795" s="13" t="str">
        <f>IF(AND(G1795&lt;&gt;1,G1794=1),MAX($L$50:L1794)+1,"")</f>
        <v/>
      </c>
      <c r="M1795" s="13" t="str">
        <f>IF(AND(G1795=-1,G1794&lt;&gt;-1),MAX($M$50:M1794)+1,"")</f>
        <v/>
      </c>
      <c r="N1795" s="13" t="str">
        <f>IF(AND(G1795&lt;&gt;-1,G1794=-1),MAX($N$50:N1794)+1,"")</f>
        <v/>
      </c>
      <c r="T1795" s="7">
        <f t="shared" si="250"/>
        <v>132.00424747246558</v>
      </c>
      <c r="U1795" s="1">
        <f t="shared" si="251"/>
        <v>235.32829994378193</v>
      </c>
    </row>
    <row r="1796" spans="1:21" x14ac:dyDescent="0.3">
      <c r="A1796" s="2">
        <v>42781</v>
      </c>
      <c r="B1796" s="1">
        <v>4501.99</v>
      </c>
      <c r="C1796" s="2">
        <f t="shared" si="243"/>
        <v>42781</v>
      </c>
      <c r="D1796" s="1">
        <f t="shared" si="244"/>
        <v>4501.99</v>
      </c>
      <c r="E1796" s="4">
        <f t="shared" si="245"/>
        <v>4346.9152000000004</v>
      </c>
      <c r="F1796" s="3">
        <f t="shared" si="246"/>
        <v>1.035674677987737</v>
      </c>
      <c r="G1796" s="18">
        <f t="shared" si="247"/>
        <v>1</v>
      </c>
      <c r="H1796" s="3">
        <f t="shared" si="248"/>
        <v>5.1373303743262877E-3</v>
      </c>
      <c r="I1796" s="3">
        <f t="shared" si="249"/>
        <v>5.1373303743262877E-3</v>
      </c>
      <c r="K1796" s="12" t="str">
        <f>IF(AND(G1796=1,G1795&lt;&gt;1),MAX($K$50:K1795)+1,"")</f>
        <v/>
      </c>
      <c r="L1796" s="13" t="str">
        <f>IF(AND(G1796&lt;&gt;1,G1795=1),MAX($L$50:L1795)+1,"")</f>
        <v/>
      </c>
      <c r="M1796" s="13" t="str">
        <f>IF(AND(G1796=-1,G1795&lt;&gt;-1),MAX($M$50:M1795)+1,"")</f>
        <v/>
      </c>
      <c r="N1796" s="13" t="str">
        <f>IF(AND(G1796&lt;&gt;-1,G1795=-1),MAX($N$50:N1795)+1,"")</f>
        <v/>
      </c>
      <c r="T1796" s="7">
        <f t="shared" si="250"/>
        <v>132.68239690254597</v>
      </c>
      <c r="U1796" s="1">
        <f t="shared" si="251"/>
        <v>236.53725916702172</v>
      </c>
    </row>
    <row r="1797" spans="1:21" x14ac:dyDescent="0.3">
      <c r="A1797" s="2">
        <v>42782</v>
      </c>
      <c r="B1797" s="1">
        <v>4498.5600000000004</v>
      </c>
      <c r="C1797" s="2">
        <f t="shared" si="243"/>
        <v>42782</v>
      </c>
      <c r="D1797" s="1">
        <f t="shared" si="244"/>
        <v>4498.5600000000004</v>
      </c>
      <c r="E1797" s="4">
        <f t="shared" si="245"/>
        <v>4352.7350000000006</v>
      </c>
      <c r="F1797" s="3">
        <f t="shared" si="246"/>
        <v>1.0335019246519717</v>
      </c>
      <c r="G1797" s="18">
        <f t="shared" si="247"/>
        <v>1</v>
      </c>
      <c r="H1797" s="3">
        <f t="shared" si="248"/>
        <v>-7.6188529961185303E-4</v>
      </c>
      <c r="I1797" s="3">
        <f t="shared" si="249"/>
        <v>-7.6188529961185303E-4</v>
      </c>
      <c r="K1797" s="12" t="str">
        <f>IF(AND(G1797=1,G1796&lt;&gt;1),MAX($K$50:K1796)+1,"")</f>
        <v/>
      </c>
      <c r="L1797" s="13" t="str">
        <f>IF(AND(G1797&lt;&gt;1,G1796=1),MAX($L$50:L1796)+1,"")</f>
        <v/>
      </c>
      <c r="M1797" s="13" t="str">
        <f>IF(AND(G1797=-1,G1796&lt;&gt;-1),MAX($M$50:M1796)+1,"")</f>
        <v/>
      </c>
      <c r="N1797" s="13" t="str">
        <f>IF(AND(G1797&lt;&gt;-1,G1796=-1),MAX($N$50:N1796)+1,"")</f>
        <v/>
      </c>
      <c r="T1797" s="7">
        <f t="shared" si="250"/>
        <v>132.58130813482865</v>
      </c>
      <c r="U1797" s="1">
        <f t="shared" si="251"/>
        <v>236.35704490645188</v>
      </c>
    </row>
    <row r="1798" spans="1:21" x14ac:dyDescent="0.3">
      <c r="A1798" s="2">
        <v>42783</v>
      </c>
      <c r="B1798" s="1">
        <v>4506.2</v>
      </c>
      <c r="C1798" s="2">
        <f t="shared" si="243"/>
        <v>42783</v>
      </c>
      <c r="D1798" s="1">
        <f t="shared" si="244"/>
        <v>4506.2</v>
      </c>
      <c r="E1798" s="4">
        <f t="shared" si="245"/>
        <v>4358.418200000001</v>
      </c>
      <c r="F1798" s="3">
        <f t="shared" si="246"/>
        <v>1.0339072097303557</v>
      </c>
      <c r="G1798" s="18">
        <f t="shared" si="247"/>
        <v>1</v>
      </c>
      <c r="H1798" s="3">
        <f t="shared" si="248"/>
        <v>1.6983212405745629E-3</v>
      </c>
      <c r="I1798" s="3">
        <f t="shared" si="249"/>
        <v>1.6983212405745629E-3</v>
      </c>
      <c r="K1798" s="12" t="str">
        <f>IF(AND(G1798=1,G1797&lt;&gt;1),MAX($K$50:K1797)+1,"")</f>
        <v/>
      </c>
      <c r="L1798" s="13" t="str">
        <f>IF(AND(G1798&lt;&gt;1,G1797=1),MAX($L$50:L1797)+1,"")</f>
        <v/>
      </c>
      <c r="M1798" s="13" t="str">
        <f>IF(AND(G1798=-1,G1797&lt;&gt;-1),MAX($M$50:M1797)+1,"")</f>
        <v/>
      </c>
      <c r="N1798" s="13" t="str">
        <f>IF(AND(G1798&lt;&gt;-1,G1797=-1),MAX($N$50:N1797)+1,"")</f>
        <v/>
      </c>
      <c r="T1798" s="7">
        <f t="shared" si="250"/>
        <v>132.8064737865372</v>
      </c>
      <c r="U1798" s="1">
        <f t="shared" si="251"/>
        <v>236.75845509617596</v>
      </c>
    </row>
    <row r="1799" spans="1:21" x14ac:dyDescent="0.3">
      <c r="A1799" s="2">
        <v>42787</v>
      </c>
      <c r="B1799" s="1">
        <v>4533.46</v>
      </c>
      <c r="C1799" s="2">
        <f t="shared" si="243"/>
        <v>42787</v>
      </c>
      <c r="D1799" s="1">
        <f t="shared" si="244"/>
        <v>4533.46</v>
      </c>
      <c r="E1799" s="4">
        <f t="shared" si="245"/>
        <v>4363.5186000000012</v>
      </c>
      <c r="F1799" s="3">
        <f t="shared" si="246"/>
        <v>1.0389459552206328</v>
      </c>
      <c r="G1799" s="18">
        <f t="shared" si="247"/>
        <v>1</v>
      </c>
      <c r="H1799" s="3">
        <f t="shared" si="248"/>
        <v>6.0494429896587043E-3</v>
      </c>
      <c r="I1799" s="3">
        <f t="shared" si="249"/>
        <v>6.0494429896587043E-3</v>
      </c>
      <c r="K1799" s="12" t="str">
        <f>IF(AND(G1799=1,G1798&lt;&gt;1),MAX($K$50:K1798)+1,"")</f>
        <v/>
      </c>
      <c r="L1799" s="13" t="str">
        <f>IF(AND(G1799&lt;&gt;1,G1798=1),MAX($L$50:L1798)+1,"")</f>
        <v/>
      </c>
      <c r="M1799" s="13" t="str">
        <f>IF(AND(G1799=-1,G1798&lt;&gt;-1),MAX($M$50:M1798)+1,"")</f>
        <v/>
      </c>
      <c r="N1799" s="13" t="str">
        <f>IF(AND(G1799&lt;&gt;-1,G1798=-1),MAX($N$50:N1798)+1,"")</f>
        <v/>
      </c>
      <c r="T1799" s="7">
        <f t="shared" si="250"/>
        <v>133.60987897836645</v>
      </c>
      <c r="U1799" s="1">
        <f t="shared" si="251"/>
        <v>238.19071187259996</v>
      </c>
    </row>
    <row r="1800" spans="1:21" x14ac:dyDescent="0.3">
      <c r="A1800" s="2">
        <v>42788</v>
      </c>
      <c r="B1800" s="1">
        <v>4528.97</v>
      </c>
      <c r="C1800" s="2">
        <f t="shared" si="243"/>
        <v>42788</v>
      </c>
      <c r="D1800" s="1">
        <f t="shared" si="244"/>
        <v>4528.97</v>
      </c>
      <c r="E1800" s="4">
        <f t="shared" si="245"/>
        <v>4368.3360000000011</v>
      </c>
      <c r="F1800" s="3">
        <f t="shared" si="246"/>
        <v>1.0367723545075285</v>
      </c>
      <c r="G1800" s="18">
        <f t="shared" si="247"/>
        <v>1</v>
      </c>
      <c r="H1800" s="3">
        <f t="shared" si="248"/>
        <v>-9.9041350315209886E-4</v>
      </c>
      <c r="I1800" s="3">
        <f t="shared" si="249"/>
        <v>-9.9041350315209886E-4</v>
      </c>
      <c r="K1800" s="12" t="str">
        <f>IF(AND(G1800=1,G1799&lt;&gt;1),MAX($K$50:K1799)+1,"")</f>
        <v/>
      </c>
      <c r="L1800" s="13" t="str">
        <f>IF(AND(G1800&lt;&gt;1,G1799=1),MAX($L$50:L1799)+1,"")</f>
        <v/>
      </c>
      <c r="M1800" s="13" t="str">
        <f>IF(AND(G1800=-1,G1799&lt;&gt;-1),MAX($M$50:M1799)+1,"")</f>
        <v/>
      </c>
      <c r="N1800" s="13" t="str">
        <f>IF(AND(G1800&lt;&gt;-1,G1799=-1),MAX($N$50:N1799)+1,"")</f>
        <v/>
      </c>
      <c r="T1800" s="7">
        <f t="shared" si="250"/>
        <v>133.47754995007176</v>
      </c>
      <c r="U1800" s="1">
        <f t="shared" si="251"/>
        <v>237.95480457523595</v>
      </c>
    </row>
    <row r="1801" spans="1:21" x14ac:dyDescent="0.3">
      <c r="A1801" s="2">
        <v>42789</v>
      </c>
      <c r="B1801" s="1">
        <v>4531.3900000000003</v>
      </c>
      <c r="C1801" s="2">
        <f t="shared" si="243"/>
        <v>42789</v>
      </c>
      <c r="D1801" s="1">
        <f t="shared" si="244"/>
        <v>4531.3900000000003</v>
      </c>
      <c r="E1801" s="4">
        <f t="shared" si="245"/>
        <v>4372.6916000000019</v>
      </c>
      <c r="F1801" s="3">
        <f t="shared" si="246"/>
        <v>1.0362930694677845</v>
      </c>
      <c r="G1801" s="18">
        <f t="shared" si="247"/>
        <v>1</v>
      </c>
      <c r="H1801" s="3">
        <f t="shared" si="248"/>
        <v>5.3433782957279519E-4</v>
      </c>
      <c r="I1801" s="3">
        <f t="shared" si="249"/>
        <v>5.3433782957279519E-4</v>
      </c>
      <c r="K1801" s="12" t="str">
        <f>IF(AND(G1801=1,G1800&lt;&gt;1),MAX($K$50:K1800)+1,"")</f>
        <v/>
      </c>
      <c r="L1801" s="13" t="str">
        <f>IF(AND(G1801&lt;&gt;1,G1800=1),MAX($L$50:L1800)+1,"")</f>
        <v/>
      </c>
      <c r="M1801" s="13" t="str">
        <f>IF(AND(G1801=-1,G1800&lt;&gt;-1),MAX($M$50:M1800)+1,"")</f>
        <v/>
      </c>
      <c r="N1801" s="13" t="str">
        <f>IF(AND(G1801&lt;&gt;-1,G1800=-1),MAX($N$50:N1800)+1,"")</f>
        <v/>
      </c>
      <c r="T1801" s="7">
        <f t="shared" si="250"/>
        <v>133.54887205440878</v>
      </c>
      <c r="U1801" s="1">
        <f t="shared" si="251"/>
        <v>238.08195282904907</v>
      </c>
    </row>
    <row r="1802" spans="1:21" x14ac:dyDescent="0.3">
      <c r="A1802" s="2">
        <v>42790</v>
      </c>
      <c r="B1802" s="1">
        <v>4539.25</v>
      </c>
      <c r="C1802" s="2">
        <f t="shared" si="243"/>
        <v>42790</v>
      </c>
      <c r="D1802" s="1">
        <f t="shared" si="244"/>
        <v>4539.25</v>
      </c>
      <c r="E1802" s="4">
        <f t="shared" si="245"/>
        <v>4377.2978000000012</v>
      </c>
      <c r="F1802" s="3">
        <f t="shared" si="246"/>
        <v>1.0369982138295455</v>
      </c>
      <c r="G1802" s="18">
        <f t="shared" si="247"/>
        <v>1</v>
      </c>
      <c r="H1802" s="3">
        <f t="shared" si="248"/>
        <v>1.7345670975130734E-3</v>
      </c>
      <c r="I1802" s="3">
        <f t="shared" si="249"/>
        <v>1.7345670975130734E-3</v>
      </c>
      <c r="K1802" s="12" t="str">
        <f>IF(AND(G1802=1,G1801&lt;&gt;1),MAX($K$50:K1801)+1,"")</f>
        <v/>
      </c>
      <c r="L1802" s="13" t="str">
        <f>IF(AND(G1802&lt;&gt;1,G1801=1),MAX($L$50:L1801)+1,"")</f>
        <v/>
      </c>
      <c r="M1802" s="13" t="str">
        <f>IF(AND(G1802=-1,G1801&lt;&gt;-1),MAX($M$50:M1801)+1,"")</f>
        <v/>
      </c>
      <c r="N1802" s="13" t="str">
        <f>IF(AND(G1802&lt;&gt;-1,G1801=-1),MAX($N$50:N1801)+1,"")</f>
        <v/>
      </c>
      <c r="T1802" s="7">
        <f t="shared" si="250"/>
        <v>133.78052153378434</v>
      </c>
      <c r="U1802" s="1">
        <f t="shared" si="251"/>
        <v>238.49492195093799</v>
      </c>
    </row>
    <row r="1803" spans="1:21" x14ac:dyDescent="0.3">
      <c r="A1803" s="2">
        <v>42793</v>
      </c>
      <c r="B1803" s="1">
        <v>4544.51</v>
      </c>
      <c r="C1803" s="2">
        <f t="shared" si="243"/>
        <v>42793</v>
      </c>
      <c r="D1803" s="1">
        <f t="shared" si="244"/>
        <v>4544.51</v>
      </c>
      <c r="E1803" s="4">
        <f t="shared" si="245"/>
        <v>4381.430800000001</v>
      </c>
      <c r="F1803" s="3">
        <f t="shared" si="246"/>
        <v>1.0372205353557105</v>
      </c>
      <c r="G1803" s="18">
        <f t="shared" si="247"/>
        <v>1</v>
      </c>
      <c r="H1803" s="3">
        <f t="shared" si="248"/>
        <v>1.1587817370710685E-3</v>
      </c>
      <c r="I1803" s="3">
        <f t="shared" si="249"/>
        <v>1.1587817370710685E-3</v>
      </c>
      <c r="K1803" s="12" t="str">
        <f>IF(AND(G1803=1,G1802&lt;&gt;1),MAX($K$50:K1802)+1,"")</f>
        <v/>
      </c>
      <c r="L1803" s="13" t="str">
        <f>IF(AND(G1803&lt;&gt;1,G1802=1),MAX($L$50:L1802)+1,"")</f>
        <v/>
      </c>
      <c r="M1803" s="13" t="str">
        <f>IF(AND(G1803=-1,G1802&lt;&gt;-1),MAX($M$50:M1802)+1,"")</f>
        <v/>
      </c>
      <c r="N1803" s="13" t="str">
        <f>IF(AND(G1803&lt;&gt;-1,G1802=-1),MAX($N$50:N1802)+1,"")</f>
        <v/>
      </c>
      <c r="T1803" s="7">
        <f t="shared" si="250"/>
        <v>133.93554395891354</v>
      </c>
      <c r="U1803" s="1">
        <f t="shared" si="251"/>
        <v>238.77128551087895</v>
      </c>
    </row>
    <row r="1804" spans="1:21" x14ac:dyDescent="0.3">
      <c r="A1804" s="2">
        <v>42794</v>
      </c>
      <c r="B1804" s="1">
        <v>4532.93</v>
      </c>
      <c r="C1804" s="2">
        <f t="shared" si="243"/>
        <v>42794</v>
      </c>
      <c r="D1804" s="1">
        <f t="shared" si="244"/>
        <v>4532.93</v>
      </c>
      <c r="E1804" s="4">
        <f t="shared" si="245"/>
        <v>4386.0308000000014</v>
      </c>
      <c r="F1804" s="3">
        <f t="shared" si="246"/>
        <v>1.0334925144620506</v>
      </c>
      <c r="G1804" s="18">
        <f t="shared" si="247"/>
        <v>1</v>
      </c>
      <c r="H1804" s="3">
        <f t="shared" si="248"/>
        <v>-2.5481295013103367E-3</v>
      </c>
      <c r="I1804" s="3">
        <f t="shared" si="249"/>
        <v>-2.5481295013103367E-3</v>
      </c>
      <c r="K1804" s="12" t="str">
        <f>IF(AND(G1804=1,G1803&lt;&gt;1),MAX($K$50:K1803)+1,"")</f>
        <v/>
      </c>
      <c r="L1804" s="13" t="str">
        <f>IF(AND(G1804&lt;&gt;1,G1803=1),MAX($L$50:L1803)+1,"")</f>
        <v/>
      </c>
      <c r="M1804" s="13" t="str">
        <f>IF(AND(G1804=-1,G1803&lt;&gt;-1),MAX($M$50:M1803)+1,"")</f>
        <v/>
      </c>
      <c r="N1804" s="13" t="str">
        <f>IF(AND(G1804&lt;&gt;-1,G1803=-1),MAX($N$50:N1803)+1,"")</f>
        <v/>
      </c>
      <c r="T1804" s="7">
        <f t="shared" si="250"/>
        <v>133.5942588480778</v>
      </c>
      <c r="U1804" s="1">
        <f t="shared" si="251"/>
        <v>238.16286535420289</v>
      </c>
    </row>
    <row r="1805" spans="1:21" x14ac:dyDescent="0.3">
      <c r="A1805" s="2">
        <v>42795</v>
      </c>
      <c r="B1805" s="1">
        <v>4595.7299999999996</v>
      </c>
      <c r="C1805" s="2">
        <f t="shared" si="243"/>
        <v>42795</v>
      </c>
      <c r="D1805" s="1">
        <f t="shared" si="244"/>
        <v>4595.7299999999996</v>
      </c>
      <c r="E1805" s="4">
        <f t="shared" si="245"/>
        <v>4391.548600000001</v>
      </c>
      <c r="F1805" s="3">
        <f t="shared" si="246"/>
        <v>1.0464941683669398</v>
      </c>
      <c r="G1805" s="18">
        <f t="shared" si="247"/>
        <v>1</v>
      </c>
      <c r="H1805" s="3">
        <f t="shared" si="248"/>
        <v>1.3854173790462054E-2</v>
      </c>
      <c r="I1805" s="3">
        <f t="shared" si="249"/>
        <v>1.3854173790462054E-2</v>
      </c>
      <c r="K1805" s="12" t="str">
        <f>IF(AND(G1805=1,G1804&lt;&gt;1),MAX($K$50:K1804)+1,"")</f>
        <v/>
      </c>
      <c r="L1805" s="13" t="str">
        <f>IF(AND(G1805&lt;&gt;1,G1804=1),MAX($L$50:L1804)+1,"")</f>
        <v/>
      </c>
      <c r="M1805" s="13" t="str">
        <f>IF(AND(G1805=-1,G1804&lt;&gt;-1),MAX($M$50:M1804)+1,"")</f>
        <v/>
      </c>
      <c r="N1805" s="13" t="str">
        <f>IF(AND(G1805&lt;&gt;-1,G1804=-1),MAX($N$50:N1804)+1,"")</f>
        <v/>
      </c>
      <c r="T1805" s="7">
        <f t="shared" si="250"/>
        <v>135.44509692756705</v>
      </c>
      <c r="U1805" s="1">
        <f t="shared" si="251"/>
        <v>241.46241508125442</v>
      </c>
    </row>
    <row r="1806" spans="1:21" x14ac:dyDescent="0.3">
      <c r="A1806" s="2">
        <v>42796</v>
      </c>
      <c r="B1806" s="1">
        <v>4569.17</v>
      </c>
      <c r="C1806" s="2">
        <f t="shared" si="243"/>
        <v>42796</v>
      </c>
      <c r="D1806" s="1">
        <f t="shared" si="244"/>
        <v>4569.17</v>
      </c>
      <c r="E1806" s="4">
        <f t="shared" si="245"/>
        <v>4396.6840000000011</v>
      </c>
      <c r="F1806" s="3">
        <f t="shared" si="246"/>
        <v>1.0392309294914073</v>
      </c>
      <c r="G1806" s="18">
        <f t="shared" si="247"/>
        <v>1</v>
      </c>
      <c r="H1806" s="3">
        <f t="shared" si="248"/>
        <v>-5.7792777208407475E-3</v>
      </c>
      <c r="I1806" s="3">
        <f t="shared" si="249"/>
        <v>-5.7792777208407475E-3</v>
      </c>
      <c r="K1806" s="12" t="str">
        <f>IF(AND(G1806=1,G1805&lt;&gt;1),MAX($K$50:K1805)+1,"")</f>
        <v/>
      </c>
      <c r="L1806" s="13" t="str">
        <f>IF(AND(G1806&lt;&gt;1,G1805=1),MAX($L$50:L1805)+1,"")</f>
        <v/>
      </c>
      <c r="M1806" s="13" t="str">
        <f>IF(AND(G1806=-1,G1805&lt;&gt;-1),MAX($M$50:M1805)+1,"")</f>
        <v/>
      </c>
      <c r="N1806" s="13" t="str">
        <f>IF(AND(G1806&lt;&gt;-1,G1805=-1),MAX($N$50:N1805)+1,"")</f>
        <v/>
      </c>
      <c r="T1806" s="7">
        <f t="shared" si="250"/>
        <v>134.66232209649644</v>
      </c>
      <c r="U1806" s="1">
        <f t="shared" si="251"/>
        <v>240.06693672535491</v>
      </c>
    </row>
    <row r="1807" spans="1:21" x14ac:dyDescent="0.3">
      <c r="A1807" s="2">
        <v>42797</v>
      </c>
      <c r="B1807" s="1">
        <v>4571.6000000000004</v>
      </c>
      <c r="C1807" s="2">
        <f t="shared" si="243"/>
        <v>42797</v>
      </c>
      <c r="D1807" s="1">
        <f t="shared" si="244"/>
        <v>4571.6000000000004</v>
      </c>
      <c r="E1807" s="4">
        <f t="shared" si="245"/>
        <v>4401.6956000000009</v>
      </c>
      <c r="F1807" s="3">
        <f t="shared" si="246"/>
        <v>1.0385997614192128</v>
      </c>
      <c r="G1807" s="18">
        <f t="shared" si="247"/>
        <v>1</v>
      </c>
      <c r="H1807" s="3">
        <f t="shared" si="248"/>
        <v>5.3182525491513033E-4</v>
      </c>
      <c r="I1807" s="3">
        <f t="shared" si="249"/>
        <v>5.3182525491513033E-4</v>
      </c>
      <c r="K1807" s="12" t="str">
        <f>IF(AND(G1807=1,G1806&lt;&gt;1),MAX($K$50:K1806)+1,"")</f>
        <v/>
      </c>
      <c r="L1807" s="13" t="str">
        <f>IF(AND(G1807&lt;&gt;1,G1806=1),MAX($L$50:L1806)+1,"")</f>
        <v/>
      </c>
      <c r="M1807" s="13" t="str">
        <f>IF(AND(G1807=-1,G1806&lt;&gt;-1),MAX($M$50:M1806)+1,"")</f>
        <v/>
      </c>
      <c r="N1807" s="13" t="str">
        <f>IF(AND(G1807&lt;&gt;-1,G1806=-1),MAX($N$50:N1806)+1,"")</f>
        <v/>
      </c>
      <c r="T1807" s="7">
        <f t="shared" si="250"/>
        <v>134.73393892027286</v>
      </c>
      <c r="U1807" s="1">
        <f t="shared" si="251"/>
        <v>240.19461038517554</v>
      </c>
    </row>
    <row r="1808" spans="1:21" x14ac:dyDescent="0.3">
      <c r="A1808" s="2">
        <v>42800</v>
      </c>
      <c r="B1808" s="1">
        <v>4556.72</v>
      </c>
      <c r="C1808" s="2">
        <f t="shared" si="243"/>
        <v>42800</v>
      </c>
      <c r="D1808" s="1">
        <f t="shared" si="244"/>
        <v>4556.72</v>
      </c>
      <c r="E1808" s="4">
        <f t="shared" si="245"/>
        <v>4406.082800000001</v>
      </c>
      <c r="F1808" s="3">
        <f t="shared" si="246"/>
        <v>1.0341884632762688</v>
      </c>
      <c r="G1808" s="18">
        <f t="shared" si="247"/>
        <v>1</v>
      </c>
      <c r="H1808" s="3">
        <f t="shared" si="248"/>
        <v>-3.2548779420772389E-3</v>
      </c>
      <c r="I1808" s="3">
        <f t="shared" si="249"/>
        <v>-3.2548779420772389E-3</v>
      </c>
      <c r="K1808" s="12" t="str">
        <f>IF(AND(G1808=1,G1807&lt;&gt;1),MAX($K$50:K1807)+1,"")</f>
        <v/>
      </c>
      <c r="L1808" s="13" t="str">
        <f>IF(AND(G1808&lt;&gt;1,G1807=1),MAX($L$50:L1807)+1,"")</f>
        <v/>
      </c>
      <c r="M1808" s="13" t="str">
        <f>IF(AND(G1808=-1,G1807&lt;&gt;-1),MAX($M$50:M1807)+1,"")</f>
        <v/>
      </c>
      <c r="N1808" s="13" t="str">
        <f>IF(AND(G1808&lt;&gt;-1,G1807=-1),MAX($N$50:N1807)+1,"")</f>
        <v/>
      </c>
      <c r="T1808" s="7">
        <f t="shared" si="250"/>
        <v>134.29539639443209</v>
      </c>
      <c r="U1808" s="1">
        <f t="shared" si="251"/>
        <v>239.412806246027</v>
      </c>
    </row>
    <row r="1809" spans="1:21" x14ac:dyDescent="0.3">
      <c r="A1809" s="2">
        <v>42801</v>
      </c>
      <c r="B1809" s="1">
        <v>4543.75</v>
      </c>
      <c r="C1809" s="2">
        <f t="shared" si="243"/>
        <v>42801</v>
      </c>
      <c r="D1809" s="1">
        <f t="shared" si="244"/>
        <v>4543.75</v>
      </c>
      <c r="E1809" s="4">
        <f t="shared" si="245"/>
        <v>4410.4208000000017</v>
      </c>
      <c r="F1809" s="3">
        <f t="shared" si="246"/>
        <v>1.0302304941061402</v>
      </c>
      <c r="G1809" s="18">
        <f t="shared" si="247"/>
        <v>1</v>
      </c>
      <c r="H1809" s="3">
        <f t="shared" si="248"/>
        <v>-2.8463456170227941E-3</v>
      </c>
      <c r="I1809" s="3">
        <f t="shared" si="249"/>
        <v>-2.8463456170227941E-3</v>
      </c>
      <c r="K1809" s="12" t="str">
        <f>IF(AND(G1809=1,G1808&lt;&gt;1),MAX($K$50:K1808)+1,"")</f>
        <v/>
      </c>
      <c r="L1809" s="13" t="str">
        <f>IF(AND(G1809&lt;&gt;1,G1808=1),MAX($L$50:L1808)+1,"")</f>
        <v/>
      </c>
      <c r="M1809" s="13" t="str">
        <f>IF(AND(G1809=-1,G1808&lt;&gt;-1),MAX($M$50:M1808)+1,"")</f>
        <v/>
      </c>
      <c r="N1809" s="13" t="str">
        <f>IF(AND(G1809&lt;&gt;-1,G1808=-1),MAX($N$50:N1808)+1,"")</f>
        <v/>
      </c>
      <c r="T1809" s="7">
        <f t="shared" si="250"/>
        <v>133.91314528151847</v>
      </c>
      <c r="U1809" s="1">
        <f t="shared" si="251"/>
        <v>238.73135465430951</v>
      </c>
    </row>
    <row r="1810" spans="1:21" x14ac:dyDescent="0.3">
      <c r="A1810" s="2">
        <v>42802</v>
      </c>
      <c r="B1810" s="1">
        <v>4534.68</v>
      </c>
      <c r="C1810" s="2">
        <f t="shared" si="243"/>
        <v>42802</v>
      </c>
      <c r="D1810" s="1">
        <f t="shared" si="244"/>
        <v>4534.68</v>
      </c>
      <c r="E1810" s="4">
        <f t="shared" si="245"/>
        <v>4414.7278000000015</v>
      </c>
      <c r="F1810" s="3">
        <f t="shared" si="246"/>
        <v>1.0271709164039511</v>
      </c>
      <c r="G1810" s="18">
        <f t="shared" si="247"/>
        <v>1</v>
      </c>
      <c r="H1810" s="3">
        <f t="shared" si="248"/>
        <v>-1.9961485557082881E-3</v>
      </c>
      <c r="I1810" s="3">
        <f t="shared" si="249"/>
        <v>-1.9961485557082881E-3</v>
      </c>
      <c r="K1810" s="12" t="str">
        <f>IF(AND(G1810=1,G1809&lt;&gt;1),MAX($K$50:K1809)+1,"")</f>
        <v/>
      </c>
      <c r="L1810" s="13" t="str">
        <f>IF(AND(G1810&lt;&gt;1,G1809=1),MAX($L$50:L1809)+1,"")</f>
        <v/>
      </c>
      <c r="M1810" s="13" t="str">
        <f>IF(AND(G1810=-1,G1809&lt;&gt;-1),MAX($M$50:M1809)+1,"")</f>
        <v/>
      </c>
      <c r="N1810" s="13" t="str">
        <f>IF(AND(G1810&lt;&gt;-1,G1809=-1),MAX($N$50:N1809)+1,"")</f>
        <v/>
      </c>
      <c r="T1810" s="7">
        <f t="shared" si="250"/>
        <v>133.6458347499744</v>
      </c>
      <c r="U1810" s="1">
        <f t="shared" si="251"/>
        <v>238.25481140551403</v>
      </c>
    </row>
    <row r="1811" spans="1:21" x14ac:dyDescent="0.3">
      <c r="A1811" s="2">
        <v>42803</v>
      </c>
      <c r="B1811" s="1">
        <v>4538.3599999999997</v>
      </c>
      <c r="C1811" s="2">
        <f t="shared" si="243"/>
        <v>42803</v>
      </c>
      <c r="D1811" s="1">
        <f t="shared" si="244"/>
        <v>4538.3599999999997</v>
      </c>
      <c r="E1811" s="4">
        <f t="shared" si="245"/>
        <v>4418.9916000000012</v>
      </c>
      <c r="F1811" s="3">
        <f t="shared" si="246"/>
        <v>1.0270125881207828</v>
      </c>
      <c r="G1811" s="18">
        <f t="shared" si="247"/>
        <v>1</v>
      </c>
      <c r="H1811" s="3">
        <f t="shared" si="248"/>
        <v>8.1152363562564389E-4</v>
      </c>
      <c r="I1811" s="3">
        <f t="shared" si="249"/>
        <v>8.1152363562564389E-4</v>
      </c>
      <c r="K1811" s="12" t="str">
        <f>IF(AND(G1811=1,G1810&lt;&gt;1),MAX($K$50:K1810)+1,"")</f>
        <v/>
      </c>
      <c r="L1811" s="13" t="str">
        <f>IF(AND(G1811&lt;&gt;1,G1810=1),MAX($L$50:L1810)+1,"")</f>
        <v/>
      </c>
      <c r="M1811" s="13" t="str">
        <f>IF(AND(G1811=-1,G1810&lt;&gt;-1),MAX($M$50:M1810)+1,"")</f>
        <v/>
      </c>
      <c r="N1811" s="13" t="str">
        <f>IF(AND(G1811&lt;&gt;-1,G1810=-1),MAX($N$50:N1810)+1,"")</f>
        <v/>
      </c>
      <c r="T1811" s="7">
        <f t="shared" si="250"/>
        <v>133.75429150367691</v>
      </c>
      <c r="U1811" s="1">
        <f t="shared" si="251"/>
        <v>238.44816081627116</v>
      </c>
    </row>
    <row r="1812" spans="1:21" x14ac:dyDescent="0.3">
      <c r="A1812" s="2">
        <v>42804</v>
      </c>
      <c r="B1812" s="1">
        <v>4553.28</v>
      </c>
      <c r="C1812" s="2">
        <f t="shared" si="243"/>
        <v>42804</v>
      </c>
      <c r="D1812" s="1">
        <f t="shared" si="244"/>
        <v>4553.28</v>
      </c>
      <c r="E1812" s="4">
        <f t="shared" si="245"/>
        <v>4423.3585999999996</v>
      </c>
      <c r="F1812" s="3">
        <f t="shared" si="246"/>
        <v>1.0293716634233545</v>
      </c>
      <c r="G1812" s="18">
        <f t="shared" si="247"/>
        <v>1</v>
      </c>
      <c r="H1812" s="3">
        <f t="shared" si="248"/>
        <v>3.2875311786637607E-3</v>
      </c>
      <c r="I1812" s="3">
        <f t="shared" si="249"/>
        <v>3.2875311786637607E-3</v>
      </c>
      <c r="K1812" s="12" t="str">
        <f>IF(AND(G1812=1,G1811&lt;&gt;1),MAX($K$50:K1811)+1,"")</f>
        <v/>
      </c>
      <c r="L1812" s="13" t="str">
        <f>IF(AND(G1812&lt;&gt;1,G1811=1),MAX($L$50:L1811)+1,"")</f>
        <v/>
      </c>
      <c r="M1812" s="13" t="str">
        <f>IF(AND(G1812=-1,G1811&lt;&gt;-1),MAX($M$50:M1811)+1,"")</f>
        <v/>
      </c>
      <c r="N1812" s="13" t="str">
        <f>IF(AND(G1812&lt;&gt;-1,G1811=-1),MAX($N$50:N1811)+1,"")</f>
        <v/>
      </c>
      <c r="T1812" s="7">
        <f t="shared" si="250"/>
        <v>134.19401290727532</v>
      </c>
      <c r="U1812" s="1">
        <f t="shared" si="251"/>
        <v>239.23206657944965</v>
      </c>
    </row>
    <row r="1813" spans="1:21" x14ac:dyDescent="0.3">
      <c r="A1813" s="2">
        <v>42807</v>
      </c>
      <c r="B1813" s="1">
        <v>4556.4399999999996</v>
      </c>
      <c r="C1813" s="2">
        <f t="shared" si="243"/>
        <v>42807</v>
      </c>
      <c r="D1813" s="1">
        <f t="shared" si="244"/>
        <v>4556.4399999999996</v>
      </c>
      <c r="E1813" s="4">
        <f t="shared" si="245"/>
        <v>4428.4984000000004</v>
      </c>
      <c r="F1813" s="3">
        <f t="shared" si="246"/>
        <v>1.0288905151235912</v>
      </c>
      <c r="G1813" s="18">
        <f t="shared" si="247"/>
        <v>1</v>
      </c>
      <c r="H1813" s="3">
        <f t="shared" si="248"/>
        <v>6.9400520064655247E-4</v>
      </c>
      <c r="I1813" s="3">
        <f t="shared" si="249"/>
        <v>6.9400520064655247E-4</v>
      </c>
      <c r="K1813" s="12" t="str">
        <f>IF(AND(G1813=1,G1812&lt;&gt;1),MAX($K$50:K1812)+1,"")</f>
        <v/>
      </c>
      <c r="L1813" s="13" t="str">
        <f>IF(AND(G1813&lt;&gt;1,G1812=1),MAX($L$50:L1812)+1,"")</f>
        <v/>
      </c>
      <c r="M1813" s="13" t="str">
        <f>IF(AND(G1813=-1,G1812&lt;&gt;-1),MAX($M$50:M1812)+1,"")</f>
        <v/>
      </c>
      <c r="N1813" s="13" t="str">
        <f>IF(AND(G1813&lt;&gt;-1,G1812=-1),MAX($N$50:N1812)+1,"")</f>
        <v/>
      </c>
      <c r="T1813" s="7">
        <f t="shared" si="250"/>
        <v>134.28714425012859</v>
      </c>
      <c r="U1813" s="1">
        <f t="shared" si="251"/>
        <v>239.39809487781721</v>
      </c>
    </row>
    <row r="1814" spans="1:21" x14ac:dyDescent="0.3">
      <c r="A1814" s="2">
        <v>42808</v>
      </c>
      <c r="B1814" s="1">
        <v>4541.26</v>
      </c>
      <c r="C1814" s="2">
        <f t="shared" si="243"/>
        <v>42808</v>
      </c>
      <c r="D1814" s="1">
        <f t="shared" si="244"/>
        <v>4541.26</v>
      </c>
      <c r="E1814" s="4">
        <f t="shared" si="245"/>
        <v>4433.3558000000003</v>
      </c>
      <c r="F1814" s="3">
        <f t="shared" si="246"/>
        <v>1.0243391698902218</v>
      </c>
      <c r="G1814" s="18">
        <f t="shared" si="247"/>
        <v>1</v>
      </c>
      <c r="H1814" s="3">
        <f t="shared" si="248"/>
        <v>-3.3315483140344826E-3</v>
      </c>
      <c r="I1814" s="3">
        <f t="shared" si="249"/>
        <v>-3.3315483140344826E-3</v>
      </c>
      <c r="K1814" s="12" t="str">
        <f>IF(AND(G1814=1,G1813&lt;&gt;1),MAX($K$50:K1813)+1,"")</f>
        <v/>
      </c>
      <c r="L1814" s="13" t="str">
        <f>IF(AND(G1814&lt;&gt;1,G1813=1),MAX($L$50:L1813)+1,"")</f>
        <v/>
      </c>
      <c r="M1814" s="13" t="str">
        <f>IF(AND(G1814=-1,G1813&lt;&gt;-1),MAX($M$50:M1813)+1,"")</f>
        <v/>
      </c>
      <c r="N1814" s="13" t="str">
        <f>IF(AND(G1814&lt;&gt;-1,G1813=-1),MAX($N$50:N1813)+1,"")</f>
        <v/>
      </c>
      <c r="T1814" s="7">
        <f t="shared" si="250"/>
        <v>133.83976014110556</v>
      </c>
      <c r="U1814" s="1">
        <f t="shared" si="251"/>
        <v>238.60052855844395</v>
      </c>
    </row>
    <row r="1815" spans="1:21" x14ac:dyDescent="0.3">
      <c r="A1815" s="2">
        <v>42809</v>
      </c>
      <c r="B1815" s="1">
        <v>4579.4399999999996</v>
      </c>
      <c r="C1815" s="2">
        <f t="shared" si="243"/>
        <v>42809</v>
      </c>
      <c r="D1815" s="1">
        <f t="shared" si="244"/>
        <v>4579.4399999999996</v>
      </c>
      <c r="E1815" s="4">
        <f t="shared" si="245"/>
        <v>4439.3714</v>
      </c>
      <c r="F1815" s="3">
        <f t="shared" si="246"/>
        <v>1.0315514489281072</v>
      </c>
      <c r="G1815" s="18">
        <f t="shared" si="247"/>
        <v>1</v>
      </c>
      <c r="H1815" s="3">
        <f t="shared" si="248"/>
        <v>8.407358310248636E-3</v>
      </c>
      <c r="I1815" s="3">
        <f t="shared" si="249"/>
        <v>8.407358310248636E-3</v>
      </c>
      <c r="K1815" s="12" t="str">
        <f>IF(AND(G1815=1,G1814&lt;&gt;1),MAX($K$50:K1814)+1,"")</f>
        <v/>
      </c>
      <c r="L1815" s="13" t="str">
        <f>IF(AND(G1815&lt;&gt;1,G1814=1),MAX($L$50:L1814)+1,"")</f>
        <v/>
      </c>
      <c r="M1815" s="13" t="str">
        <f>IF(AND(G1815=-1,G1814&lt;&gt;-1),MAX($M$50:M1814)+1,"")</f>
        <v/>
      </c>
      <c r="N1815" s="13" t="str">
        <f>IF(AND(G1815&lt;&gt;-1,G1814=-1),MAX($N$50:N1814)+1,"")</f>
        <v/>
      </c>
      <c r="T1815" s="7">
        <f t="shared" si="250"/>
        <v>134.96499896076958</v>
      </c>
      <c r="U1815" s="1">
        <f t="shared" si="251"/>
        <v>240.60652869504946</v>
      </c>
    </row>
    <row r="1816" spans="1:21" x14ac:dyDescent="0.3">
      <c r="A1816" s="2">
        <v>42810</v>
      </c>
      <c r="B1816" s="1">
        <v>4572.16</v>
      </c>
      <c r="C1816" s="2">
        <f t="shared" si="243"/>
        <v>42810</v>
      </c>
      <c r="D1816" s="1">
        <f t="shared" si="244"/>
        <v>4572.16</v>
      </c>
      <c r="E1816" s="4">
        <f t="shared" si="245"/>
        <v>4444.5130000000008</v>
      </c>
      <c r="F1816" s="3">
        <f t="shared" si="246"/>
        <v>1.0287201319919639</v>
      </c>
      <c r="G1816" s="18">
        <f t="shared" si="247"/>
        <v>1</v>
      </c>
      <c r="H1816" s="3">
        <f t="shared" si="248"/>
        <v>-1.5897140261690312E-3</v>
      </c>
      <c r="I1816" s="3">
        <f t="shared" si="249"/>
        <v>-1.5897140261690312E-3</v>
      </c>
      <c r="K1816" s="12" t="str">
        <f>IF(AND(G1816=1,G1815&lt;&gt;1),MAX($K$50:K1815)+1,"")</f>
        <v/>
      </c>
      <c r="L1816" s="13" t="str">
        <f>IF(AND(G1816&lt;&gt;1,G1815=1),MAX($L$50:L1815)+1,"")</f>
        <v/>
      </c>
      <c r="M1816" s="13" t="str">
        <f>IF(AND(G1816=-1,G1815&lt;&gt;-1),MAX($M$50:M1815)+1,"")</f>
        <v/>
      </c>
      <c r="N1816" s="13" t="str">
        <f>IF(AND(G1816&lt;&gt;-1,G1815=-1),MAX($N$50:N1815)+1,"")</f>
        <v/>
      </c>
      <c r="T1816" s="7">
        <f t="shared" si="250"/>
        <v>134.75044320887974</v>
      </c>
      <c r="U1816" s="1">
        <f t="shared" si="251"/>
        <v>240.22403312159506</v>
      </c>
    </row>
    <row r="1817" spans="1:21" x14ac:dyDescent="0.3">
      <c r="A1817" s="2">
        <v>42811</v>
      </c>
      <c r="B1817" s="1">
        <v>4566.17</v>
      </c>
      <c r="C1817" s="2">
        <f t="shared" si="243"/>
        <v>42811</v>
      </c>
      <c r="D1817" s="1">
        <f t="shared" si="244"/>
        <v>4566.17</v>
      </c>
      <c r="E1817" s="4">
        <f t="shared" si="245"/>
        <v>4449.0214000000005</v>
      </c>
      <c r="F1817" s="3">
        <f t="shared" si="246"/>
        <v>1.0263313186131222</v>
      </c>
      <c r="G1817" s="18">
        <f t="shared" si="247"/>
        <v>1</v>
      </c>
      <c r="H1817" s="3">
        <f t="shared" si="248"/>
        <v>-1.3101028835386108E-3</v>
      </c>
      <c r="I1817" s="3">
        <f t="shared" si="249"/>
        <v>-1.3101028835386108E-3</v>
      </c>
      <c r="K1817" s="12" t="str">
        <f>IF(AND(G1817=1,G1816&lt;&gt;1),MAX($K$50:K1816)+1,"")</f>
        <v/>
      </c>
      <c r="L1817" s="13" t="str">
        <f>IF(AND(G1817&lt;&gt;1,G1816=1),MAX($L$50:L1816)+1,"")</f>
        <v/>
      </c>
      <c r="M1817" s="13" t="str">
        <f>IF(AND(G1817=-1,G1816&lt;&gt;-1),MAX($M$50:M1816)+1,"")</f>
        <v/>
      </c>
      <c r="N1817" s="13" t="str">
        <f>IF(AND(G1817&lt;&gt;-1,G1816=-1),MAX($N$50:N1816)+1,"")</f>
        <v/>
      </c>
      <c r="T1817" s="7">
        <f t="shared" si="250"/>
        <v>134.5739062646737</v>
      </c>
      <c r="U1817" s="1">
        <f t="shared" si="251"/>
        <v>239.90931492310719</v>
      </c>
    </row>
    <row r="1818" spans="1:21" x14ac:dyDescent="0.3">
      <c r="A1818" s="2">
        <v>42814</v>
      </c>
      <c r="B1818" s="1">
        <v>4557.12</v>
      </c>
      <c r="C1818" s="2">
        <f t="shared" si="243"/>
        <v>42814</v>
      </c>
      <c r="D1818" s="1">
        <f t="shared" si="244"/>
        <v>4557.12</v>
      </c>
      <c r="E1818" s="4">
        <f t="shared" si="245"/>
        <v>4453.4148000000014</v>
      </c>
      <c r="F1818" s="3">
        <f t="shared" si="246"/>
        <v>1.0232866698157106</v>
      </c>
      <c r="G1818" s="18">
        <f t="shared" si="247"/>
        <v>1</v>
      </c>
      <c r="H1818" s="3">
        <f t="shared" si="248"/>
        <v>-1.9819673818539663E-3</v>
      </c>
      <c r="I1818" s="3">
        <f t="shared" si="249"/>
        <v>-1.9819673818539663E-3</v>
      </c>
      <c r="K1818" s="12" t="str">
        <f>IF(AND(G1818=1,G1817&lt;&gt;1),MAX($K$50:K1817)+1,"")</f>
        <v/>
      </c>
      <c r="L1818" s="13" t="str">
        <f>IF(AND(G1818&lt;&gt;1,G1817=1),MAX($L$50:L1817)+1,"")</f>
        <v/>
      </c>
      <c r="M1818" s="13" t="str">
        <f>IF(AND(G1818=-1,G1817&lt;&gt;-1),MAX($M$50:M1817)+1,"")</f>
        <v/>
      </c>
      <c r="N1818" s="13" t="str">
        <f>IF(AND(G1818&lt;&gt;-1,G1817=-1),MAX($N$50:N1817)+1,"")</f>
        <v/>
      </c>
      <c r="T1818" s="7">
        <f t="shared" si="250"/>
        <v>134.30718517200845</v>
      </c>
      <c r="U1818" s="1">
        <f t="shared" si="251"/>
        <v>239.43382248632668</v>
      </c>
    </row>
    <row r="1819" spans="1:21" x14ac:dyDescent="0.3">
      <c r="A1819" s="2">
        <v>42815</v>
      </c>
      <c r="B1819" s="1">
        <v>4500.9799999999996</v>
      </c>
      <c r="C1819" s="2">
        <f t="shared" si="243"/>
        <v>42815</v>
      </c>
      <c r="D1819" s="1">
        <f t="shared" si="244"/>
        <v>4500.9799999999996</v>
      </c>
      <c r="E1819" s="4">
        <f t="shared" si="245"/>
        <v>4456.3534000000009</v>
      </c>
      <c r="F1819" s="3">
        <f t="shared" si="246"/>
        <v>1.0100141519296919</v>
      </c>
      <c r="G1819" s="18">
        <f t="shared" si="247"/>
        <v>1</v>
      </c>
      <c r="H1819" s="3">
        <f t="shared" si="248"/>
        <v>-1.2319184046064247E-2</v>
      </c>
      <c r="I1819" s="3">
        <f t="shared" si="249"/>
        <v>-1.2319184046064247E-2</v>
      </c>
      <c r="K1819" s="12" t="str">
        <f>IF(AND(G1819=1,G1818&lt;&gt;1),MAX($K$50:K1818)+1,"")</f>
        <v/>
      </c>
      <c r="L1819" s="13" t="str">
        <f>IF(AND(G1819&lt;&gt;1,G1818=1),MAX($L$50:L1818)+1,"")</f>
        <v/>
      </c>
      <c r="M1819" s="13" t="str">
        <f>IF(AND(G1819=-1,G1818&lt;&gt;-1),MAX($M$50:M1818)+1,"")</f>
        <v/>
      </c>
      <c r="N1819" s="13" t="str">
        <f>IF(AND(G1819&lt;&gt;-1,G1818=-1),MAX($N$50:N1818)+1,"")</f>
        <v/>
      </c>
      <c r="T1819" s="7">
        <f t="shared" si="250"/>
        <v>132.65263023916563</v>
      </c>
      <c r="U1819" s="1">
        <f t="shared" si="251"/>
        <v>236.48419316026494</v>
      </c>
    </row>
    <row r="1820" spans="1:21" x14ac:dyDescent="0.3">
      <c r="A1820" s="2">
        <v>42816</v>
      </c>
      <c r="B1820" s="1">
        <v>4509.6499999999996</v>
      </c>
      <c r="C1820" s="2">
        <f t="shared" si="243"/>
        <v>42816</v>
      </c>
      <c r="D1820" s="1">
        <f t="shared" si="244"/>
        <v>4509.6499999999996</v>
      </c>
      <c r="E1820" s="4">
        <f t="shared" si="245"/>
        <v>4459.7740000000013</v>
      </c>
      <c r="F1820" s="3">
        <f t="shared" si="246"/>
        <v>1.0111835263401237</v>
      </c>
      <c r="G1820" s="18">
        <f t="shared" si="247"/>
        <v>1</v>
      </c>
      <c r="H1820" s="3">
        <f t="shared" si="248"/>
        <v>1.9262471728378472E-3</v>
      </c>
      <c r="I1820" s="3">
        <f t="shared" si="249"/>
        <v>1.9262471728378472E-3</v>
      </c>
      <c r="K1820" s="12" t="str">
        <f>IF(AND(G1820=1,G1819&lt;&gt;1),MAX($K$50:K1819)+1,"")</f>
        <v/>
      </c>
      <c r="L1820" s="13" t="str">
        <f>IF(AND(G1820&lt;&gt;1,G1819=1),MAX($L$50:L1819)+1,"")</f>
        <v/>
      </c>
      <c r="M1820" s="13" t="str">
        <f>IF(AND(G1820=-1,G1819&lt;&gt;-1),MAX($M$50:M1819)+1,"")</f>
        <v/>
      </c>
      <c r="N1820" s="13" t="str">
        <f>IF(AND(G1820&lt;&gt;-1,G1819=-1),MAX($N$50:N1819)+1,"")</f>
        <v/>
      </c>
      <c r="T1820" s="7">
        <f t="shared" si="250"/>
        <v>132.90815199313332</v>
      </c>
      <c r="U1820" s="1">
        <f t="shared" si="251"/>
        <v>236.93972016876077</v>
      </c>
    </row>
    <row r="1821" spans="1:21" x14ac:dyDescent="0.3">
      <c r="A1821" s="2">
        <v>42817</v>
      </c>
      <c r="B1821" s="1">
        <v>4504.92</v>
      </c>
      <c r="C1821" s="2">
        <f t="shared" si="243"/>
        <v>42817</v>
      </c>
      <c r="D1821" s="1">
        <f t="shared" si="244"/>
        <v>4504.92</v>
      </c>
      <c r="E1821" s="4">
        <f t="shared" si="245"/>
        <v>4463.0996000000005</v>
      </c>
      <c r="F1821" s="3">
        <f t="shared" si="246"/>
        <v>1.0093702591804135</v>
      </c>
      <c r="G1821" s="18">
        <f t="shared" si="247"/>
        <v>1</v>
      </c>
      <c r="H1821" s="3">
        <f t="shared" si="248"/>
        <v>-1.048861885068586E-3</v>
      </c>
      <c r="I1821" s="3">
        <f t="shared" si="249"/>
        <v>-1.048861885068586E-3</v>
      </c>
      <c r="K1821" s="12" t="str">
        <f>IF(AND(G1821=1,G1820&lt;&gt;1),MAX($K$50:K1820)+1,"")</f>
        <v/>
      </c>
      <c r="L1821" s="13" t="str">
        <f>IF(AND(G1821&lt;&gt;1,G1820=1),MAX($L$50:L1820)+1,"")</f>
        <v/>
      </c>
      <c r="M1821" s="13" t="str">
        <f>IF(AND(G1821=-1,G1820&lt;&gt;-1),MAX($M$50:M1820)+1,"")</f>
        <v/>
      </c>
      <c r="N1821" s="13" t="str">
        <f>IF(AND(G1821&lt;&gt;-1,G1820=-1),MAX($N$50:N1820)+1,"")</f>
        <v/>
      </c>
      <c r="T1821" s="7">
        <f t="shared" si="250"/>
        <v>132.76874969829282</v>
      </c>
      <c r="U1821" s="1">
        <f t="shared" si="251"/>
        <v>236.69120312721694</v>
      </c>
    </row>
    <row r="1822" spans="1:21" x14ac:dyDescent="0.3">
      <c r="A1822" s="2">
        <v>42818</v>
      </c>
      <c r="B1822" s="1">
        <v>4501.1099999999997</v>
      </c>
      <c r="C1822" s="2">
        <f t="shared" si="243"/>
        <v>42818</v>
      </c>
      <c r="D1822" s="1">
        <f t="shared" si="244"/>
        <v>4501.1099999999997</v>
      </c>
      <c r="E1822" s="4">
        <f t="shared" si="245"/>
        <v>4466.0954000000002</v>
      </c>
      <c r="F1822" s="3">
        <f t="shared" si="246"/>
        <v>1.0078400922649344</v>
      </c>
      <c r="G1822" s="18">
        <f t="shared" si="247"/>
        <v>1</v>
      </c>
      <c r="H1822" s="3">
        <f t="shared" si="248"/>
        <v>-8.4574198875908557E-4</v>
      </c>
      <c r="I1822" s="3">
        <f t="shared" si="249"/>
        <v>-8.4574198875908557E-4</v>
      </c>
      <c r="K1822" s="12" t="str">
        <f>IF(AND(G1822=1,G1821&lt;&gt;1),MAX($K$50:K1821)+1,"")</f>
        <v/>
      </c>
      <c r="L1822" s="13" t="str">
        <f>IF(AND(G1822&lt;&gt;1,G1821=1),MAX($L$50:L1821)+1,"")</f>
        <v/>
      </c>
      <c r="M1822" s="13" t="str">
        <f>IF(AND(G1822=-1,G1821&lt;&gt;-1),MAX($M$50:M1821)+1,"")</f>
        <v/>
      </c>
      <c r="N1822" s="13" t="str">
        <f>IF(AND(G1822&lt;&gt;-1,G1821=-1),MAX($N$50:N1821)+1,"")</f>
        <v/>
      </c>
      <c r="T1822" s="7">
        <f t="shared" si="250"/>
        <v>132.65646159187793</v>
      </c>
      <c r="U1822" s="1">
        <f t="shared" si="251"/>
        <v>236.49102343836239</v>
      </c>
    </row>
    <row r="1823" spans="1:21" x14ac:dyDescent="0.3">
      <c r="A1823" s="2">
        <v>42821</v>
      </c>
      <c r="B1823" s="1">
        <v>4496.53</v>
      </c>
      <c r="C1823" s="2">
        <f t="shared" si="243"/>
        <v>42821</v>
      </c>
      <c r="D1823" s="1">
        <f t="shared" si="244"/>
        <v>4496.53</v>
      </c>
      <c r="E1823" s="4">
        <f t="shared" si="245"/>
        <v>4469.1842000000006</v>
      </c>
      <c r="F1823" s="3">
        <f t="shared" si="246"/>
        <v>1.0061187453405924</v>
      </c>
      <c r="G1823" s="18">
        <f t="shared" si="247"/>
        <v>1</v>
      </c>
      <c r="H1823" s="3">
        <f t="shared" si="248"/>
        <v>-1.0175267878367311E-3</v>
      </c>
      <c r="I1823" s="3">
        <f t="shared" si="249"/>
        <v>-1.0175267878367311E-3</v>
      </c>
      <c r="K1823" s="12" t="str">
        <f>IF(AND(G1823=1,G1822&lt;&gt;1),MAX($K$50:K1822)+1,"")</f>
        <v/>
      </c>
      <c r="L1823" s="13" t="str">
        <f>IF(AND(G1823&lt;&gt;1,G1822=1),MAX($L$50:L1822)+1,"")</f>
        <v/>
      </c>
      <c r="M1823" s="13" t="str">
        <f>IF(AND(G1823=-1,G1822&lt;&gt;-1),MAX($M$50:M1822)+1,"")</f>
        <v/>
      </c>
      <c r="N1823" s="13" t="str">
        <f>IF(AND(G1823&lt;&gt;-1,G1822=-1),MAX($N$50:N1822)+1,"")</f>
        <v/>
      </c>
      <c r="T1823" s="7">
        <f t="shared" si="250"/>
        <v>132.52148008862855</v>
      </c>
      <c r="U1823" s="1">
        <f t="shared" si="251"/>
        <v>236.25038748693095</v>
      </c>
    </row>
    <row r="1824" spans="1:21" x14ac:dyDescent="0.3">
      <c r="A1824" s="2">
        <v>42822</v>
      </c>
      <c r="B1824" s="1">
        <v>4529.17</v>
      </c>
      <c r="C1824" s="2">
        <f t="shared" si="243"/>
        <v>42822</v>
      </c>
      <c r="D1824" s="1">
        <f t="shared" si="244"/>
        <v>4529.17</v>
      </c>
      <c r="E1824" s="4">
        <f t="shared" si="245"/>
        <v>4472.7654000000002</v>
      </c>
      <c r="F1824" s="3">
        <f t="shared" si="246"/>
        <v>1.0126106770545131</v>
      </c>
      <c r="G1824" s="18">
        <f t="shared" si="247"/>
        <v>1</v>
      </c>
      <c r="H1824" s="3">
        <f t="shared" si="248"/>
        <v>7.2589307755090982E-3</v>
      </c>
      <c r="I1824" s="3">
        <f t="shared" si="249"/>
        <v>7.2589307755090982E-3</v>
      </c>
      <c r="K1824" s="12" t="str">
        <f>IF(AND(G1824=1,G1823&lt;&gt;1),MAX($K$50:K1823)+1,"")</f>
        <v/>
      </c>
      <c r="L1824" s="13" t="str">
        <f>IF(AND(G1824&lt;&gt;1,G1823=1),MAX($L$50:L1823)+1,"")</f>
        <v/>
      </c>
      <c r="M1824" s="13" t="str">
        <f>IF(AND(G1824=-1,G1823&lt;&gt;-1),MAX($M$50:M1823)+1,"")</f>
        <v/>
      </c>
      <c r="N1824" s="13" t="str">
        <f>IF(AND(G1824&lt;&gt;-1,G1823=-1),MAX($N$50:N1823)+1,"")</f>
        <v/>
      </c>
      <c r="T1824" s="7">
        <f t="shared" si="250"/>
        <v>133.48344433885993</v>
      </c>
      <c r="U1824" s="1">
        <f t="shared" si="251"/>
        <v>237.96531269538576</v>
      </c>
    </row>
    <row r="1825" spans="1:21" x14ac:dyDescent="0.3">
      <c r="A1825" s="2">
        <v>42823</v>
      </c>
      <c r="B1825" s="1">
        <v>4535.01</v>
      </c>
      <c r="C1825" s="2">
        <f t="shared" si="243"/>
        <v>42823</v>
      </c>
      <c r="D1825" s="1">
        <f t="shared" si="244"/>
        <v>4535.01</v>
      </c>
      <c r="E1825" s="4">
        <f t="shared" si="245"/>
        <v>4476.7216000000008</v>
      </c>
      <c r="F1825" s="3">
        <f t="shared" si="246"/>
        <v>1.0130203316641355</v>
      </c>
      <c r="G1825" s="18">
        <f t="shared" si="247"/>
        <v>1</v>
      </c>
      <c r="H1825" s="3">
        <f t="shared" si="248"/>
        <v>1.2894194742083531E-3</v>
      </c>
      <c r="I1825" s="3">
        <f t="shared" si="249"/>
        <v>1.2894194742083531E-3</v>
      </c>
      <c r="K1825" s="12" t="str">
        <f>IF(AND(G1825=1,G1824&lt;&gt;1),MAX($K$50:K1824)+1,"")</f>
        <v/>
      </c>
      <c r="L1825" s="13" t="str">
        <f>IF(AND(G1825&lt;&gt;1,G1824=1),MAX($L$50:L1824)+1,"")</f>
        <v/>
      </c>
      <c r="M1825" s="13" t="str">
        <f>IF(AND(G1825=-1,G1824&lt;&gt;-1),MAX($M$50:M1824)+1,"")</f>
        <v/>
      </c>
      <c r="N1825" s="13" t="str">
        <f>IF(AND(G1825&lt;&gt;-1,G1824=-1),MAX($N$50:N1824)+1,"")</f>
        <v/>
      </c>
      <c r="T1825" s="7">
        <f t="shared" si="250"/>
        <v>133.65556049147486</v>
      </c>
      <c r="U1825" s="1">
        <f t="shared" si="251"/>
        <v>238.27214980376127</v>
      </c>
    </row>
    <row r="1826" spans="1:21" x14ac:dyDescent="0.3">
      <c r="A1826" s="2">
        <v>42824</v>
      </c>
      <c r="B1826" s="1">
        <v>4548.46</v>
      </c>
      <c r="C1826" s="2">
        <f t="shared" si="243"/>
        <v>42824</v>
      </c>
      <c r="D1826" s="1">
        <f t="shared" si="244"/>
        <v>4548.46</v>
      </c>
      <c r="E1826" s="4">
        <f t="shared" si="245"/>
        <v>4480.7794000000004</v>
      </c>
      <c r="F1826" s="3">
        <f t="shared" si="246"/>
        <v>1.0151046489813802</v>
      </c>
      <c r="G1826" s="18">
        <f t="shared" si="247"/>
        <v>1</v>
      </c>
      <c r="H1826" s="3">
        <f t="shared" si="248"/>
        <v>2.9658148493607595E-3</v>
      </c>
      <c r="I1826" s="3">
        <f t="shared" si="249"/>
        <v>2.9658148493607595E-3</v>
      </c>
      <c r="K1826" s="12" t="str">
        <f>IF(AND(G1826=1,G1825&lt;&gt;1),MAX($K$50:K1825)+1,"")</f>
        <v/>
      </c>
      <c r="L1826" s="13" t="str">
        <f>IF(AND(G1826&lt;&gt;1,G1825=1),MAX($L$50:L1825)+1,"")</f>
        <v/>
      </c>
      <c r="M1826" s="13" t="str">
        <f>IF(AND(G1826=-1,G1825&lt;&gt;-1),MAX($M$50:M1825)+1,"")</f>
        <v/>
      </c>
      <c r="N1826" s="13" t="str">
        <f>IF(AND(G1826&lt;&gt;-1,G1825=-1),MAX($N$50:N1825)+1,"")</f>
        <v/>
      </c>
      <c r="T1826" s="7">
        <f t="shared" si="250"/>
        <v>134.05195813748011</v>
      </c>
      <c r="U1826" s="1">
        <f t="shared" si="251"/>
        <v>238.97882088383841</v>
      </c>
    </row>
    <row r="1827" spans="1:21" x14ac:dyDescent="0.3">
      <c r="A1827" s="2">
        <v>42825</v>
      </c>
      <c r="B1827" s="1">
        <v>4538.21</v>
      </c>
      <c r="C1827" s="2">
        <f t="shared" si="243"/>
        <v>42825</v>
      </c>
      <c r="D1827" s="1">
        <f t="shared" si="244"/>
        <v>4538.21</v>
      </c>
      <c r="E1827" s="4">
        <f t="shared" si="245"/>
        <v>4484.9444000000003</v>
      </c>
      <c r="F1827" s="3">
        <f t="shared" si="246"/>
        <v>1.0118765351918297</v>
      </c>
      <c r="G1827" s="18">
        <f t="shared" si="247"/>
        <v>1</v>
      </c>
      <c r="H1827" s="3">
        <f t="shared" si="248"/>
        <v>-2.2535099792017066E-3</v>
      </c>
      <c r="I1827" s="3">
        <f t="shared" si="249"/>
        <v>-2.2535099792017066E-3</v>
      </c>
      <c r="K1827" s="12" t="str">
        <f>IF(AND(G1827=1,G1826&lt;&gt;1),MAX($K$50:K1826)+1,"")</f>
        <v/>
      </c>
      <c r="L1827" s="13" t="str">
        <f>IF(AND(G1827&lt;&gt;1,G1826=1),MAX($L$50:L1826)+1,"")</f>
        <v/>
      </c>
      <c r="M1827" s="13" t="str">
        <f>IF(AND(G1827=-1,G1826&lt;&gt;-1),MAX($M$50:M1826)+1,"")</f>
        <v/>
      </c>
      <c r="N1827" s="13" t="str">
        <f>IF(AND(G1827&lt;&gt;-1,G1826=-1),MAX($N$50:N1826)+1,"")</f>
        <v/>
      </c>
      <c r="T1827" s="7">
        <f t="shared" si="250"/>
        <v>133.74987071208577</v>
      </c>
      <c r="U1827" s="1">
        <f t="shared" si="251"/>
        <v>238.44027972615882</v>
      </c>
    </row>
    <row r="1828" spans="1:21" x14ac:dyDescent="0.3">
      <c r="A1828" s="2">
        <v>42828</v>
      </c>
      <c r="B1828" s="1">
        <v>4530.9799999999996</v>
      </c>
      <c r="C1828" s="2">
        <f t="shared" si="243"/>
        <v>42828</v>
      </c>
      <c r="D1828" s="1">
        <f t="shared" si="244"/>
        <v>4530.9799999999996</v>
      </c>
      <c r="E1828" s="4">
        <f t="shared" si="245"/>
        <v>4488.6706000000004</v>
      </c>
      <c r="F1828" s="3">
        <f t="shared" si="246"/>
        <v>1.0094258197516206</v>
      </c>
      <c r="G1828" s="18">
        <f t="shared" si="247"/>
        <v>1</v>
      </c>
      <c r="H1828" s="3">
        <f t="shared" si="248"/>
        <v>-1.5931391451696753E-3</v>
      </c>
      <c r="I1828" s="3">
        <f t="shared" si="249"/>
        <v>-1.5931391451696753E-3</v>
      </c>
      <c r="K1828" s="12" t="str">
        <f>IF(AND(G1828=1,G1827&lt;&gt;1),MAX($K$50:K1827)+1,"")</f>
        <v/>
      </c>
      <c r="L1828" s="13" t="str">
        <f>IF(AND(G1828&lt;&gt;1,G1827=1),MAX($L$50:L1827)+1,"")</f>
        <v/>
      </c>
      <c r="M1828" s="13" t="str">
        <f>IF(AND(G1828=-1,G1827&lt;&gt;-1),MAX($M$50:M1827)+1,"")</f>
        <v/>
      </c>
      <c r="N1828" s="13" t="str">
        <f>IF(AND(G1828&lt;&gt;-1,G1827=-1),MAX($N$50:N1827)+1,"")</f>
        <v/>
      </c>
      <c r="T1828" s="7">
        <f t="shared" si="250"/>
        <v>133.53678855739295</v>
      </c>
      <c r="U1828" s="1">
        <f t="shared" si="251"/>
        <v>238.06041118274186</v>
      </c>
    </row>
    <row r="1829" spans="1:21" x14ac:dyDescent="0.3">
      <c r="A1829" s="2">
        <v>42829</v>
      </c>
      <c r="B1829" s="1">
        <v>4534.25</v>
      </c>
      <c r="C1829" s="2">
        <f t="shared" si="243"/>
        <v>42829</v>
      </c>
      <c r="D1829" s="1">
        <f t="shared" si="244"/>
        <v>4534.25</v>
      </c>
      <c r="E1829" s="4">
        <f t="shared" si="245"/>
        <v>4492.6936000000005</v>
      </c>
      <c r="F1829" s="3">
        <f t="shared" si="246"/>
        <v>1.0092497738995598</v>
      </c>
      <c r="G1829" s="18">
        <f t="shared" si="247"/>
        <v>1</v>
      </c>
      <c r="H1829" s="3">
        <f t="shared" si="248"/>
        <v>7.2169817567080408E-4</v>
      </c>
      <c r="I1829" s="3">
        <f t="shared" si="249"/>
        <v>7.2169817567080408E-4</v>
      </c>
      <c r="K1829" s="12" t="str">
        <f>IF(AND(G1829=1,G1828&lt;&gt;1),MAX($K$50:K1828)+1,"")</f>
        <v/>
      </c>
      <c r="L1829" s="13" t="str">
        <f>IF(AND(G1829&lt;&gt;1,G1828=1),MAX($L$50:L1828)+1,"")</f>
        <v/>
      </c>
      <c r="M1829" s="13" t="str">
        <f>IF(AND(G1829=-1,G1828&lt;&gt;-1),MAX($M$50:M1828)+1,"")</f>
        <v/>
      </c>
      <c r="N1829" s="13" t="str">
        <f>IF(AND(G1829&lt;&gt;-1,G1828=-1),MAX($N$50:N1828)+1,"")</f>
        <v/>
      </c>
      <c r="T1829" s="7">
        <f t="shared" si="250"/>
        <v>133.63316181407976</v>
      </c>
      <c r="U1829" s="1">
        <f t="shared" si="251"/>
        <v>238.23221894719185</v>
      </c>
    </row>
    <row r="1830" spans="1:21" x14ac:dyDescent="0.3">
      <c r="A1830" s="2">
        <v>42830</v>
      </c>
      <c r="B1830" s="1">
        <v>4520.8599999999997</v>
      </c>
      <c r="C1830" s="2">
        <f t="shared" si="243"/>
        <v>42830</v>
      </c>
      <c r="D1830" s="1">
        <f t="shared" si="244"/>
        <v>4520.8599999999997</v>
      </c>
      <c r="E1830" s="4">
        <f t="shared" si="245"/>
        <v>4495.8796000000002</v>
      </c>
      <c r="F1830" s="3">
        <f t="shared" si="246"/>
        <v>1.0055562875838577</v>
      </c>
      <c r="G1830" s="18">
        <f t="shared" si="247"/>
        <v>1</v>
      </c>
      <c r="H1830" s="3">
        <f t="shared" si="248"/>
        <v>-2.9530793405745381E-3</v>
      </c>
      <c r="I1830" s="3">
        <f t="shared" si="249"/>
        <v>-2.9530793405745381E-3</v>
      </c>
      <c r="K1830" s="12" t="str">
        <f>IF(AND(G1830=1,G1829&lt;&gt;1),MAX($K$50:K1829)+1,"")</f>
        <v/>
      </c>
      <c r="L1830" s="13" t="str">
        <f>IF(AND(G1830&lt;&gt;1,G1829=1),MAX($L$50:L1829)+1,"")</f>
        <v/>
      </c>
      <c r="M1830" s="13" t="str">
        <f>IF(AND(G1830=-1,G1829&lt;&gt;-1),MAX($M$50:M1829)+1,"")</f>
        <v/>
      </c>
      <c r="N1830" s="13" t="str">
        <f>IF(AND(G1830&lt;&gt;-1,G1829=-1),MAX($N$50:N1829)+1,"")</f>
        <v/>
      </c>
      <c r="T1830" s="7">
        <f t="shared" si="250"/>
        <v>133.23853248471093</v>
      </c>
      <c r="U1830" s="1">
        <f t="shared" si="251"/>
        <v>237.52870030315964</v>
      </c>
    </row>
    <row r="1831" spans="1:21" x14ac:dyDescent="0.3">
      <c r="A1831" s="2">
        <v>42831</v>
      </c>
      <c r="B1831" s="1">
        <v>4530.93</v>
      </c>
      <c r="C1831" s="2">
        <f t="shared" si="243"/>
        <v>42831</v>
      </c>
      <c r="D1831" s="1">
        <f t="shared" si="244"/>
        <v>4530.93</v>
      </c>
      <c r="E1831" s="4">
        <f t="shared" si="245"/>
        <v>4498.5667999999996</v>
      </c>
      <c r="F1831" s="3">
        <f t="shared" si="246"/>
        <v>1.0071941134674272</v>
      </c>
      <c r="G1831" s="18">
        <f t="shared" si="247"/>
        <v>1</v>
      </c>
      <c r="H1831" s="3">
        <f t="shared" si="248"/>
        <v>2.2274522988989798E-3</v>
      </c>
      <c r="I1831" s="3">
        <f t="shared" si="249"/>
        <v>2.2274522988989798E-3</v>
      </c>
      <c r="K1831" s="12" t="str">
        <f>IF(AND(G1831=1,G1830&lt;&gt;1),MAX($K$50:K1830)+1,"")</f>
        <v/>
      </c>
      <c r="L1831" s="13" t="str">
        <f>IF(AND(G1831&lt;&gt;1,G1830=1),MAX($L$50:L1830)+1,"")</f>
        <v/>
      </c>
      <c r="M1831" s="13" t="str">
        <f>IF(AND(G1831=-1,G1830&lt;&gt;-1),MAX($M$50:M1830)+1,"")</f>
        <v/>
      </c>
      <c r="N1831" s="13" t="str">
        <f>IF(AND(G1831&lt;&gt;-1,G1830=-1),MAX($N$50:N1830)+1,"")</f>
        <v/>
      </c>
      <c r="T1831" s="7">
        <f t="shared" si="250"/>
        <v>133.53531496019593</v>
      </c>
      <c r="U1831" s="1">
        <f t="shared" si="251"/>
        <v>238.05778415270441</v>
      </c>
    </row>
    <row r="1832" spans="1:21" x14ac:dyDescent="0.3">
      <c r="A1832" s="2">
        <v>42832</v>
      </c>
      <c r="B1832" s="1">
        <v>4527.2</v>
      </c>
      <c r="C1832" s="2">
        <f t="shared" si="243"/>
        <v>42832</v>
      </c>
      <c r="D1832" s="1">
        <f t="shared" si="244"/>
        <v>4527.2</v>
      </c>
      <c r="E1832" s="4">
        <f t="shared" si="245"/>
        <v>4501.2422000000006</v>
      </c>
      <c r="F1832" s="3">
        <f t="shared" si="246"/>
        <v>1.0057668081046605</v>
      </c>
      <c r="G1832" s="18">
        <f t="shared" si="247"/>
        <v>1</v>
      </c>
      <c r="H1832" s="3">
        <f t="shared" si="248"/>
        <v>-8.2323055090249841E-4</v>
      </c>
      <c r="I1832" s="3">
        <f t="shared" si="249"/>
        <v>-8.2323055090249841E-4</v>
      </c>
      <c r="K1832" s="12" t="str">
        <f>IF(AND(G1832=1,G1831&lt;&gt;1),MAX($K$50:K1831)+1,"")</f>
        <v/>
      </c>
      <c r="L1832" s="13" t="str">
        <f>IF(AND(G1832&lt;&gt;1,G1831=1),MAX($L$50:L1831)+1,"")</f>
        <v/>
      </c>
      <c r="M1832" s="13" t="str">
        <f>IF(AND(G1832=-1,G1831&lt;&gt;-1),MAX($M$50:M1831)+1,"")</f>
        <v/>
      </c>
      <c r="N1832" s="13" t="str">
        <f>IF(AND(G1832&lt;&gt;-1,G1831=-1),MAX($N$50:N1831)+1,"")</f>
        <v/>
      </c>
      <c r="T1832" s="7">
        <f t="shared" si="250"/>
        <v>133.42538460929632</v>
      </c>
      <c r="U1832" s="1">
        <f t="shared" si="251"/>
        <v>237.86180771190979</v>
      </c>
    </row>
    <row r="1833" spans="1:21" x14ac:dyDescent="0.3">
      <c r="A1833" s="2">
        <v>42835</v>
      </c>
      <c r="B1833" s="1">
        <v>4530.57</v>
      </c>
      <c r="C1833" s="2">
        <f t="shared" si="243"/>
        <v>42835</v>
      </c>
      <c r="D1833" s="1">
        <f t="shared" si="244"/>
        <v>4530.57</v>
      </c>
      <c r="E1833" s="4">
        <f t="shared" si="245"/>
        <v>4504.0565999999999</v>
      </c>
      <c r="F1833" s="3">
        <f t="shared" si="246"/>
        <v>1.0058865601289291</v>
      </c>
      <c r="G1833" s="18">
        <f t="shared" si="247"/>
        <v>1</v>
      </c>
      <c r="H1833" s="3">
        <f t="shared" si="248"/>
        <v>7.4438946810384543E-4</v>
      </c>
      <c r="I1833" s="3">
        <f t="shared" si="249"/>
        <v>7.4438946810384543E-4</v>
      </c>
      <c r="K1833" s="12" t="str">
        <f>IF(AND(G1833=1,G1832&lt;&gt;1),MAX($K$50:K1832)+1,"")</f>
        <v/>
      </c>
      <c r="L1833" s="13" t="str">
        <f>IF(AND(G1833&lt;&gt;1,G1832=1),MAX($L$50:L1832)+1,"")</f>
        <v/>
      </c>
      <c r="M1833" s="13" t="str">
        <f>IF(AND(G1833=-1,G1832&lt;&gt;-1),MAX($M$50:M1832)+1,"")</f>
        <v/>
      </c>
      <c r="N1833" s="13" t="str">
        <f>IF(AND(G1833&lt;&gt;-1,G1832=-1),MAX($N$50:N1832)+1,"")</f>
        <v/>
      </c>
      <c r="T1833" s="7">
        <f t="shared" si="250"/>
        <v>133.52470506037719</v>
      </c>
      <c r="U1833" s="1">
        <f t="shared" si="251"/>
        <v>238.03886953643467</v>
      </c>
    </row>
    <row r="1834" spans="1:21" x14ac:dyDescent="0.3">
      <c r="A1834" s="2">
        <v>42836</v>
      </c>
      <c r="B1834" s="1">
        <v>4524.71</v>
      </c>
      <c r="C1834" s="2">
        <f t="shared" si="243"/>
        <v>42836</v>
      </c>
      <c r="D1834" s="1">
        <f t="shared" si="244"/>
        <v>4524.71</v>
      </c>
      <c r="E1834" s="4">
        <f t="shared" si="245"/>
        <v>4507.2773999999999</v>
      </c>
      <c r="F1834" s="3">
        <f t="shared" si="246"/>
        <v>1.0038676563372826</v>
      </c>
      <c r="G1834" s="18">
        <f t="shared" si="247"/>
        <v>1</v>
      </c>
      <c r="H1834" s="3">
        <f t="shared" si="248"/>
        <v>-1.2934354838353146E-3</v>
      </c>
      <c r="I1834" s="3">
        <f t="shared" si="249"/>
        <v>-1.2934354838353146E-3</v>
      </c>
      <c r="K1834" s="12" t="str">
        <f>IF(AND(G1834=1,G1833&lt;&gt;1),MAX($K$50:K1833)+1,"")</f>
        <v/>
      </c>
      <c r="L1834" s="13" t="str">
        <f>IF(AND(G1834&lt;&gt;1,G1833=1),MAX($L$50:L1833)+1,"")</f>
        <v/>
      </c>
      <c r="M1834" s="13" t="str">
        <f>IF(AND(G1834=-1,G1833&lt;&gt;-1),MAX($M$50:M1833)+1,"")</f>
        <v/>
      </c>
      <c r="N1834" s="13" t="str">
        <f>IF(AND(G1834&lt;&gt;-1,G1833=-1),MAX($N$50:N1833)+1,"")</f>
        <v/>
      </c>
      <c r="T1834" s="7">
        <f t="shared" si="250"/>
        <v>133.35199946888346</v>
      </c>
      <c r="U1834" s="1">
        <f t="shared" si="251"/>
        <v>237.73098161604423</v>
      </c>
    </row>
    <row r="1835" spans="1:21" x14ac:dyDescent="0.3">
      <c r="A1835" s="2">
        <v>42837</v>
      </c>
      <c r="B1835" s="1">
        <v>4507.76</v>
      </c>
      <c r="C1835" s="2">
        <f t="shared" si="243"/>
        <v>42837</v>
      </c>
      <c r="D1835" s="1">
        <f t="shared" si="244"/>
        <v>4507.76</v>
      </c>
      <c r="E1835" s="4">
        <f t="shared" si="245"/>
        <v>4510.2363999999998</v>
      </c>
      <c r="F1835" s="3">
        <f t="shared" si="246"/>
        <v>0.99945093787101724</v>
      </c>
      <c r="G1835" s="18">
        <f t="shared" si="247"/>
        <v>1</v>
      </c>
      <c r="H1835" s="3">
        <f t="shared" si="248"/>
        <v>-3.7460964349096404E-3</v>
      </c>
      <c r="I1835" s="3">
        <f t="shared" si="249"/>
        <v>-3.7460964349096404E-3</v>
      </c>
      <c r="K1835" s="12" t="str">
        <f>IF(AND(G1835=1,G1834&lt;&gt;1),MAX($K$50:K1834)+1,"")</f>
        <v/>
      </c>
      <c r="L1835" s="13" t="str">
        <f>IF(AND(G1835&lt;&gt;1,G1834=1),MAX($L$50:L1834)+1,"")</f>
        <v/>
      </c>
      <c r="M1835" s="13" t="str">
        <f>IF(AND(G1835=-1,G1834&lt;&gt;-1),MAX($M$50:M1834)+1,"")</f>
        <v/>
      </c>
      <c r="N1835" s="13" t="str">
        <f>IF(AND(G1835&lt;&gt;-1,G1834=-1),MAX($N$50:N1834)+1,"")</f>
        <v/>
      </c>
      <c r="T1835" s="7">
        <f t="shared" si="250"/>
        <v>132.85245001908501</v>
      </c>
      <c r="U1835" s="1">
        <f t="shared" si="251"/>
        <v>236.84041843334481</v>
      </c>
    </row>
    <row r="1836" spans="1:21" x14ac:dyDescent="0.3">
      <c r="A1836" s="2">
        <v>42838</v>
      </c>
      <c r="B1836" s="1">
        <v>4477.07</v>
      </c>
      <c r="C1836" s="2">
        <f t="shared" si="243"/>
        <v>42838</v>
      </c>
      <c r="D1836" s="1">
        <f t="shared" si="244"/>
        <v>4477.07</v>
      </c>
      <c r="E1836" s="4">
        <f t="shared" si="245"/>
        <v>4512.5358000000006</v>
      </c>
      <c r="F1836" s="3">
        <f t="shared" si="246"/>
        <v>0.99214060528893733</v>
      </c>
      <c r="G1836" s="18">
        <f t="shared" si="247"/>
        <v>1</v>
      </c>
      <c r="H1836" s="3">
        <f t="shared" si="248"/>
        <v>-6.8082595346692365E-3</v>
      </c>
      <c r="I1836" s="3">
        <f t="shared" si="249"/>
        <v>-6.8082595346692365E-3</v>
      </c>
      <c r="K1836" s="12" t="str">
        <f>IF(AND(G1836=1,G1835&lt;&gt;1),MAX($K$50:K1835)+1,"")</f>
        <v/>
      </c>
      <c r="L1836" s="13" t="str">
        <f>IF(AND(G1836&lt;&gt;1,G1835=1),MAX($L$50:L1835)+1,"")</f>
        <v/>
      </c>
      <c r="M1836" s="13" t="str">
        <f>IF(AND(G1836=-1,G1835&lt;&gt;-1),MAX($M$50:M1835)+1,"")</f>
        <v/>
      </c>
      <c r="N1836" s="13" t="str">
        <f>IF(AND(G1836&lt;&gt;-1,G1835=-1),MAX($N$50:N1835)+1,"")</f>
        <v/>
      </c>
      <c r="T1836" s="7">
        <f t="shared" si="250"/>
        <v>131.9479560595384</v>
      </c>
      <c r="U1836" s="1">
        <f t="shared" si="251"/>
        <v>235.22794739635097</v>
      </c>
    </row>
    <row r="1837" spans="1:21" x14ac:dyDescent="0.3">
      <c r="A1837" s="2">
        <v>42842</v>
      </c>
      <c r="B1837" s="1">
        <v>4515.6499999999996</v>
      </c>
      <c r="C1837" s="2">
        <f t="shared" si="243"/>
        <v>42842</v>
      </c>
      <c r="D1837" s="1">
        <f t="shared" si="244"/>
        <v>4515.6499999999996</v>
      </c>
      <c r="E1837" s="4">
        <f t="shared" si="245"/>
        <v>4515.5518000000002</v>
      </c>
      <c r="F1837" s="3">
        <f t="shared" si="246"/>
        <v>1.0000217470653308</v>
      </c>
      <c r="G1837" s="18">
        <f t="shared" si="247"/>
        <v>1</v>
      </c>
      <c r="H1837" s="3">
        <f t="shared" si="248"/>
        <v>8.6172429736413036E-3</v>
      </c>
      <c r="I1837" s="3">
        <f t="shared" si="249"/>
        <v>8.6172429736413036E-3</v>
      </c>
      <c r="K1837" s="12" t="str">
        <f>IF(AND(G1837=1,G1836&lt;&gt;1),MAX($K$50:K1836)+1,"")</f>
        <v/>
      </c>
      <c r="L1837" s="13" t="str">
        <f>IF(AND(G1837&lt;&gt;1,G1836=1),MAX($L$50:L1836)+1,"")</f>
        <v/>
      </c>
      <c r="M1837" s="13" t="str">
        <f>IF(AND(G1837=-1,G1836&lt;&gt;-1),MAX($M$50:M1836)+1,"")</f>
        <v/>
      </c>
      <c r="N1837" s="13" t="str">
        <f>IF(AND(G1837&lt;&gt;-1,G1836=-1),MAX($N$50:N1836)+1,"")</f>
        <v/>
      </c>
      <c r="T1837" s="7">
        <f t="shared" si="250"/>
        <v>133.08498365677877</v>
      </c>
      <c r="U1837" s="1">
        <f t="shared" si="251"/>
        <v>237.25496377325624</v>
      </c>
    </row>
    <row r="1838" spans="1:21" x14ac:dyDescent="0.3">
      <c r="A1838" s="2">
        <v>42843</v>
      </c>
      <c r="B1838" s="1">
        <v>4502.66</v>
      </c>
      <c r="C1838" s="2">
        <f t="shared" si="243"/>
        <v>42843</v>
      </c>
      <c r="D1838" s="1">
        <f t="shared" si="244"/>
        <v>4502.66</v>
      </c>
      <c r="E1838" s="4">
        <f t="shared" si="245"/>
        <v>4517.6660000000002</v>
      </c>
      <c r="F1838" s="3">
        <f t="shared" si="246"/>
        <v>0.99667837330161191</v>
      </c>
      <c r="G1838" s="18">
        <f t="shared" si="247"/>
        <v>1</v>
      </c>
      <c r="H1838" s="3">
        <f t="shared" si="248"/>
        <v>-2.876662274534092E-3</v>
      </c>
      <c r="I1838" s="3">
        <f t="shared" si="249"/>
        <v>-2.876662274534092E-3</v>
      </c>
      <c r="K1838" s="12" t="str">
        <f>IF(AND(G1838=1,G1837&lt;&gt;1),MAX($K$50:K1837)+1,"")</f>
        <v/>
      </c>
      <c r="L1838" s="13" t="str">
        <f>IF(AND(G1838&lt;&gt;1,G1837=1),MAX($L$50:L1837)+1,"")</f>
        <v/>
      </c>
      <c r="M1838" s="13" t="str">
        <f>IF(AND(G1838=-1,G1837&lt;&gt;-1),MAX($M$50:M1837)+1,"")</f>
        <v/>
      </c>
      <c r="N1838" s="13" t="str">
        <f>IF(AND(G1838&lt;&gt;-1,G1837=-1),MAX($N$50:N1837)+1,"")</f>
        <v/>
      </c>
      <c r="T1838" s="7">
        <f t="shared" si="250"/>
        <v>132.70214310498633</v>
      </c>
      <c r="U1838" s="1">
        <f t="shared" si="251"/>
        <v>236.57246136952378</v>
      </c>
    </row>
    <row r="1839" spans="1:21" x14ac:dyDescent="0.3">
      <c r="A1839" s="2">
        <v>42844</v>
      </c>
      <c r="B1839" s="1">
        <v>4495.5600000000004</v>
      </c>
      <c r="C1839" s="2">
        <f t="shared" si="243"/>
        <v>42844</v>
      </c>
      <c r="D1839" s="1">
        <f t="shared" si="244"/>
        <v>4495.5600000000004</v>
      </c>
      <c r="E1839" s="4">
        <f t="shared" si="245"/>
        <v>4519.823800000001</v>
      </c>
      <c r="F1839" s="3">
        <f t="shared" si="246"/>
        <v>0.9946316933859235</v>
      </c>
      <c r="G1839" s="18">
        <f t="shared" si="247"/>
        <v>1</v>
      </c>
      <c r="H1839" s="3">
        <f t="shared" si="248"/>
        <v>-1.576845686771744E-3</v>
      </c>
      <c r="I1839" s="3">
        <f t="shared" si="249"/>
        <v>-1.576845686771744E-3</v>
      </c>
      <c r="K1839" s="12" t="str">
        <f>IF(AND(G1839=1,G1838&lt;&gt;1),MAX($K$50:K1838)+1,"")</f>
        <v/>
      </c>
      <c r="L1839" s="13" t="str">
        <f>IF(AND(G1839&lt;&gt;1,G1838=1),MAX($L$50:L1838)+1,"")</f>
        <v/>
      </c>
      <c r="M1839" s="13" t="str">
        <f>IF(AND(G1839=-1,G1838&lt;&gt;-1),MAX($M$50:M1838)+1,"")</f>
        <v/>
      </c>
      <c r="N1839" s="13" t="str">
        <f>IF(AND(G1839&lt;&gt;-1,G1838=-1),MAX($N$50:N1838)+1,"")</f>
        <v/>
      </c>
      <c r="T1839" s="7">
        <f t="shared" si="250"/>
        <v>132.49289230300587</v>
      </c>
      <c r="U1839" s="1">
        <f t="shared" si="251"/>
        <v>236.19942310420427</v>
      </c>
    </row>
    <row r="1840" spans="1:21" x14ac:dyDescent="0.3">
      <c r="A1840" s="2">
        <v>42845</v>
      </c>
      <c r="B1840" s="1">
        <v>4529.6499999999996</v>
      </c>
      <c r="C1840" s="2">
        <f t="shared" si="243"/>
        <v>42845</v>
      </c>
      <c r="D1840" s="1">
        <f t="shared" si="244"/>
        <v>4529.6499999999996</v>
      </c>
      <c r="E1840" s="4">
        <f t="shared" si="245"/>
        <v>4522.6394</v>
      </c>
      <c r="F1840" s="3">
        <f t="shared" si="246"/>
        <v>1.0015501125294224</v>
      </c>
      <c r="G1840" s="18">
        <f t="shared" si="247"/>
        <v>1</v>
      </c>
      <c r="H1840" s="3">
        <f t="shared" si="248"/>
        <v>7.583037485874744E-3</v>
      </c>
      <c r="I1840" s="3">
        <f t="shared" si="249"/>
        <v>7.583037485874744E-3</v>
      </c>
      <c r="K1840" s="12" t="str">
        <f>IF(AND(G1840=1,G1839&lt;&gt;1),MAX($K$50:K1839)+1,"")</f>
        <v/>
      </c>
      <c r="L1840" s="13" t="str">
        <f>IF(AND(G1840&lt;&gt;1,G1839=1),MAX($L$50:L1839)+1,"")</f>
        <v/>
      </c>
      <c r="M1840" s="13" t="str">
        <f>IF(AND(G1840=-1,G1839&lt;&gt;-1),MAX($M$50:M1839)+1,"")</f>
        <v/>
      </c>
      <c r="N1840" s="13" t="str">
        <f>IF(AND(G1840&lt;&gt;-1,G1839=-1),MAX($N$50:N1839)+1,"")</f>
        <v/>
      </c>
      <c r="T1840" s="7">
        <f t="shared" si="250"/>
        <v>133.49759087195153</v>
      </c>
      <c r="U1840" s="1">
        <f t="shared" si="251"/>
        <v>237.99053218374547</v>
      </c>
    </row>
    <row r="1841" spans="1:21" x14ac:dyDescent="0.3">
      <c r="A1841" s="2">
        <v>42846</v>
      </c>
      <c r="B1841" s="1">
        <v>4515.8999999999996</v>
      </c>
      <c r="C1841" s="2">
        <f t="shared" si="243"/>
        <v>42846</v>
      </c>
      <c r="D1841" s="1">
        <f t="shared" si="244"/>
        <v>4515.8999999999996</v>
      </c>
      <c r="E1841" s="4">
        <f t="shared" si="245"/>
        <v>4525.0911999999998</v>
      </c>
      <c r="F1841" s="3">
        <f t="shared" si="246"/>
        <v>0.99796883651759327</v>
      </c>
      <c r="G1841" s="18">
        <f t="shared" si="247"/>
        <v>1</v>
      </c>
      <c r="H1841" s="3">
        <f t="shared" si="248"/>
        <v>-3.0355546234256403E-3</v>
      </c>
      <c r="I1841" s="3">
        <f t="shared" si="249"/>
        <v>-3.0355546234256403E-3</v>
      </c>
      <c r="K1841" s="12" t="str">
        <f>IF(AND(G1841=1,G1840&lt;&gt;1),MAX($K$50:K1840)+1,"")</f>
        <v/>
      </c>
      <c r="L1841" s="13" t="str">
        <f>IF(AND(G1841&lt;&gt;1,G1840=1),MAX($L$50:L1840)+1,"")</f>
        <v/>
      </c>
      <c r="M1841" s="13" t="str">
        <f>IF(AND(G1841=-1,G1840&lt;&gt;-1),MAX($M$50:M1840)+1,"")</f>
        <v/>
      </c>
      <c r="N1841" s="13" t="str">
        <f>IF(AND(G1841&lt;&gt;-1,G1840=-1),MAX($N$50:N1840)+1,"")</f>
        <v/>
      </c>
      <c r="T1841" s="7">
        <f t="shared" si="250"/>
        <v>133.09235164276399</v>
      </c>
      <c r="U1841" s="1">
        <f t="shared" si="251"/>
        <v>237.26809892344355</v>
      </c>
    </row>
    <row r="1842" spans="1:21" x14ac:dyDescent="0.3">
      <c r="A1842" s="2">
        <v>42849</v>
      </c>
      <c r="B1842" s="1">
        <v>4564.93</v>
      </c>
      <c r="C1842" s="2">
        <f t="shared" si="243"/>
        <v>42849</v>
      </c>
      <c r="D1842" s="1">
        <f t="shared" si="244"/>
        <v>4564.93</v>
      </c>
      <c r="E1842" s="4">
        <f t="shared" si="245"/>
        <v>4528.0018</v>
      </c>
      <c r="F1842" s="3">
        <f t="shared" si="246"/>
        <v>1.0081555179593791</v>
      </c>
      <c r="G1842" s="18">
        <f t="shared" si="247"/>
        <v>1</v>
      </c>
      <c r="H1842" s="3">
        <f t="shared" si="248"/>
        <v>1.0857193471954796E-2</v>
      </c>
      <c r="I1842" s="3">
        <f t="shared" si="249"/>
        <v>1.0857193471954796E-2</v>
      </c>
      <c r="K1842" s="12" t="str">
        <f>IF(AND(G1842=1,G1841&lt;&gt;1),MAX($K$50:K1841)+1,"")</f>
        <v/>
      </c>
      <c r="L1842" s="13" t="str">
        <f>IF(AND(G1842&lt;&gt;1,G1841=1),MAX($L$50:L1841)+1,"")</f>
        <v/>
      </c>
      <c r="M1842" s="13" t="str">
        <f>IF(AND(G1842=-1,G1841&lt;&gt;-1),MAX($M$50:M1841)+1,"")</f>
        <v/>
      </c>
      <c r="N1842" s="13" t="str">
        <f>IF(AND(G1842&lt;&gt;-1,G1841=-1),MAX($N$50:N1841)+1,"")</f>
        <v/>
      </c>
      <c r="T1842" s="7">
        <f t="shared" si="250"/>
        <v>134.5373610541869</v>
      </c>
      <c r="U1842" s="1">
        <f t="shared" si="251"/>
        <v>239.84416457817827</v>
      </c>
    </row>
    <row r="1843" spans="1:21" x14ac:dyDescent="0.3">
      <c r="A1843" s="2">
        <v>42850</v>
      </c>
      <c r="B1843" s="1">
        <v>4592.74</v>
      </c>
      <c r="C1843" s="2">
        <f t="shared" si="243"/>
        <v>42850</v>
      </c>
      <c r="D1843" s="1">
        <f t="shared" si="244"/>
        <v>4592.74</v>
      </c>
      <c r="E1843" s="4">
        <f t="shared" si="245"/>
        <v>4531.1481999999996</v>
      </c>
      <c r="F1843" s="3">
        <f t="shared" si="246"/>
        <v>1.0135929784861153</v>
      </c>
      <c r="G1843" s="18">
        <f t="shared" si="247"/>
        <v>1</v>
      </c>
      <c r="H1843" s="3">
        <f t="shared" si="248"/>
        <v>6.0920977977756419E-3</v>
      </c>
      <c r="I1843" s="3">
        <f t="shared" si="249"/>
        <v>6.0920977977756419E-3</v>
      </c>
      <c r="K1843" s="12" t="str">
        <f>IF(AND(G1843=1,G1842&lt;&gt;1),MAX($K$50:K1842)+1,"")</f>
        <v/>
      </c>
      <c r="L1843" s="13" t="str">
        <f>IF(AND(G1843&lt;&gt;1,G1842=1),MAX($L$50:L1842)+1,"")</f>
        <v/>
      </c>
      <c r="M1843" s="13" t="str">
        <f>IF(AND(G1843=-1,G1842&lt;&gt;-1),MAX($M$50:M1842)+1,"")</f>
        <v/>
      </c>
      <c r="N1843" s="13" t="str">
        <f>IF(AND(G1843&lt;&gt;-1,G1842=-1),MAX($N$50:N1842)+1,"")</f>
        <v/>
      </c>
      <c r="T1843" s="7">
        <f t="shared" si="250"/>
        <v>135.35697581518366</v>
      </c>
      <c r="U1843" s="1">
        <f t="shared" si="251"/>
        <v>241.30531868501427</v>
      </c>
    </row>
    <row r="1844" spans="1:21" x14ac:dyDescent="0.3">
      <c r="A1844" s="2">
        <v>42851</v>
      </c>
      <c r="B1844" s="1">
        <v>4590.5600000000004</v>
      </c>
      <c r="C1844" s="2">
        <f t="shared" ref="C1844:C1907" si="252">A1844</f>
        <v>42851</v>
      </c>
      <c r="D1844" s="1">
        <f t="shared" ref="D1844:D1907" si="253">B1844</f>
        <v>4590.5600000000004</v>
      </c>
      <c r="E1844" s="4">
        <f t="shared" ref="E1844:E1907" si="254">AVERAGE(B1795:B1844)</f>
        <v>4533.7627999999995</v>
      </c>
      <c r="F1844" s="3">
        <f t="shared" ref="F1844:F1907" si="255">D1844/E1844</f>
        <v>1.012527607311084</v>
      </c>
      <c r="G1844" s="18">
        <f t="shared" ref="G1844:G1907" si="256">IF(F1844&gt;=$Q$51,1,IF(F1844&lt;=$Q$52,-1,0))</f>
        <v>1</v>
      </c>
      <c r="H1844" s="3">
        <f t="shared" si="248"/>
        <v>-4.7466218422975714E-4</v>
      </c>
      <c r="I1844" s="3">
        <f t="shared" si="249"/>
        <v>-4.7466218422975714E-4</v>
      </c>
      <c r="K1844" s="12" t="str">
        <f>IF(AND(G1844=1,G1843&lt;&gt;1),MAX($K$50:K1843)+1,"")</f>
        <v/>
      </c>
      <c r="L1844" s="13" t="str">
        <f>IF(AND(G1844&lt;&gt;1,G1843=1),MAX($L$50:L1843)+1,"")</f>
        <v/>
      </c>
      <c r="M1844" s="13" t="str">
        <f>IF(AND(G1844=-1,G1843&lt;&gt;-1),MAX($M$50:M1843)+1,"")</f>
        <v/>
      </c>
      <c r="N1844" s="13" t="str">
        <f>IF(AND(G1844&lt;&gt;-1,G1843=-1),MAX($N$50:N1843)+1,"")</f>
        <v/>
      </c>
      <c r="T1844" s="7">
        <f t="shared" si="250"/>
        <v>135.29272697739248</v>
      </c>
      <c r="U1844" s="1">
        <f t="shared" si="251"/>
        <v>241.19078017538101</v>
      </c>
    </row>
    <row r="1845" spans="1:21" x14ac:dyDescent="0.3">
      <c r="A1845" s="2">
        <v>42852</v>
      </c>
      <c r="B1845" s="1">
        <v>4593.57</v>
      </c>
      <c r="C1845" s="2">
        <f t="shared" si="252"/>
        <v>42852</v>
      </c>
      <c r="D1845" s="1">
        <f t="shared" si="253"/>
        <v>4593.57</v>
      </c>
      <c r="E1845" s="4">
        <f t="shared" si="254"/>
        <v>4536.0545999999995</v>
      </c>
      <c r="F1845" s="3">
        <f t="shared" si="255"/>
        <v>1.0126796092798354</v>
      </c>
      <c r="G1845" s="18">
        <f t="shared" si="256"/>
        <v>1</v>
      </c>
      <c r="H1845" s="3">
        <f t="shared" ref="H1845:H1908" si="257">D1845/D1844-1</f>
        <v>6.5569342302440603E-4</v>
      </c>
      <c r="I1845" s="3">
        <f t="shared" ref="I1845:I1908" si="258">G1844*H1845</f>
        <v>6.5569342302440603E-4</v>
      </c>
      <c r="K1845" s="12" t="str">
        <f>IF(AND(G1845=1,G1844&lt;&gt;1),MAX($K$50:K1844)+1,"")</f>
        <v/>
      </c>
      <c r="L1845" s="13" t="str">
        <f>IF(AND(G1845&lt;&gt;1,G1844=1),MAX($L$50:L1844)+1,"")</f>
        <v/>
      </c>
      <c r="M1845" s="13" t="str">
        <f>IF(AND(G1845=-1,G1844&lt;&gt;-1),MAX($M$50:M1844)+1,"")</f>
        <v/>
      </c>
      <c r="N1845" s="13" t="str">
        <f>IF(AND(G1845&lt;&gt;-1,G1844=-1),MAX($N$50:N1844)+1,"")</f>
        <v/>
      </c>
      <c r="T1845" s="7">
        <f t="shared" ref="T1845:T1908" si="259">T1844*(1+I1845)</f>
        <v>135.3814375286546</v>
      </c>
      <c r="U1845" s="1">
        <f t="shared" ref="U1845:U1908" si="260">U1844*D1845/D1844</f>
        <v>241.34892738363618</v>
      </c>
    </row>
    <row r="1846" spans="1:21" x14ac:dyDescent="0.3">
      <c r="A1846" s="2">
        <v>42853</v>
      </c>
      <c r="B1846" s="1">
        <v>4584.82</v>
      </c>
      <c r="C1846" s="2">
        <f t="shared" si="252"/>
        <v>42853</v>
      </c>
      <c r="D1846" s="1">
        <f t="shared" si="253"/>
        <v>4584.82</v>
      </c>
      <c r="E1846" s="4">
        <f t="shared" si="254"/>
        <v>4537.7111999999997</v>
      </c>
      <c r="F1846" s="3">
        <f t="shared" si="255"/>
        <v>1.0103816214659056</v>
      </c>
      <c r="G1846" s="18">
        <f t="shared" si="256"/>
        <v>1</v>
      </c>
      <c r="H1846" s="3">
        <f t="shared" si="257"/>
        <v>-1.9048365432550174E-3</v>
      </c>
      <c r="I1846" s="3">
        <f t="shared" si="258"/>
        <v>-1.9048365432550174E-3</v>
      </c>
      <c r="K1846" s="12" t="str">
        <f>IF(AND(G1846=1,G1845&lt;&gt;1),MAX($K$50:K1845)+1,"")</f>
        <v/>
      </c>
      <c r="L1846" s="13" t="str">
        <f>IF(AND(G1846&lt;&gt;1,G1845=1),MAX($L$50:L1845)+1,"")</f>
        <v/>
      </c>
      <c r="M1846" s="13" t="str">
        <f>IF(AND(G1846=-1,G1845&lt;&gt;-1),MAX($M$50:M1845)+1,"")</f>
        <v/>
      </c>
      <c r="N1846" s="13" t="str">
        <f>IF(AND(G1846&lt;&gt;-1,G1845=-1),MAX($N$50:N1845)+1,"")</f>
        <v/>
      </c>
      <c r="T1846" s="7">
        <f t="shared" si="259"/>
        <v>135.12355801917161</v>
      </c>
      <c r="U1846" s="1">
        <f t="shared" si="260"/>
        <v>240.88919712708045</v>
      </c>
    </row>
    <row r="1847" spans="1:21" x14ac:dyDescent="0.3">
      <c r="A1847" s="2">
        <v>42856</v>
      </c>
      <c r="B1847" s="1">
        <v>4592.78</v>
      </c>
      <c r="C1847" s="2">
        <f t="shared" si="252"/>
        <v>42856</v>
      </c>
      <c r="D1847" s="1">
        <f t="shared" si="253"/>
        <v>4592.78</v>
      </c>
      <c r="E1847" s="4">
        <f t="shared" si="254"/>
        <v>4539.5955999999996</v>
      </c>
      <c r="F1847" s="3">
        <f t="shared" si="255"/>
        <v>1.0117156691225977</v>
      </c>
      <c r="G1847" s="18">
        <f t="shared" si="256"/>
        <v>1</v>
      </c>
      <c r="H1847" s="3">
        <f t="shared" si="257"/>
        <v>1.7361641242186199E-3</v>
      </c>
      <c r="I1847" s="3">
        <f t="shared" si="258"/>
        <v>1.7361641242186199E-3</v>
      </c>
      <c r="K1847" s="12" t="str">
        <f>IF(AND(G1847=1,G1846&lt;&gt;1),MAX($K$50:K1846)+1,"")</f>
        <v/>
      </c>
      <c r="L1847" s="13" t="str">
        <f>IF(AND(G1847&lt;&gt;1,G1846=1),MAX($L$50:L1846)+1,"")</f>
        <v/>
      </c>
      <c r="M1847" s="13" t="str">
        <f>IF(AND(G1847=-1,G1846&lt;&gt;-1),MAX($M$50:M1846)+1,"")</f>
        <v/>
      </c>
      <c r="N1847" s="13" t="str">
        <f>IF(AND(G1847&lt;&gt;-1,G1846=-1),MAX($N$50:N1846)+1,"")</f>
        <v/>
      </c>
      <c r="T1847" s="7">
        <f t="shared" si="259"/>
        <v>135.35815469294127</v>
      </c>
      <c r="U1847" s="1">
        <f t="shared" si="260"/>
        <v>241.30742030904432</v>
      </c>
    </row>
    <row r="1848" spans="1:21" x14ac:dyDescent="0.3">
      <c r="A1848" s="2">
        <v>42857</v>
      </c>
      <c r="B1848" s="1">
        <v>4598.24</v>
      </c>
      <c r="C1848" s="2">
        <f t="shared" si="252"/>
        <v>42857</v>
      </c>
      <c r="D1848" s="1">
        <f t="shared" si="253"/>
        <v>4598.24</v>
      </c>
      <c r="E1848" s="4">
        <f t="shared" si="254"/>
        <v>4541.4363999999996</v>
      </c>
      <c r="F1848" s="3">
        <f t="shared" si="255"/>
        <v>1.0125078488383104</v>
      </c>
      <c r="G1848" s="18">
        <f t="shared" si="256"/>
        <v>1</v>
      </c>
      <c r="H1848" s="3">
        <f t="shared" si="257"/>
        <v>1.1888224561158456E-3</v>
      </c>
      <c r="I1848" s="3">
        <f t="shared" si="258"/>
        <v>1.1888224561158456E-3</v>
      </c>
      <c r="K1848" s="12" t="str">
        <f>IF(AND(G1848=1,G1847&lt;&gt;1),MAX($K$50:K1847)+1,"")</f>
        <v/>
      </c>
      <c r="L1848" s="13" t="str">
        <f>IF(AND(G1848&lt;&gt;1,G1847=1),MAX($L$50:L1847)+1,"")</f>
        <v/>
      </c>
      <c r="M1848" s="13" t="str">
        <f>IF(AND(G1848=-1,G1847&lt;&gt;-1),MAX($M$50:M1847)+1,"")</f>
        <v/>
      </c>
      <c r="N1848" s="13" t="str">
        <f>IF(AND(G1848&lt;&gt;-1,G1847=-1),MAX($N$50:N1847)+1,"")</f>
        <v/>
      </c>
      <c r="T1848" s="7">
        <f t="shared" si="259"/>
        <v>135.51907150685864</v>
      </c>
      <c r="U1848" s="1">
        <f t="shared" si="260"/>
        <v>241.59429198913509</v>
      </c>
    </row>
    <row r="1849" spans="1:21" x14ac:dyDescent="0.3">
      <c r="A1849" s="2">
        <v>42858</v>
      </c>
      <c r="B1849" s="1">
        <v>4593.32</v>
      </c>
      <c r="C1849" s="2">
        <f t="shared" si="252"/>
        <v>42858</v>
      </c>
      <c r="D1849" s="1">
        <f t="shared" si="253"/>
        <v>4593.32</v>
      </c>
      <c r="E1849" s="4">
        <f t="shared" si="254"/>
        <v>4542.6336000000001</v>
      </c>
      <c r="F1849" s="3">
        <f t="shared" si="255"/>
        <v>1.0111579327022984</v>
      </c>
      <c r="G1849" s="18">
        <f t="shared" si="256"/>
        <v>1</v>
      </c>
      <c r="H1849" s="3">
        <f t="shared" si="257"/>
        <v>-1.0699745989770637E-3</v>
      </c>
      <c r="I1849" s="3">
        <f t="shared" si="258"/>
        <v>-1.0699745989770637E-3</v>
      </c>
      <c r="K1849" s="12" t="str">
        <f>IF(AND(G1849=1,G1848&lt;&gt;1),MAX($K$50:K1848)+1,"")</f>
        <v/>
      </c>
      <c r="L1849" s="13" t="str">
        <f>IF(AND(G1849&lt;&gt;1,G1848=1),MAX($L$50:L1848)+1,"")</f>
        <v/>
      </c>
      <c r="M1849" s="13" t="str">
        <f>IF(AND(G1849=-1,G1848&lt;&gt;-1),MAX($M$50:M1848)+1,"")</f>
        <v/>
      </c>
      <c r="N1849" s="13" t="str">
        <f>IF(AND(G1849&lt;&gt;-1,G1848=-1),MAX($N$50:N1848)+1,"")</f>
        <v/>
      </c>
      <c r="T1849" s="7">
        <f t="shared" si="259"/>
        <v>135.37406954266933</v>
      </c>
      <c r="U1849" s="1">
        <f t="shared" si="260"/>
        <v>241.33579223344887</v>
      </c>
    </row>
    <row r="1850" spans="1:21" x14ac:dyDescent="0.3">
      <c r="A1850" s="2">
        <v>42859</v>
      </c>
      <c r="B1850" s="1">
        <v>4596.24</v>
      </c>
      <c r="C1850" s="2">
        <f t="shared" si="252"/>
        <v>42859</v>
      </c>
      <c r="D1850" s="1">
        <f t="shared" si="253"/>
        <v>4596.24</v>
      </c>
      <c r="E1850" s="4">
        <f t="shared" si="254"/>
        <v>4543.9789999999994</v>
      </c>
      <c r="F1850" s="3">
        <f t="shared" si="255"/>
        <v>1.0115011535044507</v>
      </c>
      <c r="G1850" s="18">
        <f t="shared" si="256"/>
        <v>1</v>
      </c>
      <c r="H1850" s="3">
        <f t="shared" si="257"/>
        <v>6.3570576402249834E-4</v>
      </c>
      <c r="I1850" s="3">
        <f t="shared" si="258"/>
        <v>6.3570576402249834E-4</v>
      </c>
      <c r="K1850" s="12" t="str">
        <f>IF(AND(G1850=1,G1849&lt;&gt;1),MAX($K$50:K1849)+1,"")</f>
        <v/>
      </c>
      <c r="L1850" s="13" t="str">
        <f>IF(AND(G1850&lt;&gt;1,G1849=1),MAX($L$50:L1849)+1,"")</f>
        <v/>
      </c>
      <c r="M1850" s="13" t="str">
        <f>IF(AND(G1850=-1,G1849&lt;&gt;-1),MAX($M$50:M1849)+1,"")</f>
        <v/>
      </c>
      <c r="N1850" s="13" t="str">
        <f>IF(AND(G1850&lt;&gt;-1,G1849=-1),MAX($N$50:N1849)+1,"")</f>
        <v/>
      </c>
      <c r="T1850" s="7">
        <f t="shared" si="259"/>
        <v>135.4601276189768</v>
      </c>
      <c r="U1850" s="1">
        <f t="shared" si="260"/>
        <v>241.48921078763661</v>
      </c>
    </row>
    <row r="1851" spans="1:21" x14ac:dyDescent="0.3">
      <c r="A1851" s="2">
        <v>42860</v>
      </c>
      <c r="B1851" s="1">
        <v>4615.09</v>
      </c>
      <c r="C1851" s="2">
        <f t="shared" si="252"/>
        <v>42860</v>
      </c>
      <c r="D1851" s="1">
        <f t="shared" si="253"/>
        <v>4615.09</v>
      </c>
      <c r="E1851" s="4">
        <f t="shared" si="254"/>
        <v>4545.6529999999993</v>
      </c>
      <c r="F1851" s="3">
        <f t="shared" si="255"/>
        <v>1.0152754730728457</v>
      </c>
      <c r="G1851" s="18">
        <f t="shared" si="256"/>
        <v>1</v>
      </c>
      <c r="H1851" s="3">
        <f t="shared" si="257"/>
        <v>4.1011783544810942E-3</v>
      </c>
      <c r="I1851" s="3">
        <f t="shared" si="258"/>
        <v>4.1011783544810942E-3</v>
      </c>
      <c r="K1851" s="12" t="str">
        <f>IF(AND(G1851=1,G1850&lt;&gt;1),MAX($K$50:K1850)+1,"")</f>
        <v/>
      </c>
      <c r="L1851" s="13" t="str">
        <f>IF(AND(G1851&lt;&gt;1,G1850=1),MAX($L$50:L1850)+1,"")</f>
        <v/>
      </c>
      <c r="M1851" s="13" t="str">
        <f>IF(AND(G1851=-1,G1850&lt;&gt;-1),MAX($M$50:M1850)+1,"")</f>
        <v/>
      </c>
      <c r="N1851" s="13" t="str">
        <f>IF(AND(G1851&lt;&gt;-1,G1850=-1),MAX($N$50:N1850)+1,"")</f>
        <v/>
      </c>
      <c r="T1851" s="7">
        <f t="shared" si="259"/>
        <v>136.01567376226299</v>
      </c>
      <c r="U1851" s="1">
        <f t="shared" si="260"/>
        <v>242.47960111175959</v>
      </c>
    </row>
    <row r="1852" spans="1:21" x14ac:dyDescent="0.3">
      <c r="A1852" s="2">
        <v>42863</v>
      </c>
      <c r="B1852" s="1">
        <v>4615.7299999999996</v>
      </c>
      <c r="C1852" s="2">
        <f t="shared" si="252"/>
        <v>42863</v>
      </c>
      <c r="D1852" s="1">
        <f t="shared" si="253"/>
        <v>4615.7299999999996</v>
      </c>
      <c r="E1852" s="4">
        <f t="shared" si="254"/>
        <v>4547.1826000000001</v>
      </c>
      <c r="F1852" s="3">
        <f t="shared" si="255"/>
        <v>1.0150746970222835</v>
      </c>
      <c r="G1852" s="18">
        <f t="shared" si="256"/>
        <v>1</v>
      </c>
      <c r="H1852" s="3">
        <f t="shared" si="257"/>
        <v>1.3867551878710138E-4</v>
      </c>
      <c r="I1852" s="3">
        <f t="shared" si="258"/>
        <v>1.3867551878710138E-4</v>
      </c>
      <c r="K1852" s="12" t="str">
        <f>IF(AND(G1852=1,G1851&lt;&gt;1),MAX($K$50:K1851)+1,"")</f>
        <v/>
      </c>
      <c r="L1852" s="13" t="str">
        <f>IF(AND(G1852&lt;&gt;1,G1851=1),MAX($L$50:L1851)+1,"")</f>
        <v/>
      </c>
      <c r="M1852" s="13" t="str">
        <f>IF(AND(G1852=-1,G1851&lt;&gt;-1),MAX($M$50:M1851)+1,"")</f>
        <v/>
      </c>
      <c r="N1852" s="13" t="str">
        <f>IF(AND(G1852&lt;&gt;-1,G1851=-1),MAX($N$50:N1851)+1,"")</f>
        <v/>
      </c>
      <c r="T1852" s="7">
        <f t="shared" si="259"/>
        <v>136.03453580638515</v>
      </c>
      <c r="U1852" s="1">
        <f t="shared" si="260"/>
        <v>242.51322709623906</v>
      </c>
    </row>
    <row r="1853" spans="1:21" x14ac:dyDescent="0.3">
      <c r="A1853" s="2">
        <v>42864</v>
      </c>
      <c r="B1853" s="1">
        <v>4611.21</v>
      </c>
      <c r="C1853" s="2">
        <f t="shared" si="252"/>
        <v>42864</v>
      </c>
      <c r="D1853" s="1">
        <f t="shared" si="253"/>
        <v>4611.21</v>
      </c>
      <c r="E1853" s="4">
        <f t="shared" si="254"/>
        <v>4548.5165999999999</v>
      </c>
      <c r="F1853" s="3">
        <f t="shared" si="255"/>
        <v>1.0137832628773962</v>
      </c>
      <c r="G1853" s="18">
        <f t="shared" si="256"/>
        <v>1</v>
      </c>
      <c r="H1853" s="3">
        <f t="shared" si="257"/>
        <v>-9.7926005203929911E-4</v>
      </c>
      <c r="I1853" s="3">
        <f t="shared" si="258"/>
        <v>-9.7926005203929911E-4</v>
      </c>
      <c r="K1853" s="12" t="str">
        <f>IF(AND(G1853=1,G1852&lt;&gt;1),MAX($K$50:K1852)+1,"")</f>
        <v/>
      </c>
      <c r="L1853" s="13" t="str">
        <f>IF(AND(G1853&lt;&gt;1,G1852=1),MAX($L$50:L1852)+1,"")</f>
        <v/>
      </c>
      <c r="M1853" s="13" t="str">
        <f>IF(AND(G1853=-1,G1852&lt;&gt;-1),MAX($M$50:M1852)+1,"")</f>
        <v/>
      </c>
      <c r="N1853" s="13" t="str">
        <f>IF(AND(G1853&lt;&gt;-1,G1852=-1),MAX($N$50:N1852)+1,"")</f>
        <v/>
      </c>
      <c r="T1853" s="7">
        <f t="shared" si="259"/>
        <v>135.90132261977226</v>
      </c>
      <c r="U1853" s="1">
        <f t="shared" si="260"/>
        <v>242.27574358085258</v>
      </c>
    </row>
    <row r="1854" spans="1:21" x14ac:dyDescent="0.3">
      <c r="A1854" s="2">
        <v>42865</v>
      </c>
      <c r="B1854" s="1">
        <v>4618.1899999999996</v>
      </c>
      <c r="C1854" s="2">
        <f t="shared" si="252"/>
        <v>42865</v>
      </c>
      <c r="D1854" s="1">
        <f t="shared" si="253"/>
        <v>4618.1899999999996</v>
      </c>
      <c r="E1854" s="4">
        <f t="shared" si="254"/>
        <v>4550.2217999999993</v>
      </c>
      <c r="F1854" s="3">
        <f t="shared" si="255"/>
        <v>1.0149373377798858</v>
      </c>
      <c r="G1854" s="18">
        <f t="shared" si="256"/>
        <v>1</v>
      </c>
      <c r="H1854" s="3">
        <f t="shared" si="257"/>
        <v>1.5137024772238217E-3</v>
      </c>
      <c r="I1854" s="3">
        <f t="shared" si="258"/>
        <v>1.5137024772238217E-3</v>
      </c>
      <c r="K1854" s="12" t="str">
        <f>IF(AND(G1854=1,G1853&lt;&gt;1),MAX($K$50:K1853)+1,"")</f>
        <v/>
      </c>
      <c r="L1854" s="13" t="str">
        <f>IF(AND(G1854&lt;&gt;1,G1853=1),MAX($L$50:L1853)+1,"")</f>
        <v/>
      </c>
      <c r="M1854" s="13" t="str">
        <f>IF(AND(G1854=-1,G1853&lt;&gt;-1),MAX($M$50:M1853)+1,"")</f>
        <v/>
      </c>
      <c r="N1854" s="13" t="str">
        <f>IF(AND(G1854&lt;&gt;-1,G1853=-1),MAX($N$50:N1853)+1,"")</f>
        <v/>
      </c>
      <c r="T1854" s="7">
        <f t="shared" si="259"/>
        <v>136.1070367884798</v>
      </c>
      <c r="U1854" s="1">
        <f t="shared" si="260"/>
        <v>242.64247697408217</v>
      </c>
    </row>
    <row r="1855" spans="1:21" x14ac:dyDescent="0.3">
      <c r="A1855" s="2">
        <v>42866</v>
      </c>
      <c r="B1855" s="1">
        <v>4609.6899999999996</v>
      </c>
      <c r="C1855" s="2">
        <f t="shared" si="252"/>
        <v>42866</v>
      </c>
      <c r="D1855" s="1">
        <f t="shared" si="253"/>
        <v>4609.6899999999996</v>
      </c>
      <c r="E1855" s="4">
        <f t="shared" si="254"/>
        <v>4550.5009999999993</v>
      </c>
      <c r="F1855" s="3">
        <f t="shared" si="255"/>
        <v>1.013007139213902</v>
      </c>
      <c r="G1855" s="18">
        <f t="shared" si="256"/>
        <v>1</v>
      </c>
      <c r="H1855" s="3">
        <f t="shared" si="257"/>
        <v>-1.8405479202890929E-3</v>
      </c>
      <c r="I1855" s="3">
        <f t="shared" si="258"/>
        <v>-1.8405479202890929E-3</v>
      </c>
      <c r="K1855" s="12" t="str">
        <f>IF(AND(G1855=1,G1854&lt;&gt;1),MAX($K$50:K1854)+1,"")</f>
        <v/>
      </c>
      <c r="L1855" s="13" t="str">
        <f>IF(AND(G1855&lt;&gt;1,G1854=1),MAX($L$50:L1854)+1,"")</f>
        <v/>
      </c>
      <c r="M1855" s="13" t="str">
        <f>IF(AND(G1855=-1,G1854&lt;&gt;-1),MAX($M$50:M1854)+1,"")</f>
        <v/>
      </c>
      <c r="N1855" s="13" t="str">
        <f>IF(AND(G1855&lt;&gt;-1,G1854=-1),MAX($N$50:N1854)+1,"")</f>
        <v/>
      </c>
      <c r="T1855" s="7">
        <f t="shared" si="259"/>
        <v>135.85652526498205</v>
      </c>
      <c r="U1855" s="1">
        <f t="shared" si="260"/>
        <v>242.19588186771375</v>
      </c>
    </row>
    <row r="1856" spans="1:21" x14ac:dyDescent="0.3">
      <c r="A1856" s="2">
        <v>42867</v>
      </c>
      <c r="B1856" s="1">
        <v>4602.96</v>
      </c>
      <c r="C1856" s="2">
        <f t="shared" si="252"/>
        <v>42867</v>
      </c>
      <c r="D1856" s="1">
        <f t="shared" si="253"/>
        <v>4602.96</v>
      </c>
      <c r="E1856" s="4">
        <f t="shared" si="254"/>
        <v>4551.1767999999993</v>
      </c>
      <c r="F1856" s="3">
        <f t="shared" si="255"/>
        <v>1.0113779803061047</v>
      </c>
      <c r="G1856" s="18">
        <f t="shared" si="256"/>
        <v>1</v>
      </c>
      <c r="H1856" s="3">
        <f t="shared" si="257"/>
        <v>-1.4599680238800428E-3</v>
      </c>
      <c r="I1856" s="3">
        <f t="shared" si="258"/>
        <v>-1.4599680238800428E-3</v>
      </c>
      <c r="K1856" s="12" t="str">
        <f>IF(AND(G1856=1,G1855&lt;&gt;1),MAX($K$50:K1855)+1,"")</f>
        <v/>
      </c>
      <c r="L1856" s="13" t="str">
        <f>IF(AND(G1856&lt;&gt;1,G1855=1),MAX($L$50:L1855)+1,"")</f>
        <v/>
      </c>
      <c r="M1856" s="13" t="str">
        <f>IF(AND(G1856=-1,G1855&lt;&gt;-1),MAX($M$50:M1855)+1,"")</f>
        <v/>
      </c>
      <c r="N1856" s="13" t="str">
        <f>IF(AND(G1856&lt;&gt;-1,G1855=-1),MAX($N$50:N1855)+1,"")</f>
        <v/>
      </c>
      <c r="T1856" s="7">
        <f t="shared" si="259"/>
        <v>135.65817908225972</v>
      </c>
      <c r="U1856" s="1">
        <f t="shared" si="260"/>
        <v>241.84228362467147</v>
      </c>
    </row>
    <row r="1857" spans="1:21" x14ac:dyDescent="0.3">
      <c r="A1857" s="2">
        <v>42870</v>
      </c>
      <c r="B1857" s="1">
        <v>4625.51</v>
      </c>
      <c r="C1857" s="2">
        <f t="shared" si="252"/>
        <v>42870</v>
      </c>
      <c r="D1857" s="1">
        <f t="shared" si="253"/>
        <v>4625.51</v>
      </c>
      <c r="E1857" s="4">
        <f t="shared" si="254"/>
        <v>4552.2549999999992</v>
      </c>
      <c r="F1857" s="3">
        <f t="shared" si="255"/>
        <v>1.0160920247218139</v>
      </c>
      <c r="G1857" s="18">
        <f t="shared" si="256"/>
        <v>1</v>
      </c>
      <c r="H1857" s="3">
        <f t="shared" si="257"/>
        <v>4.8990214992092884E-3</v>
      </c>
      <c r="I1857" s="3">
        <f t="shared" si="258"/>
        <v>4.8990214992092884E-3</v>
      </c>
      <c r="K1857" s="12" t="str">
        <f>IF(AND(G1857=1,G1856&lt;&gt;1),MAX($K$50:K1856)+1,"")</f>
        <v/>
      </c>
      <c r="L1857" s="13" t="str">
        <f>IF(AND(G1857&lt;&gt;1,G1856=1),MAX($L$50:L1856)+1,"")</f>
        <v/>
      </c>
      <c r="M1857" s="13" t="str">
        <f>IF(AND(G1857=-1,G1856&lt;&gt;-1),MAX($M$50:M1856)+1,"")</f>
        <v/>
      </c>
      <c r="N1857" s="13" t="str">
        <f>IF(AND(G1857&lt;&gt;-1,G1856=-1),MAX($N$50:N1856)+1,"")</f>
        <v/>
      </c>
      <c r="T1857" s="7">
        <f t="shared" si="259"/>
        <v>136.3227714181273</v>
      </c>
      <c r="U1857" s="1">
        <f t="shared" si="260"/>
        <v>243.0270741715666</v>
      </c>
    </row>
    <row r="1858" spans="1:21" x14ac:dyDescent="0.3">
      <c r="A1858" s="2">
        <v>42871</v>
      </c>
      <c r="B1858" s="1">
        <v>4623.26</v>
      </c>
      <c r="C1858" s="2">
        <f t="shared" si="252"/>
        <v>42871</v>
      </c>
      <c r="D1858" s="1">
        <f t="shared" si="253"/>
        <v>4623.26</v>
      </c>
      <c r="E1858" s="4">
        <f t="shared" si="254"/>
        <v>4553.5857999999998</v>
      </c>
      <c r="F1858" s="3">
        <f t="shared" si="255"/>
        <v>1.0153009524933077</v>
      </c>
      <c r="G1858" s="18">
        <f t="shared" si="256"/>
        <v>1</v>
      </c>
      <c r="H1858" s="3">
        <f t="shared" si="257"/>
        <v>-4.8643284740490511E-4</v>
      </c>
      <c r="I1858" s="3">
        <f t="shared" si="258"/>
        <v>-4.8643284740490511E-4</v>
      </c>
      <c r="K1858" s="12" t="str">
        <f>IF(AND(G1858=1,G1857&lt;&gt;1),MAX($K$50:K1857)+1,"")</f>
        <v/>
      </c>
      <c r="L1858" s="13" t="str">
        <f>IF(AND(G1858&lt;&gt;1,G1857=1),MAX($L$50:L1857)+1,"")</f>
        <v/>
      </c>
      <c r="M1858" s="13" t="str">
        <f>IF(AND(G1858=-1,G1857&lt;&gt;-1),MAX($M$50:M1857)+1,"")</f>
        <v/>
      </c>
      <c r="N1858" s="13" t="str">
        <f>IF(AND(G1858&lt;&gt;-1,G1857=-1),MAX($N$50:N1857)+1,"")</f>
        <v/>
      </c>
      <c r="T1858" s="7">
        <f t="shared" si="259"/>
        <v>136.25645954426025</v>
      </c>
      <c r="U1858" s="1">
        <f t="shared" si="260"/>
        <v>242.90885781988084</v>
      </c>
    </row>
    <row r="1859" spans="1:21" x14ac:dyDescent="0.3">
      <c r="A1859" s="2">
        <v>42872</v>
      </c>
      <c r="B1859" s="1">
        <v>4540.58</v>
      </c>
      <c r="C1859" s="2">
        <f t="shared" si="252"/>
        <v>42872</v>
      </c>
      <c r="D1859" s="1">
        <f t="shared" si="253"/>
        <v>4540.58</v>
      </c>
      <c r="E1859" s="4">
        <f t="shared" si="254"/>
        <v>4553.5223999999989</v>
      </c>
      <c r="F1859" s="3">
        <f t="shared" si="255"/>
        <v>0.99715771684795074</v>
      </c>
      <c r="G1859" s="18">
        <f t="shared" si="256"/>
        <v>1</v>
      </c>
      <c r="H1859" s="3">
        <f t="shared" si="257"/>
        <v>-1.7883484813746242E-2</v>
      </c>
      <c r="I1859" s="3">
        <f t="shared" si="258"/>
        <v>-1.7883484813746242E-2</v>
      </c>
      <c r="K1859" s="12" t="str">
        <f>IF(AND(G1859=1,G1858&lt;&gt;1),MAX($K$50:K1858)+1,"")</f>
        <v/>
      </c>
      <c r="L1859" s="13" t="str">
        <f>IF(AND(G1859&lt;&gt;1,G1858=1),MAX($L$50:L1858)+1,"")</f>
        <v/>
      </c>
      <c r="M1859" s="13" t="str">
        <f>IF(AND(G1859=-1,G1858&lt;&gt;-1),MAX($M$50:M1858)+1,"")</f>
        <v/>
      </c>
      <c r="N1859" s="13" t="str">
        <f>IF(AND(G1859&lt;&gt;-1,G1858=-1),MAX($N$50:N1858)+1,"")</f>
        <v/>
      </c>
      <c r="T1859" s="7">
        <f t="shared" si="259"/>
        <v>133.81971921922565</v>
      </c>
      <c r="U1859" s="1">
        <f t="shared" si="260"/>
        <v>238.56480094993455</v>
      </c>
    </row>
    <row r="1860" spans="1:21" x14ac:dyDescent="0.3">
      <c r="A1860" s="2">
        <v>42873</v>
      </c>
      <c r="B1860" s="1">
        <v>4557.41</v>
      </c>
      <c r="C1860" s="2">
        <f t="shared" si="252"/>
        <v>42873</v>
      </c>
      <c r="D1860" s="1">
        <f t="shared" si="253"/>
        <v>4557.41</v>
      </c>
      <c r="E1860" s="4">
        <f t="shared" si="254"/>
        <v>4553.9769999999999</v>
      </c>
      <c r="F1860" s="3">
        <f t="shared" si="255"/>
        <v>1.0007538465828878</v>
      </c>
      <c r="G1860" s="18">
        <f t="shared" si="256"/>
        <v>1</v>
      </c>
      <c r="H1860" s="3">
        <f t="shared" si="257"/>
        <v>3.7065749309559415E-3</v>
      </c>
      <c r="I1860" s="3">
        <f t="shared" si="258"/>
        <v>3.7065749309559415E-3</v>
      </c>
      <c r="K1860" s="12" t="str">
        <f>IF(AND(G1860=1,G1859&lt;&gt;1),MAX($K$50:K1859)+1,"")</f>
        <v/>
      </c>
      <c r="L1860" s="13" t="str">
        <f>IF(AND(G1860&lt;&gt;1,G1859=1),MAX($L$50:L1859)+1,"")</f>
        <v/>
      </c>
      <c r="M1860" s="13" t="str">
        <f>IF(AND(G1860=-1,G1859&lt;&gt;-1),MAX($M$50:M1859)+1,"")</f>
        <v/>
      </c>
      <c r="N1860" s="13" t="str">
        <f>IF(AND(G1860&lt;&gt;-1,G1859=-1),MAX($N$50:N1859)+1,"")</f>
        <v/>
      </c>
      <c r="T1860" s="7">
        <f t="shared" si="259"/>
        <v>134.31573203575118</v>
      </c>
      <c r="U1860" s="1">
        <f t="shared" si="260"/>
        <v>239.44905926054409</v>
      </c>
    </row>
    <row r="1861" spans="1:21" x14ac:dyDescent="0.3">
      <c r="A1861" s="2">
        <v>42874</v>
      </c>
      <c r="B1861" s="1">
        <v>4588.3500000000004</v>
      </c>
      <c r="C1861" s="2">
        <f t="shared" si="252"/>
        <v>42874</v>
      </c>
      <c r="D1861" s="1">
        <f t="shared" si="253"/>
        <v>4588.3500000000004</v>
      </c>
      <c r="E1861" s="4">
        <f t="shared" si="254"/>
        <v>4554.9767999999995</v>
      </c>
      <c r="F1861" s="3">
        <f t="shared" si="255"/>
        <v>1.0073267552098182</v>
      </c>
      <c r="G1861" s="18">
        <f t="shared" si="256"/>
        <v>1</v>
      </c>
      <c r="H1861" s="3">
        <f t="shared" si="257"/>
        <v>6.7889437202270919E-3</v>
      </c>
      <c r="I1861" s="3">
        <f t="shared" si="258"/>
        <v>6.7889437202270919E-3</v>
      </c>
      <c r="K1861" s="12" t="str">
        <f>IF(AND(G1861=1,G1860&lt;&gt;1),MAX($K$50:K1860)+1,"")</f>
        <v/>
      </c>
      <c r="L1861" s="13" t="str">
        <f>IF(AND(G1861&lt;&gt;1,G1860=1),MAX($L$50:L1860)+1,"")</f>
        <v/>
      </c>
      <c r="M1861" s="13" t="str">
        <f>IF(AND(G1861=-1,G1860&lt;&gt;-1),MAX($M$50:M1860)+1,"")</f>
        <v/>
      </c>
      <c r="N1861" s="13" t="str">
        <f>IF(AND(G1861&lt;&gt;-1,G1860=-1),MAX($N$50:N1860)+1,"")</f>
        <v/>
      </c>
      <c r="T1861" s="7">
        <f t="shared" si="259"/>
        <v>135.22759398128301</v>
      </c>
      <c r="U1861" s="1">
        <f t="shared" si="260"/>
        <v>241.07466544772527</v>
      </c>
    </row>
    <row r="1862" spans="1:21" x14ac:dyDescent="0.3">
      <c r="A1862" s="2">
        <v>42877</v>
      </c>
      <c r="B1862" s="1">
        <v>4612.12</v>
      </c>
      <c r="C1862" s="2">
        <f t="shared" si="252"/>
        <v>42877</v>
      </c>
      <c r="D1862" s="1">
        <f t="shared" si="253"/>
        <v>4612.12</v>
      </c>
      <c r="E1862" s="4">
        <f t="shared" si="254"/>
        <v>4556.1535999999996</v>
      </c>
      <c r="F1862" s="3">
        <f t="shared" si="255"/>
        <v>1.0122836947375962</v>
      </c>
      <c r="G1862" s="18">
        <f t="shared" si="256"/>
        <v>1</v>
      </c>
      <c r="H1862" s="3">
        <f t="shared" si="257"/>
        <v>5.1805115128531476E-3</v>
      </c>
      <c r="I1862" s="3">
        <f t="shared" si="258"/>
        <v>5.1805115128531476E-3</v>
      </c>
      <c r="K1862" s="12" t="str">
        <f>IF(AND(G1862=1,G1861&lt;&gt;1),MAX($K$50:K1861)+1,"")</f>
        <v/>
      </c>
      <c r="L1862" s="13" t="str">
        <f>IF(AND(G1862&lt;&gt;1,G1861=1),MAX($L$50:L1861)+1,"")</f>
        <v/>
      </c>
      <c r="M1862" s="13" t="str">
        <f>IF(AND(G1862=-1,G1861&lt;&gt;-1),MAX($M$50:M1861)+1,"")</f>
        <v/>
      </c>
      <c r="N1862" s="13" t="str">
        <f>IF(AND(G1862&lt;&gt;-1,G1861=-1),MAX($N$50:N1861)+1,"")</f>
        <v/>
      </c>
      <c r="T1862" s="7">
        <f t="shared" si="259"/>
        <v>135.92814208875848</v>
      </c>
      <c r="U1862" s="1">
        <f t="shared" si="260"/>
        <v>242.32355552753441</v>
      </c>
    </row>
    <row r="1863" spans="1:21" x14ac:dyDescent="0.3">
      <c r="A1863" s="2">
        <v>42878</v>
      </c>
      <c r="B1863" s="1">
        <v>4620.7</v>
      </c>
      <c r="C1863" s="2">
        <f t="shared" si="252"/>
        <v>42878</v>
      </c>
      <c r="D1863" s="1">
        <f t="shared" si="253"/>
        <v>4620.7</v>
      </c>
      <c r="E1863" s="4">
        <f t="shared" si="254"/>
        <v>4557.4387999999999</v>
      </c>
      <c r="F1863" s="3">
        <f t="shared" si="255"/>
        <v>1.0138808665955097</v>
      </c>
      <c r="G1863" s="18">
        <f t="shared" si="256"/>
        <v>1</v>
      </c>
      <c r="H1863" s="3">
        <f t="shared" si="257"/>
        <v>1.8603158634207251E-3</v>
      </c>
      <c r="I1863" s="3">
        <f t="shared" si="258"/>
        <v>1.8603158634207251E-3</v>
      </c>
      <c r="K1863" s="12" t="str">
        <f>IF(AND(G1863=1,G1862&lt;&gt;1),MAX($K$50:K1862)+1,"")</f>
        <v/>
      </c>
      <c r="L1863" s="13" t="str">
        <f>IF(AND(G1863&lt;&gt;1,G1862=1),MAX($L$50:L1862)+1,"")</f>
        <v/>
      </c>
      <c r="M1863" s="13" t="str">
        <f>IF(AND(G1863=-1,G1862&lt;&gt;-1),MAX($M$50:M1862)+1,"")</f>
        <v/>
      </c>
      <c r="N1863" s="13" t="str">
        <f>IF(AND(G1863&lt;&gt;-1,G1862=-1),MAX($N$50:N1862)+1,"")</f>
        <v/>
      </c>
      <c r="T1863" s="7">
        <f t="shared" si="259"/>
        <v>136.1810113677715</v>
      </c>
      <c r="U1863" s="1">
        <f t="shared" si="260"/>
        <v>242.77435388196278</v>
      </c>
    </row>
    <row r="1864" spans="1:21" x14ac:dyDescent="0.3">
      <c r="A1864" s="2">
        <v>42879</v>
      </c>
      <c r="B1864" s="1">
        <v>4632.37</v>
      </c>
      <c r="C1864" s="2">
        <f t="shared" si="252"/>
        <v>42879</v>
      </c>
      <c r="D1864" s="1">
        <f t="shared" si="253"/>
        <v>4632.37</v>
      </c>
      <c r="E1864" s="4">
        <f t="shared" si="254"/>
        <v>4559.2609999999995</v>
      </c>
      <c r="F1864" s="3">
        <f t="shared" si="255"/>
        <v>1.0160352741376291</v>
      </c>
      <c r="G1864" s="18">
        <f t="shared" si="256"/>
        <v>1</v>
      </c>
      <c r="H1864" s="3">
        <f t="shared" si="257"/>
        <v>2.5255913606163638E-3</v>
      </c>
      <c r="I1864" s="3">
        <f t="shared" si="258"/>
        <v>2.5255913606163638E-3</v>
      </c>
      <c r="K1864" s="12" t="str">
        <f>IF(AND(G1864=1,G1863&lt;&gt;1),MAX($K$50:K1863)+1,"")</f>
        <v/>
      </c>
      <c r="L1864" s="13" t="str">
        <f>IF(AND(G1864&lt;&gt;1,G1863=1),MAX($L$50:L1863)+1,"")</f>
        <v/>
      </c>
      <c r="M1864" s="13" t="str">
        <f>IF(AND(G1864=-1,G1863&lt;&gt;-1),MAX($M$50:M1863)+1,"")</f>
        <v/>
      </c>
      <c r="N1864" s="13" t="str">
        <f>IF(AND(G1864&lt;&gt;-1,G1863=-1),MAX($N$50:N1863)+1,"")</f>
        <v/>
      </c>
      <c r="T1864" s="7">
        <f t="shared" si="259"/>
        <v>136.52494895356196</v>
      </c>
      <c r="U1864" s="1">
        <f t="shared" si="260"/>
        <v>243.38750269270631</v>
      </c>
    </row>
    <row r="1865" spans="1:21" x14ac:dyDescent="0.3">
      <c r="A1865" s="2">
        <v>42880</v>
      </c>
      <c r="B1865" s="1">
        <v>4653.59</v>
      </c>
      <c r="C1865" s="2">
        <f t="shared" si="252"/>
        <v>42880</v>
      </c>
      <c r="D1865" s="1">
        <f t="shared" si="253"/>
        <v>4653.59</v>
      </c>
      <c r="E1865" s="4">
        <f t="shared" si="254"/>
        <v>4560.7440000000006</v>
      </c>
      <c r="F1865" s="3">
        <f t="shared" si="255"/>
        <v>1.0203576434020414</v>
      </c>
      <c r="G1865" s="18">
        <f t="shared" si="256"/>
        <v>1</v>
      </c>
      <c r="H1865" s="3">
        <f t="shared" si="257"/>
        <v>4.5808085278162824E-3</v>
      </c>
      <c r="I1865" s="3">
        <f t="shared" si="258"/>
        <v>4.5808085278162824E-3</v>
      </c>
      <c r="K1865" s="12" t="str">
        <f>IF(AND(G1865=1,G1864&lt;&gt;1),MAX($K$50:K1864)+1,"")</f>
        <v/>
      </c>
      <c r="L1865" s="13" t="str">
        <f>IF(AND(G1865&lt;&gt;1,G1864=1),MAX($L$50:L1864)+1,"")</f>
        <v/>
      </c>
      <c r="M1865" s="13" t="str">
        <f>IF(AND(G1865=-1,G1864&lt;&gt;-1),MAX($M$50:M1864)+1,"")</f>
        <v/>
      </c>
      <c r="N1865" s="13" t="str">
        <f>IF(AND(G1865&lt;&gt;-1,G1864=-1),MAX($N$50:N1864)+1,"")</f>
        <v/>
      </c>
      <c r="T1865" s="7">
        <f t="shared" si="259"/>
        <v>137.15034360398812</v>
      </c>
      <c r="U1865" s="1">
        <f t="shared" si="260"/>
        <v>244.50241424060499</v>
      </c>
    </row>
    <row r="1866" spans="1:21" x14ac:dyDescent="0.3">
      <c r="A1866" s="2">
        <v>42881</v>
      </c>
      <c r="B1866" s="1">
        <v>4655.6499999999996</v>
      </c>
      <c r="C1866" s="2">
        <f t="shared" si="252"/>
        <v>42881</v>
      </c>
      <c r="D1866" s="1">
        <f t="shared" si="253"/>
        <v>4655.6499999999996</v>
      </c>
      <c r="E1866" s="4">
        <f t="shared" si="254"/>
        <v>4562.4137999999994</v>
      </c>
      <c r="F1866" s="3">
        <f t="shared" si="255"/>
        <v>1.0204357176019414</v>
      </c>
      <c r="G1866" s="18">
        <f t="shared" si="256"/>
        <v>1</v>
      </c>
      <c r="H1866" s="3">
        <f t="shared" si="257"/>
        <v>4.4266899318579078E-4</v>
      </c>
      <c r="I1866" s="3">
        <f t="shared" si="258"/>
        <v>4.4266899318579078E-4</v>
      </c>
      <c r="K1866" s="12" t="str">
        <f>IF(AND(G1866=1,G1865&lt;&gt;1),MAX($K$50:K1865)+1,"")</f>
        <v/>
      </c>
      <c r="L1866" s="13" t="str">
        <f>IF(AND(G1866&lt;&gt;1,G1865=1),MAX($L$50:L1865)+1,"")</f>
        <v/>
      </c>
      <c r="M1866" s="13" t="str">
        <f>IF(AND(G1866=-1,G1865&lt;&gt;-1),MAX($M$50:M1865)+1,"")</f>
        <v/>
      </c>
      <c r="N1866" s="13" t="str">
        <f>IF(AND(G1866&lt;&gt;-1,G1865=-1),MAX($N$50:N1865)+1,"")</f>
        <v/>
      </c>
      <c r="T1866" s="7">
        <f t="shared" si="259"/>
        <v>137.21105580850639</v>
      </c>
      <c r="U1866" s="1">
        <f t="shared" si="260"/>
        <v>244.61064787814837</v>
      </c>
    </row>
    <row r="1867" spans="1:21" x14ac:dyDescent="0.3">
      <c r="A1867" s="2">
        <v>42885</v>
      </c>
      <c r="B1867" s="1">
        <v>4650.76</v>
      </c>
      <c r="C1867" s="2">
        <f t="shared" si="252"/>
        <v>42885</v>
      </c>
      <c r="D1867" s="1">
        <f t="shared" si="253"/>
        <v>4650.76</v>
      </c>
      <c r="E1867" s="4">
        <f t="shared" si="254"/>
        <v>4564.1055999999999</v>
      </c>
      <c r="F1867" s="3">
        <f t="shared" si="255"/>
        <v>1.0189860637755621</v>
      </c>
      <c r="G1867" s="18">
        <f t="shared" si="256"/>
        <v>1</v>
      </c>
      <c r="H1867" s="3">
        <f t="shared" si="257"/>
        <v>-1.0503366876803977E-3</v>
      </c>
      <c r="I1867" s="3">
        <f t="shared" si="258"/>
        <v>-1.0503366876803977E-3</v>
      </c>
      <c r="K1867" s="12" t="str">
        <f>IF(AND(G1867=1,G1866&lt;&gt;1),MAX($K$50:K1866)+1,"")</f>
        <v/>
      </c>
      <c r="L1867" s="13" t="str">
        <f>IF(AND(G1867&lt;&gt;1,G1866=1),MAX($L$50:L1866)+1,"")</f>
        <v/>
      </c>
      <c r="M1867" s="13" t="str">
        <f>IF(AND(G1867=-1,G1866&lt;&gt;-1),MAX($M$50:M1866)+1,"")</f>
        <v/>
      </c>
      <c r="N1867" s="13" t="str">
        <f>IF(AND(G1867&lt;&gt;-1,G1866=-1),MAX($N$50:N1866)+1,"")</f>
        <v/>
      </c>
      <c r="T1867" s="7">
        <f t="shared" si="259"/>
        <v>137.06693800263534</v>
      </c>
      <c r="U1867" s="1">
        <f t="shared" si="260"/>
        <v>244.35372434048466</v>
      </c>
    </row>
    <row r="1868" spans="1:21" x14ac:dyDescent="0.3">
      <c r="A1868" s="2">
        <v>42886</v>
      </c>
      <c r="B1868" s="1">
        <v>4649.34</v>
      </c>
      <c r="C1868" s="2">
        <f t="shared" si="252"/>
        <v>42886</v>
      </c>
      <c r="D1868" s="1">
        <f t="shared" si="253"/>
        <v>4649.34</v>
      </c>
      <c r="E1868" s="4">
        <f t="shared" si="254"/>
        <v>4565.95</v>
      </c>
      <c r="F1868" s="3">
        <f t="shared" si="255"/>
        <v>1.0182634501034835</v>
      </c>
      <c r="G1868" s="18">
        <f t="shared" si="256"/>
        <v>1</v>
      </c>
      <c r="H1868" s="3">
        <f t="shared" si="257"/>
        <v>-3.0532644126979314E-4</v>
      </c>
      <c r="I1868" s="3">
        <f t="shared" si="258"/>
        <v>-3.0532644126979314E-4</v>
      </c>
      <c r="K1868" s="12" t="str">
        <f>IF(AND(G1868=1,G1867&lt;&gt;1),MAX($K$50:K1867)+1,"")</f>
        <v/>
      </c>
      <c r="L1868" s="13" t="str">
        <f>IF(AND(G1868&lt;&gt;1,G1867=1),MAX($L$50:L1867)+1,"")</f>
        <v/>
      </c>
      <c r="M1868" s="13" t="str">
        <f>IF(AND(G1868=-1,G1867&lt;&gt;-1),MAX($M$50:M1867)+1,"")</f>
        <v/>
      </c>
      <c r="N1868" s="13" t="str">
        <f>IF(AND(G1868&lt;&gt;-1,G1867=-1),MAX($N$50:N1867)+1,"")</f>
        <v/>
      </c>
      <c r="T1868" s="7">
        <f t="shared" si="259"/>
        <v>137.02508784223926</v>
      </c>
      <c r="U1868" s="1">
        <f t="shared" si="260"/>
        <v>244.27911668742075</v>
      </c>
    </row>
    <row r="1869" spans="1:21" x14ac:dyDescent="0.3">
      <c r="A1869" s="2">
        <v>42887</v>
      </c>
      <c r="B1869" s="1">
        <v>4685.1099999999997</v>
      </c>
      <c r="C1869" s="2">
        <f t="shared" si="252"/>
        <v>42887</v>
      </c>
      <c r="D1869" s="1">
        <f t="shared" si="253"/>
        <v>4685.1099999999997</v>
      </c>
      <c r="E1869" s="4">
        <f t="shared" si="254"/>
        <v>4569.632599999999</v>
      </c>
      <c r="F1869" s="3">
        <f t="shared" si="255"/>
        <v>1.0252706092826809</v>
      </c>
      <c r="G1869" s="18">
        <f t="shared" si="256"/>
        <v>1</v>
      </c>
      <c r="H1869" s="3">
        <f t="shared" si="257"/>
        <v>7.6935651081657674E-3</v>
      </c>
      <c r="I1869" s="3">
        <f t="shared" si="258"/>
        <v>7.6935651081657674E-3</v>
      </c>
      <c r="K1869" s="12" t="str">
        <f>IF(AND(G1869=1,G1868&lt;&gt;1),MAX($K$50:K1868)+1,"")</f>
        <v/>
      </c>
      <c r="L1869" s="13" t="str">
        <f>IF(AND(G1869&lt;&gt;1,G1868=1),MAX($L$50:L1868)+1,"")</f>
        <v/>
      </c>
      <c r="M1869" s="13" t="str">
        <f>IF(AND(G1869=-1,G1868&lt;&gt;-1),MAX($M$50:M1868)+1,"")</f>
        <v/>
      </c>
      <c r="N1869" s="13" t="str">
        <f>IF(AND(G1869&lt;&gt;-1,G1868=-1),MAX($N$50:N1868)+1,"")</f>
        <v/>
      </c>
      <c r="T1869" s="7">
        <f t="shared" si="259"/>
        <v>138.07929927700567</v>
      </c>
      <c r="U1869" s="1">
        <f t="shared" si="260"/>
        <v>246.15849397622068</v>
      </c>
    </row>
    <row r="1870" spans="1:21" x14ac:dyDescent="0.3">
      <c r="A1870" s="2">
        <v>42888</v>
      </c>
      <c r="B1870" s="1">
        <v>4702.5600000000004</v>
      </c>
      <c r="C1870" s="2">
        <f t="shared" si="252"/>
        <v>42888</v>
      </c>
      <c r="D1870" s="1">
        <f t="shared" si="253"/>
        <v>4702.5600000000004</v>
      </c>
      <c r="E1870" s="4">
        <f t="shared" si="254"/>
        <v>4573.4907999999987</v>
      </c>
      <c r="F1870" s="3">
        <f t="shared" si="255"/>
        <v>1.0282211565835011</v>
      </c>
      <c r="G1870" s="18">
        <f t="shared" si="256"/>
        <v>1</v>
      </c>
      <c r="H1870" s="3">
        <f t="shared" si="257"/>
        <v>3.724565698564275E-3</v>
      </c>
      <c r="I1870" s="3">
        <f t="shared" si="258"/>
        <v>3.724565698564275E-3</v>
      </c>
      <c r="K1870" s="12" t="str">
        <f>IF(AND(G1870=1,G1869&lt;&gt;1),MAX($K$50:K1869)+1,"")</f>
        <v/>
      </c>
      <c r="L1870" s="13" t="str">
        <f>IF(AND(G1870&lt;&gt;1,G1869=1),MAX($L$50:L1869)+1,"")</f>
        <v/>
      </c>
      <c r="M1870" s="13" t="str">
        <f>IF(AND(G1870=-1,G1869&lt;&gt;-1),MAX($M$50:M1869)+1,"")</f>
        <v/>
      </c>
      <c r="N1870" s="13" t="str">
        <f>IF(AND(G1870&lt;&gt;-1,G1869=-1),MAX($N$50:N1869)+1,"")</f>
        <v/>
      </c>
      <c r="T1870" s="7">
        <f t="shared" si="259"/>
        <v>138.59358469877461</v>
      </c>
      <c r="U1870" s="1">
        <f t="shared" si="260"/>
        <v>247.07532745929475</v>
      </c>
    </row>
    <row r="1871" spans="1:21" x14ac:dyDescent="0.3">
      <c r="A1871" s="2">
        <v>42891</v>
      </c>
      <c r="B1871" s="1">
        <v>4697</v>
      </c>
      <c r="C1871" s="2">
        <f t="shared" si="252"/>
        <v>42891</v>
      </c>
      <c r="D1871" s="1">
        <f t="shared" si="253"/>
        <v>4697</v>
      </c>
      <c r="E1871" s="4">
        <f t="shared" si="254"/>
        <v>4577.3323999999993</v>
      </c>
      <c r="F1871" s="3">
        <f t="shared" si="255"/>
        <v>1.0261435241189827</v>
      </c>
      <c r="G1871" s="18">
        <f t="shared" si="256"/>
        <v>1</v>
      </c>
      <c r="H1871" s="3">
        <f t="shared" si="257"/>
        <v>-1.1823347283183017E-3</v>
      </c>
      <c r="I1871" s="3">
        <f t="shared" si="258"/>
        <v>-1.1823347283183017E-3</v>
      </c>
      <c r="K1871" s="12" t="str">
        <f>IF(AND(G1871=1,G1870&lt;&gt;1),MAX($K$50:K1870)+1,"")</f>
        <v/>
      </c>
      <c r="L1871" s="13" t="str">
        <f>IF(AND(G1871&lt;&gt;1,G1870=1),MAX($L$50:L1870)+1,"")</f>
        <v/>
      </c>
      <c r="M1871" s="13" t="str">
        <f>IF(AND(G1871=-1,G1870&lt;&gt;-1),MAX($M$50:M1870)+1,"")</f>
        <v/>
      </c>
      <c r="N1871" s="13" t="str">
        <f>IF(AND(G1871&lt;&gt;-1,G1870=-1),MAX($N$50:N1870)+1,"")</f>
        <v/>
      </c>
      <c r="T1871" s="7">
        <f t="shared" si="259"/>
        <v>138.42972069046311</v>
      </c>
      <c r="U1871" s="1">
        <f t="shared" si="260"/>
        <v>246.78320171912904</v>
      </c>
    </row>
    <row r="1872" spans="1:21" x14ac:dyDescent="0.3">
      <c r="A1872" s="2">
        <v>42892</v>
      </c>
      <c r="B1872" s="1">
        <v>4683.96</v>
      </c>
      <c r="C1872" s="2">
        <f t="shared" si="252"/>
        <v>42892</v>
      </c>
      <c r="D1872" s="1">
        <f t="shared" si="253"/>
        <v>4683.96</v>
      </c>
      <c r="E1872" s="4">
        <f t="shared" si="254"/>
        <v>4580.9894000000004</v>
      </c>
      <c r="F1872" s="3">
        <f t="shared" si="255"/>
        <v>1.022477807960001</v>
      </c>
      <c r="G1872" s="18">
        <f t="shared" si="256"/>
        <v>1</v>
      </c>
      <c r="H1872" s="3">
        <f t="shared" si="257"/>
        <v>-2.7762401532893666E-3</v>
      </c>
      <c r="I1872" s="3">
        <f t="shared" si="258"/>
        <v>-2.7762401532893666E-3</v>
      </c>
      <c r="K1872" s="12" t="str">
        <f>IF(AND(G1872=1,G1871&lt;&gt;1),MAX($K$50:K1871)+1,"")</f>
        <v/>
      </c>
      <c r="L1872" s="13" t="str">
        <f>IF(AND(G1872&lt;&gt;1,G1871=1),MAX($L$50:L1871)+1,"")</f>
        <v/>
      </c>
      <c r="M1872" s="13" t="str">
        <f>IF(AND(G1872=-1,G1871&lt;&gt;-1),MAX($M$50:M1871)+1,"")</f>
        <v/>
      </c>
      <c r="N1872" s="13" t="str">
        <f>IF(AND(G1872&lt;&gt;-1,G1871=-1),MAX($N$50:N1871)+1,"")</f>
        <v/>
      </c>
      <c r="T1872" s="7">
        <f t="shared" si="259"/>
        <v>138.04540654147362</v>
      </c>
      <c r="U1872" s="1">
        <f t="shared" si="260"/>
        <v>246.09807228535908</v>
      </c>
    </row>
    <row r="1873" spans="1:21" x14ac:dyDescent="0.3">
      <c r="A1873" s="2">
        <v>42893</v>
      </c>
      <c r="B1873" s="1">
        <v>4692.29</v>
      </c>
      <c r="C1873" s="2">
        <f t="shared" si="252"/>
        <v>42893</v>
      </c>
      <c r="D1873" s="1">
        <f t="shared" si="253"/>
        <v>4692.29</v>
      </c>
      <c r="E1873" s="4">
        <f t="shared" si="254"/>
        <v>4584.9045999999989</v>
      </c>
      <c r="F1873" s="3">
        <f t="shared" si="255"/>
        <v>1.0234215124127122</v>
      </c>
      <c r="G1873" s="18">
        <f t="shared" si="256"/>
        <v>1</v>
      </c>
      <c r="H1873" s="3">
        <f t="shared" si="257"/>
        <v>1.778409721688412E-3</v>
      </c>
      <c r="I1873" s="3">
        <f t="shared" si="258"/>
        <v>1.778409721688412E-3</v>
      </c>
      <c r="K1873" s="12" t="str">
        <f>IF(AND(G1873=1,G1872&lt;&gt;1),MAX($K$50:K1872)+1,"")</f>
        <v/>
      </c>
      <c r="L1873" s="13" t="str">
        <f>IF(AND(G1873&lt;&gt;1,G1872=1),MAX($L$50:L1872)+1,"")</f>
        <v/>
      </c>
      <c r="M1873" s="13" t="str">
        <f>IF(AND(G1873=-1,G1872&lt;&gt;-1),MAX($M$50:M1872)+1,"")</f>
        <v/>
      </c>
      <c r="N1873" s="13" t="str">
        <f>IF(AND(G1873&lt;&gt;-1,G1872=-1),MAX($N$50:N1872)+1,"")</f>
        <v/>
      </c>
      <c r="T1873" s="7">
        <f t="shared" si="259"/>
        <v>138.29090783450141</v>
      </c>
      <c r="U1873" s="1">
        <f t="shared" si="260"/>
        <v>246.53573548960014</v>
      </c>
    </row>
    <row r="1874" spans="1:21" x14ac:dyDescent="0.3">
      <c r="A1874" s="2">
        <v>42894</v>
      </c>
      <c r="B1874" s="1">
        <v>4693.67</v>
      </c>
      <c r="C1874" s="2">
        <f t="shared" si="252"/>
        <v>42894</v>
      </c>
      <c r="D1874" s="1">
        <f t="shared" si="253"/>
        <v>4693.67</v>
      </c>
      <c r="E1874" s="4">
        <f t="shared" si="254"/>
        <v>4588.1945999999998</v>
      </c>
      <c r="F1874" s="3">
        <f t="shared" si="255"/>
        <v>1.0229884320948375</v>
      </c>
      <c r="G1874" s="18">
        <f t="shared" si="256"/>
        <v>1</v>
      </c>
      <c r="H1874" s="3">
        <f t="shared" si="257"/>
        <v>2.9409946955549771E-4</v>
      </c>
      <c r="I1874" s="3">
        <f t="shared" si="258"/>
        <v>2.9409946955549771E-4</v>
      </c>
      <c r="K1874" s="12" t="str">
        <f>IF(AND(G1874=1,G1873&lt;&gt;1),MAX($K$50:K1873)+1,"")</f>
        <v/>
      </c>
      <c r="L1874" s="13" t="str">
        <f>IF(AND(G1874&lt;&gt;1,G1873=1),MAX($L$50:L1873)+1,"")</f>
        <v/>
      </c>
      <c r="M1874" s="13" t="str">
        <f>IF(AND(G1874=-1,G1873&lt;&gt;-1),MAX($M$50:M1873)+1,"")</f>
        <v/>
      </c>
      <c r="N1874" s="13" t="str">
        <f>IF(AND(G1874&lt;&gt;-1,G1873=-1),MAX($N$50:N1873)+1,"")</f>
        <v/>
      </c>
      <c r="T1874" s="7">
        <f t="shared" si="259"/>
        <v>138.33157911713988</v>
      </c>
      <c r="U1874" s="1">
        <f t="shared" si="260"/>
        <v>246.60824151863409</v>
      </c>
    </row>
    <row r="1875" spans="1:21" x14ac:dyDescent="0.3">
      <c r="A1875" s="2">
        <v>42895</v>
      </c>
      <c r="B1875" s="1">
        <v>4689.79</v>
      </c>
      <c r="C1875" s="2">
        <f t="shared" si="252"/>
        <v>42895</v>
      </c>
      <c r="D1875" s="1">
        <f t="shared" si="253"/>
        <v>4689.79</v>
      </c>
      <c r="E1875" s="4">
        <f t="shared" si="254"/>
        <v>4591.2902000000004</v>
      </c>
      <c r="F1875" s="3">
        <f t="shared" si="255"/>
        <v>1.0214536210322753</v>
      </c>
      <c r="G1875" s="18">
        <f t="shared" si="256"/>
        <v>1</v>
      </c>
      <c r="H1875" s="3">
        <f t="shared" si="257"/>
        <v>-8.2664524774855863E-4</v>
      </c>
      <c r="I1875" s="3">
        <f t="shared" si="258"/>
        <v>-8.2664524774855863E-4</v>
      </c>
      <c r="K1875" s="12" t="str">
        <f>IF(AND(G1875=1,G1874&lt;&gt;1),MAX($K$50:K1874)+1,"")</f>
        <v/>
      </c>
      <c r="L1875" s="13" t="str">
        <f>IF(AND(G1875&lt;&gt;1,G1874=1),MAX($L$50:L1874)+1,"")</f>
        <v/>
      </c>
      <c r="M1875" s="13" t="str">
        <f>IF(AND(G1875=-1,G1874&lt;&gt;-1),MAX($M$50:M1874)+1,"")</f>
        <v/>
      </c>
      <c r="N1875" s="13" t="str">
        <f>IF(AND(G1875&lt;&gt;-1,G1874=-1),MAX($N$50:N1874)+1,"")</f>
        <v/>
      </c>
      <c r="T1875" s="7">
        <f t="shared" si="259"/>
        <v>138.21722797464915</v>
      </c>
      <c r="U1875" s="1">
        <f t="shared" si="260"/>
        <v>246.40438398772707</v>
      </c>
    </row>
    <row r="1876" spans="1:21" x14ac:dyDescent="0.3">
      <c r="A1876" s="2">
        <v>42898</v>
      </c>
      <c r="B1876" s="1">
        <v>4685.54</v>
      </c>
      <c r="C1876" s="2">
        <f t="shared" si="252"/>
        <v>42898</v>
      </c>
      <c r="D1876" s="1">
        <f t="shared" si="253"/>
        <v>4685.54</v>
      </c>
      <c r="E1876" s="4">
        <f t="shared" si="254"/>
        <v>4594.0318000000007</v>
      </c>
      <c r="F1876" s="3">
        <f t="shared" si="255"/>
        <v>1.0199189304697454</v>
      </c>
      <c r="G1876" s="18">
        <f t="shared" si="256"/>
        <v>1</v>
      </c>
      <c r="H1876" s="3">
        <f t="shared" si="257"/>
        <v>-9.0622394606154621E-4</v>
      </c>
      <c r="I1876" s="3">
        <f t="shared" si="258"/>
        <v>-9.0622394606154621E-4</v>
      </c>
      <c r="K1876" s="12" t="str">
        <f>IF(AND(G1876=1,G1875&lt;&gt;1),MAX($K$50:K1875)+1,"")</f>
        <v/>
      </c>
      <c r="L1876" s="13" t="str">
        <f>IF(AND(G1876&lt;&gt;1,G1875=1),MAX($L$50:L1875)+1,"")</f>
        <v/>
      </c>
      <c r="M1876" s="13" t="str">
        <f>IF(AND(G1876=-1,G1875&lt;&gt;-1),MAX($M$50:M1875)+1,"")</f>
        <v/>
      </c>
      <c r="N1876" s="13" t="str">
        <f>IF(AND(G1876&lt;&gt;-1,G1875=-1),MAX($N$50:N1875)+1,"")</f>
        <v/>
      </c>
      <c r="T1876" s="7">
        <f t="shared" si="259"/>
        <v>138.09197221290026</v>
      </c>
      <c r="U1876" s="1">
        <f t="shared" si="260"/>
        <v>246.18108643454283</v>
      </c>
    </row>
    <row r="1877" spans="1:21" x14ac:dyDescent="0.3">
      <c r="A1877" s="2">
        <v>42899</v>
      </c>
      <c r="B1877" s="1">
        <v>4707.88</v>
      </c>
      <c r="C1877" s="2">
        <f t="shared" si="252"/>
        <v>42899</v>
      </c>
      <c r="D1877" s="1">
        <f t="shared" si="253"/>
        <v>4707.88</v>
      </c>
      <c r="E1877" s="4">
        <f t="shared" si="254"/>
        <v>4597.4252000000006</v>
      </c>
      <c r="F1877" s="3">
        <f t="shared" si="255"/>
        <v>1.0240253609781405</v>
      </c>
      <c r="G1877" s="18">
        <f t="shared" si="256"/>
        <v>1</v>
      </c>
      <c r="H1877" s="3">
        <f t="shared" si="257"/>
        <v>4.7678602679734894E-3</v>
      </c>
      <c r="I1877" s="3">
        <f t="shared" si="258"/>
        <v>4.7678602679734894E-3</v>
      </c>
      <c r="K1877" s="12" t="str">
        <f>IF(AND(G1877=1,G1876&lt;&gt;1),MAX($K$50:K1876)+1,"")</f>
        <v/>
      </c>
      <c r="L1877" s="13" t="str">
        <f>IF(AND(G1877&lt;&gt;1,G1876=1),MAX($L$50:L1876)+1,"")</f>
        <v/>
      </c>
      <c r="M1877" s="13" t="str">
        <f>IF(AND(G1877=-1,G1876&lt;&gt;-1),MAX($M$50:M1876)+1,"")</f>
        <v/>
      </c>
      <c r="N1877" s="13" t="str">
        <f>IF(AND(G1877&lt;&gt;-1,G1876=-1),MAX($N$50:N1876)+1,"")</f>
        <v/>
      </c>
      <c r="T1877" s="7">
        <f t="shared" si="259"/>
        <v>138.75037544054024</v>
      </c>
      <c r="U1877" s="1">
        <f t="shared" si="260"/>
        <v>247.35484345528064</v>
      </c>
    </row>
    <row r="1878" spans="1:21" x14ac:dyDescent="0.3">
      <c r="A1878" s="2">
        <v>42900</v>
      </c>
      <c r="B1878" s="1">
        <v>4703.53</v>
      </c>
      <c r="C1878" s="2">
        <f t="shared" si="252"/>
        <v>42900</v>
      </c>
      <c r="D1878" s="1">
        <f t="shared" si="253"/>
        <v>4703.53</v>
      </c>
      <c r="E1878" s="4">
        <f t="shared" si="254"/>
        <v>4600.8762000000015</v>
      </c>
      <c r="F1878" s="3">
        <f t="shared" si="255"/>
        <v>1.022311793566625</v>
      </c>
      <c r="G1878" s="18">
        <f t="shared" si="256"/>
        <v>1</v>
      </c>
      <c r="H1878" s="3">
        <f t="shared" si="257"/>
        <v>-9.2398276931449086E-4</v>
      </c>
      <c r="I1878" s="3">
        <f t="shared" si="258"/>
        <v>-9.2398276931449086E-4</v>
      </c>
      <c r="K1878" s="12" t="str">
        <f>IF(AND(G1878=1,G1877&lt;&gt;1),MAX($K$50:K1877)+1,"")</f>
        <v/>
      </c>
      <c r="L1878" s="13" t="str">
        <f>IF(AND(G1878&lt;&gt;1,G1877=1),MAX($L$50:L1877)+1,"")</f>
        <v/>
      </c>
      <c r="M1878" s="13" t="str">
        <f>IF(AND(G1878=-1,G1877&lt;&gt;-1),MAX($M$50:M1877)+1,"")</f>
        <v/>
      </c>
      <c r="N1878" s="13" t="str">
        <f>IF(AND(G1878&lt;&gt;-1,G1877=-1),MAX($N$50:N1877)+1,"")</f>
        <v/>
      </c>
      <c r="T1878" s="7">
        <f t="shared" si="259"/>
        <v>138.62217248439725</v>
      </c>
      <c r="U1878" s="1">
        <f t="shared" si="260"/>
        <v>247.12629184202149</v>
      </c>
    </row>
    <row r="1879" spans="1:21" x14ac:dyDescent="0.3">
      <c r="A1879" s="2">
        <v>42901</v>
      </c>
      <c r="B1879" s="1">
        <v>4693.8599999999997</v>
      </c>
      <c r="C1879" s="2">
        <f t="shared" si="252"/>
        <v>42901</v>
      </c>
      <c r="D1879" s="1">
        <f t="shared" si="253"/>
        <v>4693.8599999999997</v>
      </c>
      <c r="E1879" s="4">
        <f t="shared" si="254"/>
        <v>4604.0684000000001</v>
      </c>
      <c r="F1879" s="3">
        <f t="shared" si="255"/>
        <v>1.0195026642088982</v>
      </c>
      <c r="G1879" s="18">
        <f t="shared" si="256"/>
        <v>1</v>
      </c>
      <c r="H1879" s="3">
        <f t="shared" si="257"/>
        <v>-2.0559026943594017E-3</v>
      </c>
      <c r="I1879" s="3">
        <f t="shared" si="258"/>
        <v>-2.0559026943594017E-3</v>
      </c>
      <c r="K1879" s="12" t="str">
        <f>IF(AND(G1879=1,G1878&lt;&gt;1),MAX($K$50:K1878)+1,"")</f>
        <v/>
      </c>
      <c r="L1879" s="13" t="str">
        <f>IF(AND(G1879&lt;&gt;1,G1878=1),MAX($L$50:L1878)+1,"")</f>
        <v/>
      </c>
      <c r="M1879" s="13" t="str">
        <f>IF(AND(G1879=-1,G1878&lt;&gt;-1),MAX($M$50:M1878)+1,"")</f>
        <v/>
      </c>
      <c r="N1879" s="13" t="str">
        <f>IF(AND(G1879&lt;&gt;-1,G1878=-1),MAX($N$50:N1878)+1,"")</f>
        <v/>
      </c>
      <c r="T1879" s="7">
        <f t="shared" si="259"/>
        <v>138.33717878648864</v>
      </c>
      <c r="U1879" s="1">
        <f t="shared" si="260"/>
        <v>246.61822423277641</v>
      </c>
    </row>
    <row r="1880" spans="1:21" x14ac:dyDescent="0.3">
      <c r="A1880" s="2">
        <v>42902</v>
      </c>
      <c r="B1880" s="1">
        <v>4695.2299999999996</v>
      </c>
      <c r="C1880" s="2">
        <f t="shared" si="252"/>
        <v>42902</v>
      </c>
      <c r="D1880" s="1">
        <f t="shared" si="253"/>
        <v>4695.2299999999996</v>
      </c>
      <c r="E1880" s="4">
        <f t="shared" si="254"/>
        <v>4607.5558000000001</v>
      </c>
      <c r="F1880" s="3">
        <f t="shared" si="255"/>
        <v>1.0190283533842388</v>
      </c>
      <c r="G1880" s="18">
        <f t="shared" si="256"/>
        <v>1</v>
      </c>
      <c r="H1880" s="3">
        <f t="shared" si="257"/>
        <v>2.918706565597784E-4</v>
      </c>
      <c r="I1880" s="3">
        <f t="shared" si="258"/>
        <v>2.918706565597784E-4</v>
      </c>
      <c r="K1880" s="12" t="str">
        <f>IF(AND(G1880=1,G1879&lt;&gt;1),MAX($K$50:K1879)+1,"")</f>
        <v/>
      </c>
      <c r="L1880" s="13" t="str">
        <f>IF(AND(G1880&lt;&gt;1,G1879=1),MAX($L$50:L1879)+1,"")</f>
        <v/>
      </c>
      <c r="M1880" s="13" t="str">
        <f>IF(AND(G1880=-1,G1879&lt;&gt;-1),MAX($M$50:M1879)+1,"")</f>
        <v/>
      </c>
      <c r="N1880" s="13" t="str">
        <f>IF(AND(G1880&lt;&gt;-1,G1879=-1),MAX($N$50:N1879)+1,"")</f>
        <v/>
      </c>
      <c r="T1880" s="7">
        <f t="shared" si="259"/>
        <v>138.37755534968767</v>
      </c>
      <c r="U1880" s="1">
        <f t="shared" si="260"/>
        <v>246.69020485580288</v>
      </c>
    </row>
    <row r="1881" spans="1:21" x14ac:dyDescent="0.3">
      <c r="A1881" s="2">
        <v>42905</v>
      </c>
      <c r="B1881" s="1">
        <v>4734.4799999999996</v>
      </c>
      <c r="C1881" s="2">
        <f t="shared" si="252"/>
        <v>42905</v>
      </c>
      <c r="D1881" s="1">
        <f t="shared" si="253"/>
        <v>4734.4799999999996</v>
      </c>
      <c r="E1881" s="4">
        <f t="shared" si="254"/>
        <v>4611.6268000000009</v>
      </c>
      <c r="F1881" s="3">
        <f t="shared" si="255"/>
        <v>1.0266398833487564</v>
      </c>
      <c r="G1881" s="18">
        <f t="shared" si="256"/>
        <v>1</v>
      </c>
      <c r="H1881" s="3">
        <f t="shared" si="257"/>
        <v>8.3595478815734481E-3</v>
      </c>
      <c r="I1881" s="3">
        <f t="shared" si="258"/>
        <v>8.3595478815734481E-3</v>
      </c>
      <c r="K1881" s="12" t="str">
        <f>IF(AND(G1881=1,G1880&lt;&gt;1),MAX($K$50:K1880)+1,"")</f>
        <v/>
      </c>
      <c r="L1881" s="13" t="str">
        <f>IF(AND(G1881&lt;&gt;1,G1880=1),MAX($L$50:L1880)+1,"")</f>
        <v/>
      </c>
      <c r="M1881" s="13" t="str">
        <f>IF(AND(G1881=-1,G1880&lt;&gt;-1),MAX($M$50:M1880)+1,"")</f>
        <v/>
      </c>
      <c r="N1881" s="13" t="str">
        <f>IF(AND(G1881&lt;&gt;-1,G1880=-1),MAX($N$50:N1880)+1,"")</f>
        <v/>
      </c>
      <c r="T1881" s="7">
        <f t="shared" si="259"/>
        <v>139.53432914936846</v>
      </c>
      <c r="U1881" s="1">
        <f t="shared" si="260"/>
        <v>248.75242343521012</v>
      </c>
    </row>
    <row r="1882" spans="1:21" x14ac:dyDescent="0.3">
      <c r="A1882" s="2">
        <v>42906</v>
      </c>
      <c r="B1882" s="1">
        <v>4702.82</v>
      </c>
      <c r="C1882" s="2">
        <f t="shared" si="252"/>
        <v>42906</v>
      </c>
      <c r="D1882" s="1">
        <f t="shared" si="253"/>
        <v>4702.82</v>
      </c>
      <c r="E1882" s="4">
        <f t="shared" si="254"/>
        <v>4615.1392000000014</v>
      </c>
      <c r="F1882" s="3">
        <f t="shared" si="255"/>
        <v>1.0189985168811373</v>
      </c>
      <c r="G1882" s="18">
        <f t="shared" si="256"/>
        <v>1</v>
      </c>
      <c r="H1882" s="3">
        <f t="shared" si="257"/>
        <v>-6.6871124178368158E-3</v>
      </c>
      <c r="I1882" s="3">
        <f t="shared" si="258"/>
        <v>-6.6871124178368158E-3</v>
      </c>
      <c r="K1882" s="12" t="str">
        <f>IF(AND(G1882=1,G1881&lt;&gt;1),MAX($K$50:K1881)+1,"")</f>
        <v/>
      </c>
      <c r="L1882" s="13" t="str">
        <f>IF(AND(G1882&lt;&gt;1,G1881=1),MAX($L$50:L1881)+1,"")</f>
        <v/>
      </c>
      <c r="M1882" s="13" t="str">
        <f>IF(AND(G1882=-1,G1881&lt;&gt;-1),MAX($M$50:M1881)+1,"")</f>
        <v/>
      </c>
      <c r="N1882" s="13" t="str">
        <f>IF(AND(G1882&lt;&gt;-1,G1881=-1),MAX($N$50:N1881)+1,"")</f>
        <v/>
      </c>
      <c r="T1882" s="7">
        <f t="shared" si="259"/>
        <v>138.6012474041992</v>
      </c>
      <c r="U1882" s="1">
        <f t="shared" si="260"/>
        <v>247.08898801548952</v>
      </c>
    </row>
    <row r="1883" spans="1:21" x14ac:dyDescent="0.3">
      <c r="A1883" s="2">
        <v>42907</v>
      </c>
      <c r="B1883" s="1">
        <v>4700.5</v>
      </c>
      <c r="C1883" s="2">
        <f t="shared" si="252"/>
        <v>42907</v>
      </c>
      <c r="D1883" s="1">
        <f t="shared" si="253"/>
        <v>4700.5</v>
      </c>
      <c r="E1883" s="4">
        <f t="shared" si="254"/>
        <v>4618.5378000000019</v>
      </c>
      <c r="F1883" s="3">
        <f t="shared" si="255"/>
        <v>1.017746352536077</v>
      </c>
      <c r="G1883" s="18">
        <f t="shared" si="256"/>
        <v>1</v>
      </c>
      <c r="H1883" s="3">
        <f t="shared" si="257"/>
        <v>-4.9332102865928817E-4</v>
      </c>
      <c r="I1883" s="3">
        <f t="shared" si="258"/>
        <v>-4.9332102865928817E-4</v>
      </c>
      <c r="K1883" s="12" t="str">
        <f>IF(AND(G1883=1,G1882&lt;&gt;1),MAX($K$50:K1882)+1,"")</f>
        <v/>
      </c>
      <c r="L1883" s="13" t="str">
        <f>IF(AND(G1883&lt;&gt;1,G1882=1),MAX($L$50:L1882)+1,"")</f>
        <v/>
      </c>
      <c r="M1883" s="13" t="str">
        <f>IF(AND(G1883=-1,G1882&lt;&gt;-1),MAX($M$50:M1882)+1,"")</f>
        <v/>
      </c>
      <c r="N1883" s="13" t="str">
        <f>IF(AND(G1883&lt;&gt;-1,G1882=-1),MAX($N$50:N1882)+1,"")</f>
        <v/>
      </c>
      <c r="T1883" s="7">
        <f t="shared" si="259"/>
        <v>138.53287249425631</v>
      </c>
      <c r="U1883" s="1">
        <f t="shared" si="260"/>
        <v>246.96709382175132</v>
      </c>
    </row>
    <row r="1884" spans="1:21" x14ac:dyDescent="0.3">
      <c r="A1884" s="2">
        <v>42908</v>
      </c>
      <c r="B1884" s="1">
        <v>4698.3999999999996</v>
      </c>
      <c r="C1884" s="2">
        <f t="shared" si="252"/>
        <v>42908</v>
      </c>
      <c r="D1884" s="1">
        <f t="shared" si="253"/>
        <v>4698.3999999999996</v>
      </c>
      <c r="E1884" s="4">
        <f t="shared" si="254"/>
        <v>4622.0116000000007</v>
      </c>
      <c r="F1884" s="3">
        <f t="shared" si="255"/>
        <v>1.01652708963344</v>
      </c>
      <c r="G1884" s="18">
        <f t="shared" si="256"/>
        <v>1</v>
      </c>
      <c r="H1884" s="3">
        <f t="shared" si="257"/>
        <v>-4.4676098287421695E-4</v>
      </c>
      <c r="I1884" s="3">
        <f t="shared" si="258"/>
        <v>-4.4676098287421695E-4</v>
      </c>
      <c r="K1884" s="12" t="str">
        <f>IF(AND(G1884=1,G1883&lt;&gt;1),MAX($K$50:K1883)+1,"")</f>
        <v/>
      </c>
      <c r="L1884" s="13" t="str">
        <f>IF(AND(G1884&lt;&gt;1,G1883=1),MAX($L$50:L1883)+1,"")</f>
        <v/>
      </c>
      <c r="M1884" s="13" t="str">
        <f>IF(AND(G1884=-1,G1883&lt;&gt;-1),MAX($M$50:M1883)+1,"")</f>
        <v/>
      </c>
      <c r="N1884" s="13" t="str">
        <f>IF(AND(G1884&lt;&gt;-1,G1883=-1),MAX($N$50:N1883)+1,"")</f>
        <v/>
      </c>
      <c r="T1884" s="7">
        <f t="shared" si="259"/>
        <v>138.47098141198038</v>
      </c>
      <c r="U1884" s="1">
        <f t="shared" si="260"/>
        <v>246.85675856017792</v>
      </c>
    </row>
    <row r="1885" spans="1:21" x14ac:dyDescent="0.3">
      <c r="A1885" s="2">
        <v>42909</v>
      </c>
      <c r="B1885" s="1">
        <v>4705.7299999999996</v>
      </c>
      <c r="C1885" s="2">
        <f t="shared" si="252"/>
        <v>42909</v>
      </c>
      <c r="D1885" s="1">
        <f t="shared" si="253"/>
        <v>4705.7299999999996</v>
      </c>
      <c r="E1885" s="4">
        <f t="shared" si="254"/>
        <v>4625.9710000000005</v>
      </c>
      <c r="F1885" s="3">
        <f t="shared" si="255"/>
        <v>1.0172415693915935</v>
      </c>
      <c r="G1885" s="18">
        <f t="shared" si="256"/>
        <v>1</v>
      </c>
      <c r="H1885" s="3">
        <f t="shared" si="257"/>
        <v>1.5601055678529097E-3</v>
      </c>
      <c r="I1885" s="3">
        <f t="shared" si="258"/>
        <v>1.5601055678529097E-3</v>
      </c>
      <c r="K1885" s="12" t="str">
        <f>IF(AND(G1885=1,G1884&lt;&gt;1),MAX($K$50:K1884)+1,"")</f>
        <v/>
      </c>
      <c r="L1885" s="13" t="str">
        <f>IF(AND(G1885&lt;&gt;1,G1884=1),MAX($L$50:L1884)+1,"")</f>
        <v/>
      </c>
      <c r="M1885" s="13" t="str">
        <f>IF(AND(G1885=-1,G1884&lt;&gt;-1),MAX($M$50:M1884)+1,"")</f>
        <v/>
      </c>
      <c r="N1885" s="13" t="str">
        <f>IF(AND(G1885&lt;&gt;-1,G1884=-1),MAX($N$50:N1884)+1,"")</f>
        <v/>
      </c>
      <c r="T1885" s="7">
        <f t="shared" si="259"/>
        <v>138.68701076106726</v>
      </c>
      <c r="U1885" s="1">
        <f t="shared" si="260"/>
        <v>247.24188116366977</v>
      </c>
    </row>
    <row r="1886" spans="1:21" x14ac:dyDescent="0.3">
      <c r="A1886" s="2">
        <v>42912</v>
      </c>
      <c r="B1886" s="1">
        <v>4707.2700000000004</v>
      </c>
      <c r="C1886" s="2">
        <f t="shared" si="252"/>
        <v>42912</v>
      </c>
      <c r="D1886" s="1">
        <f t="shared" si="253"/>
        <v>4707.2700000000004</v>
      </c>
      <c r="E1886" s="4">
        <f t="shared" si="254"/>
        <v>4630.5750000000007</v>
      </c>
      <c r="F1886" s="3">
        <f t="shared" si="255"/>
        <v>1.016562737888923</v>
      </c>
      <c r="G1886" s="18">
        <f t="shared" si="256"/>
        <v>1</v>
      </c>
      <c r="H1886" s="3">
        <f t="shared" si="257"/>
        <v>3.2726059506194005E-4</v>
      </c>
      <c r="I1886" s="3">
        <f t="shared" si="258"/>
        <v>3.2726059506194005E-4</v>
      </c>
      <c r="K1886" s="12" t="str">
        <f>IF(AND(G1886=1,G1885&lt;&gt;1),MAX($K$50:K1885)+1,"")</f>
        <v/>
      </c>
      <c r="L1886" s="13" t="str">
        <f>IF(AND(G1886&lt;&gt;1,G1885=1),MAX($L$50:L1885)+1,"")</f>
        <v/>
      </c>
      <c r="M1886" s="13" t="str">
        <f>IF(AND(G1886=-1,G1885&lt;&gt;-1),MAX($M$50:M1885)+1,"")</f>
        <v/>
      </c>
      <c r="N1886" s="13" t="str">
        <f>IF(AND(G1886&lt;&gt;-1,G1885=-1),MAX($N$50:N1885)+1,"")</f>
        <v/>
      </c>
      <c r="T1886" s="7">
        <f t="shared" si="259"/>
        <v>138.73239755473628</v>
      </c>
      <c r="U1886" s="1">
        <f t="shared" si="260"/>
        <v>247.32279368882362</v>
      </c>
    </row>
    <row r="1887" spans="1:21" x14ac:dyDescent="0.3">
      <c r="A1887" s="2">
        <v>42913</v>
      </c>
      <c r="B1887" s="1">
        <v>4669.2700000000004</v>
      </c>
      <c r="C1887" s="2">
        <f t="shared" si="252"/>
        <v>42913</v>
      </c>
      <c r="D1887" s="1">
        <f t="shared" si="253"/>
        <v>4669.2700000000004</v>
      </c>
      <c r="E1887" s="4">
        <f t="shared" si="254"/>
        <v>4633.6474000000007</v>
      </c>
      <c r="F1887" s="3">
        <f t="shared" si="255"/>
        <v>1.0076878098234232</v>
      </c>
      <c r="G1887" s="18">
        <f t="shared" si="256"/>
        <v>1</v>
      </c>
      <c r="H1887" s="3">
        <f t="shared" si="257"/>
        <v>-8.0726195862994565E-3</v>
      </c>
      <c r="I1887" s="3">
        <f t="shared" si="258"/>
        <v>-8.0726195862994565E-3</v>
      </c>
      <c r="K1887" s="12" t="str">
        <f>IF(AND(G1887=1,G1886&lt;&gt;1),MAX($K$50:K1886)+1,"")</f>
        <v/>
      </c>
      <c r="L1887" s="13" t="str">
        <f>IF(AND(G1887&lt;&gt;1,G1886=1),MAX($L$50:L1886)+1,"")</f>
        <v/>
      </c>
      <c r="M1887" s="13" t="str">
        <f>IF(AND(G1887=-1,G1886&lt;&gt;-1),MAX($M$50:M1886)+1,"")</f>
        <v/>
      </c>
      <c r="N1887" s="13" t="str">
        <f>IF(AND(G1887&lt;&gt;-1,G1886=-1),MAX($N$50:N1886)+1,"")</f>
        <v/>
      </c>
      <c r="T1887" s="7">
        <f t="shared" si="259"/>
        <v>137.61246368498163</v>
      </c>
      <c r="U1887" s="1">
        <f t="shared" si="260"/>
        <v>245.32625086035293</v>
      </c>
    </row>
    <row r="1888" spans="1:21" x14ac:dyDescent="0.3">
      <c r="A1888" s="2">
        <v>42914</v>
      </c>
      <c r="B1888" s="1">
        <v>4711.33</v>
      </c>
      <c r="C1888" s="2">
        <f t="shared" si="252"/>
        <v>42914</v>
      </c>
      <c r="D1888" s="1">
        <f t="shared" si="253"/>
        <v>4711.33</v>
      </c>
      <c r="E1888" s="4">
        <f t="shared" si="254"/>
        <v>4637.8207999999995</v>
      </c>
      <c r="F1888" s="3">
        <f t="shared" si="255"/>
        <v>1.0158499440081861</v>
      </c>
      <c r="G1888" s="18">
        <f t="shared" si="256"/>
        <v>1</v>
      </c>
      <c r="H1888" s="3">
        <f t="shared" si="257"/>
        <v>9.0078320594011441E-3</v>
      </c>
      <c r="I1888" s="3">
        <f t="shared" si="258"/>
        <v>9.0078320594011441E-3</v>
      </c>
      <c r="K1888" s="12" t="str">
        <f>IF(AND(G1888=1,G1887&lt;&gt;1),MAX($K$50:K1887)+1,"")</f>
        <v/>
      </c>
      <c r="L1888" s="13" t="str">
        <f>IF(AND(G1888&lt;&gt;1,G1887=1),MAX($L$50:L1887)+1,"")</f>
        <v/>
      </c>
      <c r="M1888" s="13" t="str">
        <f>IF(AND(G1888=-1,G1887&lt;&gt;-1),MAX($M$50:M1887)+1,"")</f>
        <v/>
      </c>
      <c r="N1888" s="13" t="str">
        <f>IF(AND(G1888&lt;&gt;-1,G1887=-1),MAX($N$50:N1887)+1,"")</f>
        <v/>
      </c>
      <c r="T1888" s="7">
        <f t="shared" si="259"/>
        <v>138.85205364713639</v>
      </c>
      <c r="U1888" s="1">
        <f t="shared" si="260"/>
        <v>247.53610852786548</v>
      </c>
    </row>
    <row r="1889" spans="1:21" x14ac:dyDescent="0.3">
      <c r="A1889" s="2">
        <v>42915</v>
      </c>
      <c r="B1889" s="1">
        <v>4670.96</v>
      </c>
      <c r="C1889" s="2">
        <f t="shared" si="252"/>
        <v>42915</v>
      </c>
      <c r="D1889" s="1">
        <f t="shared" si="253"/>
        <v>4670.96</v>
      </c>
      <c r="E1889" s="4">
        <f t="shared" si="254"/>
        <v>4641.3287999999993</v>
      </c>
      <c r="F1889" s="3">
        <f t="shared" si="255"/>
        <v>1.0063842061781965</v>
      </c>
      <c r="G1889" s="18">
        <f t="shared" si="256"/>
        <v>1</v>
      </c>
      <c r="H1889" s="3">
        <f t="shared" si="257"/>
        <v>-8.5687056521194238E-3</v>
      </c>
      <c r="I1889" s="3">
        <f t="shared" si="258"/>
        <v>-8.5687056521194238E-3</v>
      </c>
      <c r="K1889" s="12" t="str">
        <f>IF(AND(G1889=1,G1888&lt;&gt;1),MAX($K$50:K1888)+1,"")</f>
        <v/>
      </c>
      <c r="L1889" s="13" t="str">
        <f>IF(AND(G1889&lt;&gt;1,G1888=1),MAX($L$50:L1888)+1,"")</f>
        <v/>
      </c>
      <c r="M1889" s="13" t="str">
        <f>IF(AND(G1889=-1,G1888&lt;&gt;-1),MAX($M$50:M1888)+1,"")</f>
        <v/>
      </c>
      <c r="N1889" s="13" t="str">
        <f>IF(AND(G1889&lt;&gt;-1,G1888=-1),MAX($N$50:N1888)+1,"")</f>
        <v/>
      </c>
      <c r="T1889" s="7">
        <f t="shared" si="259"/>
        <v>137.66227127024177</v>
      </c>
      <c r="U1889" s="1">
        <f t="shared" si="260"/>
        <v>245.41504447561908</v>
      </c>
    </row>
    <row r="1890" spans="1:21" x14ac:dyDescent="0.3">
      <c r="A1890" s="2">
        <v>42916</v>
      </c>
      <c r="B1890" s="1">
        <v>4678.3599999999997</v>
      </c>
      <c r="C1890" s="2">
        <f t="shared" si="252"/>
        <v>42916</v>
      </c>
      <c r="D1890" s="1">
        <f t="shared" si="253"/>
        <v>4678.3599999999997</v>
      </c>
      <c r="E1890" s="4">
        <f t="shared" si="254"/>
        <v>4644.302999999999</v>
      </c>
      <c r="F1890" s="3">
        <f t="shared" si="255"/>
        <v>1.0073330702152725</v>
      </c>
      <c r="G1890" s="18">
        <f t="shared" si="256"/>
        <v>1</v>
      </c>
      <c r="H1890" s="3">
        <f t="shared" si="257"/>
        <v>1.5842567694863696E-3</v>
      </c>
      <c r="I1890" s="3">
        <f t="shared" si="258"/>
        <v>1.5842567694863696E-3</v>
      </c>
      <c r="K1890" s="12" t="str">
        <f>IF(AND(G1890=1,G1889&lt;&gt;1),MAX($K$50:K1889)+1,"")</f>
        <v/>
      </c>
      <c r="L1890" s="13" t="str">
        <f>IF(AND(G1890&lt;&gt;1,G1889=1),MAX($L$50:L1889)+1,"")</f>
        <v/>
      </c>
      <c r="M1890" s="13" t="str">
        <f>IF(AND(G1890=-1,G1889&lt;&gt;-1),MAX($M$50:M1889)+1,"")</f>
        <v/>
      </c>
      <c r="N1890" s="13" t="str">
        <f>IF(AND(G1890&lt;&gt;-1,G1889=-1),MAX($N$50:N1889)+1,"")</f>
        <v/>
      </c>
      <c r="T1890" s="7">
        <f t="shared" si="259"/>
        <v>137.88036365540452</v>
      </c>
      <c r="U1890" s="1">
        <f t="shared" si="260"/>
        <v>245.80384492116335</v>
      </c>
    </row>
    <row r="1891" spans="1:21" x14ac:dyDescent="0.3">
      <c r="A1891" s="2">
        <v>42919</v>
      </c>
      <c r="B1891" s="1">
        <v>4689.6099999999997</v>
      </c>
      <c r="C1891" s="2">
        <f t="shared" si="252"/>
        <v>42919</v>
      </c>
      <c r="D1891" s="1">
        <f t="shared" si="253"/>
        <v>4689.6099999999997</v>
      </c>
      <c r="E1891" s="4">
        <f t="shared" si="254"/>
        <v>4647.7771999999995</v>
      </c>
      <c r="F1891" s="3">
        <f t="shared" si="255"/>
        <v>1.0090006035573307</v>
      </c>
      <c r="G1891" s="18">
        <f t="shared" si="256"/>
        <v>1</v>
      </c>
      <c r="H1891" s="3">
        <f t="shared" si="257"/>
        <v>2.4046888225788265E-3</v>
      </c>
      <c r="I1891" s="3">
        <f t="shared" si="258"/>
        <v>2.4046888225788265E-3</v>
      </c>
      <c r="K1891" s="12" t="str">
        <f>IF(AND(G1891=1,G1890&lt;&gt;1),MAX($K$50:K1890)+1,"")</f>
        <v/>
      </c>
      <c r="L1891" s="13" t="str">
        <f>IF(AND(G1891&lt;&gt;1,G1890=1),MAX($L$50:L1890)+1,"")</f>
        <v/>
      </c>
      <c r="M1891" s="13" t="str">
        <f>IF(AND(G1891=-1,G1890&lt;&gt;-1),MAX($M$50:M1890)+1,"")</f>
        <v/>
      </c>
      <c r="N1891" s="13" t="str">
        <f>IF(AND(G1891&lt;&gt;-1,G1890=-1),MAX($N$50:N1890)+1,"")</f>
        <v/>
      </c>
      <c r="T1891" s="7">
        <f t="shared" si="259"/>
        <v>138.21192302473978</v>
      </c>
      <c r="U1891" s="1">
        <f t="shared" si="260"/>
        <v>246.39492667959215</v>
      </c>
    </row>
    <row r="1892" spans="1:21" x14ac:dyDescent="0.3">
      <c r="A1892" s="2">
        <v>42921</v>
      </c>
      <c r="B1892" s="1">
        <v>4697.34</v>
      </c>
      <c r="C1892" s="2">
        <f t="shared" si="252"/>
        <v>42921</v>
      </c>
      <c r="D1892" s="1">
        <f t="shared" si="253"/>
        <v>4697.34</v>
      </c>
      <c r="E1892" s="4">
        <f t="shared" si="254"/>
        <v>4650.4253999999983</v>
      </c>
      <c r="F1892" s="3">
        <f t="shared" si="255"/>
        <v>1.0100882383792249</v>
      </c>
      <c r="G1892" s="18">
        <f t="shared" si="256"/>
        <v>1</v>
      </c>
      <c r="H1892" s="3">
        <f t="shared" si="257"/>
        <v>1.6483247007748059E-3</v>
      </c>
      <c r="I1892" s="3">
        <f t="shared" si="258"/>
        <v>1.6483247007748059E-3</v>
      </c>
      <c r="K1892" s="12" t="str">
        <f>IF(AND(G1892=1,G1891&lt;&gt;1),MAX($K$50:K1891)+1,"")</f>
        <v/>
      </c>
      <c r="L1892" s="13" t="str">
        <f>IF(AND(G1892&lt;&gt;1,G1891=1),MAX($L$50:L1891)+1,"")</f>
        <v/>
      </c>
      <c r="M1892" s="13" t="str">
        <f>IF(AND(G1892=-1,G1891&lt;&gt;-1),MAX($M$50:M1891)+1,"")</f>
        <v/>
      </c>
      <c r="N1892" s="13" t="str">
        <f>IF(AND(G1892&lt;&gt;-1,G1891=-1),MAX($N$50:N1891)+1,"")</f>
        <v/>
      </c>
      <c r="T1892" s="7">
        <f t="shared" si="259"/>
        <v>138.43974115140304</v>
      </c>
      <c r="U1892" s="1">
        <f t="shared" si="260"/>
        <v>246.80106552338373</v>
      </c>
    </row>
    <row r="1893" spans="1:21" x14ac:dyDescent="0.3">
      <c r="A1893" s="2">
        <v>42922</v>
      </c>
      <c r="B1893" s="1">
        <v>4655.0200000000004</v>
      </c>
      <c r="C1893" s="2">
        <f t="shared" si="252"/>
        <v>42922</v>
      </c>
      <c r="D1893" s="1">
        <f t="shared" si="253"/>
        <v>4655.0200000000004</v>
      </c>
      <c r="E1893" s="4">
        <f t="shared" si="254"/>
        <v>4651.6709999999994</v>
      </c>
      <c r="F1893" s="3">
        <f t="shared" si="255"/>
        <v>1.0007199563339715</v>
      </c>
      <c r="G1893" s="18">
        <f t="shared" si="256"/>
        <v>1</v>
      </c>
      <c r="H1893" s="3">
        <f t="shared" si="257"/>
        <v>-9.0093542302663865E-3</v>
      </c>
      <c r="I1893" s="3">
        <f t="shared" si="258"/>
        <v>-9.0093542302663865E-3</v>
      </c>
      <c r="K1893" s="12" t="str">
        <f>IF(AND(G1893=1,G1892&lt;&gt;1),MAX($K$50:K1892)+1,"")</f>
        <v/>
      </c>
      <c r="L1893" s="13" t="str">
        <f>IF(AND(G1893&lt;&gt;1,G1892=1),MAX($L$50:L1892)+1,"")</f>
        <v/>
      </c>
      <c r="M1893" s="13" t="str">
        <f>IF(AND(G1893=-1,G1892&lt;&gt;-1),MAX($M$50:M1892)+1,"")</f>
        <v/>
      </c>
      <c r="N1893" s="13" t="str">
        <f>IF(AND(G1893&lt;&gt;-1,G1892=-1),MAX($N$50:N1892)+1,"")</f>
        <v/>
      </c>
      <c r="T1893" s="7">
        <f t="shared" si="259"/>
        <v>137.19248848382367</v>
      </c>
      <c r="U1893" s="1">
        <f t="shared" si="260"/>
        <v>244.57754729967638</v>
      </c>
    </row>
    <row r="1894" spans="1:21" x14ac:dyDescent="0.3">
      <c r="A1894" s="2">
        <v>42923</v>
      </c>
      <c r="B1894" s="1">
        <v>4684.88</v>
      </c>
      <c r="C1894" s="2">
        <f t="shared" si="252"/>
        <v>42923</v>
      </c>
      <c r="D1894" s="1">
        <f t="shared" si="253"/>
        <v>4684.88</v>
      </c>
      <c r="E1894" s="4">
        <f t="shared" si="254"/>
        <v>4653.5573999999997</v>
      </c>
      <c r="F1894" s="3">
        <f t="shared" si="255"/>
        <v>1.0067308936599773</v>
      </c>
      <c r="G1894" s="18">
        <f t="shared" si="256"/>
        <v>1</v>
      </c>
      <c r="H1894" s="3">
        <f t="shared" si="257"/>
        <v>6.4145803884838593E-3</v>
      </c>
      <c r="I1894" s="3">
        <f t="shared" si="258"/>
        <v>6.4145803884838593E-3</v>
      </c>
      <c r="K1894" s="12" t="str">
        <f>IF(AND(G1894=1,G1893&lt;&gt;1),MAX($K$50:K1893)+1,"")</f>
        <v/>
      </c>
      <c r="L1894" s="13" t="str">
        <f>IF(AND(G1894&lt;&gt;1,G1893=1),MAX($L$50:L1893)+1,"")</f>
        <v/>
      </c>
      <c r="M1894" s="13" t="str">
        <f>IF(AND(G1894=-1,G1893&lt;&gt;-1),MAX($M$50:M1893)+1,"")</f>
        <v/>
      </c>
      <c r="N1894" s="13" t="str">
        <f>IF(AND(G1894&lt;&gt;-1,G1893=-1),MAX($N$50:N1893)+1,"")</f>
        <v/>
      </c>
      <c r="T1894" s="7">
        <f t="shared" si="259"/>
        <v>138.07252072989931</v>
      </c>
      <c r="U1894" s="1">
        <f t="shared" si="260"/>
        <v>246.14640963804831</v>
      </c>
    </row>
    <row r="1895" spans="1:21" x14ac:dyDescent="0.3">
      <c r="A1895" s="2">
        <v>42926</v>
      </c>
      <c r="B1895" s="1">
        <v>4689.25</v>
      </c>
      <c r="C1895" s="2">
        <f t="shared" si="252"/>
        <v>42926</v>
      </c>
      <c r="D1895" s="1">
        <f t="shared" si="253"/>
        <v>4689.25</v>
      </c>
      <c r="E1895" s="4">
        <f t="shared" si="254"/>
        <v>4655.4709999999986</v>
      </c>
      <c r="F1895" s="3">
        <f t="shared" si="255"/>
        <v>1.007255764239537</v>
      </c>
      <c r="G1895" s="18">
        <f t="shared" si="256"/>
        <v>1</v>
      </c>
      <c r="H1895" s="3">
        <f t="shared" si="257"/>
        <v>9.3278803299123858E-4</v>
      </c>
      <c r="I1895" s="3">
        <f t="shared" si="258"/>
        <v>9.3278803299123858E-4</v>
      </c>
      <c r="K1895" s="12" t="str">
        <f>IF(AND(G1895=1,G1894&lt;&gt;1),MAX($K$50:K1894)+1,"")</f>
        <v/>
      </c>
      <c r="L1895" s="13" t="str">
        <f>IF(AND(G1895&lt;&gt;1,G1894=1),MAX($L$50:L1894)+1,"")</f>
        <v/>
      </c>
      <c r="M1895" s="13" t="str">
        <f>IF(AND(G1895=-1,G1894&lt;&gt;-1),MAX($M$50:M1894)+1,"")</f>
        <v/>
      </c>
      <c r="N1895" s="13" t="str">
        <f>IF(AND(G1895&lt;&gt;-1,G1894=-1),MAX($N$50:N1894)+1,"")</f>
        <v/>
      </c>
      <c r="T1895" s="7">
        <f t="shared" si="259"/>
        <v>138.20131312492109</v>
      </c>
      <c r="U1895" s="1">
        <f t="shared" si="260"/>
        <v>246.37601206332246</v>
      </c>
    </row>
    <row r="1896" spans="1:21" x14ac:dyDescent="0.3">
      <c r="A1896" s="2">
        <v>42927</v>
      </c>
      <c r="B1896" s="1">
        <v>4685.6400000000003</v>
      </c>
      <c r="C1896" s="2">
        <f t="shared" si="252"/>
        <v>42927</v>
      </c>
      <c r="D1896" s="1">
        <f t="shared" si="253"/>
        <v>4685.6400000000003</v>
      </c>
      <c r="E1896" s="4">
        <f t="shared" si="254"/>
        <v>4657.4873999999991</v>
      </c>
      <c r="F1896" s="3">
        <f t="shared" si="255"/>
        <v>1.0060445896214343</v>
      </c>
      <c r="G1896" s="18">
        <f t="shared" si="256"/>
        <v>1</v>
      </c>
      <c r="H1896" s="3">
        <f t="shared" si="257"/>
        <v>-7.6984592418827269E-4</v>
      </c>
      <c r="I1896" s="3">
        <f t="shared" si="258"/>
        <v>-7.6984592418827269E-4</v>
      </c>
      <c r="K1896" s="12" t="str">
        <f>IF(AND(G1896=1,G1895&lt;&gt;1),MAX($K$50:K1895)+1,"")</f>
        <v/>
      </c>
      <c r="L1896" s="13" t="str">
        <f>IF(AND(G1896&lt;&gt;1,G1895=1),MAX($L$50:L1895)+1,"")</f>
        <v/>
      </c>
      <c r="M1896" s="13" t="str">
        <f>IF(AND(G1896=-1,G1895&lt;&gt;-1),MAX($M$50:M1895)+1,"")</f>
        <v/>
      </c>
      <c r="N1896" s="13" t="str">
        <f>IF(AND(G1896&lt;&gt;-1,G1895=-1),MAX($N$50:N1895)+1,"")</f>
        <v/>
      </c>
      <c r="T1896" s="7">
        <f t="shared" si="259"/>
        <v>138.09491940729438</v>
      </c>
      <c r="U1896" s="1">
        <f t="shared" si="260"/>
        <v>246.18634049461778</v>
      </c>
    </row>
    <row r="1897" spans="1:21" x14ac:dyDescent="0.3">
      <c r="A1897" s="2">
        <v>42928</v>
      </c>
      <c r="B1897" s="1">
        <v>4720.28</v>
      </c>
      <c r="C1897" s="2">
        <f t="shared" si="252"/>
        <v>42928</v>
      </c>
      <c r="D1897" s="1">
        <f t="shared" si="253"/>
        <v>4720.28</v>
      </c>
      <c r="E1897" s="4">
        <f t="shared" si="254"/>
        <v>4660.0373999999983</v>
      </c>
      <c r="F1897" s="3">
        <f t="shared" si="255"/>
        <v>1.0129274928136847</v>
      </c>
      <c r="G1897" s="18">
        <f t="shared" si="256"/>
        <v>1</v>
      </c>
      <c r="H1897" s="3">
        <f t="shared" si="257"/>
        <v>7.3928001297580703E-3</v>
      </c>
      <c r="I1897" s="3">
        <f t="shared" si="258"/>
        <v>7.3928001297580703E-3</v>
      </c>
      <c r="K1897" s="12" t="str">
        <f>IF(AND(G1897=1,G1896&lt;&gt;1),MAX($K$50:K1896)+1,"")</f>
        <v/>
      </c>
      <c r="L1897" s="13" t="str">
        <f>IF(AND(G1897&lt;&gt;1,G1896=1),MAX($L$50:L1896)+1,"")</f>
        <v/>
      </c>
      <c r="M1897" s="13" t="str">
        <f>IF(AND(G1897=-1,G1896&lt;&gt;-1),MAX($M$50:M1896)+1,"")</f>
        <v/>
      </c>
      <c r="N1897" s="13" t="str">
        <f>IF(AND(G1897&lt;&gt;-1,G1896=-1),MAX($N$50:N1896)+1,"")</f>
        <v/>
      </c>
      <c r="T1897" s="7">
        <f t="shared" si="259"/>
        <v>139.11582754540757</v>
      </c>
      <c r="U1897" s="1">
        <f t="shared" si="260"/>
        <v>248.00634690457105</v>
      </c>
    </row>
    <row r="1898" spans="1:21" x14ac:dyDescent="0.3">
      <c r="A1898" s="2">
        <v>42929</v>
      </c>
      <c r="B1898" s="1">
        <v>4729.25</v>
      </c>
      <c r="C1898" s="2">
        <f t="shared" si="252"/>
        <v>42929</v>
      </c>
      <c r="D1898" s="1">
        <f t="shared" si="253"/>
        <v>4729.25</v>
      </c>
      <c r="E1898" s="4">
        <f t="shared" si="254"/>
        <v>4662.6575999999986</v>
      </c>
      <c r="F1898" s="3">
        <f t="shared" si="255"/>
        <v>1.014282069521897</v>
      </c>
      <c r="G1898" s="18">
        <f t="shared" si="256"/>
        <v>1</v>
      </c>
      <c r="H1898" s="3">
        <f t="shared" si="257"/>
        <v>1.9003109985000766E-3</v>
      </c>
      <c r="I1898" s="3">
        <f t="shared" si="258"/>
        <v>1.9003109985000766E-3</v>
      </c>
      <c r="K1898" s="12" t="str">
        <f>IF(AND(G1898=1,G1897&lt;&gt;1),MAX($K$50:K1897)+1,"")</f>
        <v/>
      </c>
      <c r="L1898" s="13" t="str">
        <f>IF(AND(G1898&lt;&gt;1,G1897=1),MAX($L$50:L1897)+1,"")</f>
        <v/>
      </c>
      <c r="M1898" s="13" t="str">
        <f>IF(AND(G1898=-1,G1897&lt;&gt;-1),MAX($M$50:M1897)+1,"")</f>
        <v/>
      </c>
      <c r="N1898" s="13" t="str">
        <f>IF(AND(G1898&lt;&gt;-1,G1897=-1),MAX($N$50:N1897)+1,"")</f>
        <v/>
      </c>
      <c r="T1898" s="7">
        <f t="shared" si="259"/>
        <v>139.38019088255754</v>
      </c>
      <c r="U1898" s="1">
        <f t="shared" si="260"/>
        <v>248.47763609329166</v>
      </c>
    </row>
    <row r="1899" spans="1:21" x14ac:dyDescent="0.3">
      <c r="A1899" s="2">
        <v>42930</v>
      </c>
      <c r="B1899" s="1">
        <v>4751.43</v>
      </c>
      <c r="C1899" s="2">
        <f t="shared" si="252"/>
        <v>42930</v>
      </c>
      <c r="D1899" s="1">
        <f t="shared" si="253"/>
        <v>4751.43</v>
      </c>
      <c r="E1899" s="4">
        <f t="shared" si="254"/>
        <v>4665.8197999999984</v>
      </c>
      <c r="F1899" s="3">
        <f t="shared" si="255"/>
        <v>1.0183483725625242</v>
      </c>
      <c r="G1899" s="18">
        <f t="shared" si="256"/>
        <v>1</v>
      </c>
      <c r="H1899" s="3">
        <f t="shared" si="257"/>
        <v>4.6899614103717013E-3</v>
      </c>
      <c r="I1899" s="3">
        <f t="shared" si="258"/>
        <v>4.6899614103717013E-3</v>
      </c>
      <c r="K1899" s="12" t="str">
        <f>IF(AND(G1899=1,G1898&lt;&gt;1),MAX($K$50:K1898)+1,"")</f>
        <v/>
      </c>
      <c r="L1899" s="13" t="str">
        <f>IF(AND(G1899&lt;&gt;1,G1898=1),MAX($L$50:L1898)+1,"")</f>
        <v/>
      </c>
      <c r="M1899" s="13" t="str">
        <f>IF(AND(G1899=-1,G1898&lt;&gt;-1),MAX($M$50:M1898)+1,"")</f>
        <v/>
      </c>
      <c r="N1899" s="13" t="str">
        <f>IF(AND(G1899&lt;&gt;-1,G1898=-1),MAX($N$50:N1898)+1,"")</f>
        <v/>
      </c>
      <c r="T1899" s="7">
        <f t="shared" si="259"/>
        <v>140.03387859916697</v>
      </c>
      <c r="U1899" s="1">
        <f t="shared" si="260"/>
        <v>249.64298661790957</v>
      </c>
    </row>
    <row r="1900" spans="1:21" x14ac:dyDescent="0.3">
      <c r="A1900" s="2">
        <v>42933</v>
      </c>
      <c r="B1900" s="1">
        <v>4751.33</v>
      </c>
      <c r="C1900" s="2">
        <f t="shared" si="252"/>
        <v>42933</v>
      </c>
      <c r="D1900" s="1">
        <f t="shared" si="253"/>
        <v>4751.33</v>
      </c>
      <c r="E1900" s="4">
        <f t="shared" si="254"/>
        <v>4668.9215999999988</v>
      </c>
      <c r="F1900" s="3">
        <f t="shared" si="255"/>
        <v>1.0176504141770129</v>
      </c>
      <c r="G1900" s="18">
        <f t="shared" si="256"/>
        <v>1</v>
      </c>
      <c r="H1900" s="3">
        <f t="shared" si="257"/>
        <v>-2.1046295536342186E-5</v>
      </c>
      <c r="I1900" s="3">
        <f t="shared" si="258"/>
        <v>-2.1046295536342186E-5</v>
      </c>
      <c r="K1900" s="12" t="str">
        <f>IF(AND(G1900=1,G1899&lt;&gt;1),MAX($K$50:K1899)+1,"")</f>
        <v/>
      </c>
      <c r="L1900" s="13" t="str">
        <f>IF(AND(G1900&lt;&gt;1,G1899=1),MAX($L$50:L1899)+1,"")</f>
        <v/>
      </c>
      <c r="M1900" s="13" t="str">
        <f>IF(AND(G1900=-1,G1899&lt;&gt;-1),MAX($M$50:M1899)+1,"")</f>
        <v/>
      </c>
      <c r="N1900" s="13" t="str">
        <f>IF(AND(G1900&lt;&gt;-1,G1899=-1),MAX($N$50:N1899)+1,"")</f>
        <v/>
      </c>
      <c r="T1900" s="7">
        <f t="shared" si="259"/>
        <v>140.03093140477287</v>
      </c>
      <c r="U1900" s="1">
        <f t="shared" si="260"/>
        <v>249.63773255783462</v>
      </c>
    </row>
    <row r="1901" spans="1:21" x14ac:dyDescent="0.3">
      <c r="A1901" s="2">
        <v>42934</v>
      </c>
      <c r="B1901" s="1">
        <v>4754.2700000000004</v>
      </c>
      <c r="C1901" s="2">
        <f t="shared" si="252"/>
        <v>42934</v>
      </c>
      <c r="D1901" s="1">
        <f t="shared" si="253"/>
        <v>4754.2700000000004</v>
      </c>
      <c r="E1901" s="4">
        <f t="shared" si="254"/>
        <v>4671.7051999999976</v>
      </c>
      <c r="F1901" s="3">
        <f t="shared" si="255"/>
        <v>1.0176733754518592</v>
      </c>
      <c r="G1901" s="18">
        <f t="shared" si="256"/>
        <v>1</v>
      </c>
      <c r="H1901" s="3">
        <f t="shared" si="257"/>
        <v>6.1877411166988416E-4</v>
      </c>
      <c r="I1901" s="3">
        <f t="shared" si="258"/>
        <v>6.1877411166988416E-4</v>
      </c>
      <c r="K1901" s="12" t="str">
        <f>IF(AND(G1901=1,G1900&lt;&gt;1),MAX($K$50:K1900)+1,"")</f>
        <v/>
      </c>
      <c r="L1901" s="13" t="str">
        <f>IF(AND(G1901&lt;&gt;1,G1900=1),MAX($L$50:L1900)+1,"")</f>
        <v/>
      </c>
      <c r="M1901" s="13" t="str">
        <f>IF(AND(G1901=-1,G1900&lt;&gt;-1),MAX($M$50:M1900)+1,"")</f>
        <v/>
      </c>
      <c r="N1901" s="13" t="str">
        <f>IF(AND(G1901&lt;&gt;-1,G1900=-1),MAX($N$50:N1900)+1,"")</f>
        <v/>
      </c>
      <c r="T1901" s="7">
        <f t="shared" si="259"/>
        <v>140.11757891995916</v>
      </c>
      <c r="U1901" s="1">
        <f t="shared" si="260"/>
        <v>249.79220192403739</v>
      </c>
    </row>
    <row r="1902" spans="1:21" x14ac:dyDescent="0.3">
      <c r="A1902" s="2">
        <v>42935</v>
      </c>
      <c r="B1902" s="1">
        <v>4780.25</v>
      </c>
      <c r="C1902" s="2">
        <f t="shared" si="252"/>
        <v>42935</v>
      </c>
      <c r="D1902" s="1">
        <f t="shared" si="253"/>
        <v>4780.25</v>
      </c>
      <c r="E1902" s="4">
        <f t="shared" si="254"/>
        <v>4674.9955999999984</v>
      </c>
      <c r="F1902" s="3">
        <f t="shared" si="255"/>
        <v>1.0225143313503871</v>
      </c>
      <c r="G1902" s="18">
        <f t="shared" si="256"/>
        <v>1</v>
      </c>
      <c r="H1902" s="3">
        <f t="shared" si="257"/>
        <v>5.4645613311821162E-3</v>
      </c>
      <c r="I1902" s="3">
        <f t="shared" si="258"/>
        <v>5.4645613311821162E-3</v>
      </c>
      <c r="K1902" s="12" t="str">
        <f>IF(AND(G1902=1,G1901&lt;&gt;1),MAX($K$50:K1901)+1,"")</f>
        <v/>
      </c>
      <c r="L1902" s="13" t="str">
        <f>IF(AND(G1902&lt;&gt;1,G1901=1),MAX($L$50:L1901)+1,"")</f>
        <v/>
      </c>
      <c r="M1902" s="13" t="str">
        <f>IF(AND(G1902=-1,G1901&lt;&gt;-1),MAX($M$50:M1901)+1,"")</f>
        <v/>
      </c>
      <c r="N1902" s="13" t="str">
        <f>IF(AND(G1902&lt;&gt;-1,G1901=-1),MAX($N$50:N1901)+1,"")</f>
        <v/>
      </c>
      <c r="T1902" s="7">
        <f t="shared" si="259"/>
        <v>140.88326002354401</v>
      </c>
      <c r="U1902" s="1">
        <f t="shared" si="260"/>
        <v>251.15720673150233</v>
      </c>
    </row>
    <row r="1903" spans="1:21" x14ac:dyDescent="0.3">
      <c r="A1903" s="2">
        <v>42936</v>
      </c>
      <c r="B1903" s="1">
        <v>4779.84</v>
      </c>
      <c r="C1903" s="2">
        <f t="shared" si="252"/>
        <v>42936</v>
      </c>
      <c r="D1903" s="1">
        <f t="shared" si="253"/>
        <v>4779.84</v>
      </c>
      <c r="E1903" s="4">
        <f t="shared" si="254"/>
        <v>4678.3681999999981</v>
      </c>
      <c r="F1903" s="3">
        <f t="shared" si="255"/>
        <v>1.0216895711628686</v>
      </c>
      <c r="G1903" s="18">
        <f t="shared" si="256"/>
        <v>1</v>
      </c>
      <c r="H1903" s="3">
        <f t="shared" si="257"/>
        <v>-8.576957272110608E-5</v>
      </c>
      <c r="I1903" s="3">
        <f t="shared" si="258"/>
        <v>-8.576957272110608E-5</v>
      </c>
      <c r="K1903" s="12" t="str">
        <f>IF(AND(G1903=1,G1902&lt;&gt;1),MAX($K$50:K1902)+1,"")</f>
        <v/>
      </c>
      <c r="L1903" s="13" t="str">
        <f>IF(AND(G1903&lt;&gt;1,G1902=1),MAX($L$50:L1902)+1,"")</f>
        <v/>
      </c>
      <c r="M1903" s="13" t="str">
        <f>IF(AND(G1903=-1,G1902&lt;&gt;-1),MAX($M$50:M1902)+1,"")</f>
        <v/>
      </c>
      <c r="N1903" s="13" t="str">
        <f>IF(AND(G1903&lt;&gt;-1,G1902=-1),MAX($N$50:N1902)+1,"")</f>
        <v/>
      </c>
      <c r="T1903" s="7">
        <f t="shared" si="259"/>
        <v>140.87117652652825</v>
      </c>
      <c r="U1903" s="1">
        <f t="shared" si="260"/>
        <v>251.13566508519514</v>
      </c>
    </row>
    <row r="1904" spans="1:21" x14ac:dyDescent="0.3">
      <c r="A1904" s="2">
        <v>42937</v>
      </c>
      <c r="B1904" s="1">
        <v>4778.07</v>
      </c>
      <c r="C1904" s="2">
        <f t="shared" si="252"/>
        <v>42937</v>
      </c>
      <c r="D1904" s="1">
        <f t="shared" si="253"/>
        <v>4778.07</v>
      </c>
      <c r="E1904" s="4">
        <f t="shared" si="254"/>
        <v>4681.5657999999976</v>
      </c>
      <c r="F1904" s="3">
        <f t="shared" si="255"/>
        <v>1.0206136587891175</v>
      </c>
      <c r="G1904" s="18">
        <f t="shared" si="256"/>
        <v>1</v>
      </c>
      <c r="H1904" s="3">
        <f t="shared" si="257"/>
        <v>-3.7030528218529035E-4</v>
      </c>
      <c r="I1904" s="3">
        <f t="shared" si="258"/>
        <v>-3.7030528218529035E-4</v>
      </c>
      <c r="K1904" s="12" t="str">
        <f>IF(AND(G1904=1,G1903&lt;&gt;1),MAX($K$50:K1903)+1,"")</f>
        <v/>
      </c>
      <c r="L1904" s="13" t="str">
        <f>IF(AND(G1904&lt;&gt;1,G1903=1),MAX($L$50:L1903)+1,"")</f>
        <v/>
      </c>
      <c r="M1904" s="13" t="str">
        <f>IF(AND(G1904=-1,G1903&lt;&gt;-1),MAX($M$50:M1903)+1,"")</f>
        <v/>
      </c>
      <c r="N1904" s="13" t="str">
        <f>IF(AND(G1904&lt;&gt;-1,G1903=-1),MAX($N$50:N1903)+1,"")</f>
        <v/>
      </c>
      <c r="T1904" s="7">
        <f t="shared" si="259"/>
        <v>140.81901118575283</v>
      </c>
      <c r="U1904" s="1">
        <f t="shared" si="260"/>
        <v>251.04266822186901</v>
      </c>
    </row>
    <row r="1905" spans="1:21" x14ac:dyDescent="0.3">
      <c r="A1905" s="2">
        <v>42940</v>
      </c>
      <c r="B1905" s="1">
        <v>4773.1000000000004</v>
      </c>
      <c r="C1905" s="2">
        <f t="shared" si="252"/>
        <v>42940</v>
      </c>
      <c r="D1905" s="1">
        <f t="shared" si="253"/>
        <v>4773.1000000000004</v>
      </c>
      <c r="E1905" s="4">
        <f t="shared" si="254"/>
        <v>4684.833999999998</v>
      </c>
      <c r="F1905" s="3">
        <f t="shared" si="255"/>
        <v>1.0188407956397179</v>
      </c>
      <c r="G1905" s="18">
        <f t="shared" si="256"/>
        <v>1</v>
      </c>
      <c r="H1905" s="3">
        <f t="shared" si="257"/>
        <v>-1.0401689385043378E-3</v>
      </c>
      <c r="I1905" s="3">
        <f t="shared" si="258"/>
        <v>-1.0401689385043378E-3</v>
      </c>
      <c r="K1905" s="12" t="str">
        <f>IF(AND(G1905=1,G1904&lt;&gt;1),MAX($K$50:K1904)+1,"")</f>
        <v/>
      </c>
      <c r="L1905" s="13" t="str">
        <f>IF(AND(G1905&lt;&gt;1,G1904=1),MAX($L$50:L1904)+1,"")</f>
        <v/>
      </c>
      <c r="M1905" s="13" t="str">
        <f>IF(AND(G1905=-1,G1904&lt;&gt;-1),MAX($M$50:M1904)+1,"")</f>
        <v/>
      </c>
      <c r="N1905" s="13" t="str">
        <f>IF(AND(G1905&lt;&gt;-1,G1904=-1),MAX($N$50:N1904)+1,"")</f>
        <v/>
      </c>
      <c r="T1905" s="7">
        <f t="shared" si="259"/>
        <v>140.6725356243665</v>
      </c>
      <c r="U1905" s="1">
        <f t="shared" si="260"/>
        <v>250.78154143614537</v>
      </c>
    </row>
    <row r="1906" spans="1:21" x14ac:dyDescent="0.3">
      <c r="A1906" s="2">
        <v>42941</v>
      </c>
      <c r="B1906" s="1">
        <v>4787.04</v>
      </c>
      <c r="C1906" s="2">
        <f t="shared" si="252"/>
        <v>42941</v>
      </c>
      <c r="D1906" s="1">
        <f t="shared" si="253"/>
        <v>4787.04</v>
      </c>
      <c r="E1906" s="4">
        <f t="shared" si="254"/>
        <v>4688.5155999999979</v>
      </c>
      <c r="F1906" s="3">
        <f t="shared" si="255"/>
        <v>1.0210139857484961</v>
      </c>
      <c r="G1906" s="18">
        <f t="shared" si="256"/>
        <v>1</v>
      </c>
      <c r="H1906" s="3">
        <f t="shared" si="257"/>
        <v>2.9205338249773671E-3</v>
      </c>
      <c r="I1906" s="3">
        <f t="shared" si="258"/>
        <v>2.9205338249773671E-3</v>
      </c>
      <c r="K1906" s="12" t="str">
        <f>IF(AND(G1906=1,G1905&lt;&gt;1),MAX($K$50:K1905)+1,"")</f>
        <v/>
      </c>
      <c r="L1906" s="13" t="str">
        <f>IF(AND(G1906&lt;&gt;1,G1905=1),MAX($L$50:L1905)+1,"")</f>
        <v/>
      </c>
      <c r="M1906" s="13" t="str">
        <f>IF(AND(G1906=-1,G1905&lt;&gt;-1),MAX($M$50:M1905)+1,"")</f>
        <v/>
      </c>
      <c r="N1906" s="13" t="str">
        <f>IF(AND(G1906&lt;&gt;-1,G1905=-1),MAX($N$50:N1905)+1,"")</f>
        <v/>
      </c>
      <c r="T1906" s="7">
        <f t="shared" si="259"/>
        <v>141.0833745229028</v>
      </c>
      <c r="U1906" s="1">
        <f t="shared" si="260"/>
        <v>251.51395741058963</v>
      </c>
    </row>
    <row r="1907" spans="1:21" x14ac:dyDescent="0.3">
      <c r="A1907" s="2">
        <v>42942</v>
      </c>
      <c r="B1907" s="1">
        <v>4788.41</v>
      </c>
      <c r="C1907" s="2">
        <f t="shared" si="252"/>
        <v>42942</v>
      </c>
      <c r="D1907" s="1">
        <f t="shared" si="253"/>
        <v>4788.41</v>
      </c>
      <c r="E1907" s="4">
        <f t="shared" si="254"/>
        <v>4691.7735999999977</v>
      </c>
      <c r="F1907" s="3">
        <f t="shared" si="255"/>
        <v>1.0205969870327933</v>
      </c>
      <c r="G1907" s="18">
        <f t="shared" si="256"/>
        <v>1</v>
      </c>
      <c r="H1907" s="3">
        <f t="shared" si="257"/>
        <v>2.8618937798730038E-4</v>
      </c>
      <c r="I1907" s="3">
        <f t="shared" si="258"/>
        <v>2.8618937798730038E-4</v>
      </c>
      <c r="K1907" s="12" t="str">
        <f>IF(AND(G1907=1,G1906&lt;&gt;1),MAX($K$50:K1906)+1,"")</f>
        <v/>
      </c>
      <c r="L1907" s="13" t="str">
        <f>IF(AND(G1907&lt;&gt;1,G1906=1),MAX($L$50:L1906)+1,"")</f>
        <v/>
      </c>
      <c r="M1907" s="13" t="str">
        <f>IF(AND(G1907=-1,G1906&lt;&gt;-1),MAX($M$50:M1906)+1,"")</f>
        <v/>
      </c>
      <c r="N1907" s="13" t="str">
        <f>IF(AND(G1907&lt;&gt;-1,G1906=-1),MAX($N$50:N1906)+1,"")</f>
        <v/>
      </c>
      <c r="T1907" s="7">
        <f t="shared" si="259"/>
        <v>141.12375108610186</v>
      </c>
      <c r="U1907" s="1">
        <f t="shared" si="260"/>
        <v>251.58593803361606</v>
      </c>
    </row>
    <row r="1908" spans="1:21" x14ac:dyDescent="0.3">
      <c r="A1908" s="2">
        <v>42943</v>
      </c>
      <c r="B1908" s="1">
        <v>4784.26</v>
      </c>
      <c r="C1908" s="2">
        <f t="shared" ref="C1908:C1971" si="261">A1908</f>
        <v>42943</v>
      </c>
      <c r="D1908" s="1">
        <f t="shared" ref="D1908:D1971" si="262">B1908</f>
        <v>4784.26</v>
      </c>
      <c r="E1908" s="4">
        <f t="shared" ref="E1908:E1971" si="263">AVERAGE(B1859:B1908)</f>
        <v>4694.993599999998</v>
      </c>
      <c r="F1908" s="3">
        <f t="shared" ref="F1908:F1971" si="264">D1908/E1908</f>
        <v>1.0190131036600354</v>
      </c>
      <c r="G1908" s="18">
        <f t="shared" ref="G1908:G1971" si="265">IF(F1908&gt;=$Q$51,1,IF(F1908&lt;=$Q$52,-1,0))</f>
        <v>1</v>
      </c>
      <c r="H1908" s="3">
        <f t="shared" si="257"/>
        <v>-8.6667599474554713E-4</v>
      </c>
      <c r="I1908" s="3">
        <f t="shared" si="258"/>
        <v>-8.6667599474554713E-4</v>
      </c>
      <c r="K1908" s="12" t="str">
        <f>IF(AND(G1908=1,G1907&lt;&gt;1),MAX($K$50:K1907)+1,"")</f>
        <v/>
      </c>
      <c r="L1908" s="13" t="str">
        <f>IF(AND(G1908&lt;&gt;1,G1907=1),MAX($L$50:L1907)+1,"")</f>
        <v/>
      </c>
      <c r="M1908" s="13" t="str">
        <f>IF(AND(G1908=-1,G1907&lt;&gt;-1),MAX($M$50:M1907)+1,"")</f>
        <v/>
      </c>
      <c r="N1908" s="13" t="str">
        <f>IF(AND(G1908&lt;&gt;-1,G1907=-1),MAX($N$50:N1907)+1,"")</f>
        <v/>
      </c>
      <c r="T1908" s="7">
        <f t="shared" si="259"/>
        <v>141.0014425187471</v>
      </c>
      <c r="U1908" s="1">
        <f t="shared" si="260"/>
        <v>251.36789454050677</v>
      </c>
    </row>
    <row r="1909" spans="1:21" x14ac:dyDescent="0.3">
      <c r="A1909" s="2">
        <v>42944</v>
      </c>
      <c r="B1909" s="1">
        <v>4778.0200000000004</v>
      </c>
      <c r="C1909" s="2">
        <f t="shared" si="261"/>
        <v>42944</v>
      </c>
      <c r="D1909" s="1">
        <f t="shared" si="262"/>
        <v>4778.0200000000004</v>
      </c>
      <c r="E1909" s="4">
        <f t="shared" si="263"/>
        <v>4699.7423999999992</v>
      </c>
      <c r="F1909" s="3">
        <f t="shared" si="264"/>
        <v>1.0166557213859213</v>
      </c>
      <c r="G1909" s="18">
        <f t="shared" si="265"/>
        <v>1</v>
      </c>
      <c r="H1909" s="3">
        <f t="shared" ref="H1909:H1972" si="266">D1909/D1908-1</f>
        <v>-1.3042769414705058E-3</v>
      </c>
      <c r="I1909" s="3">
        <f t="shared" ref="I1909:I1972" si="267">G1908*H1909</f>
        <v>-1.3042769414705058E-3</v>
      </c>
      <c r="K1909" s="12" t="str">
        <f>IF(AND(G1909=1,G1908&lt;&gt;1),MAX($K$50:K1908)+1,"")</f>
        <v/>
      </c>
      <c r="L1909" s="13" t="str">
        <f>IF(AND(G1909&lt;&gt;1,G1908=1),MAX($L$50:L1908)+1,"")</f>
        <v/>
      </c>
      <c r="M1909" s="13" t="str">
        <f>IF(AND(G1909=-1,G1908&lt;&gt;-1),MAX($M$50:M1908)+1,"")</f>
        <v/>
      </c>
      <c r="N1909" s="13" t="str">
        <f>IF(AND(G1909&lt;&gt;-1,G1908=-1),MAX($N$50:N1908)+1,"")</f>
        <v/>
      </c>
      <c r="T1909" s="7">
        <f t="shared" ref="T1909:T1972" si="268">T1908*(1+I1909)</f>
        <v>140.81753758855581</v>
      </c>
      <c r="U1909" s="1">
        <f t="shared" ref="U1909:U1972" si="269">U1908*D1909/D1908</f>
        <v>251.04004119183159</v>
      </c>
    </row>
    <row r="1910" spans="1:21" x14ac:dyDescent="0.3">
      <c r="A1910" s="2">
        <v>42947</v>
      </c>
      <c r="B1910" s="1">
        <v>4774.5600000000004</v>
      </c>
      <c r="C1910" s="2">
        <f t="shared" si="261"/>
        <v>42947</v>
      </c>
      <c r="D1910" s="1">
        <f t="shared" si="262"/>
        <v>4774.5600000000004</v>
      </c>
      <c r="E1910" s="4">
        <f t="shared" si="263"/>
        <v>4704.085399999999</v>
      </c>
      <c r="F1910" s="3">
        <f t="shared" si="264"/>
        <v>1.0149815732512002</v>
      </c>
      <c r="G1910" s="18">
        <f t="shared" si="265"/>
        <v>1</v>
      </c>
      <c r="H1910" s="3">
        <f t="shared" si="266"/>
        <v>-7.2414933382447533E-4</v>
      </c>
      <c r="I1910" s="3">
        <f t="shared" si="267"/>
        <v>-7.2414933382447533E-4</v>
      </c>
      <c r="K1910" s="12" t="str">
        <f>IF(AND(G1910=1,G1909&lt;&gt;1),MAX($K$50:K1909)+1,"")</f>
        <v/>
      </c>
      <c r="L1910" s="13" t="str">
        <f>IF(AND(G1910&lt;&gt;1,G1909=1),MAX($L$50:L1909)+1,"")</f>
        <v/>
      </c>
      <c r="M1910" s="13" t="str">
        <f>IF(AND(G1910=-1,G1909&lt;&gt;-1),MAX($M$50:M1909)+1,"")</f>
        <v/>
      </c>
      <c r="N1910" s="13" t="str">
        <f>IF(AND(G1910&lt;&gt;-1,G1909=-1),MAX($N$50:N1909)+1,"")</f>
        <v/>
      </c>
      <c r="T1910" s="7">
        <f t="shared" si="268"/>
        <v>140.71556466252025</v>
      </c>
      <c r="U1910" s="1">
        <f t="shared" si="269"/>
        <v>250.85825071323927</v>
      </c>
    </row>
    <row r="1911" spans="1:21" x14ac:dyDescent="0.3">
      <c r="A1911" s="2">
        <v>42948</v>
      </c>
      <c r="B1911" s="1">
        <v>4786.2700000000004</v>
      </c>
      <c r="C1911" s="2">
        <f t="shared" si="261"/>
        <v>42948</v>
      </c>
      <c r="D1911" s="1">
        <f t="shared" si="262"/>
        <v>4786.2700000000004</v>
      </c>
      <c r="E1911" s="4">
        <f t="shared" si="263"/>
        <v>4708.0437999999986</v>
      </c>
      <c r="F1911" s="3">
        <f t="shared" si="264"/>
        <v>1.0166154359056732</v>
      </c>
      <c r="G1911" s="18">
        <f t="shared" si="265"/>
        <v>1</v>
      </c>
      <c r="H1911" s="3">
        <f t="shared" si="266"/>
        <v>2.4525820180290037E-3</v>
      </c>
      <c r="I1911" s="3">
        <f t="shared" si="267"/>
        <v>2.4525820180290037E-3</v>
      </c>
      <c r="K1911" s="12" t="str">
        <f>IF(AND(G1911=1,G1910&lt;&gt;1),MAX($K$50:K1910)+1,"")</f>
        <v/>
      </c>
      <c r="L1911" s="13" t="str">
        <f>IF(AND(G1911&lt;&gt;1,G1910=1),MAX($L$50:L1910)+1,"")</f>
        <v/>
      </c>
      <c r="M1911" s="13" t="str">
        <f>IF(AND(G1911=-1,G1910&lt;&gt;-1),MAX($M$50:M1910)+1,"")</f>
        <v/>
      </c>
      <c r="N1911" s="13" t="str">
        <f>IF(AND(G1911&lt;&gt;-1,G1910=-1),MAX($N$50:N1910)+1,"")</f>
        <v/>
      </c>
      <c r="T1911" s="7">
        <f t="shared" si="268"/>
        <v>141.06068112606835</v>
      </c>
      <c r="U1911" s="1">
        <f t="shared" si="269"/>
        <v>251.47350114801273</v>
      </c>
    </row>
    <row r="1912" spans="1:21" x14ac:dyDescent="0.3">
      <c r="A1912" s="2">
        <v>42949</v>
      </c>
      <c r="B1912" s="1">
        <v>4789.54</v>
      </c>
      <c r="C1912" s="2">
        <f t="shared" si="261"/>
        <v>42949</v>
      </c>
      <c r="D1912" s="1">
        <f t="shared" si="262"/>
        <v>4789.54</v>
      </c>
      <c r="E1912" s="4">
        <f t="shared" si="263"/>
        <v>4711.5922</v>
      </c>
      <c r="F1912" s="3">
        <f t="shared" si="264"/>
        <v>1.0165438341628972</v>
      </c>
      <c r="G1912" s="18">
        <f t="shared" si="265"/>
        <v>1</v>
      </c>
      <c r="H1912" s="3">
        <f t="shared" si="266"/>
        <v>6.8320424882006847E-4</v>
      </c>
      <c r="I1912" s="3">
        <f t="shared" si="267"/>
        <v>6.8320424882006847E-4</v>
      </c>
      <c r="K1912" s="12" t="str">
        <f>IF(AND(G1912=1,G1911&lt;&gt;1),MAX($K$50:K1911)+1,"")</f>
        <v/>
      </c>
      <c r="L1912" s="13" t="str">
        <f>IF(AND(G1912&lt;&gt;1,G1911=1),MAX($L$50:L1911)+1,"")</f>
        <v/>
      </c>
      <c r="M1912" s="13" t="str">
        <f>IF(AND(G1912=-1,G1911&lt;&gt;-1),MAX($M$50:M1911)+1,"")</f>
        <v/>
      </c>
      <c r="N1912" s="13" t="str">
        <f>IF(AND(G1912&lt;&gt;-1,G1911=-1),MAX($N$50:N1911)+1,"")</f>
        <v/>
      </c>
      <c r="T1912" s="7">
        <f t="shared" si="268"/>
        <v>141.15705438275512</v>
      </c>
      <c r="U1912" s="1">
        <f t="shared" si="269"/>
        <v>251.6453089124627</v>
      </c>
    </row>
    <row r="1913" spans="1:21" x14ac:dyDescent="0.3">
      <c r="A1913" s="2">
        <v>42950</v>
      </c>
      <c r="B1913" s="1">
        <v>4779.99</v>
      </c>
      <c r="C1913" s="2">
        <f t="shared" si="261"/>
        <v>42950</v>
      </c>
      <c r="D1913" s="1">
        <f t="shared" si="262"/>
        <v>4779.99</v>
      </c>
      <c r="E1913" s="4">
        <f t="shared" si="263"/>
        <v>4714.7779999999993</v>
      </c>
      <c r="F1913" s="3">
        <f t="shared" si="264"/>
        <v>1.0138314041509484</v>
      </c>
      <c r="G1913" s="18">
        <f t="shared" si="265"/>
        <v>1</v>
      </c>
      <c r="H1913" s="3">
        <f t="shared" si="266"/>
        <v>-1.993928435716219E-3</v>
      </c>
      <c r="I1913" s="3">
        <f t="shared" si="267"/>
        <v>-1.993928435716219E-3</v>
      </c>
      <c r="K1913" s="12" t="str">
        <f>IF(AND(G1913=1,G1912&lt;&gt;1),MAX($K$50:K1912)+1,"")</f>
        <v/>
      </c>
      <c r="L1913" s="13" t="str">
        <f>IF(AND(G1913&lt;&gt;1,G1912=1),MAX($L$50:L1912)+1,"")</f>
        <v/>
      </c>
      <c r="M1913" s="13" t="str">
        <f>IF(AND(G1913=-1,G1912&lt;&gt;-1),MAX($M$50:M1912)+1,"")</f>
        <v/>
      </c>
      <c r="N1913" s="13" t="str">
        <f>IF(AND(G1913&lt;&gt;-1,G1912=-1),MAX($N$50:N1912)+1,"")</f>
        <v/>
      </c>
      <c r="T1913" s="7">
        <f t="shared" si="268"/>
        <v>140.87559731811942</v>
      </c>
      <c r="U1913" s="1">
        <f t="shared" si="269"/>
        <v>251.14354617530753</v>
      </c>
    </row>
    <row r="1914" spans="1:21" x14ac:dyDescent="0.3">
      <c r="A1914" s="2">
        <v>42951</v>
      </c>
      <c r="B1914" s="1">
        <v>4789.1099999999997</v>
      </c>
      <c r="C1914" s="2">
        <f t="shared" si="261"/>
        <v>42951</v>
      </c>
      <c r="D1914" s="1">
        <f t="shared" si="262"/>
        <v>4789.1099999999997</v>
      </c>
      <c r="E1914" s="4">
        <f t="shared" si="263"/>
        <v>4717.9128000000001</v>
      </c>
      <c r="F1914" s="3">
        <f t="shared" si="264"/>
        <v>1.0150908257566778</v>
      </c>
      <c r="G1914" s="18">
        <f t="shared" si="265"/>
        <v>1</v>
      </c>
      <c r="H1914" s="3">
        <f t="shared" si="266"/>
        <v>1.9079537823301074E-3</v>
      </c>
      <c r="I1914" s="3">
        <f t="shared" si="267"/>
        <v>1.9079537823301074E-3</v>
      </c>
      <c r="K1914" s="12" t="str">
        <f>IF(AND(G1914=1,G1913&lt;&gt;1),MAX($K$50:K1913)+1,"")</f>
        <v/>
      </c>
      <c r="L1914" s="13" t="str">
        <f>IF(AND(G1914&lt;&gt;1,G1913=1),MAX($L$50:L1913)+1,"")</f>
        <v/>
      </c>
      <c r="M1914" s="13" t="str">
        <f>IF(AND(G1914=-1,G1913&lt;&gt;-1),MAX($M$50:M1913)+1,"")</f>
        <v/>
      </c>
      <c r="N1914" s="13" t="str">
        <f>IF(AND(G1914&lt;&gt;-1,G1913=-1),MAX($N$50:N1913)+1,"")</f>
        <v/>
      </c>
      <c r="T1914" s="7">
        <f t="shared" si="268"/>
        <v>141.14438144686054</v>
      </c>
      <c r="U1914" s="1">
        <f t="shared" si="269"/>
        <v>251.62271645414049</v>
      </c>
    </row>
    <row r="1915" spans="1:21" x14ac:dyDescent="0.3">
      <c r="A1915" s="2">
        <v>42954</v>
      </c>
      <c r="B1915" s="1">
        <v>4797.13</v>
      </c>
      <c r="C1915" s="2">
        <f t="shared" si="261"/>
        <v>42954</v>
      </c>
      <c r="D1915" s="1">
        <f t="shared" si="262"/>
        <v>4797.13</v>
      </c>
      <c r="E1915" s="4">
        <f t="shared" si="263"/>
        <v>4720.7835999999988</v>
      </c>
      <c r="F1915" s="3">
        <f t="shared" si="264"/>
        <v>1.0161723998532788</v>
      </c>
      <c r="G1915" s="18">
        <f t="shared" si="265"/>
        <v>1</v>
      </c>
      <c r="H1915" s="3">
        <f t="shared" si="266"/>
        <v>1.6746326561720704E-3</v>
      </c>
      <c r="I1915" s="3">
        <f t="shared" si="267"/>
        <v>1.6746326561720704E-3</v>
      </c>
      <c r="K1915" s="12" t="str">
        <f>IF(AND(G1915=1,G1914&lt;&gt;1),MAX($K$50:K1914)+1,"")</f>
        <v/>
      </c>
      <c r="L1915" s="13" t="str">
        <f>IF(AND(G1915&lt;&gt;1,G1914=1),MAX($L$50:L1914)+1,"")</f>
        <v/>
      </c>
      <c r="M1915" s="13" t="str">
        <f>IF(AND(G1915=-1,G1914&lt;&gt;-1),MAX($M$50:M1914)+1,"")</f>
        <v/>
      </c>
      <c r="N1915" s="13" t="str">
        <f>IF(AND(G1915&lt;&gt;-1,G1914=-1),MAX($N$50:N1914)+1,"")</f>
        <v/>
      </c>
      <c r="T1915" s="7">
        <f t="shared" si="268"/>
        <v>141.38074643726665</v>
      </c>
      <c r="U1915" s="1">
        <f t="shared" si="269"/>
        <v>252.04409207214931</v>
      </c>
    </row>
    <row r="1916" spans="1:21" x14ac:dyDescent="0.3">
      <c r="A1916" s="2">
        <v>42955</v>
      </c>
      <c r="B1916" s="1">
        <v>4786.12</v>
      </c>
      <c r="C1916" s="2">
        <f t="shared" si="261"/>
        <v>42955</v>
      </c>
      <c r="D1916" s="1">
        <f t="shared" si="262"/>
        <v>4786.12</v>
      </c>
      <c r="E1916" s="4">
        <f t="shared" si="263"/>
        <v>4723.393</v>
      </c>
      <c r="F1916" s="3">
        <f t="shared" si="264"/>
        <v>1.0132800721853972</v>
      </c>
      <c r="G1916" s="18">
        <f t="shared" si="265"/>
        <v>1</v>
      </c>
      <c r="H1916" s="3">
        <f t="shared" si="266"/>
        <v>-2.295122291870344E-3</v>
      </c>
      <c r="I1916" s="3">
        <f t="shared" si="267"/>
        <v>-2.295122291870344E-3</v>
      </c>
      <c r="K1916" s="12" t="str">
        <f>IF(AND(G1916=1,G1915&lt;&gt;1),MAX($K$50:K1915)+1,"")</f>
        <v/>
      </c>
      <c r="L1916" s="13" t="str">
        <f>IF(AND(G1916&lt;&gt;1,G1915=1),MAX($L$50:L1915)+1,"")</f>
        <v/>
      </c>
      <c r="M1916" s="13" t="str">
        <f>IF(AND(G1916=-1,G1915&lt;&gt;-1),MAX($M$50:M1915)+1,"")</f>
        <v/>
      </c>
      <c r="N1916" s="13" t="str">
        <f>IF(AND(G1916&lt;&gt;-1,G1915=-1),MAX($N$50:N1915)+1,"")</f>
        <v/>
      </c>
      <c r="T1916" s="7">
        <f t="shared" si="268"/>
        <v>141.0562603344772</v>
      </c>
      <c r="U1916" s="1">
        <f t="shared" si="269"/>
        <v>251.46562005790028</v>
      </c>
    </row>
    <row r="1917" spans="1:21" x14ac:dyDescent="0.3">
      <c r="A1917" s="2">
        <v>42956</v>
      </c>
      <c r="B1917" s="1">
        <v>4784.9399999999996</v>
      </c>
      <c r="C1917" s="2">
        <f t="shared" si="261"/>
        <v>42956</v>
      </c>
      <c r="D1917" s="1">
        <f t="shared" si="262"/>
        <v>4784.9399999999996</v>
      </c>
      <c r="E1917" s="4">
        <f t="shared" si="263"/>
        <v>4726.0765999999994</v>
      </c>
      <c r="F1917" s="3">
        <f t="shared" si="264"/>
        <v>1.0124550245334576</v>
      </c>
      <c r="G1917" s="18">
        <f t="shared" si="265"/>
        <v>1</v>
      </c>
      <c r="H1917" s="3">
        <f t="shared" si="266"/>
        <v>-2.4654626294373649E-4</v>
      </c>
      <c r="I1917" s="3">
        <f t="shared" si="267"/>
        <v>-2.4654626294373649E-4</v>
      </c>
      <c r="K1917" s="12" t="str">
        <f>IF(AND(G1917=1,G1916&lt;&gt;1),MAX($K$50:K1916)+1,"")</f>
        <v/>
      </c>
      <c r="L1917" s="13" t="str">
        <f>IF(AND(G1917&lt;&gt;1,G1916=1),MAX($L$50:L1916)+1,"")</f>
        <v/>
      </c>
      <c r="M1917" s="13" t="str">
        <f>IF(AND(G1917=-1,G1916&lt;&gt;-1),MAX($M$50:M1916)+1,"")</f>
        <v/>
      </c>
      <c r="N1917" s="13" t="str">
        <f>IF(AND(G1917&lt;&gt;-1,G1916=-1),MAX($N$50:N1916)+1,"")</f>
        <v/>
      </c>
      <c r="T1917" s="7">
        <f t="shared" si="268"/>
        <v>141.02148344062692</v>
      </c>
      <c r="U1917" s="1">
        <f t="shared" si="269"/>
        <v>251.40362214901617</v>
      </c>
    </row>
    <row r="1918" spans="1:21" x14ac:dyDescent="0.3">
      <c r="A1918" s="2">
        <v>42957</v>
      </c>
      <c r="B1918" s="1">
        <v>4717.3999999999996</v>
      </c>
      <c r="C1918" s="2">
        <f t="shared" si="261"/>
        <v>42957</v>
      </c>
      <c r="D1918" s="1">
        <f t="shared" si="262"/>
        <v>4717.3999999999996</v>
      </c>
      <c r="E1918" s="4">
        <f t="shared" si="263"/>
        <v>4727.4377999999997</v>
      </c>
      <c r="F1918" s="3">
        <f t="shared" si="264"/>
        <v>0.99787669337500329</v>
      </c>
      <c r="G1918" s="18">
        <f t="shared" si="265"/>
        <v>1</v>
      </c>
      <c r="H1918" s="3">
        <f t="shared" si="266"/>
        <v>-1.4115119520829889E-2</v>
      </c>
      <c r="I1918" s="3">
        <f t="shared" si="267"/>
        <v>-1.4115119520829889E-2</v>
      </c>
      <c r="K1918" s="12" t="str">
        <f>IF(AND(G1918=1,G1917&lt;&gt;1),MAX($K$50:K1917)+1,"")</f>
        <v/>
      </c>
      <c r="L1918" s="13" t="str">
        <f>IF(AND(G1918&lt;&gt;1,G1917=1),MAX($L$50:L1917)+1,"")</f>
        <v/>
      </c>
      <c r="M1918" s="13" t="str">
        <f>IF(AND(G1918=-1,G1917&lt;&gt;-1),MAX($M$50:M1917)+1,"")</f>
        <v/>
      </c>
      <c r="N1918" s="13" t="str">
        <f>IF(AND(G1918&lt;&gt;-1,G1917=-1),MAX($N$50:N1917)+1,"")</f>
        <v/>
      </c>
      <c r="T1918" s="7">
        <f t="shared" si="268"/>
        <v>139.03094834685774</v>
      </c>
      <c r="U1918" s="1">
        <f t="shared" si="269"/>
        <v>247.85502997441324</v>
      </c>
    </row>
    <row r="1919" spans="1:21" x14ac:dyDescent="0.3">
      <c r="A1919" s="2">
        <v>42958</v>
      </c>
      <c r="B1919" s="1">
        <v>4723.7299999999996</v>
      </c>
      <c r="C1919" s="2">
        <f t="shared" si="261"/>
        <v>42958</v>
      </c>
      <c r="D1919" s="1">
        <f t="shared" si="262"/>
        <v>4723.7299999999996</v>
      </c>
      <c r="E1919" s="4">
        <f t="shared" si="263"/>
        <v>4728.2101999999995</v>
      </c>
      <c r="F1919" s="3">
        <f t="shared" si="264"/>
        <v>0.99905245329406045</v>
      </c>
      <c r="G1919" s="18">
        <f t="shared" si="265"/>
        <v>1</v>
      </c>
      <c r="H1919" s="3">
        <f t="shared" si="266"/>
        <v>1.3418408445329266E-3</v>
      </c>
      <c r="I1919" s="3">
        <f t="shared" si="267"/>
        <v>1.3418408445329266E-3</v>
      </c>
      <c r="K1919" s="12" t="str">
        <f>IF(AND(G1919=1,G1918&lt;&gt;1),MAX($K$50:K1918)+1,"")</f>
        <v/>
      </c>
      <c r="L1919" s="13" t="str">
        <f>IF(AND(G1919&lt;&gt;1,G1918=1),MAX($L$50:L1918)+1,"")</f>
        <v/>
      </c>
      <c r="M1919" s="13" t="str">
        <f>IF(AND(G1919=-1,G1918&lt;&gt;-1),MAX($M$50:M1918)+1,"")</f>
        <v/>
      </c>
      <c r="N1919" s="13" t="str">
        <f>IF(AND(G1919&lt;&gt;-1,G1918=-1),MAX($N$50:N1918)+1,"")</f>
        <v/>
      </c>
      <c r="T1919" s="7">
        <f t="shared" si="268"/>
        <v>139.21750575200369</v>
      </c>
      <c r="U1919" s="1">
        <f t="shared" si="269"/>
        <v>248.18761197715585</v>
      </c>
    </row>
    <row r="1920" spans="1:21" x14ac:dyDescent="0.3">
      <c r="A1920" s="2">
        <v>42961</v>
      </c>
      <c r="B1920" s="1">
        <v>4771.43</v>
      </c>
      <c r="C1920" s="2">
        <f t="shared" si="261"/>
        <v>42961</v>
      </c>
      <c r="D1920" s="1">
        <f t="shared" si="262"/>
        <v>4771.43</v>
      </c>
      <c r="E1920" s="4">
        <f t="shared" si="263"/>
        <v>4729.5875999999998</v>
      </c>
      <c r="F1920" s="3">
        <f t="shared" si="264"/>
        <v>1.0088469447103592</v>
      </c>
      <c r="G1920" s="18">
        <f t="shared" si="265"/>
        <v>1</v>
      </c>
      <c r="H1920" s="3">
        <f t="shared" si="266"/>
        <v>1.0097952253833364E-2</v>
      </c>
      <c r="I1920" s="3">
        <f t="shared" si="267"/>
        <v>1.0097952253833364E-2</v>
      </c>
      <c r="K1920" s="12" t="str">
        <f>IF(AND(G1920=1,G1919&lt;&gt;1),MAX($K$50:K1919)+1,"")</f>
        <v/>
      </c>
      <c r="L1920" s="13" t="str">
        <f>IF(AND(G1920&lt;&gt;1,G1919=1),MAX($L$50:L1919)+1,"")</f>
        <v/>
      </c>
      <c r="M1920" s="13" t="str">
        <f>IF(AND(G1920=-1,G1919&lt;&gt;-1),MAX($M$50:M1919)+1,"")</f>
        <v/>
      </c>
      <c r="N1920" s="13" t="str">
        <f>IF(AND(G1920&lt;&gt;-1,G1919=-1),MAX($N$50:N1919)+1,"")</f>
        <v/>
      </c>
      <c r="T1920" s="7">
        <f t="shared" si="268"/>
        <v>140.62331747798518</v>
      </c>
      <c r="U1920" s="1">
        <f t="shared" si="269"/>
        <v>250.69379863289413</v>
      </c>
    </row>
    <row r="1921" spans="1:21" x14ac:dyDescent="0.3">
      <c r="A1921" s="2">
        <v>42962</v>
      </c>
      <c r="B1921" s="1">
        <v>4770.1499999999996</v>
      </c>
      <c r="C1921" s="2">
        <f t="shared" si="261"/>
        <v>42962</v>
      </c>
      <c r="D1921" s="1">
        <f t="shared" si="262"/>
        <v>4770.1499999999996</v>
      </c>
      <c r="E1921" s="4">
        <f t="shared" si="263"/>
        <v>4731.0505999999996</v>
      </c>
      <c r="F1921" s="3">
        <f t="shared" si="264"/>
        <v>1.0082644222828647</v>
      </c>
      <c r="G1921" s="18">
        <f t="shared" si="265"/>
        <v>1</v>
      </c>
      <c r="H1921" s="3">
        <f t="shared" si="266"/>
        <v>-2.6826339273566813E-4</v>
      </c>
      <c r="I1921" s="3">
        <f t="shared" si="267"/>
        <v>-2.6826339273566813E-4</v>
      </c>
      <c r="K1921" s="12" t="str">
        <f>IF(AND(G1921=1,G1920&lt;&gt;1),MAX($K$50:K1920)+1,"")</f>
        <v/>
      </c>
      <c r="L1921" s="13" t="str">
        <f>IF(AND(G1921&lt;&gt;1,G1920=1),MAX($L$50:L1920)+1,"")</f>
        <v/>
      </c>
      <c r="M1921" s="13" t="str">
        <f>IF(AND(G1921=-1,G1920&lt;&gt;-1),MAX($M$50:M1920)+1,"")</f>
        <v/>
      </c>
      <c r="N1921" s="13" t="str">
        <f>IF(AND(G1921&lt;&gt;-1,G1920=-1),MAX($N$50:N1920)+1,"")</f>
        <v/>
      </c>
      <c r="T1921" s="7">
        <f t="shared" si="268"/>
        <v>140.58559338974078</v>
      </c>
      <c r="U1921" s="1">
        <f t="shared" si="269"/>
        <v>250.6265466639351</v>
      </c>
    </row>
    <row r="1922" spans="1:21" x14ac:dyDescent="0.3">
      <c r="A1922" s="2">
        <v>42963</v>
      </c>
      <c r="B1922" s="1">
        <v>4778.28</v>
      </c>
      <c r="C1922" s="2">
        <f t="shared" si="261"/>
        <v>42963</v>
      </c>
      <c r="D1922" s="1">
        <f t="shared" si="262"/>
        <v>4778.28</v>
      </c>
      <c r="E1922" s="4">
        <f t="shared" si="263"/>
        <v>4732.9369999999999</v>
      </c>
      <c r="F1922" s="3">
        <f t="shared" si="264"/>
        <v>1.0095803092244837</v>
      </c>
      <c r="G1922" s="18">
        <f t="shared" si="265"/>
        <v>1</v>
      </c>
      <c r="H1922" s="3">
        <f t="shared" si="266"/>
        <v>1.7043489198453887E-3</v>
      </c>
      <c r="I1922" s="3">
        <f t="shared" si="267"/>
        <v>1.7043489198453887E-3</v>
      </c>
      <c r="K1922" s="12" t="str">
        <f>IF(AND(G1922=1,G1921&lt;&gt;1),MAX($K$50:K1921)+1,"")</f>
        <v/>
      </c>
      <c r="L1922" s="13" t="str">
        <f>IF(AND(G1922&lt;&gt;1,G1921=1),MAX($L$50:L1921)+1,"")</f>
        <v/>
      </c>
      <c r="M1922" s="13" t="str">
        <f>IF(AND(G1922=-1,G1921&lt;&gt;-1),MAX($M$50:M1921)+1,"")</f>
        <v/>
      </c>
      <c r="N1922" s="13" t="str">
        <f>IF(AND(G1922&lt;&gt;-1,G1921=-1),MAX($N$50:N1921)+1,"")</f>
        <v/>
      </c>
      <c r="T1922" s="7">
        <f t="shared" si="268"/>
        <v>140.8252002939804</v>
      </c>
      <c r="U1922" s="1">
        <f t="shared" si="269"/>
        <v>251.05370174802633</v>
      </c>
    </row>
    <row r="1923" spans="1:21" x14ac:dyDescent="0.3">
      <c r="A1923" s="2">
        <v>42964</v>
      </c>
      <c r="B1923" s="1">
        <v>4704.7299999999996</v>
      </c>
      <c r="C1923" s="2">
        <f t="shared" si="261"/>
        <v>42964</v>
      </c>
      <c r="D1923" s="1">
        <f t="shared" si="262"/>
        <v>4704.7299999999996</v>
      </c>
      <c r="E1923" s="4">
        <f t="shared" si="263"/>
        <v>4733.1858000000002</v>
      </c>
      <c r="F1923" s="3">
        <f t="shared" si="264"/>
        <v>0.9939880238802371</v>
      </c>
      <c r="G1923" s="18">
        <f t="shared" si="265"/>
        <v>1</v>
      </c>
      <c r="H1923" s="3">
        <f t="shared" si="266"/>
        <v>-1.539256803703426E-2</v>
      </c>
      <c r="I1923" s="3">
        <f t="shared" si="267"/>
        <v>-1.539256803703426E-2</v>
      </c>
      <c r="K1923" s="12" t="str">
        <f>IF(AND(G1923=1,G1922&lt;&gt;1),MAX($K$50:K1922)+1,"")</f>
        <v/>
      </c>
      <c r="L1923" s="13" t="str">
        <f>IF(AND(G1923&lt;&gt;1,G1922=1),MAX($L$50:L1922)+1,"")</f>
        <v/>
      </c>
      <c r="M1923" s="13" t="str">
        <f>IF(AND(G1923=-1,G1922&lt;&gt;-1),MAX($M$50:M1922)+1,"")</f>
        <v/>
      </c>
      <c r="N1923" s="13" t="str">
        <f>IF(AND(G1923&lt;&gt;-1,G1922=-1),MAX($N$50:N1922)+1,"")</f>
        <v/>
      </c>
      <c r="T1923" s="7">
        <f t="shared" si="268"/>
        <v>138.65753881712632</v>
      </c>
      <c r="U1923" s="1">
        <f t="shared" si="269"/>
        <v>247.18934056292051</v>
      </c>
    </row>
    <row r="1924" spans="1:21" x14ac:dyDescent="0.3">
      <c r="A1924" s="2">
        <v>42965</v>
      </c>
      <c r="B1924" s="1">
        <v>4696.22</v>
      </c>
      <c r="C1924" s="2">
        <f t="shared" si="261"/>
        <v>42965</v>
      </c>
      <c r="D1924" s="1">
        <f t="shared" si="262"/>
        <v>4696.22</v>
      </c>
      <c r="E1924" s="4">
        <f t="shared" si="263"/>
        <v>4733.2368000000006</v>
      </c>
      <c r="F1924" s="3">
        <f t="shared" si="264"/>
        <v>0.99217938979938625</v>
      </c>
      <c r="G1924" s="18">
        <f t="shared" si="265"/>
        <v>1</v>
      </c>
      <c r="H1924" s="3">
        <f t="shared" si="266"/>
        <v>-1.8088179342915511E-3</v>
      </c>
      <c r="I1924" s="3">
        <f t="shared" si="267"/>
        <v>-1.8088179342915511E-3</v>
      </c>
      <c r="K1924" s="12" t="str">
        <f>IF(AND(G1924=1,G1923&lt;&gt;1),MAX($K$50:K1923)+1,"")</f>
        <v/>
      </c>
      <c r="L1924" s="13" t="str">
        <f>IF(AND(G1924&lt;&gt;1,G1923=1),MAX($L$50:L1923)+1,"")</f>
        <v/>
      </c>
      <c r="M1924" s="13" t="str">
        <f>IF(AND(G1924=-1,G1923&lt;&gt;-1),MAX($M$50:M1923)+1,"")</f>
        <v/>
      </c>
      <c r="N1924" s="13" t="str">
        <f>IF(AND(G1924&lt;&gt;-1,G1923=-1),MAX($N$50:N1923)+1,"")</f>
        <v/>
      </c>
      <c r="T1924" s="7">
        <f t="shared" si="268"/>
        <v>138.40673257418916</v>
      </c>
      <c r="U1924" s="1">
        <f t="shared" si="269"/>
        <v>246.74222005054457</v>
      </c>
    </row>
    <row r="1925" spans="1:21" x14ac:dyDescent="0.3">
      <c r="A1925" s="2">
        <v>42968</v>
      </c>
      <c r="B1925" s="1">
        <v>4701.82</v>
      </c>
      <c r="C1925" s="2">
        <f t="shared" si="261"/>
        <v>42968</v>
      </c>
      <c r="D1925" s="1">
        <f t="shared" si="262"/>
        <v>4701.82</v>
      </c>
      <c r="E1925" s="4">
        <f t="shared" si="263"/>
        <v>4733.4774000000007</v>
      </c>
      <c r="F1925" s="3">
        <f t="shared" si="264"/>
        <v>0.99331202046089817</v>
      </c>
      <c r="G1925" s="18">
        <f t="shared" si="265"/>
        <v>1</v>
      </c>
      <c r="H1925" s="3">
        <f t="shared" si="266"/>
        <v>1.1924483946661457E-3</v>
      </c>
      <c r="I1925" s="3">
        <f t="shared" si="267"/>
        <v>1.1924483946661457E-3</v>
      </c>
      <c r="K1925" s="12" t="str">
        <f>IF(AND(G1925=1,G1924&lt;&gt;1),MAX($K$50:K1924)+1,"")</f>
        <v/>
      </c>
      <c r="L1925" s="13" t="str">
        <f>IF(AND(G1925&lt;&gt;1,G1924=1),MAX($L$50:L1924)+1,"")</f>
        <v/>
      </c>
      <c r="M1925" s="13" t="str">
        <f>IF(AND(G1925=-1,G1924&lt;&gt;-1),MAX($M$50:M1924)+1,"")</f>
        <v/>
      </c>
      <c r="N1925" s="13" t="str">
        <f>IF(AND(G1925&lt;&gt;-1,G1924=-1),MAX($N$50:N1924)+1,"")</f>
        <v/>
      </c>
      <c r="T1925" s="7">
        <f t="shared" si="268"/>
        <v>138.57177546025824</v>
      </c>
      <c r="U1925" s="1">
        <f t="shared" si="269"/>
        <v>247.03644741474025</v>
      </c>
    </row>
    <row r="1926" spans="1:21" x14ac:dyDescent="0.3">
      <c r="A1926" s="2">
        <v>42969</v>
      </c>
      <c r="B1926" s="1">
        <v>4748.7299999999996</v>
      </c>
      <c r="C1926" s="2">
        <f t="shared" si="261"/>
        <v>42969</v>
      </c>
      <c r="D1926" s="1">
        <f t="shared" si="262"/>
        <v>4748.7299999999996</v>
      </c>
      <c r="E1926" s="4">
        <f t="shared" si="263"/>
        <v>4734.7412000000004</v>
      </c>
      <c r="F1926" s="3">
        <f t="shared" si="264"/>
        <v>1.0029545015047494</v>
      </c>
      <c r="G1926" s="18">
        <f t="shared" si="265"/>
        <v>1</v>
      </c>
      <c r="H1926" s="3">
        <f t="shared" si="266"/>
        <v>9.9769876345754405E-3</v>
      </c>
      <c r="I1926" s="3">
        <f t="shared" si="267"/>
        <v>9.9769876345754405E-3</v>
      </c>
      <c r="K1926" s="12" t="str">
        <f>IF(AND(G1926=1,G1925&lt;&gt;1),MAX($K$50:K1925)+1,"")</f>
        <v/>
      </c>
      <c r="L1926" s="13" t="str">
        <f>IF(AND(G1926&lt;&gt;1,G1925=1),MAX($L$50:L1925)+1,"")</f>
        <v/>
      </c>
      <c r="M1926" s="13" t="str">
        <f>IF(AND(G1926=-1,G1925&lt;&gt;-1),MAX($M$50:M1925)+1,"")</f>
        <v/>
      </c>
      <c r="N1926" s="13" t="str">
        <f>IF(AND(G1926&lt;&gt;-1,G1925=-1),MAX($N$50:N1925)+1,"")</f>
        <v/>
      </c>
      <c r="T1926" s="7">
        <f t="shared" si="268"/>
        <v>139.9543043505264</v>
      </c>
      <c r="U1926" s="1">
        <f t="shared" si="269"/>
        <v>249.50112699588661</v>
      </c>
    </row>
    <row r="1927" spans="1:21" x14ac:dyDescent="0.3">
      <c r="A1927" s="2">
        <v>42970</v>
      </c>
      <c r="B1927" s="1">
        <v>4732.76</v>
      </c>
      <c r="C1927" s="2">
        <f t="shared" si="261"/>
        <v>42970</v>
      </c>
      <c r="D1927" s="1">
        <f t="shared" si="262"/>
        <v>4732.76</v>
      </c>
      <c r="E1927" s="4">
        <f t="shared" si="263"/>
        <v>4735.238800000001</v>
      </c>
      <c r="F1927" s="3">
        <f t="shared" si="264"/>
        <v>0.99947652059279446</v>
      </c>
      <c r="G1927" s="18">
        <f t="shared" si="265"/>
        <v>1</v>
      </c>
      <c r="H1927" s="3">
        <f t="shared" si="266"/>
        <v>-3.3630044243406765E-3</v>
      </c>
      <c r="I1927" s="3">
        <f t="shared" si="267"/>
        <v>-3.3630044243406765E-3</v>
      </c>
      <c r="K1927" s="12" t="str">
        <f>IF(AND(G1927=1,G1926&lt;&gt;1),MAX($K$50:K1926)+1,"")</f>
        <v/>
      </c>
      <c r="L1927" s="13" t="str">
        <f>IF(AND(G1927&lt;&gt;1,G1926=1),MAX($L$50:L1926)+1,"")</f>
        <v/>
      </c>
      <c r="M1927" s="13" t="str">
        <f>IF(AND(G1927=-1,G1926&lt;&gt;-1),MAX($M$50:M1926)+1,"")</f>
        <v/>
      </c>
      <c r="N1927" s="13" t="str">
        <f>IF(AND(G1927&lt;&gt;-1,G1926=-1),MAX($N$50:N1926)+1,"")</f>
        <v/>
      </c>
      <c r="T1927" s="7">
        <f t="shared" si="268"/>
        <v>139.48363740579006</v>
      </c>
      <c r="U1927" s="1">
        <f t="shared" si="269"/>
        <v>248.66205360192146</v>
      </c>
    </row>
    <row r="1928" spans="1:21" x14ac:dyDescent="0.3">
      <c r="A1928" s="2">
        <v>42971</v>
      </c>
      <c r="B1928" s="1">
        <v>4723.03</v>
      </c>
      <c r="C1928" s="2">
        <f t="shared" si="261"/>
        <v>42971</v>
      </c>
      <c r="D1928" s="1">
        <f t="shared" si="262"/>
        <v>4723.03</v>
      </c>
      <c r="E1928" s="4">
        <f t="shared" si="263"/>
        <v>4735.6288000000013</v>
      </c>
      <c r="F1928" s="3">
        <f t="shared" si="264"/>
        <v>0.99733957188536371</v>
      </c>
      <c r="G1928" s="18">
        <f t="shared" si="265"/>
        <v>1</v>
      </c>
      <c r="H1928" s="3">
        <f t="shared" si="266"/>
        <v>-2.0558828252437156E-3</v>
      </c>
      <c r="I1928" s="3">
        <f t="shared" si="267"/>
        <v>-2.0558828252437156E-3</v>
      </c>
      <c r="K1928" s="12" t="str">
        <f>IF(AND(G1928=1,G1927&lt;&gt;1),MAX($K$50:K1927)+1,"")</f>
        <v/>
      </c>
      <c r="L1928" s="13" t="str">
        <f>IF(AND(G1928&lt;&gt;1,G1927=1),MAX($L$50:L1927)+1,"")</f>
        <v/>
      </c>
      <c r="M1928" s="13" t="str">
        <f>IF(AND(G1928=-1,G1927&lt;&gt;-1),MAX($M$50:M1927)+1,"")</f>
        <v/>
      </c>
      <c r="N1928" s="13" t="str">
        <f>IF(AND(G1928&lt;&gt;-1,G1927=-1),MAX($N$50:N1927)+1,"")</f>
        <v/>
      </c>
      <c r="T1928" s="7">
        <f t="shared" si="268"/>
        <v>139.19687539124499</v>
      </c>
      <c r="U1928" s="1">
        <f t="shared" si="269"/>
        <v>248.15083355663143</v>
      </c>
    </row>
    <row r="1929" spans="1:21" x14ac:dyDescent="0.3">
      <c r="A1929" s="2">
        <v>42972</v>
      </c>
      <c r="B1929" s="1">
        <v>4731.46</v>
      </c>
      <c r="C1929" s="2">
        <f t="shared" si="261"/>
        <v>42972</v>
      </c>
      <c r="D1929" s="1">
        <f t="shared" si="262"/>
        <v>4731.46</v>
      </c>
      <c r="E1929" s="4">
        <f t="shared" si="263"/>
        <v>4736.3807999999999</v>
      </c>
      <c r="F1929" s="3">
        <f t="shared" si="264"/>
        <v>0.99896106326585909</v>
      </c>
      <c r="G1929" s="18">
        <f t="shared" si="265"/>
        <v>1</v>
      </c>
      <c r="H1929" s="3">
        <f t="shared" si="266"/>
        <v>1.7848711526287087E-3</v>
      </c>
      <c r="I1929" s="3">
        <f t="shared" si="267"/>
        <v>1.7848711526287087E-3</v>
      </c>
      <c r="K1929" s="12" t="str">
        <f>IF(AND(G1929=1,G1928&lt;&gt;1),MAX($K$50:K1928)+1,"")</f>
        <v/>
      </c>
      <c r="L1929" s="13" t="str">
        <f>IF(AND(G1929&lt;&gt;1,G1928=1),MAX($L$50:L1928)+1,"")</f>
        <v/>
      </c>
      <c r="M1929" s="13" t="str">
        <f>IF(AND(G1929=-1,G1928&lt;&gt;-1),MAX($M$50:M1928)+1,"")</f>
        <v/>
      </c>
      <c r="N1929" s="13" t="str">
        <f>IF(AND(G1929&lt;&gt;-1,G1928=-1),MAX($N$50:N1928)+1,"")</f>
        <v/>
      </c>
      <c r="T1929" s="7">
        <f t="shared" si="268"/>
        <v>139.44532387866687</v>
      </c>
      <c r="U1929" s="1">
        <f t="shared" si="269"/>
        <v>248.59375082094746</v>
      </c>
    </row>
    <row r="1930" spans="1:21" x14ac:dyDescent="0.3">
      <c r="A1930" s="2">
        <v>42975</v>
      </c>
      <c r="B1930" s="1">
        <v>4733.97</v>
      </c>
      <c r="C1930" s="2">
        <f t="shared" si="261"/>
        <v>42975</v>
      </c>
      <c r="D1930" s="1">
        <f t="shared" si="262"/>
        <v>4733.97</v>
      </c>
      <c r="E1930" s="4">
        <f t="shared" si="263"/>
        <v>4737.1556</v>
      </c>
      <c r="F1930" s="3">
        <f t="shared" si="264"/>
        <v>0.99932752895007293</v>
      </c>
      <c r="G1930" s="18">
        <f t="shared" si="265"/>
        <v>1</v>
      </c>
      <c r="H1930" s="3">
        <f t="shared" si="266"/>
        <v>5.3049164528506942E-4</v>
      </c>
      <c r="I1930" s="3">
        <f t="shared" si="267"/>
        <v>5.3049164528506942E-4</v>
      </c>
      <c r="K1930" s="12" t="str">
        <f>IF(AND(G1930=1,G1929&lt;&gt;1),MAX($K$50:K1929)+1,"")</f>
        <v/>
      </c>
      <c r="L1930" s="13" t="str">
        <f>IF(AND(G1930&lt;&gt;1,G1929=1),MAX($L$50:L1929)+1,"")</f>
        <v/>
      </c>
      <c r="M1930" s="13" t="str">
        <f>IF(AND(G1930=-1,G1929&lt;&gt;-1),MAX($M$50:M1929)+1,"")</f>
        <v/>
      </c>
      <c r="N1930" s="13" t="str">
        <f>IF(AND(G1930&lt;&gt;-1,G1929=-1),MAX($N$50:N1929)+1,"")</f>
        <v/>
      </c>
      <c r="T1930" s="7">
        <f t="shared" si="268"/>
        <v>139.51929845795857</v>
      </c>
      <c r="U1930" s="1">
        <f t="shared" si="269"/>
        <v>248.72562772882804</v>
      </c>
    </row>
    <row r="1931" spans="1:21" x14ac:dyDescent="0.3">
      <c r="A1931" s="2">
        <v>42976</v>
      </c>
      <c r="B1931" s="1">
        <v>4738.62</v>
      </c>
      <c r="C1931" s="2">
        <f t="shared" si="261"/>
        <v>42976</v>
      </c>
      <c r="D1931" s="1">
        <f t="shared" si="262"/>
        <v>4738.62</v>
      </c>
      <c r="E1931" s="4">
        <f t="shared" si="263"/>
        <v>4737.2383999999993</v>
      </c>
      <c r="F1931" s="3">
        <f t="shared" si="264"/>
        <v>1.0002916467112992</v>
      </c>
      <c r="G1931" s="18">
        <f t="shared" si="265"/>
        <v>1</v>
      </c>
      <c r="H1931" s="3">
        <f t="shared" si="266"/>
        <v>9.8226224500774784E-4</v>
      </c>
      <c r="I1931" s="3">
        <f t="shared" si="267"/>
        <v>9.8226224500774784E-4</v>
      </c>
      <c r="K1931" s="12" t="str">
        <f>IF(AND(G1931=1,G1930&lt;&gt;1),MAX($K$50:K1930)+1,"")</f>
        <v/>
      </c>
      <c r="L1931" s="13" t="str">
        <f>IF(AND(G1931&lt;&gt;1,G1930=1),MAX($L$50:L1930)+1,"")</f>
        <v/>
      </c>
      <c r="M1931" s="13" t="str">
        <f>IF(AND(G1931=-1,G1930&lt;&gt;-1),MAX($M$50:M1930)+1,"")</f>
        <v/>
      </c>
      <c r="N1931" s="13" t="str">
        <f>IF(AND(G1931&lt;&gt;-1,G1930=-1),MAX($N$50:N1930)+1,"")</f>
        <v/>
      </c>
      <c r="T1931" s="7">
        <f t="shared" si="268"/>
        <v>139.65634299728379</v>
      </c>
      <c r="U1931" s="1">
        <f t="shared" si="269"/>
        <v>248.96994152231193</v>
      </c>
    </row>
    <row r="1932" spans="1:21" x14ac:dyDescent="0.3">
      <c r="A1932" s="2">
        <v>42977</v>
      </c>
      <c r="B1932" s="1">
        <v>4761.72</v>
      </c>
      <c r="C1932" s="2">
        <f t="shared" si="261"/>
        <v>42977</v>
      </c>
      <c r="D1932" s="1">
        <f t="shared" si="262"/>
        <v>4761.72</v>
      </c>
      <c r="E1932" s="4">
        <f t="shared" si="263"/>
        <v>4738.416400000001</v>
      </c>
      <c r="F1932" s="3">
        <f t="shared" si="264"/>
        <v>1.0049180143813445</v>
      </c>
      <c r="G1932" s="18">
        <f t="shared" si="265"/>
        <v>1</v>
      </c>
      <c r="H1932" s="3">
        <f t="shared" si="266"/>
        <v>4.8748369778544021E-3</v>
      </c>
      <c r="I1932" s="3">
        <f t="shared" si="267"/>
        <v>4.8748369778544021E-3</v>
      </c>
      <c r="K1932" s="12" t="str">
        <f>IF(AND(G1932=1,G1931&lt;&gt;1),MAX($K$50:K1931)+1,"")</f>
        <v/>
      </c>
      <c r="L1932" s="13" t="str">
        <f>IF(AND(G1932&lt;&gt;1,G1931=1),MAX($L$50:L1931)+1,"")</f>
        <v/>
      </c>
      <c r="M1932" s="13" t="str">
        <f>IF(AND(G1932=-1,G1931&lt;&gt;-1),MAX($M$50:M1931)+1,"")</f>
        <v/>
      </c>
      <c r="N1932" s="13" t="str">
        <f>IF(AND(G1932&lt;&gt;-1,G1931=-1),MAX($N$50:N1931)+1,"")</f>
        <v/>
      </c>
      <c r="T1932" s="7">
        <f t="shared" si="268"/>
        <v>140.33714490231887</v>
      </c>
      <c r="U1932" s="1">
        <f t="shared" si="269"/>
        <v>250.18362939961915</v>
      </c>
    </row>
    <row r="1933" spans="1:21" x14ac:dyDescent="0.3">
      <c r="A1933" s="2">
        <v>42978</v>
      </c>
      <c r="B1933" s="1">
        <v>4789.18</v>
      </c>
      <c r="C1933" s="2">
        <f t="shared" si="261"/>
        <v>42978</v>
      </c>
      <c r="D1933" s="1">
        <f t="shared" si="262"/>
        <v>4789.18</v>
      </c>
      <c r="E1933" s="4">
        <f t="shared" si="263"/>
        <v>4740.1900000000005</v>
      </c>
      <c r="F1933" s="3">
        <f t="shared" si="264"/>
        <v>1.0103350287646697</v>
      </c>
      <c r="G1933" s="18">
        <f t="shared" si="265"/>
        <v>1</v>
      </c>
      <c r="H1933" s="3">
        <f t="shared" si="266"/>
        <v>5.7668237527617183E-3</v>
      </c>
      <c r="I1933" s="3">
        <f t="shared" si="267"/>
        <v>5.7668237527617183E-3</v>
      </c>
      <c r="K1933" s="12" t="str">
        <f>IF(AND(G1933=1,G1932&lt;&gt;1),MAX($K$50:K1932)+1,"")</f>
        <v/>
      </c>
      <c r="L1933" s="13" t="str">
        <f>IF(AND(G1933&lt;&gt;1,G1932=1),MAX($L$50:L1932)+1,"")</f>
        <v/>
      </c>
      <c r="M1933" s="13" t="str">
        <f>IF(AND(G1933=-1,G1932&lt;&gt;-1),MAX($M$50:M1932)+1,"")</f>
        <v/>
      </c>
      <c r="N1933" s="13" t="str">
        <f>IF(AND(G1933&lt;&gt;-1,G1932=-1),MAX($N$50:N1932)+1,"")</f>
        <v/>
      </c>
      <c r="T1933" s="7">
        <f t="shared" si="268"/>
        <v>141.14644448293632</v>
      </c>
      <c r="U1933" s="1">
        <f t="shared" si="269"/>
        <v>251.62639429619298</v>
      </c>
    </row>
    <row r="1934" spans="1:21" x14ac:dyDescent="0.3">
      <c r="A1934" s="2">
        <v>42979</v>
      </c>
      <c r="B1934" s="1">
        <v>4798.99</v>
      </c>
      <c r="C1934" s="2">
        <f t="shared" si="261"/>
        <v>42979</v>
      </c>
      <c r="D1934" s="1">
        <f t="shared" si="262"/>
        <v>4798.99</v>
      </c>
      <c r="E1934" s="4">
        <f t="shared" si="263"/>
        <v>4742.2017999999998</v>
      </c>
      <c r="F1934" s="3">
        <f t="shared" si="264"/>
        <v>1.0119750703143844</v>
      </c>
      <c r="G1934" s="18">
        <f t="shared" si="265"/>
        <v>1</v>
      </c>
      <c r="H1934" s="3">
        <f t="shared" si="266"/>
        <v>2.0483673614271058E-3</v>
      </c>
      <c r="I1934" s="3">
        <f t="shared" si="267"/>
        <v>2.0483673614271058E-3</v>
      </c>
      <c r="K1934" s="12" t="str">
        <f>IF(AND(G1934=1,G1933&lt;&gt;1),MAX($K$50:K1933)+1,"")</f>
        <v/>
      </c>
      <c r="L1934" s="13" t="str">
        <f>IF(AND(G1934&lt;&gt;1,G1933=1),MAX($L$50:L1933)+1,"")</f>
        <v/>
      </c>
      <c r="M1934" s="13" t="str">
        <f>IF(AND(G1934=-1,G1933&lt;&gt;-1),MAX($M$50:M1933)+1,"")</f>
        <v/>
      </c>
      <c r="N1934" s="13" t="str">
        <f>IF(AND(G1934&lt;&gt;-1,G1933=-1),MAX($N$50:N1933)+1,"")</f>
        <v/>
      </c>
      <c r="T1934" s="7">
        <f t="shared" si="268"/>
        <v>141.43556425299664</v>
      </c>
      <c r="U1934" s="1">
        <f t="shared" si="269"/>
        <v>252.14181758954288</v>
      </c>
    </row>
    <row r="1935" spans="1:21" x14ac:dyDescent="0.3">
      <c r="A1935" s="2">
        <v>42983</v>
      </c>
      <c r="B1935" s="1">
        <v>4762.75</v>
      </c>
      <c r="C1935" s="2">
        <f t="shared" si="261"/>
        <v>42983</v>
      </c>
      <c r="D1935" s="1">
        <f t="shared" si="262"/>
        <v>4762.75</v>
      </c>
      <c r="E1935" s="4">
        <f t="shared" si="263"/>
        <v>4743.3422</v>
      </c>
      <c r="F1935" s="3">
        <f t="shared" si="264"/>
        <v>1.0040915875729985</v>
      </c>
      <c r="G1935" s="18">
        <f t="shared" si="265"/>
        <v>1</v>
      </c>
      <c r="H1935" s="3">
        <f t="shared" si="266"/>
        <v>-7.5515889801811564E-3</v>
      </c>
      <c r="I1935" s="3">
        <f t="shared" si="267"/>
        <v>-7.5515889801811564E-3</v>
      </c>
      <c r="K1935" s="12" t="str">
        <f>IF(AND(G1935=1,G1934&lt;&gt;1),MAX($K$50:K1934)+1,"")</f>
        <v/>
      </c>
      <c r="L1935" s="13" t="str">
        <f>IF(AND(G1935&lt;&gt;1,G1934=1),MAX($L$50:L1934)+1,"")</f>
        <v/>
      </c>
      <c r="M1935" s="13" t="str">
        <f>IF(AND(G1935=-1,G1934&lt;&gt;-1),MAX($M$50:M1934)+1,"")</f>
        <v/>
      </c>
      <c r="N1935" s="13" t="str">
        <f>IF(AND(G1935&lt;&gt;-1,G1934=-1),MAX($N$50:N1934)+1,"")</f>
        <v/>
      </c>
      <c r="T1935" s="7">
        <f t="shared" si="268"/>
        <v>140.367501004578</v>
      </c>
      <c r="U1935" s="1">
        <f t="shared" si="269"/>
        <v>250.23774621839084</v>
      </c>
    </row>
    <row r="1936" spans="1:21" x14ac:dyDescent="0.3">
      <c r="A1936" s="2">
        <v>42984</v>
      </c>
      <c r="B1936" s="1">
        <v>4777.6899999999996</v>
      </c>
      <c r="C1936" s="2">
        <f t="shared" si="261"/>
        <v>42984</v>
      </c>
      <c r="D1936" s="1">
        <f t="shared" si="262"/>
        <v>4777.6899999999996</v>
      </c>
      <c r="E1936" s="4">
        <f t="shared" si="263"/>
        <v>4744.7506000000003</v>
      </c>
      <c r="F1936" s="3">
        <f t="shared" si="264"/>
        <v>1.0069422826986942</v>
      </c>
      <c r="G1936" s="18">
        <f t="shared" si="265"/>
        <v>1</v>
      </c>
      <c r="H1936" s="3">
        <f t="shared" si="266"/>
        <v>3.1368432103300314E-3</v>
      </c>
      <c r="I1936" s="3">
        <f t="shared" si="267"/>
        <v>3.1368432103300314E-3</v>
      </c>
      <c r="K1936" s="12" t="str">
        <f>IF(AND(G1936=1,G1935&lt;&gt;1),MAX($K$50:K1935)+1,"")</f>
        <v/>
      </c>
      <c r="L1936" s="13" t="str">
        <f>IF(AND(G1936&lt;&gt;1,G1935=1),MAX($L$50:L1935)+1,"")</f>
        <v/>
      </c>
      <c r="M1936" s="13" t="str">
        <f>IF(AND(G1936=-1,G1935&lt;&gt;-1),MAX($M$50:M1935)+1,"")</f>
        <v/>
      </c>
      <c r="N1936" s="13" t="str">
        <f>IF(AND(G1936&lt;&gt;-1,G1935=-1),MAX($N$50:N1935)+1,"")</f>
        <v/>
      </c>
      <c r="T1936" s="7">
        <f t="shared" si="268"/>
        <v>140.80781184705521</v>
      </c>
      <c r="U1936" s="1">
        <f t="shared" si="269"/>
        <v>251.02270279358433</v>
      </c>
    </row>
    <row r="1937" spans="1:21" x14ac:dyDescent="0.3">
      <c r="A1937" s="2">
        <v>42985</v>
      </c>
      <c r="B1937" s="1">
        <v>4777.93</v>
      </c>
      <c r="C1937" s="2">
        <f t="shared" si="261"/>
        <v>42985</v>
      </c>
      <c r="D1937" s="1">
        <f t="shared" si="262"/>
        <v>4777.93</v>
      </c>
      <c r="E1937" s="4">
        <f t="shared" si="263"/>
        <v>4746.9237999999996</v>
      </c>
      <c r="F1937" s="3">
        <f t="shared" si="264"/>
        <v>1.0065318512169925</v>
      </c>
      <c r="G1937" s="18">
        <f t="shared" si="265"/>
        <v>1</v>
      </c>
      <c r="H1937" s="3">
        <f t="shared" si="266"/>
        <v>5.0233481033945537E-5</v>
      </c>
      <c r="I1937" s="3">
        <f t="shared" si="267"/>
        <v>5.0233481033945537E-5</v>
      </c>
      <c r="K1937" s="12" t="str">
        <f>IF(AND(G1937=1,G1936&lt;&gt;1),MAX($K$50:K1936)+1,"")</f>
        <v/>
      </c>
      <c r="L1937" s="13" t="str">
        <f>IF(AND(G1937&lt;&gt;1,G1936=1),MAX($L$50:L1936)+1,"")</f>
        <v/>
      </c>
      <c r="M1937" s="13" t="str">
        <f>IF(AND(G1937=-1,G1936&lt;&gt;-1),MAX($M$50:M1936)+1,"")</f>
        <v/>
      </c>
      <c r="N1937" s="13" t="str">
        <f>IF(AND(G1937&lt;&gt;-1,G1936=-1),MAX($N$50:N1936)+1,"")</f>
        <v/>
      </c>
      <c r="T1937" s="7">
        <f t="shared" si="268"/>
        <v>140.81488511360106</v>
      </c>
      <c r="U1937" s="1">
        <f t="shared" si="269"/>
        <v>251.03531253776416</v>
      </c>
    </row>
    <row r="1938" spans="1:21" x14ac:dyDescent="0.3">
      <c r="A1938" s="2">
        <v>42986</v>
      </c>
      <c r="B1938" s="1">
        <v>4771.0200000000004</v>
      </c>
      <c r="C1938" s="2">
        <f t="shared" si="261"/>
        <v>42986</v>
      </c>
      <c r="D1938" s="1">
        <f t="shared" si="262"/>
        <v>4771.0200000000004</v>
      </c>
      <c r="E1938" s="4">
        <f t="shared" si="263"/>
        <v>4748.1176000000005</v>
      </c>
      <c r="F1938" s="3">
        <f t="shared" si="264"/>
        <v>1.0048234694102773</v>
      </c>
      <c r="G1938" s="18">
        <f t="shared" si="265"/>
        <v>1</v>
      </c>
      <c r="H1938" s="3">
        <f t="shared" si="266"/>
        <v>-1.4462329921116623E-3</v>
      </c>
      <c r="I1938" s="3">
        <f t="shared" si="267"/>
        <v>-1.4462329921116623E-3</v>
      </c>
      <c r="K1938" s="12" t="str">
        <f>IF(AND(G1938=1,G1937&lt;&gt;1),MAX($K$50:K1937)+1,"")</f>
        <v/>
      </c>
      <c r="L1938" s="13" t="str">
        <f>IF(AND(G1938&lt;&gt;1,G1937=1),MAX($L$50:L1937)+1,"")</f>
        <v/>
      </c>
      <c r="M1938" s="13" t="str">
        <f>IF(AND(G1938=-1,G1937&lt;&gt;-1),MAX($M$50:M1937)+1,"")</f>
        <v/>
      </c>
      <c r="N1938" s="13" t="str">
        <f>IF(AND(G1938&lt;&gt;-1,G1937=-1),MAX($N$50:N1937)+1,"")</f>
        <v/>
      </c>
      <c r="T1938" s="7">
        <f t="shared" si="268"/>
        <v>140.61123398096936</v>
      </c>
      <c r="U1938" s="1">
        <f t="shared" si="269"/>
        <v>250.672256986587</v>
      </c>
    </row>
    <row r="1939" spans="1:21" x14ac:dyDescent="0.3">
      <c r="A1939" s="2">
        <v>42989</v>
      </c>
      <c r="B1939" s="1">
        <v>4822.8</v>
      </c>
      <c r="C1939" s="2">
        <f t="shared" si="261"/>
        <v>42989</v>
      </c>
      <c r="D1939" s="1">
        <f t="shared" si="262"/>
        <v>4822.8</v>
      </c>
      <c r="E1939" s="4">
        <f t="shared" si="263"/>
        <v>4751.1543999999994</v>
      </c>
      <c r="F1939" s="3">
        <f t="shared" si="264"/>
        <v>1.015079619386817</v>
      </c>
      <c r="G1939" s="18">
        <f t="shared" si="265"/>
        <v>1</v>
      </c>
      <c r="H1939" s="3">
        <f t="shared" si="266"/>
        <v>1.0853025139278438E-2</v>
      </c>
      <c r="I1939" s="3">
        <f t="shared" si="267"/>
        <v>1.0853025139278438E-2</v>
      </c>
      <c r="K1939" s="12" t="str">
        <f>IF(AND(G1939=1,G1938&lt;&gt;1),MAX($K$50:K1938)+1,"")</f>
        <v/>
      </c>
      <c r="L1939" s="13" t="str">
        <f>IF(AND(G1939&lt;&gt;1,G1938=1),MAX($L$50:L1938)+1,"")</f>
        <v/>
      </c>
      <c r="M1939" s="13" t="str">
        <f>IF(AND(G1939=-1,G1938&lt;&gt;-1),MAX($M$50:M1938)+1,"")</f>
        <v/>
      </c>
      <c r="N1939" s="13" t="str">
        <f>IF(AND(G1939&lt;&gt;-1,G1938=-1),MAX($N$50:N1938)+1,"")</f>
        <v/>
      </c>
      <c r="T1939" s="7">
        <f t="shared" si="268"/>
        <v>142.13729123822978</v>
      </c>
      <c r="U1939" s="1">
        <f t="shared" si="269"/>
        <v>253.39280929338207</v>
      </c>
    </row>
    <row r="1940" spans="1:21" x14ac:dyDescent="0.3">
      <c r="A1940" s="2">
        <v>42990</v>
      </c>
      <c r="B1940" s="1">
        <v>4839.3100000000004</v>
      </c>
      <c r="C1940" s="2">
        <f t="shared" si="261"/>
        <v>42990</v>
      </c>
      <c r="D1940" s="1">
        <f t="shared" si="262"/>
        <v>4839.3100000000004</v>
      </c>
      <c r="E1940" s="4">
        <f t="shared" si="263"/>
        <v>4754.3733999999995</v>
      </c>
      <c r="F1940" s="3">
        <f t="shared" si="264"/>
        <v>1.0178649409404825</v>
      </c>
      <c r="G1940" s="18">
        <f t="shared" si="265"/>
        <v>1</v>
      </c>
      <c r="H1940" s="3">
        <f t="shared" si="266"/>
        <v>3.4233225512150245E-3</v>
      </c>
      <c r="I1940" s="3">
        <f t="shared" si="267"/>
        <v>3.4233225512150245E-3</v>
      </c>
      <c r="K1940" s="12" t="str">
        <f>IF(AND(G1940=1,G1939&lt;&gt;1),MAX($K$50:K1939)+1,"")</f>
        <v/>
      </c>
      <c r="L1940" s="13" t="str">
        <f>IF(AND(G1940&lt;&gt;1,G1939=1),MAX($L$50:L1939)+1,"")</f>
        <v/>
      </c>
      <c r="M1940" s="13" t="str">
        <f>IF(AND(G1940=-1,G1939&lt;&gt;-1),MAX($M$50:M1939)+1,"")</f>
        <v/>
      </c>
      <c r="N1940" s="13" t="str">
        <f>IF(AND(G1940&lt;&gt;-1,G1939=-1),MAX($N$50:N1939)+1,"")</f>
        <v/>
      </c>
      <c r="T1940" s="7">
        <f t="shared" si="268"/>
        <v>142.62387303269423</v>
      </c>
      <c r="U1940" s="1">
        <f t="shared" si="269"/>
        <v>254.26025461175186</v>
      </c>
    </row>
    <row r="1941" spans="1:21" x14ac:dyDescent="0.3">
      <c r="A1941" s="2">
        <v>42991</v>
      </c>
      <c r="B1941" s="1">
        <v>4843.04</v>
      </c>
      <c r="C1941" s="2">
        <f t="shared" si="261"/>
        <v>42991</v>
      </c>
      <c r="D1941" s="1">
        <f t="shared" si="262"/>
        <v>4843.04</v>
      </c>
      <c r="E1941" s="4">
        <f t="shared" si="263"/>
        <v>4757.4419999999991</v>
      </c>
      <c r="F1941" s="3">
        <f t="shared" si="264"/>
        <v>1.0179924421569408</v>
      </c>
      <c r="G1941" s="18">
        <f t="shared" si="265"/>
        <v>1</v>
      </c>
      <c r="H1941" s="3">
        <f t="shared" si="266"/>
        <v>7.7077103967293503E-4</v>
      </c>
      <c r="I1941" s="3">
        <f t="shared" si="267"/>
        <v>7.7077103967293503E-4</v>
      </c>
      <c r="K1941" s="12" t="str">
        <f>IF(AND(G1941=1,G1940&lt;&gt;1),MAX($K$50:K1940)+1,"")</f>
        <v/>
      </c>
      <c r="L1941" s="13" t="str">
        <f>IF(AND(G1941&lt;&gt;1,G1940=1),MAX($L$50:L1940)+1,"")</f>
        <v/>
      </c>
      <c r="M1941" s="13" t="str">
        <f>IF(AND(G1941=-1,G1940&lt;&gt;-1),MAX($M$50:M1940)+1,"")</f>
        <v/>
      </c>
      <c r="N1941" s="13" t="str">
        <f>IF(AND(G1941&lt;&gt;-1,G1940=-1),MAX($N$50:N1940)+1,"")</f>
        <v/>
      </c>
      <c r="T1941" s="7">
        <f t="shared" si="268"/>
        <v>142.73380338359382</v>
      </c>
      <c r="U1941" s="1">
        <f t="shared" si="269"/>
        <v>254.45623105254646</v>
      </c>
    </row>
    <row r="1942" spans="1:21" x14ac:dyDescent="0.3">
      <c r="A1942" s="2">
        <v>42992</v>
      </c>
      <c r="B1942" s="1">
        <v>4839.29</v>
      </c>
      <c r="C1942" s="2">
        <f t="shared" si="261"/>
        <v>42992</v>
      </c>
      <c r="D1942" s="1">
        <f t="shared" si="262"/>
        <v>4839.29</v>
      </c>
      <c r="E1942" s="4">
        <f t="shared" si="263"/>
        <v>4760.2809999999999</v>
      </c>
      <c r="F1942" s="3">
        <f t="shared" si="264"/>
        <v>1.0165975495984376</v>
      </c>
      <c r="G1942" s="18">
        <f t="shared" si="265"/>
        <v>1</v>
      </c>
      <c r="H1942" s="3">
        <f t="shared" si="266"/>
        <v>-7.7430704681358264E-4</v>
      </c>
      <c r="I1942" s="3">
        <f t="shared" si="267"/>
        <v>-7.7430704681358264E-4</v>
      </c>
      <c r="K1942" s="12" t="str">
        <f>IF(AND(G1942=1,G1941&lt;&gt;1),MAX($K$50:K1941)+1,"")</f>
        <v/>
      </c>
      <c r="L1942" s="13" t="str">
        <f>IF(AND(G1942&lt;&gt;1,G1941=1),MAX($L$50:L1941)+1,"")</f>
        <v/>
      </c>
      <c r="M1942" s="13" t="str">
        <f>IF(AND(G1942=-1,G1941&lt;&gt;-1),MAX($M$50:M1941)+1,"")</f>
        <v/>
      </c>
      <c r="N1942" s="13" t="str">
        <f>IF(AND(G1942&lt;&gt;-1,G1941=-1),MAX($N$50:N1941)+1,"")</f>
        <v/>
      </c>
      <c r="T1942" s="7">
        <f t="shared" si="268"/>
        <v>142.62328359381542</v>
      </c>
      <c r="U1942" s="1">
        <f t="shared" si="269"/>
        <v>254.25920379973684</v>
      </c>
    </row>
    <row r="1943" spans="1:21" x14ac:dyDescent="0.3">
      <c r="A1943" s="2">
        <v>42993</v>
      </c>
      <c r="B1943" s="1">
        <v>4848.84</v>
      </c>
      <c r="C1943" s="2">
        <f t="shared" si="261"/>
        <v>42993</v>
      </c>
      <c r="D1943" s="1">
        <f t="shared" si="262"/>
        <v>4848.84</v>
      </c>
      <c r="E1943" s="4">
        <f t="shared" si="263"/>
        <v>4764.1573999999991</v>
      </c>
      <c r="F1943" s="3">
        <f t="shared" si="264"/>
        <v>1.0177749374947185</v>
      </c>
      <c r="G1943" s="18">
        <f t="shared" si="265"/>
        <v>1</v>
      </c>
      <c r="H1943" s="3">
        <f t="shared" si="266"/>
        <v>1.973429986630304E-3</v>
      </c>
      <c r="I1943" s="3">
        <f t="shared" si="267"/>
        <v>1.973429986630304E-3</v>
      </c>
      <c r="K1943" s="12" t="str">
        <f>IF(AND(G1943=1,G1942&lt;&gt;1),MAX($K$50:K1942)+1,"")</f>
        <v/>
      </c>
      <c r="L1943" s="13" t="str">
        <f>IF(AND(G1943&lt;&gt;1,G1942=1),MAX($L$50:L1942)+1,"")</f>
        <v/>
      </c>
      <c r="M1943" s="13" t="str">
        <f>IF(AND(G1943=-1,G1942&lt;&gt;-1),MAX($M$50:M1942)+1,"")</f>
        <v/>
      </c>
      <c r="N1943" s="13" t="str">
        <f>IF(AND(G1943&lt;&gt;-1,G1942=-1),MAX($N$50:N1942)+1,"")</f>
        <v/>
      </c>
      <c r="T1943" s="7">
        <f t="shared" si="268"/>
        <v>142.90474065845112</v>
      </c>
      <c r="U1943" s="1">
        <f t="shared" si="269"/>
        <v>254.760966536892</v>
      </c>
    </row>
    <row r="1944" spans="1:21" x14ac:dyDescent="0.3">
      <c r="A1944" s="2">
        <v>42996</v>
      </c>
      <c r="B1944" s="1">
        <v>4856.08</v>
      </c>
      <c r="C1944" s="2">
        <f t="shared" si="261"/>
        <v>42996</v>
      </c>
      <c r="D1944" s="1">
        <f t="shared" si="262"/>
        <v>4856.08</v>
      </c>
      <c r="E1944" s="4">
        <f t="shared" si="263"/>
        <v>4767.5813999999991</v>
      </c>
      <c r="F1944" s="3">
        <f t="shared" si="264"/>
        <v>1.0185625776625442</v>
      </c>
      <c r="G1944" s="18">
        <f t="shared" si="265"/>
        <v>1</v>
      </c>
      <c r="H1944" s="3">
        <f t="shared" si="266"/>
        <v>1.4931406274489856E-3</v>
      </c>
      <c r="I1944" s="3">
        <f t="shared" si="267"/>
        <v>1.4931406274489856E-3</v>
      </c>
      <c r="K1944" s="12" t="str">
        <f>IF(AND(G1944=1,G1943&lt;&gt;1),MAX($K$50:K1943)+1,"")</f>
        <v/>
      </c>
      <c r="L1944" s="13" t="str">
        <f>IF(AND(G1944&lt;&gt;1,G1943=1),MAX($L$50:L1943)+1,"")</f>
        <v/>
      </c>
      <c r="M1944" s="13" t="str">
        <f>IF(AND(G1944=-1,G1943&lt;&gt;-1),MAX($M$50:M1943)+1,"")</f>
        <v/>
      </c>
      <c r="N1944" s="13" t="str">
        <f>IF(AND(G1944&lt;&gt;-1,G1943=-1),MAX($N$50:N1943)+1,"")</f>
        <v/>
      </c>
      <c r="T1944" s="7">
        <f t="shared" si="268"/>
        <v>143.11811753258331</v>
      </c>
      <c r="U1944" s="1">
        <f t="shared" si="269"/>
        <v>255.14136048631642</v>
      </c>
    </row>
    <row r="1945" spans="1:21" x14ac:dyDescent="0.3">
      <c r="A1945" s="2">
        <v>42997</v>
      </c>
      <c r="B1945" s="1">
        <v>4861.5200000000004</v>
      </c>
      <c r="C1945" s="2">
        <f t="shared" si="261"/>
        <v>42997</v>
      </c>
      <c r="D1945" s="1">
        <f t="shared" si="262"/>
        <v>4861.5200000000004</v>
      </c>
      <c r="E1945" s="4">
        <f t="shared" si="263"/>
        <v>4771.0267999999987</v>
      </c>
      <c r="F1945" s="3">
        <f t="shared" si="264"/>
        <v>1.018967237828134</v>
      </c>
      <c r="G1945" s="18">
        <f t="shared" si="265"/>
        <v>1</v>
      </c>
      <c r="H1945" s="3">
        <f t="shared" si="266"/>
        <v>1.1202451359946242E-3</v>
      </c>
      <c r="I1945" s="3">
        <f t="shared" si="267"/>
        <v>1.1202451359946242E-3</v>
      </c>
      <c r="K1945" s="12" t="str">
        <f>IF(AND(G1945=1,G1944&lt;&gt;1),MAX($K$50:K1944)+1,"")</f>
        <v/>
      </c>
      <c r="L1945" s="13" t="str">
        <f>IF(AND(G1945&lt;&gt;1,G1944=1),MAX($L$50:L1944)+1,"")</f>
        <v/>
      </c>
      <c r="M1945" s="13" t="str">
        <f>IF(AND(G1945=-1,G1944&lt;&gt;-1),MAX($M$50:M1944)+1,"")</f>
        <v/>
      </c>
      <c r="N1945" s="13" t="str">
        <f>IF(AND(G1945&lt;&gt;-1,G1944=-1),MAX($N$50:N1944)+1,"")</f>
        <v/>
      </c>
      <c r="T1945" s="7">
        <f t="shared" si="268"/>
        <v>143.27844490762189</v>
      </c>
      <c r="U1945" s="1">
        <f t="shared" si="269"/>
        <v>255.42718135439227</v>
      </c>
    </row>
    <row r="1946" spans="1:21" x14ac:dyDescent="0.3">
      <c r="A1946" s="2">
        <v>42998</v>
      </c>
      <c r="B1946" s="1">
        <v>4864.6099999999997</v>
      </c>
      <c r="C1946" s="2">
        <f t="shared" si="261"/>
        <v>42998</v>
      </c>
      <c r="D1946" s="1">
        <f t="shared" si="262"/>
        <v>4864.6099999999997</v>
      </c>
      <c r="E1946" s="4">
        <f t="shared" si="263"/>
        <v>4774.6061999999984</v>
      </c>
      <c r="F1946" s="3">
        <f t="shared" si="264"/>
        <v>1.0188505179757026</v>
      </c>
      <c r="G1946" s="18">
        <f t="shared" si="265"/>
        <v>1</v>
      </c>
      <c r="H1946" s="3">
        <f t="shared" si="266"/>
        <v>6.356036795074349E-4</v>
      </c>
      <c r="I1946" s="3">
        <f t="shared" si="267"/>
        <v>6.356036795074349E-4</v>
      </c>
      <c r="K1946" s="12" t="str">
        <f>IF(AND(G1946=1,G1945&lt;&gt;1),MAX($K$50:K1945)+1,"")</f>
        <v/>
      </c>
      <c r="L1946" s="13" t="str">
        <f>IF(AND(G1946&lt;&gt;1,G1945=1),MAX($L$50:L1945)+1,"")</f>
        <v/>
      </c>
      <c r="M1946" s="13" t="str">
        <f>IF(AND(G1946=-1,G1945&lt;&gt;-1),MAX($M$50:M1945)+1,"")</f>
        <v/>
      </c>
      <c r="N1946" s="13" t="str">
        <f>IF(AND(G1946&lt;&gt;-1,G1945=-1),MAX($N$50:N1945)+1,"")</f>
        <v/>
      </c>
      <c r="T1946" s="7">
        <f t="shared" si="268"/>
        <v>143.36951321439929</v>
      </c>
      <c r="U1946" s="1">
        <f t="shared" si="269"/>
        <v>255.58953181070737</v>
      </c>
    </row>
    <row r="1947" spans="1:21" x14ac:dyDescent="0.3">
      <c r="A1947" s="2">
        <v>42999</v>
      </c>
      <c r="B1947" s="1">
        <v>4849.95</v>
      </c>
      <c r="C1947" s="2">
        <f t="shared" si="261"/>
        <v>42999</v>
      </c>
      <c r="D1947" s="1">
        <f t="shared" si="262"/>
        <v>4849.95</v>
      </c>
      <c r="E1947" s="4">
        <f t="shared" si="263"/>
        <v>4777.1995999999981</v>
      </c>
      <c r="F1947" s="3">
        <f t="shared" si="264"/>
        <v>1.0152286707886355</v>
      </c>
      <c r="G1947" s="18">
        <f t="shared" si="265"/>
        <v>1</v>
      </c>
      <c r="H1947" s="3">
        <f t="shared" si="266"/>
        <v>-3.0136023237217202E-3</v>
      </c>
      <c r="I1947" s="3">
        <f t="shared" si="267"/>
        <v>-3.0136023237217202E-3</v>
      </c>
      <c r="K1947" s="12" t="str">
        <f>IF(AND(G1947=1,G1946&lt;&gt;1),MAX($K$50:K1946)+1,"")</f>
        <v/>
      </c>
      <c r="L1947" s="13" t="str">
        <f>IF(AND(G1947&lt;&gt;1,G1946=1),MAX($L$50:L1946)+1,"")</f>
        <v/>
      </c>
      <c r="M1947" s="13" t="str">
        <f>IF(AND(G1947=-1,G1946&lt;&gt;-1),MAX($M$50:M1946)+1,"")</f>
        <v/>
      </c>
      <c r="N1947" s="13" t="str">
        <f>IF(AND(G1947&lt;&gt;-1,G1946=-1),MAX($N$50:N1946)+1,"")</f>
        <v/>
      </c>
      <c r="T1947" s="7">
        <f t="shared" si="268"/>
        <v>142.93745451622553</v>
      </c>
      <c r="U1947" s="1">
        <f t="shared" si="269"/>
        <v>254.8192866037237</v>
      </c>
    </row>
    <row r="1948" spans="1:21" x14ac:dyDescent="0.3">
      <c r="A1948" s="2">
        <v>43000</v>
      </c>
      <c r="B1948" s="1">
        <v>4853.2</v>
      </c>
      <c r="C1948" s="2">
        <f t="shared" si="261"/>
        <v>43000</v>
      </c>
      <c r="D1948" s="1">
        <f t="shared" si="262"/>
        <v>4853.2</v>
      </c>
      <c r="E1948" s="4">
        <f t="shared" si="263"/>
        <v>4779.6785999999984</v>
      </c>
      <c r="F1948" s="3">
        <f t="shared" si="264"/>
        <v>1.0153820802930142</v>
      </c>
      <c r="G1948" s="18">
        <f t="shared" si="265"/>
        <v>1</v>
      </c>
      <c r="H1948" s="3">
        <f t="shared" si="266"/>
        <v>6.7011000113392782E-4</v>
      </c>
      <c r="I1948" s="3">
        <f t="shared" si="267"/>
        <v>6.7011000113392782E-4</v>
      </c>
      <c r="K1948" s="12" t="str">
        <f>IF(AND(G1948=1,G1947&lt;&gt;1),MAX($K$50:K1947)+1,"")</f>
        <v/>
      </c>
      <c r="L1948" s="13" t="str">
        <f>IF(AND(G1948&lt;&gt;1,G1947=1),MAX($L$50:L1947)+1,"")</f>
        <v/>
      </c>
      <c r="M1948" s="13" t="str">
        <f>IF(AND(G1948=-1,G1947&lt;&gt;-1),MAX($M$50:M1947)+1,"")</f>
        <v/>
      </c>
      <c r="N1948" s="13" t="str">
        <f>IF(AND(G1948&lt;&gt;-1,G1947=-1),MAX($N$50:N1947)+1,"")</f>
        <v/>
      </c>
      <c r="T1948" s="7">
        <f t="shared" si="268"/>
        <v>143.03323833403348</v>
      </c>
      <c r="U1948" s="1">
        <f t="shared" si="269"/>
        <v>254.9900435561587</v>
      </c>
    </row>
    <row r="1949" spans="1:21" x14ac:dyDescent="0.3">
      <c r="A1949" s="2">
        <v>43003</v>
      </c>
      <c r="B1949" s="1">
        <v>4842.41</v>
      </c>
      <c r="C1949" s="2">
        <f t="shared" si="261"/>
        <v>43003</v>
      </c>
      <c r="D1949" s="1">
        <f t="shared" si="262"/>
        <v>4842.41</v>
      </c>
      <c r="E1949" s="4">
        <f t="shared" si="263"/>
        <v>4781.4981999999982</v>
      </c>
      <c r="F1949" s="3">
        <f t="shared" si="264"/>
        <v>1.0127390615769765</v>
      </c>
      <c r="G1949" s="18">
        <f t="shared" si="265"/>
        <v>1</v>
      </c>
      <c r="H1949" s="3">
        <f t="shared" si="266"/>
        <v>-2.2232753647077885E-3</v>
      </c>
      <c r="I1949" s="3">
        <f t="shared" si="267"/>
        <v>-2.2232753647077885E-3</v>
      </c>
      <c r="K1949" s="12" t="str">
        <f>IF(AND(G1949=1,G1948&lt;&gt;1),MAX($K$50:K1948)+1,"")</f>
        <v/>
      </c>
      <c r="L1949" s="13" t="str">
        <f>IF(AND(G1949&lt;&gt;1,G1948=1),MAX($L$50:L1948)+1,"")</f>
        <v/>
      </c>
      <c r="M1949" s="13" t="str">
        <f>IF(AND(G1949=-1,G1948&lt;&gt;-1),MAX($M$50:M1948)+1,"")</f>
        <v/>
      </c>
      <c r="N1949" s="13" t="str">
        <f>IF(AND(G1949&lt;&gt;-1,G1948=-1),MAX($N$50:N1948)+1,"")</f>
        <v/>
      </c>
      <c r="T1949" s="7">
        <f t="shared" si="268"/>
        <v>142.71523605891105</v>
      </c>
      <c r="U1949" s="1">
        <f t="shared" si="269"/>
        <v>254.42313047407453</v>
      </c>
    </row>
    <row r="1950" spans="1:21" x14ac:dyDescent="0.3">
      <c r="A1950" s="2">
        <v>43004</v>
      </c>
      <c r="B1950" s="1">
        <v>4843.1400000000003</v>
      </c>
      <c r="C1950" s="2">
        <f t="shared" si="261"/>
        <v>43004</v>
      </c>
      <c r="D1950" s="1">
        <f t="shared" si="262"/>
        <v>4843.1400000000003</v>
      </c>
      <c r="E1950" s="4">
        <f t="shared" si="263"/>
        <v>4783.3343999999979</v>
      </c>
      <c r="F1950" s="3">
        <f t="shared" si="264"/>
        <v>1.0125029101038812</v>
      </c>
      <c r="G1950" s="18">
        <f t="shared" si="265"/>
        <v>1</v>
      </c>
      <c r="H1950" s="3">
        <f t="shared" si="266"/>
        <v>1.5075138205977723E-4</v>
      </c>
      <c r="I1950" s="3">
        <f t="shared" si="267"/>
        <v>1.5075138205977723E-4</v>
      </c>
      <c r="K1950" s="12" t="str">
        <f>IF(AND(G1950=1,G1949&lt;&gt;1),MAX($K$50:K1949)+1,"")</f>
        <v/>
      </c>
      <c r="L1950" s="13" t="str">
        <f>IF(AND(G1950&lt;&gt;1,G1949=1),MAX($L$50:L1949)+1,"")</f>
        <v/>
      </c>
      <c r="M1950" s="13" t="str">
        <f>IF(AND(G1950=-1,G1949&lt;&gt;-1),MAX($M$50:M1949)+1,"")</f>
        <v/>
      </c>
      <c r="N1950" s="13" t="str">
        <f>IF(AND(G1950&lt;&gt;-1,G1949=-1),MAX($N$50:N1949)+1,"")</f>
        <v/>
      </c>
      <c r="T1950" s="7">
        <f t="shared" si="268"/>
        <v>142.73675057798792</v>
      </c>
      <c r="U1950" s="1">
        <f t="shared" si="269"/>
        <v>254.46148511262149</v>
      </c>
    </row>
    <row r="1951" spans="1:21" x14ac:dyDescent="0.3">
      <c r="A1951" s="2">
        <v>43005</v>
      </c>
      <c r="B1951" s="1">
        <v>4862.93</v>
      </c>
      <c r="C1951" s="2">
        <f t="shared" si="261"/>
        <v>43005</v>
      </c>
      <c r="D1951" s="1">
        <f t="shared" si="262"/>
        <v>4862.93</v>
      </c>
      <c r="E1951" s="4">
        <f t="shared" si="263"/>
        <v>4785.5075999999981</v>
      </c>
      <c r="F1951" s="3">
        <f t="shared" si="264"/>
        <v>1.0161785136439867</v>
      </c>
      <c r="G1951" s="18">
        <f t="shared" si="265"/>
        <v>1</v>
      </c>
      <c r="H1951" s="3">
        <f t="shared" si="266"/>
        <v>4.0861920159236398E-3</v>
      </c>
      <c r="I1951" s="3">
        <f t="shared" si="267"/>
        <v>4.0861920159236398E-3</v>
      </c>
      <c r="K1951" s="12" t="str">
        <f>IF(AND(G1951=1,G1950&lt;&gt;1),MAX($K$50:K1950)+1,"")</f>
        <v/>
      </c>
      <c r="L1951" s="13" t="str">
        <f>IF(AND(G1951&lt;&gt;1,G1950=1),MAX($L$50:L1950)+1,"")</f>
        <v/>
      </c>
      <c r="M1951" s="13" t="str">
        <f>IF(AND(G1951=-1,G1950&lt;&gt;-1),MAX($M$50:M1950)+1,"")</f>
        <v/>
      </c>
      <c r="N1951" s="13" t="str">
        <f>IF(AND(G1951&lt;&gt;-1,G1950=-1),MAX($N$50:N1950)+1,"")</f>
        <v/>
      </c>
      <c r="T1951" s="7">
        <f t="shared" si="268"/>
        <v>143.32000034857859</v>
      </c>
      <c r="U1951" s="1">
        <f t="shared" si="269"/>
        <v>255.50126360144876</v>
      </c>
    </row>
    <row r="1952" spans="1:21" x14ac:dyDescent="0.3">
      <c r="A1952" s="2">
        <v>43006</v>
      </c>
      <c r="B1952" s="1">
        <v>4869.8100000000004</v>
      </c>
      <c r="C1952" s="2">
        <f t="shared" si="261"/>
        <v>43006</v>
      </c>
      <c r="D1952" s="1">
        <f t="shared" si="262"/>
        <v>4869.8100000000004</v>
      </c>
      <c r="E1952" s="4">
        <f t="shared" si="263"/>
        <v>4787.2987999999987</v>
      </c>
      <c r="F1952" s="3">
        <f t="shared" si="264"/>
        <v>1.0172354397431809</v>
      </c>
      <c r="G1952" s="18">
        <f t="shared" si="265"/>
        <v>1</v>
      </c>
      <c r="H1952" s="3">
        <f t="shared" si="266"/>
        <v>1.4147849136221247E-3</v>
      </c>
      <c r="I1952" s="3">
        <f t="shared" si="267"/>
        <v>1.4147849136221247E-3</v>
      </c>
      <c r="K1952" s="12" t="str">
        <f>IF(AND(G1952=1,G1951&lt;&gt;1),MAX($K$50:K1951)+1,"")</f>
        <v/>
      </c>
      <c r="L1952" s="13" t="str">
        <f>IF(AND(G1952&lt;&gt;1,G1951=1),MAX($L$50:L1951)+1,"")</f>
        <v/>
      </c>
      <c r="M1952" s="13" t="str">
        <f>IF(AND(G1952=-1,G1951&lt;&gt;-1),MAX($M$50:M1951)+1,"")</f>
        <v/>
      </c>
      <c r="N1952" s="13" t="str">
        <f>IF(AND(G1952&lt;&gt;-1,G1951=-1),MAX($N$50:N1951)+1,"")</f>
        <v/>
      </c>
      <c r="T1952" s="7">
        <f t="shared" si="268"/>
        <v>143.52276732289207</v>
      </c>
      <c r="U1952" s="1">
        <f t="shared" si="269"/>
        <v>255.86274293460346</v>
      </c>
    </row>
    <row r="1953" spans="1:21" x14ac:dyDescent="0.3">
      <c r="A1953" s="2">
        <v>43007</v>
      </c>
      <c r="B1953" s="1">
        <v>4887.97</v>
      </c>
      <c r="C1953" s="2">
        <f t="shared" si="261"/>
        <v>43007</v>
      </c>
      <c r="D1953" s="1">
        <f t="shared" si="262"/>
        <v>4887.97</v>
      </c>
      <c r="E1953" s="4">
        <f t="shared" si="263"/>
        <v>4789.4613999999992</v>
      </c>
      <c r="F1953" s="3">
        <f t="shared" si="264"/>
        <v>1.0205677824233015</v>
      </c>
      <c r="G1953" s="18">
        <f t="shared" si="265"/>
        <v>1</v>
      </c>
      <c r="H1953" s="3">
        <f t="shared" si="266"/>
        <v>3.7290982605071576E-3</v>
      </c>
      <c r="I1953" s="3">
        <f t="shared" si="267"/>
        <v>3.7290982605071576E-3</v>
      </c>
      <c r="K1953" s="12" t="str">
        <f>IF(AND(G1953=1,G1952&lt;&gt;1),MAX($K$50:K1952)+1,"")</f>
        <v/>
      </c>
      <c r="L1953" s="13" t="str">
        <f>IF(AND(G1953&lt;&gt;1,G1952=1),MAX($L$50:L1952)+1,"")</f>
        <v/>
      </c>
      <c r="M1953" s="13" t="str">
        <f>IF(AND(G1953=-1,G1952&lt;&gt;-1),MAX($M$50:M1952)+1,"")</f>
        <v/>
      </c>
      <c r="N1953" s="13" t="str">
        <f>IF(AND(G1953&lt;&gt;-1,G1952=-1),MAX($N$50:N1952)+1,"")</f>
        <v/>
      </c>
      <c r="T1953" s="7">
        <f t="shared" si="268"/>
        <v>144.05797782485902</v>
      </c>
      <c r="U1953" s="1">
        <f t="shared" si="269"/>
        <v>256.81688024420941</v>
      </c>
    </row>
    <row r="1954" spans="1:21" x14ac:dyDescent="0.3">
      <c r="A1954" s="2">
        <v>43010</v>
      </c>
      <c r="B1954" s="1">
        <v>4906.92</v>
      </c>
      <c r="C1954" s="2">
        <f t="shared" si="261"/>
        <v>43010</v>
      </c>
      <c r="D1954" s="1">
        <f t="shared" si="262"/>
        <v>4906.92</v>
      </c>
      <c r="E1954" s="4">
        <f t="shared" si="263"/>
        <v>4792.0383999999985</v>
      </c>
      <c r="F1954" s="3">
        <f t="shared" si="264"/>
        <v>1.0239734305968837</v>
      </c>
      <c r="G1954" s="18">
        <f t="shared" si="265"/>
        <v>1</v>
      </c>
      <c r="H1954" s="3">
        <f t="shared" si="266"/>
        <v>3.8768650380422987E-3</v>
      </c>
      <c r="I1954" s="3">
        <f t="shared" si="267"/>
        <v>3.8768650380422987E-3</v>
      </c>
      <c r="K1954" s="12" t="str">
        <f>IF(AND(G1954=1,G1953&lt;&gt;1),MAX($K$50:K1953)+1,"")</f>
        <v/>
      </c>
      <c r="L1954" s="13" t="str">
        <f>IF(AND(G1954&lt;&gt;1,G1953=1),MAX($L$50:L1953)+1,"")</f>
        <v/>
      </c>
      <c r="M1954" s="13" t="str">
        <f>IF(AND(G1954=-1,G1953&lt;&gt;-1),MAX($M$50:M1953)+1,"")</f>
        <v/>
      </c>
      <c r="N1954" s="13" t="str">
        <f>IF(AND(G1954&lt;&gt;-1,G1953=-1),MAX($N$50:N1953)+1,"")</f>
        <v/>
      </c>
      <c r="T1954" s="7">
        <f t="shared" si="268"/>
        <v>144.61647116253928</v>
      </c>
      <c r="U1954" s="1">
        <f t="shared" si="269"/>
        <v>257.81252462840735</v>
      </c>
    </row>
    <row r="1955" spans="1:21" x14ac:dyDescent="0.3">
      <c r="A1955" s="2">
        <v>43011</v>
      </c>
      <c r="B1955" s="1">
        <v>4917.7299999999996</v>
      </c>
      <c r="C1955" s="2">
        <f t="shared" si="261"/>
        <v>43011</v>
      </c>
      <c r="D1955" s="1">
        <f t="shared" si="262"/>
        <v>4917.7299999999996</v>
      </c>
      <c r="E1955" s="4">
        <f t="shared" si="263"/>
        <v>4794.9309999999996</v>
      </c>
      <c r="F1955" s="3">
        <f t="shared" si="264"/>
        <v>1.0256101704070402</v>
      </c>
      <c r="G1955" s="18">
        <f t="shared" si="265"/>
        <v>1</v>
      </c>
      <c r="H1955" s="3">
        <f t="shared" si="266"/>
        <v>2.2030112575708305E-3</v>
      </c>
      <c r="I1955" s="3">
        <f t="shared" si="267"/>
        <v>2.2030112575708305E-3</v>
      </c>
      <c r="K1955" s="12" t="str">
        <f>IF(AND(G1955=1,G1954&lt;&gt;1),MAX($K$50:K1954)+1,"")</f>
        <v/>
      </c>
      <c r="L1955" s="13" t="str">
        <f>IF(AND(G1955&lt;&gt;1,G1954=1),MAX($L$50:L1954)+1,"")</f>
        <v/>
      </c>
      <c r="M1955" s="13" t="str">
        <f>IF(AND(G1955=-1,G1954&lt;&gt;-1),MAX($M$50:M1954)+1,"")</f>
        <v/>
      </c>
      <c r="N1955" s="13" t="str">
        <f>IF(AND(G1955&lt;&gt;-1,G1954=-1),MAX($N$50:N1954)+1,"")</f>
        <v/>
      </c>
      <c r="T1955" s="7">
        <f t="shared" si="268"/>
        <v>144.93506287654051</v>
      </c>
      <c r="U1955" s="1">
        <f t="shared" si="269"/>
        <v>258.38048852250648</v>
      </c>
    </row>
    <row r="1956" spans="1:21" x14ac:dyDescent="0.3">
      <c r="A1956" s="2">
        <v>43012</v>
      </c>
      <c r="B1956" s="1">
        <v>4924.1899999999996</v>
      </c>
      <c r="C1956" s="2">
        <f t="shared" si="261"/>
        <v>43012</v>
      </c>
      <c r="D1956" s="1">
        <f t="shared" si="262"/>
        <v>4924.1899999999996</v>
      </c>
      <c r="E1956" s="4">
        <f t="shared" si="263"/>
        <v>4797.674</v>
      </c>
      <c r="F1956" s="3">
        <f t="shared" si="264"/>
        <v>1.0263702785975037</v>
      </c>
      <c r="G1956" s="18">
        <f t="shared" si="265"/>
        <v>1</v>
      </c>
      <c r="H1956" s="3">
        <f t="shared" si="266"/>
        <v>1.313614208181324E-3</v>
      </c>
      <c r="I1956" s="3">
        <f t="shared" si="267"/>
        <v>1.313614208181324E-3</v>
      </c>
      <c r="K1956" s="12" t="str">
        <f>IF(AND(G1956=1,G1955&lt;&gt;1),MAX($K$50:K1955)+1,"")</f>
        <v/>
      </c>
      <c r="L1956" s="13" t="str">
        <f>IF(AND(G1956&lt;&gt;1,G1955=1),MAX($L$50:L1955)+1,"")</f>
        <v/>
      </c>
      <c r="M1956" s="13" t="str">
        <f>IF(AND(G1956=-1,G1955&lt;&gt;-1),MAX($M$50:M1955)+1,"")</f>
        <v/>
      </c>
      <c r="N1956" s="13" t="str">
        <f>IF(AND(G1956&lt;&gt;-1,G1955=-1),MAX($N$50:N1955)+1,"")</f>
        <v/>
      </c>
      <c r="T1956" s="7">
        <f t="shared" si="268"/>
        <v>145.12545163439879</v>
      </c>
      <c r="U1956" s="1">
        <f t="shared" si="269"/>
        <v>258.71990080334649</v>
      </c>
    </row>
    <row r="1957" spans="1:21" x14ac:dyDescent="0.3">
      <c r="A1957" s="2">
        <v>43013</v>
      </c>
      <c r="B1957" s="1">
        <v>4952.8500000000004</v>
      </c>
      <c r="C1957" s="2">
        <f t="shared" si="261"/>
        <v>43013</v>
      </c>
      <c r="D1957" s="1">
        <f t="shared" si="262"/>
        <v>4952.8500000000004</v>
      </c>
      <c r="E1957" s="4">
        <f t="shared" si="263"/>
        <v>4800.9628000000012</v>
      </c>
      <c r="F1957" s="3">
        <f t="shared" si="264"/>
        <v>1.0316368208476847</v>
      </c>
      <c r="G1957" s="18">
        <f t="shared" si="265"/>
        <v>1</v>
      </c>
      <c r="H1957" s="3">
        <f t="shared" si="266"/>
        <v>5.8202465786252322E-3</v>
      </c>
      <c r="I1957" s="3">
        <f t="shared" si="267"/>
        <v>5.8202465786252322E-3</v>
      </c>
      <c r="K1957" s="12" t="str">
        <f>IF(AND(G1957=1,G1956&lt;&gt;1),MAX($K$50:K1956)+1,"")</f>
        <v/>
      </c>
      <c r="L1957" s="13" t="str">
        <f>IF(AND(G1957&lt;&gt;1,G1956=1),MAX($L$50:L1956)+1,"")</f>
        <v/>
      </c>
      <c r="M1957" s="13" t="str">
        <f>IF(AND(G1957=-1,G1956&lt;&gt;-1),MAX($M$50:M1956)+1,"")</f>
        <v/>
      </c>
      <c r="N1957" s="13" t="str">
        <f>IF(AND(G1957&lt;&gt;-1,G1956=-1),MAX($N$50:N1956)+1,"")</f>
        <v/>
      </c>
      <c r="T1957" s="7">
        <f t="shared" si="268"/>
        <v>145.97011754774533</v>
      </c>
      <c r="U1957" s="1">
        <f t="shared" si="269"/>
        <v>260.22571442081943</v>
      </c>
    </row>
    <row r="1958" spans="1:21" x14ac:dyDescent="0.3">
      <c r="A1958" s="2">
        <v>43014</v>
      </c>
      <c r="B1958" s="1">
        <v>4949.09</v>
      </c>
      <c r="C1958" s="2">
        <f t="shared" si="261"/>
        <v>43014</v>
      </c>
      <c r="D1958" s="1">
        <f t="shared" si="262"/>
        <v>4949.09</v>
      </c>
      <c r="E1958" s="4">
        <f t="shared" si="263"/>
        <v>4804.2593999999999</v>
      </c>
      <c r="F1958" s="3">
        <f t="shared" si="264"/>
        <v>1.0301462906020438</v>
      </c>
      <c r="G1958" s="18">
        <f t="shared" si="265"/>
        <v>1</v>
      </c>
      <c r="H1958" s="3">
        <f t="shared" si="266"/>
        <v>-7.5915886812649713E-4</v>
      </c>
      <c r="I1958" s="3">
        <f t="shared" si="267"/>
        <v>-7.5915886812649713E-4</v>
      </c>
      <c r="K1958" s="12" t="str">
        <f>IF(AND(G1958=1,G1957&lt;&gt;1),MAX($K$50:K1957)+1,"")</f>
        <v/>
      </c>
      <c r="L1958" s="13" t="str">
        <f>IF(AND(G1958&lt;&gt;1,G1957=1),MAX($L$50:L1957)+1,"")</f>
        <v/>
      </c>
      <c r="M1958" s="13" t="str">
        <f>IF(AND(G1958=-1,G1957&lt;&gt;-1),MAX($M$50:M1957)+1,"")</f>
        <v/>
      </c>
      <c r="N1958" s="13" t="str">
        <f>IF(AND(G1958&lt;&gt;-1,G1957=-1),MAX($N$50:N1957)+1,"")</f>
        <v/>
      </c>
      <c r="T1958" s="7">
        <f t="shared" si="268"/>
        <v>145.85930303852749</v>
      </c>
      <c r="U1958" s="1">
        <f t="shared" si="269"/>
        <v>260.0281617620023</v>
      </c>
    </row>
    <row r="1959" spans="1:21" x14ac:dyDescent="0.3">
      <c r="A1959" s="2">
        <v>43017</v>
      </c>
      <c r="B1959" s="1">
        <v>4940.16</v>
      </c>
      <c r="C1959" s="2">
        <f t="shared" si="261"/>
        <v>43017</v>
      </c>
      <c r="D1959" s="1">
        <f t="shared" si="262"/>
        <v>4940.16</v>
      </c>
      <c r="E1959" s="4">
        <f t="shared" si="263"/>
        <v>4807.5022000000008</v>
      </c>
      <c r="F1959" s="3">
        <f t="shared" si="264"/>
        <v>1.0275939135295662</v>
      </c>
      <c r="G1959" s="18">
        <f t="shared" si="265"/>
        <v>1</v>
      </c>
      <c r="H1959" s="3">
        <f t="shared" si="266"/>
        <v>-1.8043721168943261E-3</v>
      </c>
      <c r="I1959" s="3">
        <f t="shared" si="267"/>
        <v>-1.8043721168943261E-3</v>
      </c>
      <c r="K1959" s="12" t="str">
        <f>IF(AND(G1959=1,G1958&lt;&gt;1),MAX($K$50:K1958)+1,"")</f>
        <v/>
      </c>
      <c r="L1959" s="13" t="str">
        <f>IF(AND(G1959&lt;&gt;1,G1958=1),MAX($L$50:L1958)+1,"")</f>
        <v/>
      </c>
      <c r="M1959" s="13" t="str">
        <f>IF(AND(G1959=-1,G1958&lt;&gt;-1),MAX($M$50:M1958)+1,"")</f>
        <v/>
      </c>
      <c r="N1959" s="13" t="str">
        <f>IF(AND(G1959&lt;&gt;-1,G1958=-1),MAX($N$50:N1958)+1,"")</f>
        <v/>
      </c>
      <c r="T1959" s="7">
        <f t="shared" si="268"/>
        <v>145.59611857913512</v>
      </c>
      <c r="U1959" s="1">
        <f t="shared" si="269"/>
        <v>259.55897419731167</v>
      </c>
    </row>
    <row r="1960" spans="1:21" x14ac:dyDescent="0.3">
      <c r="A1960" s="2">
        <v>43018</v>
      </c>
      <c r="B1960" s="1">
        <v>4951.7700000000004</v>
      </c>
      <c r="C1960" s="2">
        <f t="shared" si="261"/>
        <v>43018</v>
      </c>
      <c r="D1960" s="1">
        <f t="shared" si="262"/>
        <v>4951.7700000000004</v>
      </c>
      <c r="E1960" s="4">
        <f t="shared" si="263"/>
        <v>4811.0464000000002</v>
      </c>
      <c r="F1960" s="3">
        <f t="shared" si="264"/>
        <v>1.0292501024309391</v>
      </c>
      <c r="G1960" s="18">
        <f t="shared" si="265"/>
        <v>1</v>
      </c>
      <c r="H1960" s="3">
        <f t="shared" si="266"/>
        <v>2.3501263116985083E-3</v>
      </c>
      <c r="I1960" s="3">
        <f t="shared" si="267"/>
        <v>2.3501263116985083E-3</v>
      </c>
      <c r="K1960" s="12" t="str">
        <f>IF(AND(G1960=1,G1959&lt;&gt;1),MAX($K$50:K1959)+1,"")</f>
        <v/>
      </c>
      <c r="L1960" s="13" t="str">
        <f>IF(AND(G1960&lt;&gt;1,G1959=1),MAX($L$50:L1959)+1,"")</f>
        <v/>
      </c>
      <c r="M1960" s="13" t="str">
        <f>IF(AND(G1960=-1,G1959&lt;&gt;-1),MAX($M$50:M1959)+1,"")</f>
        <v/>
      </c>
      <c r="N1960" s="13" t="str">
        <f>IF(AND(G1960&lt;&gt;-1,G1959=-1),MAX($N$50:N1959)+1,"")</f>
        <v/>
      </c>
      <c r="T1960" s="7">
        <f t="shared" si="268"/>
        <v>145.93828784828912</v>
      </c>
      <c r="U1960" s="1">
        <f t="shared" si="269"/>
        <v>260.16897057201021</v>
      </c>
    </row>
    <row r="1961" spans="1:21" x14ac:dyDescent="0.3">
      <c r="A1961" s="2">
        <v>43019</v>
      </c>
      <c r="B1961" s="1">
        <v>4960.79</v>
      </c>
      <c r="C1961" s="2">
        <f t="shared" si="261"/>
        <v>43019</v>
      </c>
      <c r="D1961" s="1">
        <f t="shared" si="262"/>
        <v>4960.79</v>
      </c>
      <c r="E1961" s="4">
        <f t="shared" si="263"/>
        <v>4814.5368000000008</v>
      </c>
      <c r="F1961" s="3">
        <f t="shared" si="264"/>
        <v>1.030377418654272</v>
      </c>
      <c r="G1961" s="18">
        <f t="shared" si="265"/>
        <v>1</v>
      </c>
      <c r="H1961" s="3">
        <f t="shared" si="266"/>
        <v>1.8215708726374569E-3</v>
      </c>
      <c r="I1961" s="3">
        <f t="shared" si="267"/>
        <v>1.8215708726374569E-3</v>
      </c>
      <c r="K1961" s="12" t="str">
        <f>IF(AND(G1961=1,G1960&lt;&gt;1),MAX($K$50:K1960)+1,"")</f>
        <v/>
      </c>
      <c r="L1961" s="13" t="str">
        <f>IF(AND(G1961&lt;&gt;1,G1960=1),MAX($L$50:L1960)+1,"")</f>
        <v/>
      </c>
      <c r="M1961" s="13" t="str">
        <f>IF(AND(G1961=-1,G1960&lt;&gt;-1),MAX($M$50:M1960)+1,"")</f>
        <v/>
      </c>
      <c r="N1961" s="13" t="str">
        <f>IF(AND(G1961&lt;&gt;-1,G1960=-1),MAX($N$50:N1960)+1,"")</f>
        <v/>
      </c>
      <c r="T1961" s="7">
        <f t="shared" si="268"/>
        <v>146.20412478263614</v>
      </c>
      <c r="U1961" s="1">
        <f t="shared" si="269"/>
        <v>260.64288679076827</v>
      </c>
    </row>
    <row r="1962" spans="1:21" x14ac:dyDescent="0.3">
      <c r="A1962" s="2">
        <v>43020</v>
      </c>
      <c r="B1962" s="1">
        <v>4952.8500000000004</v>
      </c>
      <c r="C1962" s="2">
        <f t="shared" si="261"/>
        <v>43020</v>
      </c>
      <c r="D1962" s="1">
        <f t="shared" si="262"/>
        <v>4952.8500000000004</v>
      </c>
      <c r="E1962" s="4">
        <f t="shared" si="263"/>
        <v>4817.8030000000008</v>
      </c>
      <c r="F1962" s="3">
        <f t="shared" si="264"/>
        <v>1.0280308264991325</v>
      </c>
      <c r="G1962" s="18">
        <f t="shared" si="265"/>
        <v>1</v>
      </c>
      <c r="H1962" s="3">
        <f t="shared" si="266"/>
        <v>-1.600551525059446E-3</v>
      </c>
      <c r="I1962" s="3">
        <f t="shared" si="267"/>
        <v>-1.600551525059446E-3</v>
      </c>
      <c r="K1962" s="12" t="str">
        <f>IF(AND(G1962=1,G1961&lt;&gt;1),MAX($K$50:K1961)+1,"")</f>
        <v/>
      </c>
      <c r="L1962" s="13" t="str">
        <f>IF(AND(G1962&lt;&gt;1,G1961=1),MAX($L$50:L1961)+1,"")</f>
        <v/>
      </c>
      <c r="M1962" s="13" t="str">
        <f>IF(AND(G1962=-1,G1961&lt;&gt;-1),MAX($M$50:M1961)+1,"")</f>
        <v/>
      </c>
      <c r="N1962" s="13" t="str">
        <f>IF(AND(G1962&lt;&gt;-1,G1961=-1),MAX($N$50:N1961)+1,"")</f>
        <v/>
      </c>
      <c r="T1962" s="7">
        <f t="shared" si="268"/>
        <v>145.9701175477453</v>
      </c>
      <c r="U1962" s="1">
        <f t="shared" si="269"/>
        <v>260.22571442081943</v>
      </c>
    </row>
    <row r="1963" spans="1:21" x14ac:dyDescent="0.3">
      <c r="A1963" s="2">
        <v>43021</v>
      </c>
      <c r="B1963" s="1">
        <v>4957.2700000000004</v>
      </c>
      <c r="C1963" s="2">
        <f t="shared" si="261"/>
        <v>43021</v>
      </c>
      <c r="D1963" s="1">
        <f t="shared" si="262"/>
        <v>4957.2700000000004</v>
      </c>
      <c r="E1963" s="4">
        <f t="shared" si="263"/>
        <v>4821.3486000000012</v>
      </c>
      <c r="F1963" s="3">
        <f t="shared" si="264"/>
        <v>1.0281915727894058</v>
      </c>
      <c r="G1963" s="18">
        <f t="shared" si="265"/>
        <v>1</v>
      </c>
      <c r="H1963" s="3">
        <f t="shared" si="266"/>
        <v>8.9241547795704257E-4</v>
      </c>
      <c r="I1963" s="3">
        <f t="shared" si="267"/>
        <v>8.9241547795704257E-4</v>
      </c>
      <c r="K1963" s="12" t="str">
        <f>IF(AND(G1963=1,G1962&lt;&gt;1),MAX($K$50:K1962)+1,"")</f>
        <v/>
      </c>
      <c r="L1963" s="13" t="str">
        <f>IF(AND(G1963&lt;&gt;1,G1962=1),MAX($L$50:L1962)+1,"")</f>
        <v/>
      </c>
      <c r="M1963" s="13" t="str">
        <f>IF(AND(G1963=-1,G1962&lt;&gt;-1),MAX($M$50:M1962)+1,"")</f>
        <v/>
      </c>
      <c r="N1963" s="13" t="str">
        <f>IF(AND(G1963&lt;&gt;-1,G1962=-1),MAX($N$50:N1962)+1,"")</f>
        <v/>
      </c>
      <c r="T1963" s="7">
        <f t="shared" si="268"/>
        <v>146.10038353996413</v>
      </c>
      <c r="U1963" s="1">
        <f t="shared" si="269"/>
        <v>260.45794387613103</v>
      </c>
    </row>
    <row r="1964" spans="1:21" x14ac:dyDescent="0.3">
      <c r="A1964" s="2">
        <v>43024</v>
      </c>
      <c r="B1964" s="1">
        <v>4966.05</v>
      </c>
      <c r="C1964" s="2">
        <f t="shared" si="261"/>
        <v>43024</v>
      </c>
      <c r="D1964" s="1">
        <f t="shared" si="262"/>
        <v>4966.05</v>
      </c>
      <c r="E1964" s="4">
        <f t="shared" si="263"/>
        <v>4824.8874000000005</v>
      </c>
      <c r="F1964" s="3">
        <f t="shared" si="264"/>
        <v>1.0292571801779249</v>
      </c>
      <c r="G1964" s="18">
        <f t="shared" si="265"/>
        <v>1</v>
      </c>
      <c r="H1964" s="3">
        <f t="shared" si="266"/>
        <v>1.771136129361528E-3</v>
      </c>
      <c r="I1964" s="3">
        <f t="shared" si="267"/>
        <v>1.771136129361528E-3</v>
      </c>
      <c r="K1964" s="12" t="str">
        <f>IF(AND(G1964=1,G1963&lt;&gt;1),MAX($K$50:K1963)+1,"")</f>
        <v/>
      </c>
      <c r="L1964" s="13" t="str">
        <f>IF(AND(G1964&lt;&gt;1,G1963=1),MAX($L$50:L1963)+1,"")</f>
        <v/>
      </c>
      <c r="M1964" s="13" t="str">
        <f>IF(AND(G1964=-1,G1963&lt;&gt;-1),MAX($M$50:M1963)+1,"")</f>
        <v/>
      </c>
      <c r="N1964" s="13" t="str">
        <f>IF(AND(G1964&lt;&gt;-1,G1963=-1),MAX($N$50:N1963)+1,"")</f>
        <v/>
      </c>
      <c r="T1964" s="7">
        <f t="shared" si="268"/>
        <v>146.35914720776535</v>
      </c>
      <c r="U1964" s="1">
        <f t="shared" si="269"/>
        <v>260.91925035070926</v>
      </c>
    </row>
    <row r="1965" spans="1:21" x14ac:dyDescent="0.3">
      <c r="A1965" s="2">
        <v>43025</v>
      </c>
      <c r="B1965" s="1">
        <v>4969.38</v>
      </c>
      <c r="C1965" s="2">
        <f t="shared" si="261"/>
        <v>43025</v>
      </c>
      <c r="D1965" s="1">
        <f t="shared" si="262"/>
        <v>4969.38</v>
      </c>
      <c r="E1965" s="4">
        <f t="shared" si="263"/>
        <v>4828.3324000000002</v>
      </c>
      <c r="F1965" s="3">
        <f t="shared" si="264"/>
        <v>1.0292124875246782</v>
      </c>
      <c r="G1965" s="18">
        <f t="shared" si="265"/>
        <v>1</v>
      </c>
      <c r="H1965" s="3">
        <f t="shared" si="266"/>
        <v>6.7055305524510445E-4</v>
      </c>
      <c r="I1965" s="3">
        <f t="shared" si="267"/>
        <v>6.7055305524510445E-4</v>
      </c>
      <c r="K1965" s="12" t="str">
        <f>IF(AND(G1965=1,G1964&lt;&gt;1),MAX($K$50:K1964)+1,"")</f>
        <v/>
      </c>
      <c r="L1965" s="13" t="str">
        <f>IF(AND(G1965&lt;&gt;1,G1964=1),MAX($L$50:L1964)+1,"")</f>
        <v/>
      </c>
      <c r="M1965" s="13" t="str">
        <f>IF(AND(G1965=-1,G1964&lt;&gt;-1),MAX($M$50:M1964)+1,"")</f>
        <v/>
      </c>
      <c r="N1965" s="13" t="str">
        <f>IF(AND(G1965&lt;&gt;-1,G1964=-1),MAX($N$50:N1964)+1,"")</f>
        <v/>
      </c>
      <c r="T1965" s="7">
        <f t="shared" si="268"/>
        <v>146.45728878108858</v>
      </c>
      <c r="U1965" s="1">
        <f t="shared" si="269"/>
        <v>261.09421055120418</v>
      </c>
    </row>
    <row r="1966" spans="1:21" x14ac:dyDescent="0.3">
      <c r="A1966" s="2">
        <v>43026</v>
      </c>
      <c r="B1966" s="1">
        <v>4973.28</v>
      </c>
      <c r="C1966" s="2">
        <f t="shared" si="261"/>
        <v>43026</v>
      </c>
      <c r="D1966" s="1">
        <f t="shared" si="262"/>
        <v>4973.28</v>
      </c>
      <c r="E1966" s="4">
        <f t="shared" si="263"/>
        <v>4832.0756000000001</v>
      </c>
      <c r="F1966" s="3">
        <f t="shared" si="264"/>
        <v>1.0292223076973381</v>
      </c>
      <c r="G1966" s="18">
        <f t="shared" si="265"/>
        <v>1</v>
      </c>
      <c r="H1966" s="3">
        <f t="shared" si="266"/>
        <v>7.8480615288012423E-4</v>
      </c>
      <c r="I1966" s="3">
        <f t="shared" si="267"/>
        <v>7.8480615288012423E-4</v>
      </c>
      <c r="K1966" s="12" t="str">
        <f>IF(AND(G1966=1,G1965&lt;&gt;1),MAX($K$50:K1965)+1,"")</f>
        <v/>
      </c>
      <c r="L1966" s="13" t="str">
        <f>IF(AND(G1966&lt;&gt;1,G1965=1),MAX($L$50:L1965)+1,"")</f>
        <v/>
      </c>
      <c r="M1966" s="13" t="str">
        <f>IF(AND(G1966=-1,G1965&lt;&gt;-1),MAX($M$50:M1965)+1,"")</f>
        <v/>
      </c>
      <c r="N1966" s="13" t="str">
        <f>IF(AND(G1966&lt;&gt;-1,G1965=-1),MAX($N$50:N1965)+1,"")</f>
        <v/>
      </c>
      <c r="T1966" s="7">
        <f t="shared" si="268"/>
        <v>146.57222936245813</v>
      </c>
      <c r="U1966" s="1">
        <f t="shared" si="269"/>
        <v>261.29911889412614</v>
      </c>
    </row>
    <row r="1967" spans="1:21" x14ac:dyDescent="0.3">
      <c r="A1967" s="2">
        <v>43027</v>
      </c>
      <c r="B1967" s="1">
        <v>4975.32</v>
      </c>
      <c r="C1967" s="2">
        <f t="shared" si="261"/>
        <v>43027</v>
      </c>
      <c r="D1967" s="1">
        <f t="shared" si="262"/>
        <v>4975.32</v>
      </c>
      <c r="E1967" s="4">
        <f t="shared" si="263"/>
        <v>4835.8832000000002</v>
      </c>
      <c r="F1967" s="3">
        <f t="shared" si="264"/>
        <v>1.0288337815934014</v>
      </c>
      <c r="G1967" s="18">
        <f t="shared" si="265"/>
        <v>1</v>
      </c>
      <c r="H1967" s="3">
        <f t="shared" si="266"/>
        <v>4.1019206640280359E-4</v>
      </c>
      <c r="I1967" s="3">
        <f t="shared" si="267"/>
        <v>4.1019206640280359E-4</v>
      </c>
      <c r="K1967" s="12" t="str">
        <f>IF(AND(G1967=1,G1966&lt;&gt;1),MAX($K$50:K1966)+1,"")</f>
        <v/>
      </c>
      <c r="L1967" s="13" t="str">
        <f>IF(AND(G1967&lt;&gt;1,G1966=1),MAX($L$50:L1966)+1,"")</f>
        <v/>
      </c>
      <c r="M1967" s="13" t="str">
        <f>IF(AND(G1967=-1,G1966&lt;&gt;-1),MAX($M$50:M1966)+1,"")</f>
        <v/>
      </c>
      <c r="N1967" s="13" t="str">
        <f>IF(AND(G1967&lt;&gt;-1,G1966=-1),MAX($N$50:N1966)+1,"")</f>
        <v/>
      </c>
      <c r="T1967" s="7">
        <f t="shared" si="268"/>
        <v>146.63235212809758</v>
      </c>
      <c r="U1967" s="1">
        <f t="shared" si="269"/>
        <v>261.40630171965455</v>
      </c>
    </row>
    <row r="1968" spans="1:21" x14ac:dyDescent="0.3">
      <c r="A1968" s="2">
        <v>43028</v>
      </c>
      <c r="B1968" s="1">
        <v>5001.1099999999997</v>
      </c>
      <c r="C1968" s="2">
        <f t="shared" si="261"/>
        <v>43028</v>
      </c>
      <c r="D1968" s="1">
        <f t="shared" si="262"/>
        <v>5001.1099999999997</v>
      </c>
      <c r="E1968" s="4">
        <f t="shared" si="263"/>
        <v>4841.5574000000006</v>
      </c>
      <c r="F1968" s="3">
        <f t="shared" si="264"/>
        <v>1.0329548091281535</v>
      </c>
      <c r="G1968" s="18">
        <f t="shared" si="265"/>
        <v>1</v>
      </c>
      <c r="H1968" s="3">
        <f t="shared" si="266"/>
        <v>5.1835861813913642E-3</v>
      </c>
      <c r="I1968" s="3">
        <f t="shared" si="267"/>
        <v>5.1835861813913642E-3</v>
      </c>
      <c r="K1968" s="12" t="str">
        <f>IF(AND(G1968=1,G1967&lt;&gt;1),MAX($K$50:K1967)+1,"")</f>
        <v/>
      </c>
      <c r="L1968" s="13" t="str">
        <f>IF(AND(G1968&lt;&gt;1,G1967=1),MAX($L$50:L1967)+1,"")</f>
        <v/>
      </c>
      <c r="M1968" s="13" t="str">
        <f>IF(AND(G1968=-1,G1967&lt;&gt;-1),MAX($M$50:M1967)+1,"")</f>
        <v/>
      </c>
      <c r="N1968" s="13" t="str">
        <f>IF(AND(G1968&lt;&gt;-1,G1967=-1),MAX($N$50:N1967)+1,"")</f>
        <v/>
      </c>
      <c r="T1968" s="7">
        <f t="shared" si="268"/>
        <v>147.39243356233371</v>
      </c>
      <c r="U1968" s="1">
        <f t="shared" si="269"/>
        <v>262.76132381297714</v>
      </c>
    </row>
    <row r="1969" spans="1:21" x14ac:dyDescent="0.3">
      <c r="A1969" s="2">
        <v>43031</v>
      </c>
      <c r="B1969" s="1">
        <v>4981.37</v>
      </c>
      <c r="C1969" s="2">
        <f t="shared" si="261"/>
        <v>43031</v>
      </c>
      <c r="D1969" s="1">
        <f t="shared" si="262"/>
        <v>4981.37</v>
      </c>
      <c r="E1969" s="4">
        <f t="shared" si="263"/>
        <v>4846.7102000000004</v>
      </c>
      <c r="F1969" s="3">
        <f t="shared" si="264"/>
        <v>1.0277837531940737</v>
      </c>
      <c r="G1969" s="18">
        <f t="shared" si="265"/>
        <v>1</v>
      </c>
      <c r="H1969" s="3">
        <f t="shared" si="266"/>
        <v>-3.9471237385300117E-3</v>
      </c>
      <c r="I1969" s="3">
        <f t="shared" si="267"/>
        <v>-3.9471237385300117E-3</v>
      </c>
      <c r="K1969" s="12" t="str">
        <f>IF(AND(G1969=1,G1968&lt;&gt;1),MAX($K$50:K1968)+1,"")</f>
        <v/>
      </c>
      <c r="L1969" s="13" t="str">
        <f>IF(AND(G1969&lt;&gt;1,G1968=1),MAX($L$50:L1968)+1,"")</f>
        <v/>
      </c>
      <c r="M1969" s="13" t="str">
        <f>IF(AND(G1969=-1,G1968&lt;&gt;-1),MAX($M$50:M1968)+1,"")</f>
        <v/>
      </c>
      <c r="N1969" s="13" t="str">
        <f>IF(AND(G1969&lt;&gt;-1,G1968=-1),MAX($N$50:N1968)+1,"")</f>
        <v/>
      </c>
      <c r="T1969" s="7">
        <f t="shared" si="268"/>
        <v>146.81065738894011</v>
      </c>
      <c r="U1969" s="1">
        <f t="shared" si="269"/>
        <v>261.72417235418737</v>
      </c>
    </row>
    <row r="1970" spans="1:21" x14ac:dyDescent="0.3">
      <c r="A1970" s="2">
        <v>43032</v>
      </c>
      <c r="B1970" s="1">
        <v>4989.5600000000004</v>
      </c>
      <c r="C1970" s="2">
        <f t="shared" si="261"/>
        <v>43032</v>
      </c>
      <c r="D1970" s="1">
        <f t="shared" si="262"/>
        <v>4989.5600000000004</v>
      </c>
      <c r="E1970" s="4">
        <f t="shared" si="263"/>
        <v>4851.0727999999999</v>
      </c>
      <c r="F1970" s="3">
        <f t="shared" si="264"/>
        <v>1.0285477472117097</v>
      </c>
      <c r="G1970" s="18">
        <f t="shared" si="265"/>
        <v>1</v>
      </c>
      <c r="H1970" s="3">
        <f t="shared" si="266"/>
        <v>1.6441260135264812E-3</v>
      </c>
      <c r="I1970" s="3">
        <f t="shared" si="267"/>
        <v>1.6441260135264812E-3</v>
      </c>
      <c r="K1970" s="12" t="str">
        <f>IF(AND(G1970=1,G1969&lt;&gt;1),MAX($K$50:K1969)+1,"")</f>
        <v/>
      </c>
      <c r="L1970" s="13" t="str">
        <f>IF(AND(G1970&lt;&gt;1,G1969=1),MAX($L$50:L1969)+1,"")</f>
        <v/>
      </c>
      <c r="M1970" s="13" t="str">
        <f>IF(AND(G1970=-1,G1969&lt;&gt;-1),MAX($M$50:M1969)+1,"")</f>
        <v/>
      </c>
      <c r="N1970" s="13" t="str">
        <f>IF(AND(G1970&lt;&gt;-1,G1969=-1),MAX($N$50:N1969)+1,"")</f>
        <v/>
      </c>
      <c r="T1970" s="7">
        <f t="shared" si="268"/>
        <v>147.05203260981619</v>
      </c>
      <c r="U1970" s="1">
        <f t="shared" si="269"/>
        <v>262.15447987432361</v>
      </c>
    </row>
    <row r="1971" spans="1:21" x14ac:dyDescent="0.3">
      <c r="A1971" s="2">
        <v>43033</v>
      </c>
      <c r="B1971" s="1">
        <v>4966.29</v>
      </c>
      <c r="C1971" s="2">
        <f t="shared" si="261"/>
        <v>43033</v>
      </c>
      <c r="D1971" s="1">
        <f t="shared" si="262"/>
        <v>4966.29</v>
      </c>
      <c r="E1971" s="4">
        <f t="shared" si="263"/>
        <v>4854.9956000000002</v>
      </c>
      <c r="F1971" s="3">
        <f t="shared" si="264"/>
        <v>1.0229236870987071</v>
      </c>
      <c r="G1971" s="18">
        <f t="shared" si="265"/>
        <v>1</v>
      </c>
      <c r="H1971" s="3">
        <f t="shared" si="266"/>
        <v>-4.6637378847033117E-3</v>
      </c>
      <c r="I1971" s="3">
        <f t="shared" si="267"/>
        <v>-4.6637378847033117E-3</v>
      </c>
      <c r="K1971" s="12" t="str">
        <f>IF(AND(G1971=1,G1970&lt;&gt;1),MAX($K$50:K1970)+1,"")</f>
        <v/>
      </c>
      <c r="L1971" s="13" t="str">
        <f>IF(AND(G1971&lt;&gt;1,G1970=1),MAX($L$50:L1970)+1,"")</f>
        <v/>
      </c>
      <c r="M1971" s="13" t="str">
        <f>IF(AND(G1971=-1,G1970&lt;&gt;-1),MAX($M$50:M1970)+1,"")</f>
        <v/>
      </c>
      <c r="N1971" s="13" t="str">
        <f>IF(AND(G1971&lt;&gt;-1,G1970=-1),MAX($N$50:N1970)+1,"")</f>
        <v/>
      </c>
      <c r="T1971" s="7">
        <f t="shared" si="268"/>
        <v>146.36622047431118</v>
      </c>
      <c r="U1971" s="1">
        <f t="shared" si="269"/>
        <v>260.93186009488903</v>
      </c>
    </row>
    <row r="1972" spans="1:21" x14ac:dyDescent="0.3">
      <c r="A1972" s="2">
        <v>43034</v>
      </c>
      <c r="B1972" s="1">
        <v>4972.6000000000004</v>
      </c>
      <c r="C1972" s="2">
        <f t="shared" ref="C1972:C2035" si="270">A1972</f>
        <v>43034</v>
      </c>
      <c r="D1972" s="1">
        <f t="shared" ref="D1972:D2035" si="271">B1972</f>
        <v>4972.6000000000004</v>
      </c>
      <c r="E1972" s="4">
        <f t="shared" ref="E1972:E2035" si="272">AVERAGE(B1923:B1972)</f>
        <v>4858.8820000000005</v>
      </c>
      <c r="F1972" s="3">
        <f t="shared" ref="F1972:F2035" si="273">D1972/E1972</f>
        <v>1.0234041493495829</v>
      </c>
      <c r="G1972" s="18">
        <f t="shared" ref="G1972:G2035" si="274">IF(F1972&gt;=$Q$51,1,IF(F1972&lt;=$Q$52,-1,0))</f>
        <v>1</v>
      </c>
      <c r="H1972" s="3">
        <f t="shared" si="266"/>
        <v>1.2705661570306948E-3</v>
      </c>
      <c r="I1972" s="3">
        <f t="shared" si="267"/>
        <v>1.2705661570306948E-3</v>
      </c>
      <c r="K1972" s="12" t="str">
        <f>IF(AND(G1972=1,G1971&lt;&gt;1),MAX($K$50:K1971)+1,"")</f>
        <v/>
      </c>
      <c r="L1972" s="13" t="str">
        <f>IF(AND(G1972&lt;&gt;1,G1971=1),MAX($L$50:L1971)+1,"")</f>
        <v/>
      </c>
      <c r="M1972" s="13" t="str">
        <f>IF(AND(G1972=-1,G1971&lt;&gt;-1),MAX($M$50:M1971)+1,"")</f>
        <v/>
      </c>
      <c r="N1972" s="13" t="str">
        <f>IF(AND(G1972&lt;&gt;-1,G1971=-1),MAX($N$50:N1971)+1,"")</f>
        <v/>
      </c>
      <c r="T1972" s="7">
        <f t="shared" si="268"/>
        <v>146.55218844057833</v>
      </c>
      <c r="U1972" s="1">
        <f t="shared" si="269"/>
        <v>261.26339128561671</v>
      </c>
    </row>
    <row r="1973" spans="1:21" x14ac:dyDescent="0.3">
      <c r="A1973" s="2">
        <v>43035</v>
      </c>
      <c r="B1973" s="1">
        <v>5012.75</v>
      </c>
      <c r="C1973" s="2">
        <f t="shared" si="270"/>
        <v>43035</v>
      </c>
      <c r="D1973" s="1">
        <f t="shared" si="271"/>
        <v>5012.75</v>
      </c>
      <c r="E1973" s="4">
        <f t="shared" si="272"/>
        <v>4865.0424000000003</v>
      </c>
      <c r="F1973" s="3">
        <f t="shared" si="273"/>
        <v>1.0303610098033267</v>
      </c>
      <c r="G1973" s="18">
        <f t="shared" si="274"/>
        <v>1</v>
      </c>
      <c r="H1973" s="3">
        <f t="shared" ref="H1973:H2036" si="275">D1973/D1972-1</f>
        <v>8.0742468728631778E-3</v>
      </c>
      <c r="I1973" s="3">
        <f t="shared" ref="I1973:I2036" si="276">G1972*H1973</f>
        <v>8.0742468728631778E-3</v>
      </c>
      <c r="K1973" s="12" t="str">
        <f>IF(AND(G1973=1,G1972&lt;&gt;1),MAX($K$50:K1972)+1,"")</f>
        <v/>
      </c>
      <c r="L1973" s="13" t="str">
        <f>IF(AND(G1973&lt;&gt;1,G1972=1),MAX($L$50:L1972)+1,"")</f>
        <v/>
      </c>
      <c r="M1973" s="13" t="str">
        <f>IF(AND(G1973=-1,G1972&lt;&gt;-1),MAX($M$50:M1972)+1,"")</f>
        <v/>
      </c>
      <c r="N1973" s="13" t="str">
        <f>IF(AND(G1973&lt;&gt;-1,G1972=-1),MAX($N$50:N1972)+1,"")</f>
        <v/>
      </c>
      <c r="T1973" s="7">
        <f t="shared" ref="T1973:T2036" si="277">T1972*(1+I1973)</f>
        <v>147.73548698980593</v>
      </c>
      <c r="U1973" s="1">
        <f t="shared" ref="U1973:U2036" si="278">U1972*D1973/D1972</f>
        <v>263.37289640569821</v>
      </c>
    </row>
    <row r="1974" spans="1:21" x14ac:dyDescent="0.3">
      <c r="A1974" s="2">
        <v>43038</v>
      </c>
      <c r="B1974" s="1">
        <v>4997.1499999999996</v>
      </c>
      <c r="C1974" s="2">
        <f t="shared" si="270"/>
        <v>43038</v>
      </c>
      <c r="D1974" s="1">
        <f t="shared" si="271"/>
        <v>4997.1499999999996</v>
      </c>
      <c r="E1974" s="4">
        <f t="shared" si="272"/>
        <v>4871.0609999999997</v>
      </c>
      <c r="F1974" s="3">
        <f t="shared" si="273"/>
        <v>1.0258853255994946</v>
      </c>
      <c r="G1974" s="18">
        <f t="shared" si="274"/>
        <v>1</v>
      </c>
      <c r="H1974" s="3">
        <f t="shared" si="275"/>
        <v>-3.112064236197809E-3</v>
      </c>
      <c r="I1974" s="3">
        <f t="shared" si="276"/>
        <v>-3.112064236197809E-3</v>
      </c>
      <c r="K1974" s="12" t="str">
        <f>IF(AND(G1974=1,G1973&lt;&gt;1),MAX($K$50:K1973)+1,"")</f>
        <v/>
      </c>
      <c r="L1974" s="13" t="str">
        <f>IF(AND(G1974&lt;&gt;1,G1973=1),MAX($L$50:L1973)+1,"")</f>
        <v/>
      </c>
      <c r="M1974" s="13" t="str">
        <f>IF(AND(G1974=-1,G1973&lt;&gt;-1),MAX($M$50:M1973)+1,"")</f>
        <v/>
      </c>
      <c r="N1974" s="13" t="str">
        <f>IF(AND(G1974&lt;&gt;-1,G1973=-1),MAX($N$50:N1973)+1,"")</f>
        <v/>
      </c>
      <c r="T1974" s="7">
        <f t="shared" si="277"/>
        <v>147.2757246643277</v>
      </c>
      <c r="U1974" s="1">
        <f t="shared" si="278"/>
        <v>262.55326303401023</v>
      </c>
    </row>
    <row r="1975" spans="1:21" x14ac:dyDescent="0.3">
      <c r="A1975" s="2">
        <v>43039</v>
      </c>
      <c r="B1975" s="1">
        <v>5002.03</v>
      </c>
      <c r="C1975" s="2">
        <f t="shared" si="270"/>
        <v>43039</v>
      </c>
      <c r="D1975" s="1">
        <f t="shared" si="271"/>
        <v>5002.03</v>
      </c>
      <c r="E1975" s="4">
        <f t="shared" si="272"/>
        <v>4877.0652</v>
      </c>
      <c r="F1975" s="3">
        <f t="shared" si="273"/>
        <v>1.0256229504579926</v>
      </c>
      <c r="G1975" s="18">
        <f t="shared" si="274"/>
        <v>1</v>
      </c>
      <c r="H1975" s="3">
        <f t="shared" si="275"/>
        <v>9.7655663728324349E-4</v>
      </c>
      <c r="I1975" s="3">
        <f t="shared" si="276"/>
        <v>9.7655663728324349E-4</v>
      </c>
      <c r="K1975" s="12" t="str">
        <f>IF(AND(G1975=1,G1974&lt;&gt;1),MAX($K$50:K1974)+1,"")</f>
        <v/>
      </c>
      <c r="L1975" s="13" t="str">
        <f>IF(AND(G1975&lt;&gt;1,G1974=1),MAX($L$50:L1974)+1,"")</f>
        <v/>
      </c>
      <c r="M1975" s="13" t="str">
        <f>IF(AND(G1975=-1,G1974&lt;&gt;-1),MAX($M$50:M1974)+1,"")</f>
        <v/>
      </c>
      <c r="N1975" s="13" t="str">
        <f>IF(AND(G1975&lt;&gt;-1,G1974=-1),MAX($N$50:N1974)+1,"")</f>
        <v/>
      </c>
      <c r="T1975" s="7">
        <f t="shared" si="277"/>
        <v>147.41954775075934</v>
      </c>
      <c r="U1975" s="1">
        <f t="shared" si="278"/>
        <v>262.80966116566645</v>
      </c>
    </row>
    <row r="1976" spans="1:21" x14ac:dyDescent="0.3">
      <c r="A1976" s="2">
        <v>43040</v>
      </c>
      <c r="B1976" s="1">
        <v>5009.99</v>
      </c>
      <c r="C1976" s="2">
        <f t="shared" si="270"/>
        <v>43040</v>
      </c>
      <c r="D1976" s="1">
        <f t="shared" si="271"/>
        <v>5009.99</v>
      </c>
      <c r="E1976" s="4">
        <f t="shared" si="272"/>
        <v>4882.2903999999999</v>
      </c>
      <c r="F1976" s="3">
        <f t="shared" si="273"/>
        <v>1.0261556748037766</v>
      </c>
      <c r="G1976" s="18">
        <f t="shared" si="274"/>
        <v>1</v>
      </c>
      <c r="H1976" s="3">
        <f t="shared" si="275"/>
        <v>1.5913539103125096E-3</v>
      </c>
      <c r="I1976" s="3">
        <f t="shared" si="276"/>
        <v>1.5913539103125096E-3</v>
      </c>
      <c r="K1976" s="12" t="str">
        <f>IF(AND(G1976=1,G1975&lt;&gt;1),MAX($K$50:K1975)+1,"")</f>
        <v/>
      </c>
      <c r="L1976" s="13" t="str">
        <f>IF(AND(G1976&lt;&gt;1,G1975=1),MAX($L$50:L1975)+1,"")</f>
        <v/>
      </c>
      <c r="M1976" s="13" t="str">
        <f>IF(AND(G1976=-1,G1975&lt;&gt;-1),MAX($M$50:M1975)+1,"")</f>
        <v/>
      </c>
      <c r="N1976" s="13" t="str">
        <f>IF(AND(G1976&lt;&gt;-1,G1975=-1),MAX($N$50:N1975)+1,"")</f>
        <v/>
      </c>
      <c r="T1976" s="7">
        <f t="shared" si="277"/>
        <v>147.65414442452899</v>
      </c>
      <c r="U1976" s="1">
        <f t="shared" si="278"/>
        <v>263.22788434763032</v>
      </c>
    </row>
    <row r="1977" spans="1:21" x14ac:dyDescent="0.3">
      <c r="A1977" s="2">
        <v>43041</v>
      </c>
      <c r="B1977" s="1">
        <v>5011.4799999999996</v>
      </c>
      <c r="C1977" s="2">
        <f t="shared" si="270"/>
        <v>43041</v>
      </c>
      <c r="D1977" s="1">
        <f t="shared" si="271"/>
        <v>5011.4799999999996</v>
      </c>
      <c r="E1977" s="4">
        <f t="shared" si="272"/>
        <v>4887.8647999999994</v>
      </c>
      <c r="F1977" s="3">
        <f t="shared" si="273"/>
        <v>1.0252902248851072</v>
      </c>
      <c r="G1977" s="18">
        <f t="shared" si="274"/>
        <v>1</v>
      </c>
      <c r="H1977" s="3">
        <f t="shared" si="275"/>
        <v>2.9740578324499722E-4</v>
      </c>
      <c r="I1977" s="3">
        <f t="shared" si="276"/>
        <v>2.9740578324499722E-4</v>
      </c>
      <c r="K1977" s="12" t="str">
        <f>IF(AND(G1977=1,G1976&lt;&gt;1),MAX($K$50:K1976)+1,"")</f>
        <v/>
      </c>
      <c r="L1977" s="13" t="str">
        <f>IF(AND(G1977&lt;&gt;1,G1976=1),MAX($L$50:L1976)+1,"")</f>
        <v/>
      </c>
      <c r="M1977" s="13" t="str">
        <f>IF(AND(G1977=-1,G1976&lt;&gt;-1),MAX($M$50:M1976)+1,"")</f>
        <v/>
      </c>
      <c r="N1977" s="13" t="str">
        <f>IF(AND(G1977&lt;&gt;-1,G1976=-1),MAX($N$50:N1976)+1,"")</f>
        <v/>
      </c>
      <c r="T1977" s="7">
        <f t="shared" si="277"/>
        <v>147.69805762100094</v>
      </c>
      <c r="U1977" s="1">
        <f t="shared" si="278"/>
        <v>263.30616984274667</v>
      </c>
    </row>
    <row r="1978" spans="1:21" x14ac:dyDescent="0.3">
      <c r="A1978" s="2">
        <v>43042</v>
      </c>
      <c r="B1978" s="1">
        <v>5027.49</v>
      </c>
      <c r="C1978" s="2">
        <f t="shared" si="270"/>
        <v>43042</v>
      </c>
      <c r="D1978" s="1">
        <f t="shared" si="271"/>
        <v>5027.49</v>
      </c>
      <c r="E1978" s="4">
        <f t="shared" si="272"/>
        <v>4893.9539999999997</v>
      </c>
      <c r="F1978" s="3">
        <f t="shared" si="273"/>
        <v>1.027285912372695</v>
      </c>
      <c r="G1978" s="18">
        <f t="shared" si="274"/>
        <v>1</v>
      </c>
      <c r="H1978" s="3">
        <f t="shared" si="275"/>
        <v>3.1946650490475292E-3</v>
      </c>
      <c r="I1978" s="3">
        <f t="shared" si="276"/>
        <v>3.1946650490475292E-3</v>
      </c>
      <c r="K1978" s="12" t="str">
        <f>IF(AND(G1978=1,G1977&lt;&gt;1),MAX($K$50:K1977)+1,"")</f>
        <v/>
      </c>
      <c r="L1978" s="13" t="str">
        <f>IF(AND(G1978&lt;&gt;1,G1977=1),MAX($L$50:L1977)+1,"")</f>
        <v/>
      </c>
      <c r="M1978" s="13" t="str">
        <f>IF(AND(G1978=-1,G1977&lt;&gt;-1),MAX($M$50:M1977)+1,"")</f>
        <v/>
      </c>
      <c r="N1978" s="13" t="str">
        <f>IF(AND(G1978&lt;&gt;-1,G1977=-1),MAX($N$50:N1977)+1,"")</f>
        <v/>
      </c>
      <c r="T1978" s="7">
        <f t="shared" si="277"/>
        <v>148.16990344349497</v>
      </c>
      <c r="U1978" s="1">
        <f t="shared" si="278"/>
        <v>264.14734486074184</v>
      </c>
    </row>
    <row r="1979" spans="1:21" x14ac:dyDescent="0.3">
      <c r="A1979" s="2">
        <v>43045</v>
      </c>
      <c r="B1979" s="1">
        <v>5034.3</v>
      </c>
      <c r="C1979" s="2">
        <f t="shared" si="270"/>
        <v>43045</v>
      </c>
      <c r="D1979" s="1">
        <f t="shared" si="271"/>
        <v>5034.3</v>
      </c>
      <c r="E1979" s="4">
        <f t="shared" si="272"/>
        <v>4900.0108</v>
      </c>
      <c r="F1979" s="3">
        <f t="shared" si="273"/>
        <v>1.0274058987788355</v>
      </c>
      <c r="G1979" s="18">
        <f t="shared" si="274"/>
        <v>1</v>
      </c>
      <c r="H1979" s="3">
        <f t="shared" si="275"/>
        <v>1.3545526694236365E-3</v>
      </c>
      <c r="I1979" s="3">
        <f t="shared" si="276"/>
        <v>1.3545526694236365E-3</v>
      </c>
      <c r="K1979" s="12" t="str">
        <f>IF(AND(G1979=1,G1978&lt;&gt;1),MAX($K$50:K1978)+1,"")</f>
        <v/>
      </c>
      <c r="L1979" s="13" t="str">
        <f>IF(AND(G1979&lt;&gt;1,G1978=1),MAX($L$50:L1978)+1,"")</f>
        <v/>
      </c>
      <c r="M1979" s="13" t="str">
        <f>IF(AND(G1979=-1,G1978&lt;&gt;-1),MAX($M$50:M1978)+1,"")</f>
        <v/>
      </c>
      <c r="N1979" s="13" t="str">
        <f>IF(AND(G1979&lt;&gt;-1,G1978=-1),MAX($N$50:N1978)+1,"")</f>
        <v/>
      </c>
      <c r="T1979" s="7">
        <f t="shared" si="277"/>
        <v>148.37060738173261</v>
      </c>
      <c r="U1979" s="1">
        <f t="shared" si="278"/>
        <v>264.50514635184408</v>
      </c>
    </row>
    <row r="1980" spans="1:21" x14ac:dyDescent="0.3">
      <c r="A1980" s="2">
        <v>43046</v>
      </c>
      <c r="B1980" s="1">
        <v>5033.38</v>
      </c>
      <c r="C1980" s="2">
        <f t="shared" si="270"/>
        <v>43046</v>
      </c>
      <c r="D1980" s="1">
        <f t="shared" si="271"/>
        <v>5033.38</v>
      </c>
      <c r="E1980" s="4">
        <f t="shared" si="272"/>
        <v>4905.9989999999998</v>
      </c>
      <c r="F1980" s="3">
        <f t="shared" si="273"/>
        <v>1.0259643346849439</v>
      </c>
      <c r="G1980" s="18">
        <f t="shared" si="274"/>
        <v>1</v>
      </c>
      <c r="H1980" s="3">
        <f t="shared" si="275"/>
        <v>-1.8274635997062028E-4</v>
      </c>
      <c r="I1980" s="3">
        <f t="shared" si="276"/>
        <v>-1.8274635997062028E-4</v>
      </c>
      <c r="K1980" s="12" t="str">
        <f>IF(AND(G1980=1,G1979&lt;&gt;1),MAX($K$50:K1979)+1,"")</f>
        <v/>
      </c>
      <c r="L1980" s="13" t="str">
        <f>IF(AND(G1980&lt;&gt;1,G1979=1),MAX($L$50:L1979)+1,"")</f>
        <v/>
      </c>
      <c r="M1980" s="13" t="str">
        <f>IF(AND(G1980=-1,G1979&lt;&gt;-1),MAX($M$50:M1979)+1,"")</f>
        <v/>
      </c>
      <c r="N1980" s="13" t="str">
        <f>IF(AND(G1980&lt;&gt;-1,G1979=-1),MAX($N$50:N1979)+1,"")</f>
        <v/>
      </c>
      <c r="T1980" s="7">
        <f t="shared" si="277"/>
        <v>148.34349319330698</v>
      </c>
      <c r="U1980" s="1">
        <f t="shared" si="278"/>
        <v>264.45680899915482</v>
      </c>
    </row>
    <row r="1981" spans="1:21" x14ac:dyDescent="0.3">
      <c r="A1981" s="2">
        <v>43047</v>
      </c>
      <c r="B1981" s="1">
        <v>5040.74</v>
      </c>
      <c r="C1981" s="2">
        <f t="shared" si="270"/>
        <v>43047</v>
      </c>
      <c r="D1981" s="1">
        <f t="shared" si="271"/>
        <v>5040.74</v>
      </c>
      <c r="E1981" s="4">
        <f t="shared" si="272"/>
        <v>4912.0413999999992</v>
      </c>
      <c r="F1981" s="3">
        <f t="shared" si="273"/>
        <v>1.026200634221039</v>
      </c>
      <c r="G1981" s="18">
        <f t="shared" si="274"/>
        <v>1</v>
      </c>
      <c r="H1981" s="3">
        <f t="shared" si="275"/>
        <v>1.4622380984545824E-3</v>
      </c>
      <c r="I1981" s="3">
        <f t="shared" si="276"/>
        <v>1.4622380984545824E-3</v>
      </c>
      <c r="K1981" s="12" t="str">
        <f>IF(AND(G1981=1,G1980&lt;&gt;1),MAX($K$50:K1980)+1,"")</f>
        <v/>
      </c>
      <c r="L1981" s="13" t="str">
        <f>IF(AND(G1981&lt;&gt;1,G1980=1),MAX($L$50:L1980)+1,"")</f>
        <v/>
      </c>
      <c r="M1981" s="13" t="str">
        <f>IF(AND(G1981=-1,G1980&lt;&gt;-1),MAX($M$50:M1980)+1,"")</f>
        <v/>
      </c>
      <c r="N1981" s="13" t="str">
        <f>IF(AND(G1981&lt;&gt;-1,G1980=-1),MAX($N$50:N1980)+1,"")</f>
        <v/>
      </c>
      <c r="T1981" s="7">
        <f t="shared" si="277"/>
        <v>148.56040670071206</v>
      </c>
      <c r="U1981" s="1">
        <f t="shared" si="278"/>
        <v>264.84350782066912</v>
      </c>
    </row>
    <row r="1982" spans="1:21" x14ac:dyDescent="0.3">
      <c r="A1982" s="2">
        <v>43048</v>
      </c>
      <c r="B1982" s="1">
        <v>5023.01</v>
      </c>
      <c r="C1982" s="2">
        <f t="shared" si="270"/>
        <v>43048</v>
      </c>
      <c r="D1982" s="1">
        <f t="shared" si="271"/>
        <v>5023.01</v>
      </c>
      <c r="E1982" s="4">
        <f t="shared" si="272"/>
        <v>4917.2671999999993</v>
      </c>
      <c r="F1982" s="3">
        <f t="shared" si="273"/>
        <v>1.0215043835730548</v>
      </c>
      <c r="G1982" s="18">
        <f t="shared" si="274"/>
        <v>1</v>
      </c>
      <c r="H1982" s="3">
        <f t="shared" si="275"/>
        <v>-3.5173407079118757E-3</v>
      </c>
      <c r="I1982" s="3">
        <f t="shared" si="276"/>
        <v>-3.5173407079118757E-3</v>
      </c>
      <c r="K1982" s="12" t="str">
        <f>IF(AND(G1982=1,G1981&lt;&gt;1),MAX($K$50:K1981)+1,"")</f>
        <v/>
      </c>
      <c r="L1982" s="13" t="str">
        <f>IF(AND(G1982&lt;&gt;1,G1981=1),MAX($L$50:L1981)+1,"")</f>
        <v/>
      </c>
      <c r="M1982" s="13" t="str">
        <f>IF(AND(G1982=-1,G1981&lt;&gt;-1),MAX($M$50:M1981)+1,"")</f>
        <v/>
      </c>
      <c r="N1982" s="13" t="str">
        <f>IF(AND(G1982&lt;&gt;-1,G1981=-1),MAX($N$50:N1981)+1,"")</f>
        <v/>
      </c>
      <c r="T1982" s="7">
        <f t="shared" si="277"/>
        <v>148.03786913463969</v>
      </c>
      <c r="U1982" s="1">
        <f t="shared" si="278"/>
        <v>263.91196296938529</v>
      </c>
    </row>
    <row r="1983" spans="1:21" x14ac:dyDescent="0.3">
      <c r="A1983" s="2">
        <v>43049</v>
      </c>
      <c r="B1983" s="1">
        <v>5020.3100000000004</v>
      </c>
      <c r="C1983" s="2">
        <f t="shared" si="270"/>
        <v>43049</v>
      </c>
      <c r="D1983" s="1">
        <f t="shared" si="271"/>
        <v>5020.3100000000004</v>
      </c>
      <c r="E1983" s="4">
        <f t="shared" si="272"/>
        <v>4921.889799999999</v>
      </c>
      <c r="F1983" s="3">
        <f t="shared" si="273"/>
        <v>1.019996424950433</v>
      </c>
      <c r="G1983" s="18">
        <f t="shared" si="274"/>
        <v>1</v>
      </c>
      <c r="H1983" s="3">
        <f t="shared" si="275"/>
        <v>-5.3752630394920953E-4</v>
      </c>
      <c r="I1983" s="3">
        <f t="shared" si="276"/>
        <v>-5.3752630394920953E-4</v>
      </c>
      <c r="K1983" s="12" t="str">
        <f>IF(AND(G1983=1,G1982&lt;&gt;1),MAX($K$50:K1982)+1,"")</f>
        <v/>
      </c>
      <c r="L1983" s="13" t="str">
        <f>IF(AND(G1983&lt;&gt;1,G1982=1),MAX($L$50:L1982)+1,"")</f>
        <v/>
      </c>
      <c r="M1983" s="13" t="str">
        <f>IF(AND(G1983=-1,G1982&lt;&gt;-1),MAX($M$50:M1982)+1,"")</f>
        <v/>
      </c>
      <c r="N1983" s="13" t="str">
        <f>IF(AND(G1983&lt;&gt;-1,G1982=-1),MAX($N$50:N1982)+1,"")</f>
        <v/>
      </c>
      <c r="T1983" s="7">
        <f t="shared" si="277"/>
        <v>147.95829488599924</v>
      </c>
      <c r="U1983" s="1">
        <f t="shared" si="278"/>
        <v>263.77010334736241</v>
      </c>
    </row>
    <row r="1984" spans="1:21" x14ac:dyDescent="0.3">
      <c r="A1984" s="2">
        <v>43052</v>
      </c>
      <c r="B1984" s="1">
        <v>5025.3599999999997</v>
      </c>
      <c r="C1984" s="2">
        <f t="shared" si="270"/>
        <v>43052</v>
      </c>
      <c r="D1984" s="1">
        <f t="shared" si="271"/>
        <v>5025.3599999999997</v>
      </c>
      <c r="E1984" s="4">
        <f t="shared" si="272"/>
        <v>4926.417199999999</v>
      </c>
      <c r="F1984" s="3">
        <f t="shared" si="273"/>
        <v>1.0200841292938001</v>
      </c>
      <c r="G1984" s="18">
        <f t="shared" si="274"/>
        <v>1</v>
      </c>
      <c r="H1984" s="3">
        <f t="shared" si="275"/>
        <v>1.0059139774236669E-3</v>
      </c>
      <c r="I1984" s="3">
        <f t="shared" si="276"/>
        <v>1.0059139774236669E-3</v>
      </c>
      <c r="K1984" s="12" t="str">
        <f>IF(AND(G1984=1,G1983&lt;&gt;1),MAX($K$50:K1983)+1,"")</f>
        <v/>
      </c>
      <c r="L1984" s="13" t="str">
        <f>IF(AND(G1984&lt;&gt;1,G1983=1),MAX($L$50:L1983)+1,"")</f>
        <v/>
      </c>
      <c r="M1984" s="13" t="str">
        <f>IF(AND(G1984=-1,G1983&lt;&gt;-1),MAX($M$50:M1983)+1,"")</f>
        <v/>
      </c>
      <c r="N1984" s="13" t="str">
        <f>IF(AND(G1984&lt;&gt;-1,G1983=-1),MAX($N$50:N1983)+1,"")</f>
        <v/>
      </c>
      <c r="T1984" s="7">
        <f t="shared" si="277"/>
        <v>148.10712820290084</v>
      </c>
      <c r="U1984" s="1">
        <f t="shared" si="278"/>
        <v>264.03543338114599</v>
      </c>
    </row>
    <row r="1985" spans="1:21" x14ac:dyDescent="0.3">
      <c r="A1985" s="2">
        <v>43053</v>
      </c>
      <c r="B1985" s="1">
        <v>5014.53</v>
      </c>
      <c r="C1985" s="2">
        <f t="shared" si="270"/>
        <v>43053</v>
      </c>
      <c r="D1985" s="1">
        <f t="shared" si="271"/>
        <v>5014.53</v>
      </c>
      <c r="E1985" s="4">
        <f t="shared" si="272"/>
        <v>4931.4527999999991</v>
      </c>
      <c r="F1985" s="3">
        <f t="shared" si="273"/>
        <v>1.0168463946364854</v>
      </c>
      <c r="G1985" s="18">
        <f t="shared" si="274"/>
        <v>1</v>
      </c>
      <c r="H1985" s="3">
        <f t="shared" si="275"/>
        <v>-2.1550694875590581E-3</v>
      </c>
      <c r="I1985" s="3">
        <f t="shared" si="276"/>
        <v>-2.1550694875590581E-3</v>
      </c>
      <c r="K1985" s="12" t="str">
        <f>IF(AND(G1985=1,G1984&lt;&gt;1),MAX($K$50:K1984)+1,"")</f>
        <v/>
      </c>
      <c r="L1985" s="13" t="str">
        <f>IF(AND(G1985&lt;&gt;1,G1984=1),MAX($L$50:L1984)+1,"")</f>
        <v/>
      </c>
      <c r="M1985" s="13" t="str">
        <f>IF(AND(G1985=-1,G1984&lt;&gt;-1),MAX($M$50:M1984)+1,"")</f>
        <v/>
      </c>
      <c r="N1985" s="13" t="str">
        <f>IF(AND(G1985&lt;&gt;-1,G1984=-1),MAX($N$50:N1984)+1,"")</f>
        <v/>
      </c>
      <c r="T1985" s="7">
        <f t="shared" si="277"/>
        <v>147.78794705002076</v>
      </c>
      <c r="U1985" s="1">
        <f t="shared" si="278"/>
        <v>263.46641867503189</v>
      </c>
    </row>
    <row r="1986" spans="1:21" x14ac:dyDescent="0.3">
      <c r="A1986" s="2">
        <v>43054</v>
      </c>
      <c r="B1986" s="1">
        <v>4987.96</v>
      </c>
      <c r="C1986" s="2">
        <f t="shared" si="270"/>
        <v>43054</v>
      </c>
      <c r="D1986" s="1">
        <f t="shared" si="271"/>
        <v>4987.96</v>
      </c>
      <c r="E1986" s="4">
        <f t="shared" si="272"/>
        <v>4935.6581999999989</v>
      </c>
      <c r="F1986" s="3">
        <f t="shared" si="273"/>
        <v>1.0105967224391674</v>
      </c>
      <c r="G1986" s="18">
        <f t="shared" si="274"/>
        <v>1</v>
      </c>
      <c r="H1986" s="3">
        <f t="shared" si="275"/>
        <v>-5.2986022618271011E-3</v>
      </c>
      <c r="I1986" s="3">
        <f t="shared" si="276"/>
        <v>-5.2986022618271011E-3</v>
      </c>
      <c r="K1986" s="12" t="str">
        <f>IF(AND(G1986=1,G1985&lt;&gt;1),MAX($K$50:K1985)+1,"")</f>
        <v/>
      </c>
      <c r="L1986" s="13" t="str">
        <f>IF(AND(G1986&lt;&gt;1,G1985=1),MAX($L$50:L1985)+1,"")</f>
        <v/>
      </c>
      <c r="M1986" s="13" t="str">
        <f>IF(AND(G1986=-1,G1985&lt;&gt;-1),MAX($M$50:M1985)+1,"")</f>
        <v/>
      </c>
      <c r="N1986" s="13" t="str">
        <f>IF(AND(G1986&lt;&gt;-1,G1985=-1),MAX($N$50:N1985)+1,"")</f>
        <v/>
      </c>
      <c r="T1986" s="7">
        <f t="shared" si="277"/>
        <v>147.00487749951074</v>
      </c>
      <c r="U1986" s="1">
        <f t="shared" si="278"/>
        <v>262.07041491312486</v>
      </c>
    </row>
    <row r="1987" spans="1:21" x14ac:dyDescent="0.3">
      <c r="A1987" s="2">
        <v>43055</v>
      </c>
      <c r="B1987" s="1">
        <v>5030.4799999999996</v>
      </c>
      <c r="C1987" s="2">
        <f t="shared" si="270"/>
        <v>43055</v>
      </c>
      <c r="D1987" s="1">
        <f t="shared" si="271"/>
        <v>5030.4799999999996</v>
      </c>
      <c r="E1987" s="4">
        <f t="shared" si="272"/>
        <v>4940.7092000000002</v>
      </c>
      <c r="F1987" s="3">
        <f t="shared" si="273"/>
        <v>1.0181696182402316</v>
      </c>
      <c r="G1987" s="18">
        <f t="shared" si="274"/>
        <v>1</v>
      </c>
      <c r="H1987" s="3">
        <f t="shared" si="275"/>
        <v>8.5245270611631341E-3</v>
      </c>
      <c r="I1987" s="3">
        <f t="shared" si="276"/>
        <v>8.5245270611631341E-3</v>
      </c>
      <c r="K1987" s="12" t="str">
        <f>IF(AND(G1987=1,G1986&lt;&gt;1),MAX($K$50:K1986)+1,"")</f>
        <v/>
      </c>
      <c r="L1987" s="13" t="str">
        <f>IF(AND(G1987&lt;&gt;1,G1986=1),MAX($L$50:L1986)+1,"")</f>
        <v/>
      </c>
      <c r="M1987" s="13" t="str">
        <f>IF(AND(G1987=-1,G1986&lt;&gt;-1),MAX($M$50:M1986)+1,"")</f>
        <v/>
      </c>
      <c r="N1987" s="13" t="str">
        <f>IF(AND(G1987&lt;&gt;-1,G1986=-1),MAX($N$50:N1986)+1,"")</f>
        <v/>
      </c>
      <c r="T1987" s="7">
        <f t="shared" si="277"/>
        <v>148.25802455587828</v>
      </c>
      <c r="U1987" s="1">
        <f t="shared" si="278"/>
        <v>264.3044412569821</v>
      </c>
    </row>
    <row r="1988" spans="1:21" x14ac:dyDescent="0.3">
      <c r="A1988" s="2">
        <v>43056</v>
      </c>
      <c r="B1988" s="1">
        <v>5017.45</v>
      </c>
      <c r="C1988" s="2">
        <f t="shared" si="270"/>
        <v>43056</v>
      </c>
      <c r="D1988" s="1">
        <f t="shared" si="271"/>
        <v>5017.45</v>
      </c>
      <c r="E1988" s="4">
        <f t="shared" si="272"/>
        <v>4945.6377999999995</v>
      </c>
      <c r="F1988" s="3">
        <f t="shared" si="273"/>
        <v>1.0145203112124386</v>
      </c>
      <c r="G1988" s="18">
        <f t="shared" si="274"/>
        <v>1</v>
      </c>
      <c r="H1988" s="3">
        <f t="shared" si="275"/>
        <v>-2.5902100793562255E-3</v>
      </c>
      <c r="I1988" s="3">
        <f t="shared" si="276"/>
        <v>-2.5902100793562255E-3</v>
      </c>
      <c r="K1988" s="12" t="str">
        <f>IF(AND(G1988=1,G1987&lt;&gt;1),MAX($K$50:K1987)+1,"")</f>
        <v/>
      </c>
      <c r="L1988" s="13" t="str">
        <f>IF(AND(G1988&lt;&gt;1,G1987=1),MAX($L$50:L1987)+1,"")</f>
        <v/>
      </c>
      <c r="M1988" s="13" t="str">
        <f>IF(AND(G1988=-1,G1987&lt;&gt;-1),MAX($M$50:M1987)+1,"")</f>
        <v/>
      </c>
      <c r="N1988" s="13" t="str">
        <f>IF(AND(G1988&lt;&gt;-1,G1987=-1),MAX($N$50:N1987)+1,"")</f>
        <v/>
      </c>
      <c r="T1988" s="7">
        <f t="shared" si="277"/>
        <v>147.8740051263282</v>
      </c>
      <c r="U1988" s="1">
        <f t="shared" si="278"/>
        <v>263.61983722921968</v>
      </c>
    </row>
    <row r="1989" spans="1:21" x14ac:dyDescent="0.3">
      <c r="A1989" s="2">
        <v>43059</v>
      </c>
      <c r="B1989" s="1">
        <v>5024.01</v>
      </c>
      <c r="C1989" s="2">
        <f t="shared" si="270"/>
        <v>43059</v>
      </c>
      <c r="D1989" s="1">
        <f t="shared" si="271"/>
        <v>5024.01</v>
      </c>
      <c r="E1989" s="4">
        <f t="shared" si="272"/>
        <v>4949.6619999999994</v>
      </c>
      <c r="F1989" s="3">
        <f t="shared" si="273"/>
        <v>1.0150208236441196</v>
      </c>
      <c r="G1989" s="18">
        <f t="shared" si="274"/>
        <v>1</v>
      </c>
      <c r="H1989" s="3">
        <f t="shared" si="275"/>
        <v>1.3074370447139216E-3</v>
      </c>
      <c r="I1989" s="3">
        <f t="shared" si="276"/>
        <v>1.3074370447139216E-3</v>
      </c>
      <c r="K1989" s="12" t="str">
        <f>IF(AND(G1989=1,G1988&lt;&gt;1),MAX($K$50:K1988)+1,"")</f>
        <v/>
      </c>
      <c r="L1989" s="13" t="str">
        <f>IF(AND(G1989&lt;&gt;1,G1988=1),MAX($L$50:L1988)+1,"")</f>
        <v/>
      </c>
      <c r="M1989" s="13" t="str">
        <f>IF(AND(G1989=-1,G1988&lt;&gt;-1),MAX($M$50:M1988)+1,"")</f>
        <v/>
      </c>
      <c r="N1989" s="13" t="str">
        <f>IF(AND(G1989&lt;&gt;-1,G1988=-1),MAX($N$50:N1988)+1,"")</f>
        <v/>
      </c>
      <c r="T1989" s="7">
        <f t="shared" si="277"/>
        <v>148.06734107858057</v>
      </c>
      <c r="U1989" s="1">
        <f t="shared" si="278"/>
        <v>263.96450357013464</v>
      </c>
    </row>
    <row r="1990" spans="1:21" x14ac:dyDescent="0.3">
      <c r="A1990" s="2">
        <v>43060</v>
      </c>
      <c r="B1990" s="1">
        <v>5056.95</v>
      </c>
      <c r="C1990" s="2">
        <f t="shared" si="270"/>
        <v>43060</v>
      </c>
      <c r="D1990" s="1">
        <f t="shared" si="271"/>
        <v>5056.95</v>
      </c>
      <c r="E1990" s="4">
        <f t="shared" si="272"/>
        <v>4954.0148000000008</v>
      </c>
      <c r="F1990" s="3">
        <f t="shared" si="273"/>
        <v>1.0207781373604292</v>
      </c>
      <c r="G1990" s="18">
        <f t="shared" si="274"/>
        <v>1</v>
      </c>
      <c r="H1990" s="3">
        <f t="shared" si="275"/>
        <v>6.5565156120308554E-3</v>
      </c>
      <c r="I1990" s="3">
        <f t="shared" si="276"/>
        <v>6.5565156120308554E-3</v>
      </c>
      <c r="K1990" s="12" t="str">
        <f>IF(AND(G1990=1,G1989&lt;&gt;1),MAX($K$50:K1989)+1,"")</f>
        <v/>
      </c>
      <c r="L1990" s="13" t="str">
        <f>IF(AND(G1990&lt;&gt;1,G1989=1),MAX($L$50:L1989)+1,"")</f>
        <v/>
      </c>
      <c r="M1990" s="13" t="str">
        <f>IF(AND(G1990=-1,G1989&lt;&gt;-1),MAX($M$50:M1989)+1,"")</f>
        <v/>
      </c>
      <c r="N1990" s="13" t="str">
        <f>IF(AND(G1990&lt;&gt;-1,G1989=-1),MAX($N$50:N1989)+1,"")</f>
        <v/>
      </c>
      <c r="T1990" s="7">
        <f t="shared" si="277"/>
        <v>149.03814691199418</v>
      </c>
      <c r="U1990" s="1">
        <f t="shared" si="278"/>
        <v>265.69519095881424</v>
      </c>
    </row>
    <row r="1991" spans="1:21" x14ac:dyDescent="0.3">
      <c r="A1991" s="2">
        <v>43061</v>
      </c>
      <c r="B1991" s="1">
        <v>5053.6000000000004</v>
      </c>
      <c r="C1991" s="2">
        <f t="shared" si="270"/>
        <v>43061</v>
      </c>
      <c r="D1991" s="1">
        <f t="shared" si="271"/>
        <v>5053.6000000000004</v>
      </c>
      <c r="E1991" s="4">
        <f t="shared" si="272"/>
        <v>4958.2260000000006</v>
      </c>
      <c r="F1991" s="3">
        <f t="shared" si="273"/>
        <v>1.0192355088291658</v>
      </c>
      <c r="G1991" s="18">
        <f t="shared" si="274"/>
        <v>1</v>
      </c>
      <c r="H1991" s="3">
        <f t="shared" si="275"/>
        <v>-6.6245464163172674E-4</v>
      </c>
      <c r="I1991" s="3">
        <f t="shared" si="276"/>
        <v>-6.6245464163172674E-4</v>
      </c>
      <c r="K1991" s="12" t="str">
        <f>IF(AND(G1991=1,G1990&lt;&gt;1),MAX($K$50:K1990)+1,"")</f>
        <v/>
      </c>
      <c r="L1991" s="13" t="str">
        <f>IF(AND(G1991&lt;&gt;1,G1990=1),MAX($L$50:L1990)+1,"")</f>
        <v/>
      </c>
      <c r="M1991" s="13" t="str">
        <f>IF(AND(G1991=-1,G1990&lt;&gt;-1),MAX($M$50:M1990)+1,"")</f>
        <v/>
      </c>
      <c r="N1991" s="13" t="str">
        <f>IF(AND(G1991&lt;&gt;-1,G1990=-1),MAX($N$50:N1990)+1,"")</f>
        <v/>
      </c>
      <c r="T1991" s="7">
        <f t="shared" si="277"/>
        <v>148.93941589979212</v>
      </c>
      <c r="U1991" s="1">
        <f t="shared" si="278"/>
        <v>265.51917994630435</v>
      </c>
    </row>
    <row r="1992" spans="1:21" x14ac:dyDescent="0.3">
      <c r="A1992" s="2">
        <v>43063</v>
      </c>
      <c r="B1992" s="1">
        <v>5064.2299999999996</v>
      </c>
      <c r="C1992" s="2">
        <f t="shared" si="270"/>
        <v>43063</v>
      </c>
      <c r="D1992" s="1">
        <f t="shared" si="271"/>
        <v>5064.2299999999996</v>
      </c>
      <c r="E1992" s="4">
        <f t="shared" si="272"/>
        <v>4962.7248000000009</v>
      </c>
      <c r="F1992" s="3">
        <f t="shared" si="273"/>
        <v>1.0204535218233335</v>
      </c>
      <c r="G1992" s="18">
        <f t="shared" si="274"/>
        <v>1</v>
      </c>
      <c r="H1992" s="3">
        <f t="shared" si="275"/>
        <v>2.1034510052237998E-3</v>
      </c>
      <c r="I1992" s="3">
        <f t="shared" si="276"/>
        <v>2.1034510052237998E-3</v>
      </c>
      <c r="K1992" s="12" t="str">
        <f>IF(AND(G1992=1,G1991&lt;&gt;1),MAX($K$50:K1991)+1,"")</f>
        <v/>
      </c>
      <c r="L1992" s="13" t="str">
        <f>IF(AND(G1992&lt;&gt;1,G1991=1),MAX($L$50:L1991)+1,"")</f>
        <v/>
      </c>
      <c r="M1992" s="13" t="str">
        <f>IF(AND(G1992=-1,G1991&lt;&gt;-1),MAX($M$50:M1991)+1,"")</f>
        <v/>
      </c>
      <c r="N1992" s="13" t="str">
        <f>IF(AND(G1992&lt;&gt;-1,G1991=-1),MAX($N$50:N1991)+1,"")</f>
        <v/>
      </c>
      <c r="T1992" s="7">
        <f t="shared" si="277"/>
        <v>149.25270266388398</v>
      </c>
      <c r="U1992" s="1">
        <f t="shared" si="278"/>
        <v>266.07768653226861</v>
      </c>
    </row>
    <row r="1993" spans="1:21" x14ac:dyDescent="0.3">
      <c r="A1993" s="2">
        <v>43066</v>
      </c>
      <c r="B1993" s="1">
        <v>5062.8500000000004</v>
      </c>
      <c r="C1993" s="2">
        <f t="shared" si="270"/>
        <v>43066</v>
      </c>
      <c r="D1993" s="1">
        <f t="shared" si="271"/>
        <v>5062.8500000000004</v>
      </c>
      <c r="E1993" s="4">
        <f t="shared" si="272"/>
        <v>4967.005000000001</v>
      </c>
      <c r="F1993" s="3">
        <f t="shared" si="273"/>
        <v>1.0192963365247265</v>
      </c>
      <c r="G1993" s="18">
        <f t="shared" si="274"/>
        <v>1</v>
      </c>
      <c r="H1993" s="3">
        <f t="shared" si="275"/>
        <v>-2.7249947178531464E-4</v>
      </c>
      <c r="I1993" s="3">
        <f t="shared" si="276"/>
        <v>-2.7249947178531464E-4</v>
      </c>
      <c r="K1993" s="12" t="str">
        <f>IF(AND(G1993=1,G1992&lt;&gt;1),MAX($K$50:K1992)+1,"")</f>
        <v/>
      </c>
      <c r="L1993" s="13" t="str">
        <f>IF(AND(G1993&lt;&gt;1,G1992=1),MAX($L$50:L1992)+1,"")</f>
        <v/>
      </c>
      <c r="M1993" s="13" t="str">
        <f>IF(AND(G1993=-1,G1992&lt;&gt;-1),MAX($M$50:M1992)+1,"")</f>
        <v/>
      </c>
      <c r="N1993" s="13" t="str">
        <f>IF(AND(G1993&lt;&gt;-1,G1992=-1),MAX($N$50:N1992)+1,"")</f>
        <v/>
      </c>
      <c r="T1993" s="7">
        <f t="shared" si="277"/>
        <v>149.21203138124554</v>
      </c>
      <c r="U1993" s="1">
        <f t="shared" si="278"/>
        <v>266.00518050323473</v>
      </c>
    </row>
    <row r="1994" spans="1:21" x14ac:dyDescent="0.3">
      <c r="A1994" s="2">
        <v>43067</v>
      </c>
      <c r="B1994" s="1">
        <v>5112.91</v>
      </c>
      <c r="C1994" s="2">
        <f t="shared" si="270"/>
        <v>43067</v>
      </c>
      <c r="D1994" s="1">
        <f t="shared" si="271"/>
        <v>5112.91</v>
      </c>
      <c r="E1994" s="4">
        <f t="shared" si="272"/>
        <v>4972.1416000000008</v>
      </c>
      <c r="F1994" s="3">
        <f t="shared" si="273"/>
        <v>1.0283114221847582</v>
      </c>
      <c r="G1994" s="18">
        <f t="shared" si="274"/>
        <v>1</v>
      </c>
      <c r="H1994" s="3">
        <f t="shared" si="275"/>
        <v>9.8877114668614041E-3</v>
      </c>
      <c r="I1994" s="3">
        <f t="shared" si="276"/>
        <v>9.8877114668614041E-3</v>
      </c>
      <c r="K1994" s="12" t="str">
        <f>IF(AND(G1994=1,G1993&lt;&gt;1),MAX($K$50:K1993)+1,"")</f>
        <v/>
      </c>
      <c r="L1994" s="13" t="str">
        <f>IF(AND(G1994&lt;&gt;1,G1993=1),MAX($L$50:L1993)+1,"")</f>
        <v/>
      </c>
      <c r="M1994" s="13" t="str">
        <f>IF(AND(G1994=-1,G1993&lt;&gt;-1),MAX($M$50:M1993)+1,"")</f>
        <v/>
      </c>
      <c r="N1994" s="13" t="str">
        <f>IF(AND(G1994&lt;&gt;-1,G1993=-1),MAX($N$50:N1993)+1,"")</f>
        <v/>
      </c>
      <c r="T1994" s="7">
        <f t="shared" si="277"/>
        <v>150.68739689492756</v>
      </c>
      <c r="U1994" s="1">
        <f t="shared" si="278"/>
        <v>268.63536297674113</v>
      </c>
    </row>
    <row r="1995" spans="1:21" x14ac:dyDescent="0.3">
      <c r="A1995" s="2">
        <v>43068</v>
      </c>
      <c r="B1995" s="1">
        <v>5111.68</v>
      </c>
      <c r="C1995" s="2">
        <f t="shared" si="270"/>
        <v>43068</v>
      </c>
      <c r="D1995" s="1">
        <f t="shared" si="271"/>
        <v>5111.68</v>
      </c>
      <c r="E1995" s="4">
        <f t="shared" si="272"/>
        <v>4977.1448</v>
      </c>
      <c r="F1995" s="3">
        <f t="shared" si="273"/>
        <v>1.0270305979444279</v>
      </c>
      <c r="G1995" s="18">
        <f t="shared" si="274"/>
        <v>1</v>
      </c>
      <c r="H1995" s="3">
        <f t="shared" si="275"/>
        <v>-2.4056750461076692E-4</v>
      </c>
      <c r="I1995" s="3">
        <f t="shared" si="276"/>
        <v>-2.4056750461076692E-4</v>
      </c>
      <c r="K1995" s="12" t="str">
        <f>IF(AND(G1995=1,G1994&lt;&gt;1),MAX($K$50:K1994)+1,"")</f>
        <v/>
      </c>
      <c r="L1995" s="13" t="str">
        <f>IF(AND(G1995&lt;&gt;1,G1994=1),MAX($L$50:L1994)+1,"")</f>
        <v/>
      </c>
      <c r="M1995" s="13" t="str">
        <f>IF(AND(G1995=-1,G1994&lt;&gt;-1),MAX($M$50:M1994)+1,"")</f>
        <v/>
      </c>
      <c r="N1995" s="13" t="str">
        <f>IF(AND(G1995&lt;&gt;-1,G1994=-1),MAX($N$50:N1994)+1,"")</f>
        <v/>
      </c>
      <c r="T1995" s="7">
        <f t="shared" si="277"/>
        <v>150.65114640388026</v>
      </c>
      <c r="U1995" s="1">
        <f t="shared" si="278"/>
        <v>268.57073803781964</v>
      </c>
    </row>
    <row r="1996" spans="1:21" x14ac:dyDescent="0.3">
      <c r="A1996" s="2">
        <v>43069</v>
      </c>
      <c r="B1996" s="1">
        <v>5155.4399999999996</v>
      </c>
      <c r="C1996" s="2">
        <f t="shared" si="270"/>
        <v>43069</v>
      </c>
      <c r="D1996" s="1">
        <f t="shared" si="271"/>
        <v>5155.4399999999996</v>
      </c>
      <c r="E1996" s="4">
        <f t="shared" si="272"/>
        <v>4982.961400000001</v>
      </c>
      <c r="F1996" s="3">
        <f t="shared" si="273"/>
        <v>1.0346136737081686</v>
      </c>
      <c r="G1996" s="18">
        <f t="shared" si="274"/>
        <v>1</v>
      </c>
      <c r="H1996" s="3">
        <f t="shared" si="275"/>
        <v>8.5607862777010713E-3</v>
      </c>
      <c r="I1996" s="3">
        <f t="shared" si="276"/>
        <v>8.5607862777010713E-3</v>
      </c>
      <c r="K1996" s="12" t="str">
        <f>IF(AND(G1996=1,G1995&lt;&gt;1),MAX($K$50:K1995)+1,"")</f>
        <v/>
      </c>
      <c r="L1996" s="13" t="str">
        <f>IF(AND(G1996&lt;&gt;1,G1995=1),MAX($L$50:L1995)+1,"")</f>
        <v/>
      </c>
      <c r="M1996" s="13" t="str">
        <f>IF(AND(G1996=-1,G1995&lt;&gt;-1),MAX($M$50:M1995)+1,"")</f>
        <v/>
      </c>
      <c r="N1996" s="13" t="str">
        <f>IF(AND(G1996&lt;&gt;-1,G1995=-1),MAX($N$50:N1995)+1,"")</f>
        <v/>
      </c>
      <c r="T1996" s="7">
        <f t="shared" si="277"/>
        <v>151.94083867073454</v>
      </c>
      <c r="U1996" s="1">
        <f t="shared" si="278"/>
        <v>270.86991472660588</v>
      </c>
    </row>
    <row r="1997" spans="1:21" x14ac:dyDescent="0.3">
      <c r="A1997" s="2">
        <v>43070</v>
      </c>
      <c r="B1997" s="1">
        <v>5145.21</v>
      </c>
      <c r="C1997" s="2">
        <f t="shared" si="270"/>
        <v>43070</v>
      </c>
      <c r="D1997" s="1">
        <f t="shared" si="271"/>
        <v>5145.21</v>
      </c>
      <c r="E1997" s="4">
        <f t="shared" si="272"/>
        <v>4988.8666000000003</v>
      </c>
      <c r="F1997" s="3">
        <f t="shared" si="273"/>
        <v>1.0313384607237241</v>
      </c>
      <c r="G1997" s="18">
        <f t="shared" si="274"/>
        <v>1</v>
      </c>
      <c r="H1997" s="3">
        <f t="shared" si="275"/>
        <v>-1.9843117173314884E-3</v>
      </c>
      <c r="I1997" s="3">
        <f t="shared" si="276"/>
        <v>-1.9843117173314884E-3</v>
      </c>
      <c r="K1997" s="12" t="str">
        <f>IF(AND(G1997=1,G1996&lt;&gt;1),MAX($K$50:K1996)+1,"")</f>
        <v/>
      </c>
      <c r="L1997" s="13" t="str">
        <f>IF(AND(G1997&lt;&gt;1,G1996=1),MAX($L$50:L1996)+1,"")</f>
        <v/>
      </c>
      <c r="M1997" s="13" t="str">
        <f>IF(AND(G1997=-1,G1996&lt;&gt;-1),MAX($M$50:M1996)+1,"")</f>
        <v/>
      </c>
      <c r="N1997" s="13" t="str">
        <f>IF(AND(G1997&lt;&gt;-1,G1996=-1),MAX($N$50:N1996)+1,"")</f>
        <v/>
      </c>
      <c r="T1997" s="7">
        <f t="shared" si="277"/>
        <v>151.63934068421904</v>
      </c>
      <c r="U1997" s="1">
        <f t="shared" si="278"/>
        <v>270.33242438094129</v>
      </c>
    </row>
    <row r="1998" spans="1:21" x14ac:dyDescent="0.3">
      <c r="A1998" s="2">
        <v>43073</v>
      </c>
      <c r="B1998" s="1">
        <v>5139.91</v>
      </c>
      <c r="C1998" s="2">
        <f t="shared" si="270"/>
        <v>43073</v>
      </c>
      <c r="D1998" s="1">
        <f t="shared" si="271"/>
        <v>5139.91</v>
      </c>
      <c r="E1998" s="4">
        <f t="shared" si="272"/>
        <v>4994.6008000000011</v>
      </c>
      <c r="F1998" s="3">
        <f t="shared" si="273"/>
        <v>1.0290932560616253</v>
      </c>
      <c r="G1998" s="18">
        <f t="shared" si="274"/>
        <v>1</v>
      </c>
      <c r="H1998" s="3">
        <f t="shared" si="275"/>
        <v>-1.0300842919920283E-3</v>
      </c>
      <c r="I1998" s="3">
        <f t="shared" si="276"/>
        <v>-1.0300842919920283E-3</v>
      </c>
      <c r="K1998" s="12" t="str">
        <f>IF(AND(G1998=1,G1997&lt;&gt;1),MAX($K$50:K1997)+1,"")</f>
        <v/>
      </c>
      <c r="L1998" s="13" t="str">
        <f>IF(AND(G1998&lt;&gt;1,G1997=1),MAX($L$50:L1997)+1,"")</f>
        <v/>
      </c>
      <c r="M1998" s="13" t="str">
        <f>IF(AND(G1998=-1,G1997&lt;&gt;-1),MAX($M$50:M1997)+1,"")</f>
        <v/>
      </c>
      <c r="N1998" s="13" t="str">
        <f>IF(AND(G1998&lt;&gt;-1,G1997=-1),MAX($N$50:N1997)+1,"")</f>
        <v/>
      </c>
      <c r="T1998" s="7">
        <f t="shared" si="277"/>
        <v>151.48313938133219</v>
      </c>
      <c r="U1998" s="1">
        <f t="shared" si="278"/>
        <v>270.05395919697037</v>
      </c>
    </row>
    <row r="1999" spans="1:21" x14ac:dyDescent="0.3">
      <c r="A1999" s="2">
        <v>43074</v>
      </c>
      <c r="B1999" s="1">
        <v>5120.92</v>
      </c>
      <c r="C1999" s="2">
        <f t="shared" si="270"/>
        <v>43074</v>
      </c>
      <c r="D1999" s="1">
        <f t="shared" si="271"/>
        <v>5120.92</v>
      </c>
      <c r="E1999" s="4">
        <f t="shared" si="272"/>
        <v>5000.1710000000012</v>
      </c>
      <c r="F1999" s="3">
        <f t="shared" si="273"/>
        <v>1.0241489741050853</v>
      </c>
      <c r="G1999" s="18">
        <f t="shared" si="274"/>
        <v>1</v>
      </c>
      <c r="H1999" s="3">
        <f t="shared" si="275"/>
        <v>-3.6946172209240125E-3</v>
      </c>
      <c r="I1999" s="3">
        <f t="shared" si="276"/>
        <v>-3.6946172209240125E-3</v>
      </c>
      <c r="K1999" s="12" t="str">
        <f>IF(AND(G1999=1,G1998&lt;&gt;1),MAX($K$50:K1998)+1,"")</f>
        <v/>
      </c>
      <c r="L1999" s="13" t="str">
        <f>IF(AND(G1999&lt;&gt;1,G1998=1),MAX($L$50:L1998)+1,"")</f>
        <v/>
      </c>
      <c r="M1999" s="13" t="str">
        <f>IF(AND(G1999=-1,G1998&lt;&gt;-1),MAX($M$50:M1998)+1,"")</f>
        <v/>
      </c>
      <c r="N1999" s="13" t="str">
        <f>IF(AND(G1999&lt;&gt;-1,G1998=-1),MAX($N$50:N1998)+1,"")</f>
        <v/>
      </c>
      <c r="T1999" s="7">
        <f t="shared" si="277"/>
        <v>150.92346716589429</v>
      </c>
      <c r="U1999" s="1">
        <f t="shared" si="278"/>
        <v>269.0562131887425</v>
      </c>
    </row>
    <row r="2000" spans="1:21" x14ac:dyDescent="0.3">
      <c r="A2000" s="2">
        <v>43075</v>
      </c>
      <c r="B2000" s="1">
        <v>5120.46</v>
      </c>
      <c r="C2000" s="2">
        <f t="shared" si="270"/>
        <v>43075</v>
      </c>
      <c r="D2000" s="1">
        <f t="shared" si="271"/>
        <v>5120.46</v>
      </c>
      <c r="E2000" s="4">
        <f t="shared" si="272"/>
        <v>5005.7174000000005</v>
      </c>
      <c r="F2000" s="3">
        <f t="shared" si="273"/>
        <v>1.0229223087983352</v>
      </c>
      <c r="G2000" s="18">
        <f t="shared" si="274"/>
        <v>1</v>
      </c>
      <c r="H2000" s="3">
        <f t="shared" si="275"/>
        <v>-8.9827609101478245E-5</v>
      </c>
      <c r="I2000" s="3">
        <f t="shared" si="276"/>
        <v>-8.9827609101478245E-5</v>
      </c>
      <c r="K2000" s="12" t="str">
        <f>IF(AND(G2000=1,G1999&lt;&gt;1),MAX($K$50:K1999)+1,"")</f>
        <v/>
      </c>
      <c r="L2000" s="13" t="str">
        <f>IF(AND(G2000&lt;&gt;1,G1999=1),MAX($L$50:L1999)+1,"")</f>
        <v/>
      </c>
      <c r="M2000" s="13" t="str">
        <f>IF(AND(G2000=-1,G1999&lt;&gt;-1),MAX($M$50:M1999)+1,"")</f>
        <v/>
      </c>
      <c r="N2000" s="13" t="str">
        <f>IF(AND(G2000&lt;&gt;-1,G1999=-1),MAX($N$50:N1999)+1,"")</f>
        <v/>
      </c>
      <c r="T2000" s="7">
        <f t="shared" si="277"/>
        <v>150.90991007168148</v>
      </c>
      <c r="U2000" s="1">
        <f t="shared" si="278"/>
        <v>269.03204451239782</v>
      </c>
    </row>
    <row r="2001" spans="1:21" x14ac:dyDescent="0.3">
      <c r="A2001" s="2">
        <v>43076</v>
      </c>
      <c r="B2001" s="1">
        <v>5136.37</v>
      </c>
      <c r="C2001" s="2">
        <f t="shared" si="270"/>
        <v>43076</v>
      </c>
      <c r="D2001" s="1">
        <f t="shared" si="271"/>
        <v>5136.37</v>
      </c>
      <c r="E2001" s="4">
        <f t="shared" si="272"/>
        <v>5011.1862000000001</v>
      </c>
      <c r="F2001" s="3">
        <f t="shared" si="273"/>
        <v>1.0249808717943867</v>
      </c>
      <c r="G2001" s="18">
        <f t="shared" si="274"/>
        <v>1</v>
      </c>
      <c r="H2001" s="3">
        <f t="shared" si="275"/>
        <v>3.1071427176463384E-3</v>
      </c>
      <c r="I2001" s="3">
        <f t="shared" si="276"/>
        <v>3.1071427176463384E-3</v>
      </c>
      <c r="K2001" s="12" t="str">
        <f>IF(AND(G2001=1,G2000&lt;&gt;1),MAX($K$50:K2000)+1,"")</f>
        <v/>
      </c>
      <c r="L2001" s="13" t="str">
        <f>IF(AND(G2001&lt;&gt;1,G2000=1),MAX($L$50:L2000)+1,"")</f>
        <v/>
      </c>
      <c r="M2001" s="13" t="str">
        <f>IF(AND(G2001=-1,G2000&lt;&gt;-1),MAX($M$50:M2000)+1,"")</f>
        <v/>
      </c>
      <c r="N2001" s="13" t="str">
        <f>IF(AND(G2001&lt;&gt;-1,G2000=-1),MAX($N$50:N2000)+1,"")</f>
        <v/>
      </c>
      <c r="T2001" s="7">
        <f t="shared" si="277"/>
        <v>151.37880869978136</v>
      </c>
      <c r="U2001" s="1">
        <f t="shared" si="278"/>
        <v>269.86796547031804</v>
      </c>
    </row>
    <row r="2002" spans="1:21" x14ac:dyDescent="0.3">
      <c r="A2002" s="2">
        <v>43077</v>
      </c>
      <c r="B2002" s="1">
        <v>5165.1899999999996</v>
      </c>
      <c r="C2002" s="2">
        <f t="shared" si="270"/>
        <v>43077</v>
      </c>
      <c r="D2002" s="1">
        <f t="shared" si="271"/>
        <v>5165.1899999999996</v>
      </c>
      <c r="E2002" s="4">
        <f t="shared" si="272"/>
        <v>5017.0938000000006</v>
      </c>
      <c r="F2002" s="3">
        <f t="shared" si="273"/>
        <v>1.0295183239348642</v>
      </c>
      <c r="G2002" s="18">
        <f t="shared" si="274"/>
        <v>1</v>
      </c>
      <c r="H2002" s="3">
        <f t="shared" si="275"/>
        <v>5.6109664996875086E-3</v>
      </c>
      <c r="I2002" s="3">
        <f t="shared" si="276"/>
        <v>5.6109664996875086E-3</v>
      </c>
      <c r="K2002" s="12" t="str">
        <f>IF(AND(G2002=1,G2001&lt;&gt;1),MAX($K$50:K2001)+1,"")</f>
        <v/>
      </c>
      <c r="L2002" s="13" t="str">
        <f>IF(AND(G2002&lt;&gt;1,G2001=1),MAX($L$50:L2001)+1,"")</f>
        <v/>
      </c>
      <c r="M2002" s="13" t="str">
        <f>IF(AND(G2002=-1,G2001&lt;&gt;-1),MAX($M$50:M2001)+1,"")</f>
        <v/>
      </c>
      <c r="N2002" s="13" t="str">
        <f>IF(AND(G2002&lt;&gt;-1,G2001=-1),MAX($N$50:N2001)+1,"")</f>
        <v/>
      </c>
      <c r="T2002" s="7">
        <f t="shared" si="277"/>
        <v>152.22819012415843</v>
      </c>
      <c r="U2002" s="1">
        <f t="shared" si="278"/>
        <v>271.38218558391083</v>
      </c>
    </row>
    <row r="2003" spans="1:21" x14ac:dyDescent="0.3">
      <c r="A2003" s="2">
        <v>43080</v>
      </c>
      <c r="B2003" s="1">
        <v>5181.75</v>
      </c>
      <c r="C2003" s="2">
        <f t="shared" si="270"/>
        <v>43080</v>
      </c>
      <c r="D2003" s="1">
        <f t="shared" si="271"/>
        <v>5181.75</v>
      </c>
      <c r="E2003" s="4">
        <f t="shared" si="272"/>
        <v>5022.9694000000009</v>
      </c>
      <c r="F2003" s="3">
        <f t="shared" si="273"/>
        <v>1.0316109033035319</v>
      </c>
      <c r="G2003" s="18">
        <f t="shared" si="274"/>
        <v>1</v>
      </c>
      <c r="H2003" s="3">
        <f t="shared" si="275"/>
        <v>3.206077607987412E-3</v>
      </c>
      <c r="I2003" s="3">
        <f t="shared" si="276"/>
        <v>3.206077607987412E-3</v>
      </c>
      <c r="K2003" s="12" t="str">
        <f>IF(AND(G2003=1,G2002&lt;&gt;1),MAX($K$50:K2002)+1,"")</f>
        <v/>
      </c>
      <c r="L2003" s="13" t="str">
        <f>IF(AND(G2003&lt;&gt;1,G2002=1),MAX($L$50:L2002)+1,"")</f>
        <v/>
      </c>
      <c r="M2003" s="13" t="str">
        <f>IF(AND(G2003=-1,G2002&lt;&gt;-1),MAX($M$50:M2002)+1,"")</f>
        <v/>
      </c>
      <c r="N2003" s="13" t="str">
        <f>IF(AND(G2003&lt;&gt;-1,G2002=-1),MAX($N$50:N2002)+1,"")</f>
        <v/>
      </c>
      <c r="T2003" s="7">
        <f t="shared" si="277"/>
        <v>152.71624551581994</v>
      </c>
      <c r="U2003" s="1">
        <f t="shared" si="278"/>
        <v>272.25225793231806</v>
      </c>
    </row>
    <row r="2004" spans="1:21" x14ac:dyDescent="0.3">
      <c r="A2004" s="2">
        <v>43081</v>
      </c>
      <c r="B2004" s="1">
        <v>5189.96</v>
      </c>
      <c r="C2004" s="2">
        <f t="shared" si="270"/>
        <v>43081</v>
      </c>
      <c r="D2004" s="1">
        <f t="shared" si="271"/>
        <v>5189.96</v>
      </c>
      <c r="E2004" s="4">
        <f t="shared" si="272"/>
        <v>5028.6302000000005</v>
      </c>
      <c r="F2004" s="3">
        <f t="shared" si="273"/>
        <v>1.0320822557204543</v>
      </c>
      <c r="G2004" s="18">
        <f t="shared" si="274"/>
        <v>1</v>
      </c>
      <c r="H2004" s="3">
        <f t="shared" si="275"/>
        <v>1.5844068123702648E-3</v>
      </c>
      <c r="I2004" s="3">
        <f t="shared" si="276"/>
        <v>1.5844068123702648E-3</v>
      </c>
      <c r="K2004" s="12" t="str">
        <f>IF(AND(G2004=1,G2003&lt;&gt;1),MAX($K$50:K2003)+1,"")</f>
        <v/>
      </c>
      <c r="L2004" s="13" t="str">
        <f>IF(AND(G2004&lt;&gt;1,G2003=1),MAX($L$50:L2003)+1,"")</f>
        <v/>
      </c>
      <c r="M2004" s="13" t="str">
        <f>IF(AND(G2004=-1,G2003&lt;&gt;-1),MAX($M$50:M2003)+1,"")</f>
        <v/>
      </c>
      <c r="N2004" s="13" t="str">
        <f>IF(AND(G2004&lt;&gt;-1,G2003=-1),MAX($N$50:N2003)+1,"")</f>
        <v/>
      </c>
      <c r="T2004" s="7">
        <f t="shared" si="277"/>
        <v>152.95821017557481</v>
      </c>
      <c r="U2004" s="1">
        <f t="shared" si="278"/>
        <v>272.68361626446921</v>
      </c>
    </row>
    <row r="2005" spans="1:21" x14ac:dyDescent="0.3">
      <c r="A2005" s="2">
        <v>43082</v>
      </c>
      <c r="B2005" s="1">
        <v>5187.68</v>
      </c>
      <c r="C2005" s="2">
        <f t="shared" si="270"/>
        <v>43082</v>
      </c>
      <c r="D2005" s="1">
        <f t="shared" si="271"/>
        <v>5187.68</v>
      </c>
      <c r="E2005" s="4">
        <f t="shared" si="272"/>
        <v>5034.0292000000009</v>
      </c>
      <c r="F2005" s="3">
        <f t="shared" si="273"/>
        <v>1.0305224292302475</v>
      </c>
      <c r="G2005" s="18">
        <f t="shared" si="274"/>
        <v>1</v>
      </c>
      <c r="H2005" s="3">
        <f t="shared" si="275"/>
        <v>-4.3930974419836843E-4</v>
      </c>
      <c r="I2005" s="3">
        <f t="shared" si="276"/>
        <v>-4.3930974419836843E-4</v>
      </c>
      <c r="K2005" s="12" t="str">
        <f>IF(AND(G2005=1,G2004&lt;&gt;1),MAX($K$50:K2004)+1,"")</f>
        <v/>
      </c>
      <c r="L2005" s="13" t="str">
        <f>IF(AND(G2005&lt;&gt;1,G2004=1),MAX($L$50:L2004)+1,"")</f>
        <v/>
      </c>
      <c r="M2005" s="13" t="str">
        <f>IF(AND(G2005=-1,G2004&lt;&gt;-1),MAX($M$50:M2004)+1,"")</f>
        <v/>
      </c>
      <c r="N2005" s="13" t="str">
        <f>IF(AND(G2005&lt;&gt;-1,G2004=-1),MAX($N$50:N2004)+1,"")</f>
        <v/>
      </c>
      <c r="T2005" s="7">
        <f t="shared" si="277"/>
        <v>152.89101414338953</v>
      </c>
      <c r="U2005" s="1">
        <f t="shared" si="278"/>
        <v>272.56382369476097</v>
      </c>
    </row>
    <row r="2006" spans="1:21" x14ac:dyDescent="0.3">
      <c r="A2006" s="2">
        <v>43083</v>
      </c>
      <c r="B2006" s="1">
        <v>5167.45</v>
      </c>
      <c r="C2006" s="2">
        <f t="shared" si="270"/>
        <v>43083</v>
      </c>
      <c r="D2006" s="1">
        <f t="shared" si="271"/>
        <v>5167.45</v>
      </c>
      <c r="E2006" s="4">
        <f t="shared" si="272"/>
        <v>5038.894400000001</v>
      </c>
      <c r="F2006" s="3">
        <f t="shared" si="273"/>
        <v>1.0255126600787663</v>
      </c>
      <c r="G2006" s="18">
        <f t="shared" si="274"/>
        <v>1</v>
      </c>
      <c r="H2006" s="3">
        <f t="shared" si="275"/>
        <v>-3.8996237238997367E-3</v>
      </c>
      <c r="I2006" s="3">
        <f t="shared" si="276"/>
        <v>-3.8996237238997367E-3</v>
      </c>
      <c r="K2006" s="12" t="str">
        <f>IF(AND(G2006=1,G2005&lt;&gt;1),MAX($K$50:K2005)+1,"")</f>
        <v/>
      </c>
      <c r="L2006" s="13" t="str">
        <f>IF(AND(G2006&lt;&gt;1,G2005=1),MAX($L$50:L2005)+1,"")</f>
        <v/>
      </c>
      <c r="M2006" s="13" t="str">
        <f>IF(AND(G2006=-1,G2005&lt;&gt;-1),MAX($M$50:M2005)+1,"")</f>
        <v/>
      </c>
      <c r="N2006" s="13" t="str">
        <f>IF(AND(G2006&lt;&gt;-1,G2005=-1),MAX($N$50:N2005)+1,"")</f>
        <v/>
      </c>
      <c r="T2006" s="7">
        <f t="shared" si="277"/>
        <v>152.29479671746486</v>
      </c>
      <c r="U2006" s="1">
        <f t="shared" si="278"/>
        <v>271.50092734160404</v>
      </c>
    </row>
    <row r="2007" spans="1:21" x14ac:dyDescent="0.3">
      <c r="A2007" s="2">
        <v>43084</v>
      </c>
      <c r="B2007" s="1">
        <v>5214.1000000000004</v>
      </c>
      <c r="C2007" s="2">
        <f t="shared" si="270"/>
        <v>43084</v>
      </c>
      <c r="D2007" s="1">
        <f t="shared" si="271"/>
        <v>5214.1000000000004</v>
      </c>
      <c r="E2007" s="4">
        <f t="shared" si="272"/>
        <v>5044.1194000000014</v>
      </c>
      <c r="F2007" s="3">
        <f t="shared" si="273"/>
        <v>1.0336987661315074</v>
      </c>
      <c r="G2007" s="18">
        <f t="shared" si="274"/>
        <v>1</v>
      </c>
      <c r="H2007" s="3">
        <f t="shared" si="275"/>
        <v>9.0276635477848366E-3</v>
      </c>
      <c r="I2007" s="3">
        <f t="shared" si="276"/>
        <v>9.0276635477848366E-3</v>
      </c>
      <c r="K2007" s="12" t="str">
        <f>IF(AND(G2007=1,G2006&lt;&gt;1),MAX($K$50:K2006)+1,"")</f>
        <v/>
      </c>
      <c r="L2007" s="13" t="str">
        <f>IF(AND(G2007&lt;&gt;1,G2006=1),MAX($L$50:L2006)+1,"")</f>
        <v/>
      </c>
      <c r="M2007" s="13" t="str">
        <f>IF(AND(G2007=-1,G2006&lt;&gt;-1),MAX($M$50:M2006)+1,"")</f>
        <v/>
      </c>
      <c r="N2007" s="13" t="str">
        <f>IF(AND(G2007&lt;&gt;-1,G2006=-1),MAX($N$50:N2006)+1,"")</f>
        <v/>
      </c>
      <c r="T2007" s="7">
        <f t="shared" si="277"/>
        <v>153.66966290230843</v>
      </c>
      <c r="U2007" s="1">
        <f t="shared" si="278"/>
        <v>273.9519463665556</v>
      </c>
    </row>
    <row r="2008" spans="1:21" x14ac:dyDescent="0.3">
      <c r="A2008" s="2">
        <v>43087</v>
      </c>
      <c r="B2008" s="1">
        <v>5242.28</v>
      </c>
      <c r="C2008" s="2">
        <f t="shared" si="270"/>
        <v>43087</v>
      </c>
      <c r="D2008" s="1">
        <f t="shared" si="271"/>
        <v>5242.28</v>
      </c>
      <c r="E2008" s="4">
        <f t="shared" si="272"/>
        <v>5049.9832000000015</v>
      </c>
      <c r="F2008" s="3">
        <f t="shared" si="273"/>
        <v>1.038078700935084</v>
      </c>
      <c r="G2008" s="18">
        <f t="shared" si="274"/>
        <v>1</v>
      </c>
      <c r="H2008" s="3">
        <f t="shared" si="275"/>
        <v>5.4045760533936171E-3</v>
      </c>
      <c r="I2008" s="3">
        <f t="shared" si="276"/>
        <v>5.4045760533936171E-3</v>
      </c>
      <c r="K2008" s="12" t="str">
        <f>IF(AND(G2008=1,G2007&lt;&gt;1),MAX($K$50:K2007)+1,"")</f>
        <v/>
      </c>
      <c r="L2008" s="13" t="str">
        <f>IF(AND(G2008&lt;&gt;1,G2007=1),MAX($L$50:L2007)+1,"")</f>
        <v/>
      </c>
      <c r="M2008" s="13" t="str">
        <f>IF(AND(G2008=-1,G2007&lt;&gt;-1),MAX($M$50:M2007)+1,"")</f>
        <v/>
      </c>
      <c r="N2008" s="13" t="str">
        <f>IF(AND(G2008&lt;&gt;-1,G2007=-1),MAX($N$50:N2007)+1,"")</f>
        <v/>
      </c>
      <c r="T2008" s="7">
        <f t="shared" si="277"/>
        <v>154.50018228256332</v>
      </c>
      <c r="U2008" s="1">
        <f t="shared" si="278"/>
        <v>275.43254049566883</v>
      </c>
    </row>
    <row r="2009" spans="1:21" x14ac:dyDescent="0.3">
      <c r="A2009" s="2">
        <v>43088</v>
      </c>
      <c r="B2009" s="1">
        <v>5225.43</v>
      </c>
      <c r="C2009" s="2">
        <f t="shared" si="270"/>
        <v>43088</v>
      </c>
      <c r="D2009" s="1">
        <f t="shared" si="271"/>
        <v>5225.43</v>
      </c>
      <c r="E2009" s="4">
        <f t="shared" si="272"/>
        <v>5055.6886000000013</v>
      </c>
      <c r="F2009" s="3">
        <f t="shared" si="273"/>
        <v>1.0335743384194982</v>
      </c>
      <c r="G2009" s="18">
        <f t="shared" si="274"/>
        <v>1</v>
      </c>
      <c r="H2009" s="3">
        <f t="shared" si="275"/>
        <v>-3.2142502880424528E-3</v>
      </c>
      <c r="I2009" s="3">
        <f t="shared" si="276"/>
        <v>-3.2142502880424528E-3</v>
      </c>
      <c r="K2009" s="12" t="str">
        <f>IF(AND(G2009=1,G2008&lt;&gt;1),MAX($K$50:K2008)+1,"")</f>
        <v/>
      </c>
      <c r="L2009" s="13" t="str">
        <f>IF(AND(G2009&lt;&gt;1,G2008=1),MAX($L$50:L2008)+1,"")</f>
        <v/>
      </c>
      <c r="M2009" s="13" t="str">
        <f>IF(AND(G2009=-1,G2008&lt;&gt;-1),MAX($M$50:M2008)+1,"")</f>
        <v/>
      </c>
      <c r="N2009" s="13" t="str">
        <f>IF(AND(G2009&lt;&gt;-1,G2008=-1),MAX($N$50:N2008)+1,"")</f>
        <v/>
      </c>
      <c r="T2009" s="7">
        <f t="shared" si="277"/>
        <v>154.00358002715896</v>
      </c>
      <c r="U2009" s="1">
        <f t="shared" si="278"/>
        <v>274.54723137304433</v>
      </c>
    </row>
    <row r="2010" spans="1:21" x14ac:dyDescent="0.3">
      <c r="A2010" s="2">
        <v>43089</v>
      </c>
      <c r="B2010" s="1">
        <v>5221.79</v>
      </c>
      <c r="C2010" s="2">
        <f t="shared" si="270"/>
        <v>43089</v>
      </c>
      <c r="D2010" s="1">
        <f t="shared" si="271"/>
        <v>5221.79</v>
      </c>
      <c r="E2010" s="4">
        <f t="shared" si="272"/>
        <v>5061.0890000000018</v>
      </c>
      <c r="F2010" s="3">
        <f t="shared" si="273"/>
        <v>1.0317522572711126</v>
      </c>
      <c r="G2010" s="18">
        <f t="shared" si="274"/>
        <v>1</v>
      </c>
      <c r="H2010" s="3">
        <f t="shared" si="275"/>
        <v>-6.9659339040051282E-4</v>
      </c>
      <c r="I2010" s="3">
        <f t="shared" si="276"/>
        <v>-6.9659339040051282E-4</v>
      </c>
      <c r="K2010" s="12" t="str">
        <f>IF(AND(G2010=1,G2009&lt;&gt;1),MAX($K$50:K2009)+1,"")</f>
        <v/>
      </c>
      <c r="L2010" s="13" t="str">
        <f>IF(AND(G2010&lt;&gt;1,G2009=1),MAX($L$50:L2009)+1,"")</f>
        <v/>
      </c>
      <c r="M2010" s="13" t="str">
        <f>IF(AND(G2010=-1,G2009&lt;&gt;-1),MAX($M$50:M2009)+1,"")</f>
        <v/>
      </c>
      <c r="N2010" s="13" t="str">
        <f>IF(AND(G2010&lt;&gt;-1,G2009=-1),MAX($N$50:N2009)+1,"")</f>
        <v/>
      </c>
      <c r="T2010" s="7">
        <f t="shared" si="277"/>
        <v>153.89630215121403</v>
      </c>
      <c r="U2010" s="1">
        <f t="shared" si="278"/>
        <v>274.35598358631711</v>
      </c>
    </row>
    <row r="2011" spans="1:21" x14ac:dyDescent="0.3">
      <c r="A2011" s="2">
        <v>43090</v>
      </c>
      <c r="B2011" s="1">
        <v>5232.16</v>
      </c>
      <c r="C2011" s="2">
        <f t="shared" si="270"/>
        <v>43090</v>
      </c>
      <c r="D2011" s="1">
        <f t="shared" si="271"/>
        <v>5232.16</v>
      </c>
      <c r="E2011" s="4">
        <f t="shared" si="272"/>
        <v>5066.5164000000013</v>
      </c>
      <c r="F2011" s="3">
        <f t="shared" si="273"/>
        <v>1.0326937854183198</v>
      </c>
      <c r="G2011" s="18">
        <f t="shared" si="274"/>
        <v>1</v>
      </c>
      <c r="H2011" s="3">
        <f t="shared" si="275"/>
        <v>1.9859090465146334E-3</v>
      </c>
      <c r="I2011" s="3">
        <f t="shared" si="276"/>
        <v>1.9859090465146334E-3</v>
      </c>
      <c r="K2011" s="12" t="str">
        <f>IF(AND(G2011=1,G2010&lt;&gt;1),MAX($K$50:K2010)+1,"")</f>
        <v/>
      </c>
      <c r="L2011" s="13" t="str">
        <f>IF(AND(G2011&lt;&gt;1,G2010=1),MAX($L$50:L2010)+1,"")</f>
        <v/>
      </c>
      <c r="M2011" s="13" t="str">
        <f>IF(AND(G2011=-1,G2010&lt;&gt;-1),MAX($M$50:M2010)+1,"")</f>
        <v/>
      </c>
      <c r="N2011" s="13" t="str">
        <f>IF(AND(G2011&lt;&gt;-1,G2010=-1),MAX($N$50:N2010)+1,"")</f>
        <v/>
      </c>
      <c r="T2011" s="7">
        <f t="shared" si="277"/>
        <v>154.20192620988126</v>
      </c>
      <c r="U2011" s="1">
        <f t="shared" si="278"/>
        <v>274.90082961608664</v>
      </c>
    </row>
    <row r="2012" spans="1:21" x14ac:dyDescent="0.3">
      <c r="A2012" s="2">
        <v>43091</v>
      </c>
      <c r="B2012" s="1">
        <v>5229.79</v>
      </c>
      <c r="C2012" s="2">
        <f t="shared" si="270"/>
        <v>43091</v>
      </c>
      <c r="D2012" s="1">
        <f t="shared" si="271"/>
        <v>5229.79</v>
      </c>
      <c r="E2012" s="4">
        <f t="shared" si="272"/>
        <v>5072.0552000000007</v>
      </c>
      <c r="F2012" s="3">
        <f t="shared" si="273"/>
        <v>1.0310987940352068</v>
      </c>
      <c r="G2012" s="18">
        <f t="shared" si="274"/>
        <v>1</v>
      </c>
      <c r="H2012" s="3">
        <f t="shared" si="275"/>
        <v>-4.5296779914982821E-4</v>
      </c>
      <c r="I2012" s="3">
        <f t="shared" si="276"/>
        <v>-4.5296779914982821E-4</v>
      </c>
      <c r="K2012" s="12" t="str">
        <f>IF(AND(G2012=1,G2011&lt;&gt;1),MAX($K$50:K2011)+1,"")</f>
        <v/>
      </c>
      <c r="L2012" s="13" t="str">
        <f>IF(AND(G2012&lt;&gt;1,G2011=1),MAX($L$50:L2011)+1,"")</f>
        <v/>
      </c>
      <c r="M2012" s="13" t="str">
        <f>IF(AND(G2012=-1,G2011&lt;&gt;-1),MAX($M$50:M2011)+1,"")</f>
        <v/>
      </c>
      <c r="N2012" s="13" t="str">
        <f>IF(AND(G2012&lt;&gt;-1,G2011=-1),MAX($N$50:N2011)+1,"")</f>
        <v/>
      </c>
      <c r="T2012" s="7">
        <f t="shared" si="277"/>
        <v>154.1320777027413</v>
      </c>
      <c r="U2012" s="1">
        <f t="shared" si="278"/>
        <v>274.77630839231097</v>
      </c>
    </row>
    <row r="2013" spans="1:21" x14ac:dyDescent="0.3">
      <c r="A2013" s="2">
        <v>43095</v>
      </c>
      <c r="B2013" s="1">
        <v>5224.51</v>
      </c>
      <c r="C2013" s="2">
        <f t="shared" si="270"/>
        <v>43095</v>
      </c>
      <c r="D2013" s="1">
        <f t="shared" si="271"/>
        <v>5224.51</v>
      </c>
      <c r="E2013" s="4">
        <f t="shared" si="272"/>
        <v>5077.4000000000015</v>
      </c>
      <c r="F2013" s="3">
        <f t="shared" si="273"/>
        <v>1.0289734903690864</v>
      </c>
      <c r="G2013" s="18">
        <f t="shared" si="274"/>
        <v>1</v>
      </c>
      <c r="H2013" s="3">
        <f t="shared" si="275"/>
        <v>-1.0096007679084584E-3</v>
      </c>
      <c r="I2013" s="3">
        <f t="shared" si="276"/>
        <v>-1.0096007679084584E-3</v>
      </c>
      <c r="K2013" s="12" t="str">
        <f>IF(AND(G2013=1,G2012&lt;&gt;1),MAX($K$50:K2012)+1,"")</f>
        <v/>
      </c>
      <c r="L2013" s="13" t="str">
        <f>IF(AND(G2013&lt;&gt;1,G2012=1),MAX($L$50:L2012)+1,"")</f>
        <v/>
      </c>
      <c r="M2013" s="13" t="str">
        <f>IF(AND(G2013=-1,G2012&lt;&gt;-1),MAX($M$50:M2012)+1,"")</f>
        <v/>
      </c>
      <c r="N2013" s="13" t="str">
        <f>IF(AND(G2013&lt;&gt;-1,G2012=-1),MAX($N$50:N2012)+1,"")</f>
        <v/>
      </c>
      <c r="T2013" s="7">
        <f t="shared" si="277"/>
        <v>153.97646583873328</v>
      </c>
      <c r="U2013" s="1">
        <f t="shared" si="278"/>
        <v>274.49889402035507</v>
      </c>
    </row>
    <row r="2014" spans="1:21" x14ac:dyDescent="0.3">
      <c r="A2014" s="2">
        <v>43096</v>
      </c>
      <c r="B2014" s="1">
        <v>5229.01</v>
      </c>
      <c r="C2014" s="2">
        <f t="shared" si="270"/>
        <v>43096</v>
      </c>
      <c r="D2014" s="1">
        <f t="shared" si="271"/>
        <v>5229.01</v>
      </c>
      <c r="E2014" s="4">
        <f t="shared" si="272"/>
        <v>5082.659200000001</v>
      </c>
      <c r="F2014" s="3">
        <f t="shared" si="273"/>
        <v>1.0287941398864593</v>
      </c>
      <c r="G2014" s="18">
        <f t="shared" si="274"/>
        <v>1</v>
      </c>
      <c r="H2014" s="3">
        <f t="shared" si="275"/>
        <v>8.6132479409561924E-4</v>
      </c>
      <c r="I2014" s="3">
        <f t="shared" si="276"/>
        <v>8.6132479409561924E-4</v>
      </c>
      <c r="K2014" s="12" t="str">
        <f>IF(AND(G2014=1,G2013&lt;&gt;1),MAX($K$50:K2013)+1,"")</f>
        <v/>
      </c>
      <c r="L2014" s="13" t="str">
        <f>IF(AND(G2014&lt;&gt;1,G2013=1),MAX($L$50:L2013)+1,"")</f>
        <v/>
      </c>
      <c r="M2014" s="13" t="str">
        <f>IF(AND(G2014=-1,G2013&lt;&gt;-1),MAX($M$50:M2013)+1,"")</f>
        <v/>
      </c>
      <c r="N2014" s="13" t="str">
        <f>IF(AND(G2014&lt;&gt;-1,G2013=-1),MAX($N$50:N2013)+1,"")</f>
        <v/>
      </c>
      <c r="T2014" s="7">
        <f t="shared" si="277"/>
        <v>154.10908958646741</v>
      </c>
      <c r="U2014" s="1">
        <f t="shared" si="278"/>
        <v>274.73532672372659</v>
      </c>
    </row>
    <row r="2015" spans="1:21" x14ac:dyDescent="0.3">
      <c r="A2015" s="2">
        <v>43097</v>
      </c>
      <c r="B2015" s="1">
        <v>5239.59</v>
      </c>
      <c r="C2015" s="2">
        <f t="shared" si="270"/>
        <v>43097</v>
      </c>
      <c r="D2015" s="1">
        <f t="shared" si="271"/>
        <v>5239.59</v>
      </c>
      <c r="E2015" s="4">
        <f t="shared" si="272"/>
        <v>5088.0634</v>
      </c>
      <c r="F2015" s="3">
        <f t="shared" si="273"/>
        <v>1.029780800294273</v>
      </c>
      <c r="G2015" s="18">
        <f t="shared" si="274"/>
        <v>1</v>
      </c>
      <c r="H2015" s="3">
        <f t="shared" si="275"/>
        <v>2.0233275514867088E-3</v>
      </c>
      <c r="I2015" s="3">
        <f t="shared" si="276"/>
        <v>2.0233275514867088E-3</v>
      </c>
      <c r="K2015" s="12" t="str">
        <f>IF(AND(G2015=1,G2014&lt;&gt;1),MAX($K$50:K2014)+1,"")</f>
        <v/>
      </c>
      <c r="L2015" s="13" t="str">
        <f>IF(AND(G2015&lt;&gt;1,G2014=1),MAX($L$50:L2014)+1,"")</f>
        <v/>
      </c>
      <c r="M2015" s="13" t="str">
        <f>IF(AND(G2015=-1,G2014&lt;&gt;-1),MAX($M$50:M2014)+1,"")</f>
        <v/>
      </c>
      <c r="N2015" s="13" t="str">
        <f>IF(AND(G2015&lt;&gt;-1,G2014=-1),MAX($N$50:N2014)+1,"")</f>
        <v/>
      </c>
      <c r="T2015" s="7">
        <f t="shared" si="277"/>
        <v>154.42090275336224</v>
      </c>
      <c r="U2015" s="1">
        <f t="shared" si="278"/>
        <v>275.29120627965341</v>
      </c>
    </row>
    <row r="2016" spans="1:21" x14ac:dyDescent="0.3">
      <c r="A2016" s="2">
        <v>43098</v>
      </c>
      <c r="B2016" s="1">
        <v>5212.76</v>
      </c>
      <c r="C2016" s="2">
        <f t="shared" si="270"/>
        <v>43098</v>
      </c>
      <c r="D2016" s="1">
        <f t="shared" si="271"/>
        <v>5212.76</v>
      </c>
      <c r="E2016" s="4">
        <f t="shared" si="272"/>
        <v>5092.8530000000001</v>
      </c>
      <c r="F2016" s="3">
        <f t="shared" si="273"/>
        <v>1.0235441706249915</v>
      </c>
      <c r="G2016" s="18">
        <f t="shared" si="274"/>
        <v>1</v>
      </c>
      <c r="H2016" s="3">
        <f t="shared" si="275"/>
        <v>-5.1206296675885277E-3</v>
      </c>
      <c r="I2016" s="3">
        <f t="shared" si="276"/>
        <v>-5.1206296675885277E-3</v>
      </c>
      <c r="K2016" s="12" t="str">
        <f>IF(AND(G2016=1,G2015&lt;&gt;1),MAX($K$50:K2015)+1,"")</f>
        <v/>
      </c>
      <c r="L2016" s="13" t="str">
        <f>IF(AND(G2016&lt;&gt;1,G2015=1),MAX($L$50:L2015)+1,"")</f>
        <v/>
      </c>
      <c r="M2016" s="13" t="str">
        <f>IF(AND(G2016=-1,G2015&lt;&gt;-1),MAX($M$50:M2015)+1,"")</f>
        <v/>
      </c>
      <c r="N2016" s="13" t="str">
        <f>IF(AND(G2016&lt;&gt;-1,G2015=-1),MAX($N$50:N2015)+1,"")</f>
        <v/>
      </c>
      <c r="T2016" s="7">
        <f t="shared" si="277"/>
        <v>153.63017049742757</v>
      </c>
      <c r="U2016" s="1">
        <f t="shared" si="278"/>
        <v>273.88154196155159</v>
      </c>
    </row>
    <row r="2017" spans="1:21" x14ac:dyDescent="0.3">
      <c r="A2017" s="2">
        <v>43102</v>
      </c>
      <c r="B2017" s="1">
        <v>5256.28</v>
      </c>
      <c r="C2017" s="2">
        <f t="shared" si="270"/>
        <v>43102</v>
      </c>
      <c r="D2017" s="1">
        <f t="shared" si="271"/>
        <v>5256.28</v>
      </c>
      <c r="E2017" s="4">
        <f t="shared" si="272"/>
        <v>5098.4722000000002</v>
      </c>
      <c r="F2017" s="3">
        <f t="shared" si="273"/>
        <v>1.0309519781239564</v>
      </c>
      <c r="G2017" s="18">
        <f t="shared" si="274"/>
        <v>1</v>
      </c>
      <c r="H2017" s="3">
        <f t="shared" si="275"/>
        <v>8.3487442352994101E-3</v>
      </c>
      <c r="I2017" s="3">
        <f t="shared" si="276"/>
        <v>8.3487442352994101E-3</v>
      </c>
      <c r="K2017" s="12" t="str">
        <f>IF(AND(G2017=1,G2016&lt;&gt;1),MAX($K$50:K2016)+1,"")</f>
        <v/>
      </c>
      <c r="L2017" s="13" t="str">
        <f>IF(AND(G2017&lt;&gt;1,G2016=1),MAX($L$50:L2016)+1,"")</f>
        <v/>
      </c>
      <c r="M2017" s="13" t="str">
        <f>IF(AND(G2017=-1,G2016&lt;&gt;-1),MAX($M$50:M2016)+1,"")</f>
        <v/>
      </c>
      <c r="N2017" s="13" t="str">
        <f>IF(AND(G2017&lt;&gt;-1,G2016=-1),MAX($N$50:N2016)+1,"")</f>
        <v/>
      </c>
      <c r="T2017" s="7">
        <f t="shared" si="277"/>
        <v>154.91278949773604</v>
      </c>
      <c r="U2017" s="1">
        <f t="shared" si="278"/>
        <v>276.16810890615801</v>
      </c>
    </row>
    <row r="2018" spans="1:21" x14ac:dyDescent="0.3">
      <c r="A2018" s="2">
        <v>43103</v>
      </c>
      <c r="B2018" s="1">
        <v>5289.92</v>
      </c>
      <c r="C2018" s="2">
        <f t="shared" si="270"/>
        <v>43103</v>
      </c>
      <c r="D2018" s="1">
        <f t="shared" si="271"/>
        <v>5289.92</v>
      </c>
      <c r="E2018" s="4">
        <f t="shared" si="272"/>
        <v>5104.2484000000004</v>
      </c>
      <c r="F2018" s="3">
        <f t="shared" si="273"/>
        <v>1.0363758942452721</v>
      </c>
      <c r="G2018" s="18">
        <f t="shared" si="274"/>
        <v>1</v>
      </c>
      <c r="H2018" s="3">
        <f t="shared" si="275"/>
        <v>6.3999634722655685E-3</v>
      </c>
      <c r="I2018" s="3">
        <f t="shared" si="276"/>
        <v>6.3999634722655685E-3</v>
      </c>
      <c r="K2018" s="12" t="str">
        <f>IF(AND(G2018=1,G2017&lt;&gt;1),MAX($K$50:K2017)+1,"")</f>
        <v/>
      </c>
      <c r="L2018" s="13" t="str">
        <f>IF(AND(G2018&lt;&gt;1,G2017=1),MAX($L$50:L2017)+1,"")</f>
        <v/>
      </c>
      <c r="M2018" s="13" t="str">
        <f>IF(AND(G2018=-1,G2017&lt;&gt;-1),MAX($M$50:M2017)+1,"")</f>
        <v/>
      </c>
      <c r="N2018" s="13" t="str">
        <f>IF(AND(G2018&lt;&gt;-1,G2017=-1),MAX($N$50:N2017)+1,"")</f>
        <v/>
      </c>
      <c r="T2018" s="7">
        <f t="shared" si="277"/>
        <v>155.90422569190832</v>
      </c>
      <c r="U2018" s="1">
        <f t="shared" si="278"/>
        <v>277.93557471536207</v>
      </c>
    </row>
    <row r="2019" spans="1:21" x14ac:dyDescent="0.3">
      <c r="A2019" s="2">
        <v>43104</v>
      </c>
      <c r="B2019" s="1">
        <v>5312.33</v>
      </c>
      <c r="C2019" s="2">
        <f t="shared" si="270"/>
        <v>43104</v>
      </c>
      <c r="D2019" s="1">
        <f t="shared" si="271"/>
        <v>5312.33</v>
      </c>
      <c r="E2019" s="4">
        <f t="shared" si="272"/>
        <v>5110.8676000000005</v>
      </c>
      <c r="F2019" s="3">
        <f t="shared" si="273"/>
        <v>1.0394184345530688</v>
      </c>
      <c r="G2019" s="18">
        <f t="shared" si="274"/>
        <v>1</v>
      </c>
      <c r="H2019" s="3">
        <f t="shared" si="275"/>
        <v>4.2363589619502928E-3</v>
      </c>
      <c r="I2019" s="3">
        <f t="shared" si="276"/>
        <v>4.2363589619502928E-3</v>
      </c>
      <c r="K2019" s="12" t="str">
        <f>IF(AND(G2019=1,G2018&lt;&gt;1),MAX($K$50:K2018)+1,"")</f>
        <v/>
      </c>
      <c r="L2019" s="13" t="str">
        <f>IF(AND(G2019&lt;&gt;1,G2018=1),MAX($L$50:L2018)+1,"")</f>
        <v/>
      </c>
      <c r="M2019" s="13" t="str">
        <f>IF(AND(G2019=-1,G2018&lt;&gt;-1),MAX($M$50:M2018)+1,"")</f>
        <v/>
      </c>
      <c r="N2019" s="13" t="str">
        <f>IF(AND(G2019&lt;&gt;-1,G2018=-1),MAX($N$50:N2018)+1,"")</f>
        <v/>
      </c>
      <c r="T2019" s="7">
        <f t="shared" si="277"/>
        <v>156.56469195562417</v>
      </c>
      <c r="U2019" s="1">
        <f t="shared" si="278"/>
        <v>279.11300957815229</v>
      </c>
    </row>
    <row r="2020" spans="1:21" x14ac:dyDescent="0.3">
      <c r="A2020" s="2">
        <v>43105</v>
      </c>
      <c r="B2020" s="1">
        <v>5349.69</v>
      </c>
      <c r="C2020" s="2">
        <f t="shared" si="270"/>
        <v>43105</v>
      </c>
      <c r="D2020" s="1">
        <f t="shared" si="271"/>
        <v>5349.69</v>
      </c>
      <c r="E2020" s="4">
        <f t="shared" si="272"/>
        <v>5118.070200000001</v>
      </c>
      <c r="F2020" s="3">
        <f t="shared" si="273"/>
        <v>1.0452552995463014</v>
      </c>
      <c r="G2020" s="18">
        <f t="shared" si="274"/>
        <v>1</v>
      </c>
      <c r="H2020" s="3">
        <f t="shared" si="275"/>
        <v>7.0326956344954894E-3</v>
      </c>
      <c r="I2020" s="3">
        <f t="shared" si="276"/>
        <v>7.0326956344954894E-3</v>
      </c>
      <c r="K2020" s="12" t="str">
        <f>IF(AND(G2020=1,G2019&lt;&gt;1),MAX($K$50:K2019)+1,"")</f>
        <v/>
      </c>
      <c r="L2020" s="13" t="str">
        <f>IF(AND(G2020&lt;&gt;1,G2019=1),MAX($L$50:L2019)+1,"")</f>
        <v/>
      </c>
      <c r="M2020" s="13" t="str">
        <f>IF(AND(G2020=-1,G2019&lt;&gt;-1),MAX($M$50:M2019)+1,"")</f>
        <v/>
      </c>
      <c r="N2020" s="13" t="str">
        <f>IF(AND(G2020&lt;&gt;-1,G2019=-1),MAX($N$50:N2019)+1,"")</f>
        <v/>
      </c>
      <c r="T2020" s="7">
        <f t="shared" si="277"/>
        <v>157.66576378125663</v>
      </c>
      <c r="U2020" s="1">
        <f t="shared" si="278"/>
        <v>281.07592642214348</v>
      </c>
    </row>
    <row r="2021" spans="1:21" x14ac:dyDescent="0.3">
      <c r="A2021" s="2">
        <v>43108</v>
      </c>
      <c r="B2021" s="1">
        <v>5358.68</v>
      </c>
      <c r="C2021" s="2">
        <f t="shared" si="270"/>
        <v>43108</v>
      </c>
      <c r="D2021" s="1">
        <f t="shared" si="271"/>
        <v>5358.68</v>
      </c>
      <c r="E2021" s="4">
        <f t="shared" si="272"/>
        <v>5125.9180000000006</v>
      </c>
      <c r="F2021" s="3">
        <f t="shared" si="273"/>
        <v>1.0454088418893941</v>
      </c>
      <c r="G2021" s="18">
        <f t="shared" si="274"/>
        <v>1</v>
      </c>
      <c r="H2021" s="3">
        <f t="shared" si="275"/>
        <v>1.6804712048736903E-3</v>
      </c>
      <c r="I2021" s="3">
        <f t="shared" si="276"/>
        <v>1.6804712048736903E-3</v>
      </c>
      <c r="K2021" s="12" t="str">
        <f>IF(AND(G2021=1,G2020&lt;&gt;1),MAX($K$50:K2020)+1,"")</f>
        <v/>
      </c>
      <c r="L2021" s="13" t="str">
        <f>IF(AND(G2021&lt;&gt;1,G2020=1),MAX($L$50:L2020)+1,"")</f>
        <v/>
      </c>
      <c r="M2021" s="13" t="str">
        <f>IF(AND(G2021=-1,G2020&lt;&gt;-1),MAX($M$50:M2020)+1,"")</f>
        <v/>
      </c>
      <c r="N2021" s="13" t="str">
        <f>IF(AND(G2021&lt;&gt;-1,G2020=-1),MAX($N$50:N2020)+1,"")</f>
        <v/>
      </c>
      <c r="T2021" s="7">
        <f t="shared" si="277"/>
        <v>157.93071655728545</v>
      </c>
      <c r="U2021" s="1">
        <f t="shared" si="278"/>
        <v>281.54826642287912</v>
      </c>
    </row>
    <row r="2022" spans="1:21" x14ac:dyDescent="0.3">
      <c r="A2022" s="2">
        <v>43109</v>
      </c>
      <c r="B2022" s="1">
        <v>5367.26</v>
      </c>
      <c r="C2022" s="2">
        <f t="shared" si="270"/>
        <v>43109</v>
      </c>
      <c r="D2022" s="1">
        <f t="shared" si="271"/>
        <v>5367.26</v>
      </c>
      <c r="E2022" s="4">
        <f t="shared" si="272"/>
        <v>5133.8112000000001</v>
      </c>
      <c r="F2022" s="3">
        <f t="shared" si="273"/>
        <v>1.0454728058562028</v>
      </c>
      <c r="G2022" s="18">
        <f t="shared" si="274"/>
        <v>1</v>
      </c>
      <c r="H2022" s="3">
        <f t="shared" si="275"/>
        <v>1.6011405793963096E-3</v>
      </c>
      <c r="I2022" s="3">
        <f t="shared" si="276"/>
        <v>1.6011405793963096E-3</v>
      </c>
      <c r="K2022" s="12" t="str">
        <f>IF(AND(G2022=1,G2021&lt;&gt;1),MAX($K$50:K2021)+1,"")</f>
        <v/>
      </c>
      <c r="L2022" s="13" t="str">
        <f>IF(AND(G2022&lt;&gt;1,G2021=1),MAX($L$50:L2021)+1,"")</f>
        <v/>
      </c>
      <c r="M2022" s="13" t="str">
        <f>IF(AND(G2022=-1,G2021&lt;&gt;-1),MAX($M$50:M2021)+1,"")</f>
        <v/>
      </c>
      <c r="N2022" s="13" t="str">
        <f>IF(AND(G2022&lt;&gt;-1,G2021=-1),MAX($N$50:N2021)+1,"")</f>
        <v/>
      </c>
      <c r="T2022" s="7">
        <f t="shared" si="277"/>
        <v>158.18358583629845</v>
      </c>
      <c r="U2022" s="1">
        <f t="shared" si="278"/>
        <v>281.99906477730747</v>
      </c>
    </row>
    <row r="2023" spans="1:21" x14ac:dyDescent="0.3">
      <c r="A2023" s="2">
        <v>43110</v>
      </c>
      <c r="B2023" s="1">
        <v>5361.33</v>
      </c>
      <c r="C2023" s="2">
        <f t="shared" si="270"/>
        <v>43110</v>
      </c>
      <c r="D2023" s="1">
        <f t="shared" si="271"/>
        <v>5361.33</v>
      </c>
      <c r="E2023" s="4">
        <f t="shared" si="272"/>
        <v>5140.7828</v>
      </c>
      <c r="F2023" s="3">
        <f t="shared" si="273"/>
        <v>1.0429014818521414</v>
      </c>
      <c r="G2023" s="18">
        <f t="shared" si="274"/>
        <v>1</v>
      </c>
      <c r="H2023" s="3">
        <f t="shared" si="275"/>
        <v>-1.1048467933360007E-3</v>
      </c>
      <c r="I2023" s="3">
        <f t="shared" si="276"/>
        <v>-1.1048467933360007E-3</v>
      </c>
      <c r="K2023" s="12" t="str">
        <f>IF(AND(G2023=1,G2022&lt;&gt;1),MAX($K$50:K2022)+1,"")</f>
        <v/>
      </c>
      <c r="L2023" s="13" t="str">
        <f>IF(AND(G2023&lt;&gt;1,G2022=1),MAX($L$50:L2022)+1,"")</f>
        <v/>
      </c>
      <c r="M2023" s="13" t="str">
        <f>IF(AND(G2023=-1,G2022&lt;&gt;-1),MAX($M$50:M2022)+1,"")</f>
        <v/>
      </c>
      <c r="N2023" s="13" t="str">
        <f>IF(AND(G2023&lt;&gt;-1,G2022=-1),MAX($N$50:N2022)+1,"")</f>
        <v/>
      </c>
      <c r="T2023" s="7">
        <f t="shared" si="277"/>
        <v>158.00881720872883</v>
      </c>
      <c r="U2023" s="1">
        <f t="shared" si="278"/>
        <v>281.6874990148645</v>
      </c>
    </row>
    <row r="2024" spans="1:21" x14ac:dyDescent="0.3">
      <c r="A2024" s="2">
        <v>43111</v>
      </c>
      <c r="B2024" s="1">
        <v>5399.46</v>
      </c>
      <c r="C2024" s="2">
        <f t="shared" si="270"/>
        <v>43111</v>
      </c>
      <c r="D2024" s="1">
        <f t="shared" si="271"/>
        <v>5399.46</v>
      </c>
      <c r="E2024" s="4">
        <f t="shared" si="272"/>
        <v>5148.8290000000006</v>
      </c>
      <c r="F2024" s="3">
        <f t="shared" si="273"/>
        <v>1.0486772817663976</v>
      </c>
      <c r="G2024" s="18">
        <f t="shared" si="274"/>
        <v>1</v>
      </c>
      <c r="H2024" s="3">
        <f t="shared" si="275"/>
        <v>7.1120412285756718E-3</v>
      </c>
      <c r="I2024" s="3">
        <f t="shared" si="276"/>
        <v>7.1120412285756718E-3</v>
      </c>
      <c r="K2024" s="12" t="str">
        <f>IF(AND(G2024=1,G2023&lt;&gt;1),MAX($K$50:K2023)+1,"")</f>
        <v/>
      </c>
      <c r="L2024" s="13" t="str">
        <f>IF(AND(G2024&lt;&gt;1,G2023=1),MAX($L$50:L2023)+1,"")</f>
        <v/>
      </c>
      <c r="M2024" s="13" t="str">
        <f>IF(AND(G2024=-1,G2023&lt;&gt;-1),MAX($M$50:M2023)+1,"")</f>
        <v/>
      </c>
      <c r="N2024" s="13" t="str">
        <f>IF(AND(G2024&lt;&gt;-1,G2023=-1),MAX($N$50:N2023)+1,"")</f>
        <v/>
      </c>
      <c r="T2024" s="7">
        <f t="shared" si="277"/>
        <v>159.13258243119577</v>
      </c>
      <c r="U2024" s="1">
        <f t="shared" si="278"/>
        <v>283.69087212143256</v>
      </c>
    </row>
    <row r="2025" spans="1:21" x14ac:dyDescent="0.3">
      <c r="A2025" s="2">
        <v>43112</v>
      </c>
      <c r="B2025" s="1">
        <v>5435.92</v>
      </c>
      <c r="C2025" s="2">
        <f t="shared" si="270"/>
        <v>43112</v>
      </c>
      <c r="D2025" s="1">
        <f t="shared" si="271"/>
        <v>5435.92</v>
      </c>
      <c r="E2025" s="4">
        <f t="shared" si="272"/>
        <v>5157.506800000001</v>
      </c>
      <c r="F2025" s="3">
        <f t="shared" si="273"/>
        <v>1.0539821295048994</v>
      </c>
      <c r="G2025" s="18">
        <f t="shared" si="274"/>
        <v>1</v>
      </c>
      <c r="H2025" s="3">
        <f t="shared" si="275"/>
        <v>6.7525271045623114E-3</v>
      </c>
      <c r="I2025" s="3">
        <f t="shared" si="276"/>
        <v>6.7525271045623114E-3</v>
      </c>
      <c r="K2025" s="12" t="str">
        <f>IF(AND(G2025=1,G2024&lt;&gt;1),MAX($K$50:K2024)+1,"")</f>
        <v/>
      </c>
      <c r="L2025" s="13" t="str">
        <f>IF(AND(G2025&lt;&gt;1,G2024=1),MAX($L$50:L2024)+1,"")</f>
        <v/>
      </c>
      <c r="M2025" s="13" t="str">
        <f>IF(AND(G2025=-1,G2024&lt;&gt;-1),MAX($M$50:M2024)+1,"")</f>
        <v/>
      </c>
      <c r="N2025" s="13" t="str">
        <f>IF(AND(G2025&lt;&gt;-1,G2024=-1),MAX($N$50:N2024)+1,"")</f>
        <v/>
      </c>
      <c r="T2025" s="7">
        <f t="shared" si="277"/>
        <v>160.20712950728142</v>
      </c>
      <c r="U2025" s="1">
        <f t="shared" si="278"/>
        <v>285.60650242474946</v>
      </c>
    </row>
    <row r="2026" spans="1:21" x14ac:dyDescent="0.3">
      <c r="A2026" s="2">
        <v>43116</v>
      </c>
      <c r="B2026" s="1">
        <v>5416.86</v>
      </c>
      <c r="C2026" s="2">
        <f t="shared" si="270"/>
        <v>43116</v>
      </c>
      <c r="D2026" s="1">
        <f t="shared" si="271"/>
        <v>5416.86</v>
      </c>
      <c r="E2026" s="4">
        <f t="shared" si="272"/>
        <v>5165.6442000000006</v>
      </c>
      <c r="F2026" s="3">
        <f t="shared" si="273"/>
        <v>1.0486320370264757</v>
      </c>
      <c r="G2026" s="18">
        <f t="shared" si="274"/>
        <v>1</v>
      </c>
      <c r="H2026" s="3">
        <f t="shared" si="275"/>
        <v>-3.506306200238507E-3</v>
      </c>
      <c r="I2026" s="3">
        <f t="shared" si="276"/>
        <v>-3.506306200238507E-3</v>
      </c>
      <c r="K2026" s="12" t="str">
        <f>IF(AND(G2026=1,G2025&lt;&gt;1),MAX($K$50:K2025)+1,"")</f>
        <v/>
      </c>
      <c r="L2026" s="13" t="str">
        <f>IF(AND(G2026&lt;&gt;1,G2025=1),MAX($L$50:L2025)+1,"")</f>
        <v/>
      </c>
      <c r="M2026" s="13" t="str">
        <f>IF(AND(G2026=-1,G2025&lt;&gt;-1),MAX($M$50:M2025)+1,"")</f>
        <v/>
      </c>
      <c r="N2026" s="13" t="str">
        <f>IF(AND(G2026&lt;&gt;-1,G2025=-1),MAX($N$50:N2025)+1,"")</f>
        <v/>
      </c>
      <c r="T2026" s="7">
        <f t="shared" si="277"/>
        <v>159.64539425576763</v>
      </c>
      <c r="U2026" s="1">
        <f t="shared" si="278"/>
        <v>284.60507857446913</v>
      </c>
    </row>
    <row r="2027" spans="1:21" x14ac:dyDescent="0.3">
      <c r="A2027" s="2">
        <v>43117</v>
      </c>
      <c r="B2027" s="1">
        <v>5467.85</v>
      </c>
      <c r="C2027" s="2">
        <f t="shared" si="270"/>
        <v>43117</v>
      </c>
      <c r="D2027" s="1">
        <f t="shared" si="271"/>
        <v>5467.85</v>
      </c>
      <c r="E2027" s="4">
        <f t="shared" si="272"/>
        <v>5174.7716</v>
      </c>
      <c r="F2027" s="3">
        <f t="shared" si="273"/>
        <v>1.0566360068915892</v>
      </c>
      <c r="G2027" s="18">
        <f t="shared" si="274"/>
        <v>1</v>
      </c>
      <c r="H2027" s="3">
        <f t="shared" si="275"/>
        <v>9.4132024826192318E-3</v>
      </c>
      <c r="I2027" s="3">
        <f t="shared" si="276"/>
        <v>9.4132024826192318E-3</v>
      </c>
      <c r="K2027" s="12" t="str">
        <f>IF(AND(G2027=1,G2026&lt;&gt;1),MAX($K$50:K2026)+1,"")</f>
        <v/>
      </c>
      <c r="L2027" s="13" t="str">
        <f>IF(AND(G2027&lt;&gt;1,G2026=1),MAX($L$50:L2026)+1,"")</f>
        <v/>
      </c>
      <c r="M2027" s="13" t="str">
        <f>IF(AND(G2027=-1,G2026&lt;&gt;-1),MAX($M$50:M2026)+1,"")</f>
        <v/>
      </c>
      <c r="N2027" s="13" t="str">
        <f>IF(AND(G2027&lt;&gt;-1,G2026=-1),MAX($N$50:N2026)+1,"")</f>
        <v/>
      </c>
      <c r="T2027" s="7">
        <f t="shared" si="277"/>
        <v>161.14816867731474</v>
      </c>
      <c r="U2027" s="1">
        <f t="shared" si="278"/>
        <v>287.28412380667237</v>
      </c>
    </row>
    <row r="2028" spans="1:21" x14ac:dyDescent="0.3">
      <c r="A2028" s="2">
        <v>43118</v>
      </c>
      <c r="B2028" s="1">
        <v>5459.5</v>
      </c>
      <c r="C2028" s="2">
        <f t="shared" si="270"/>
        <v>43118</v>
      </c>
      <c r="D2028" s="1">
        <f t="shared" si="271"/>
        <v>5459.5</v>
      </c>
      <c r="E2028" s="4">
        <f t="shared" si="272"/>
        <v>5183.4118000000008</v>
      </c>
      <c r="F2028" s="3">
        <f t="shared" si="273"/>
        <v>1.0532637981801869</v>
      </c>
      <c r="G2028" s="18">
        <f t="shared" si="274"/>
        <v>1</v>
      </c>
      <c r="H2028" s="3">
        <f t="shared" si="275"/>
        <v>-1.5271084612782371E-3</v>
      </c>
      <c r="I2028" s="3">
        <f t="shared" si="276"/>
        <v>-1.5271084612782371E-3</v>
      </c>
      <c r="K2028" s="12" t="str">
        <f>IF(AND(G2028=1,G2027&lt;&gt;1),MAX($K$50:K2027)+1,"")</f>
        <v/>
      </c>
      <c r="L2028" s="13" t="str">
        <f>IF(AND(G2028&lt;&gt;1,G2027=1),MAX($L$50:L2027)+1,"")</f>
        <v/>
      </c>
      <c r="M2028" s="13" t="str">
        <f>IF(AND(G2028=-1,G2027&lt;&gt;-1),MAX($M$50:M2027)+1,"")</f>
        <v/>
      </c>
      <c r="N2028" s="13" t="str">
        <f>IF(AND(G2028&lt;&gt;-1,G2027=-1),MAX($N$50:N2027)+1,"")</f>
        <v/>
      </c>
      <c r="T2028" s="7">
        <f t="shared" si="277"/>
        <v>160.90207794540811</v>
      </c>
      <c r="U2028" s="1">
        <f t="shared" si="278"/>
        <v>286.84540979041628</v>
      </c>
    </row>
    <row r="2029" spans="1:21" x14ac:dyDescent="0.3">
      <c r="A2029" s="2">
        <v>43119</v>
      </c>
      <c r="B2029" s="1">
        <v>5483.57</v>
      </c>
      <c r="C2029" s="2">
        <f t="shared" si="270"/>
        <v>43119</v>
      </c>
      <c r="D2029" s="1">
        <f t="shared" si="271"/>
        <v>5483.57</v>
      </c>
      <c r="E2029" s="4">
        <f t="shared" si="272"/>
        <v>5192.3972000000012</v>
      </c>
      <c r="F2029" s="3">
        <f t="shared" si="273"/>
        <v>1.0560767577642169</v>
      </c>
      <c r="G2029" s="18">
        <f t="shared" si="274"/>
        <v>1</v>
      </c>
      <c r="H2029" s="3">
        <f t="shared" si="275"/>
        <v>4.4088286473120686E-3</v>
      </c>
      <c r="I2029" s="3">
        <f t="shared" si="276"/>
        <v>4.4088286473120686E-3</v>
      </c>
      <c r="K2029" s="12" t="str">
        <f>IF(AND(G2029=1,G2028&lt;&gt;1),MAX($K$50:K2028)+1,"")</f>
        <v/>
      </c>
      <c r="L2029" s="13" t="str">
        <f>IF(AND(G2029&lt;&gt;1,G2028=1),MAX($L$50:L2028)+1,"")</f>
        <v/>
      </c>
      <c r="M2029" s="13" t="str">
        <f>IF(AND(G2029=-1,G2028&lt;&gt;-1),MAX($M$50:M2028)+1,"")</f>
        <v/>
      </c>
      <c r="N2029" s="13" t="str">
        <f>IF(AND(G2029&lt;&gt;-1,G2028=-1),MAX($N$50:N2028)+1,"")</f>
        <v/>
      </c>
      <c r="T2029" s="7">
        <f t="shared" si="277"/>
        <v>161.61146763606587</v>
      </c>
      <c r="U2029" s="1">
        <f t="shared" si="278"/>
        <v>288.11006205045021</v>
      </c>
    </row>
    <row r="2030" spans="1:21" x14ac:dyDescent="0.3">
      <c r="A2030" s="2">
        <v>43122</v>
      </c>
      <c r="B2030" s="1">
        <v>5527.89</v>
      </c>
      <c r="C2030" s="2">
        <f t="shared" si="270"/>
        <v>43122</v>
      </c>
      <c r="D2030" s="1">
        <f t="shared" si="271"/>
        <v>5527.89</v>
      </c>
      <c r="E2030" s="4">
        <f t="shared" si="272"/>
        <v>5202.2874000000011</v>
      </c>
      <c r="F2030" s="3">
        <f t="shared" si="273"/>
        <v>1.0625883529618143</v>
      </c>
      <c r="G2030" s="18">
        <f t="shared" si="274"/>
        <v>1</v>
      </c>
      <c r="H2030" s="3">
        <f t="shared" si="275"/>
        <v>8.0823259300055739E-3</v>
      </c>
      <c r="I2030" s="3">
        <f t="shared" si="276"/>
        <v>8.0823259300055739E-3</v>
      </c>
      <c r="K2030" s="12" t="str">
        <f>IF(AND(G2030=1,G2029&lt;&gt;1),MAX($K$50:K2029)+1,"")</f>
        <v/>
      </c>
      <c r="L2030" s="13" t="str">
        <f>IF(AND(G2030&lt;&gt;1,G2029=1),MAX($L$50:L2029)+1,"")</f>
        <v/>
      </c>
      <c r="M2030" s="13" t="str">
        <f>IF(AND(G2030=-1,G2029&lt;&gt;-1),MAX($M$50:M2029)+1,"")</f>
        <v/>
      </c>
      <c r="N2030" s="13" t="str">
        <f>IF(AND(G2030&lt;&gt;-1,G2029=-1),MAX($N$50:N2029)+1,"")</f>
        <v/>
      </c>
      <c r="T2030" s="7">
        <f t="shared" si="277"/>
        <v>162.91766419152711</v>
      </c>
      <c r="U2030" s="1">
        <f t="shared" si="278"/>
        <v>290.43866147565609</v>
      </c>
    </row>
    <row r="2031" spans="1:21" x14ac:dyDescent="0.3">
      <c r="A2031" s="2">
        <v>43123</v>
      </c>
      <c r="B2031" s="1">
        <v>5540.13</v>
      </c>
      <c r="C2031" s="2">
        <f t="shared" si="270"/>
        <v>43123</v>
      </c>
      <c r="D2031" s="1">
        <f t="shared" si="271"/>
        <v>5540.13</v>
      </c>
      <c r="E2031" s="4">
        <f t="shared" si="272"/>
        <v>5212.275200000001</v>
      </c>
      <c r="F2031" s="3">
        <f t="shared" si="273"/>
        <v>1.0629005160740552</v>
      </c>
      <c r="G2031" s="18">
        <f t="shared" si="274"/>
        <v>1</v>
      </c>
      <c r="H2031" s="3">
        <f t="shared" si="275"/>
        <v>2.214226404649855E-3</v>
      </c>
      <c r="I2031" s="3">
        <f t="shared" si="276"/>
        <v>2.214226404649855E-3</v>
      </c>
      <c r="K2031" s="12" t="str">
        <f>IF(AND(G2031=1,G2030&lt;&gt;1),MAX($K$50:K2030)+1,"")</f>
        <v/>
      </c>
      <c r="L2031" s="13" t="str">
        <f>IF(AND(G2031&lt;&gt;1,G2030=1),MAX($L$50:L2030)+1,"")</f>
        <v/>
      </c>
      <c r="M2031" s="13" t="str">
        <f>IF(AND(G2031=-1,G2030&lt;&gt;-1),MAX($M$50:M2030)+1,"")</f>
        <v/>
      </c>
      <c r="N2031" s="13" t="str">
        <f>IF(AND(G2031&lt;&gt;-1,G2030=-1),MAX($N$50:N2030)+1,"")</f>
        <v/>
      </c>
      <c r="T2031" s="7">
        <f t="shared" si="277"/>
        <v>163.27840078536386</v>
      </c>
      <c r="U2031" s="1">
        <f t="shared" si="278"/>
        <v>291.08175842882667</v>
      </c>
    </row>
    <row r="2032" spans="1:21" x14ac:dyDescent="0.3">
      <c r="A2032" s="2">
        <v>43124</v>
      </c>
      <c r="B2032" s="1">
        <v>5537.03</v>
      </c>
      <c r="C2032" s="2">
        <f t="shared" si="270"/>
        <v>43124</v>
      </c>
      <c r="D2032" s="1">
        <f t="shared" si="271"/>
        <v>5537.03</v>
      </c>
      <c r="E2032" s="4">
        <f t="shared" si="272"/>
        <v>5222.5556000000015</v>
      </c>
      <c r="F2032" s="3">
        <f t="shared" si="273"/>
        <v>1.0602146581263774</v>
      </c>
      <c r="G2032" s="18">
        <f t="shared" si="274"/>
        <v>1</v>
      </c>
      <c r="H2032" s="3">
        <f t="shared" si="275"/>
        <v>-5.5955365668325374E-4</v>
      </c>
      <c r="I2032" s="3">
        <f t="shared" si="276"/>
        <v>-5.5955365668325374E-4</v>
      </c>
      <c r="K2032" s="12" t="str">
        <f>IF(AND(G2032=1,G2031&lt;&gt;1),MAX($K$50:K2031)+1,"")</f>
        <v/>
      </c>
      <c r="L2032" s="13" t="str">
        <f>IF(AND(G2032&lt;&gt;1,G2031=1),MAX($L$50:L2031)+1,"")</f>
        <v/>
      </c>
      <c r="M2032" s="13" t="str">
        <f>IF(AND(G2032=-1,G2031&lt;&gt;-1),MAX($M$50:M2031)+1,"")</f>
        <v/>
      </c>
      <c r="N2032" s="13" t="str">
        <f>IF(AND(G2032&lt;&gt;-1,G2031=-1),MAX($N$50:N2031)+1,"")</f>
        <v/>
      </c>
      <c r="T2032" s="7">
        <f t="shared" si="277"/>
        <v>163.18703775914702</v>
      </c>
      <c r="U2032" s="1">
        <f t="shared" si="278"/>
        <v>290.91888256650401</v>
      </c>
    </row>
    <row r="2033" spans="1:21" x14ac:dyDescent="0.3">
      <c r="A2033" s="2">
        <v>43125</v>
      </c>
      <c r="B2033" s="1">
        <v>5540.38</v>
      </c>
      <c r="C2033" s="2">
        <f t="shared" si="270"/>
        <v>43125</v>
      </c>
      <c r="D2033" s="1">
        <f t="shared" si="271"/>
        <v>5540.38</v>
      </c>
      <c r="E2033" s="4">
        <f t="shared" si="272"/>
        <v>5232.9570000000012</v>
      </c>
      <c r="F2033" s="3">
        <f t="shared" si="273"/>
        <v>1.0587474729870701</v>
      </c>
      <c r="G2033" s="18">
        <f t="shared" si="274"/>
        <v>1</v>
      </c>
      <c r="H2033" s="3">
        <f t="shared" si="275"/>
        <v>6.0501749132657601E-4</v>
      </c>
      <c r="I2033" s="3">
        <f t="shared" si="276"/>
        <v>6.0501749132657601E-4</v>
      </c>
      <c r="K2033" s="12" t="str">
        <f>IF(AND(G2033=1,G2032&lt;&gt;1),MAX($K$50:K2032)+1,"")</f>
        <v/>
      </c>
      <c r="L2033" s="13" t="str">
        <f>IF(AND(G2033&lt;&gt;1,G2032=1),MAX($L$50:L2032)+1,"")</f>
        <v/>
      </c>
      <c r="M2033" s="13" t="str">
        <f>IF(AND(G2033=-1,G2032&lt;&gt;-1),MAX($M$50:M2032)+1,"")</f>
        <v/>
      </c>
      <c r="N2033" s="13" t="str">
        <f>IF(AND(G2033&lt;&gt;-1,G2032=-1),MAX($N$50:N2032)+1,"")</f>
        <v/>
      </c>
      <c r="T2033" s="7">
        <f t="shared" si="277"/>
        <v>163.28576877134907</v>
      </c>
      <c r="U2033" s="1">
        <f t="shared" si="278"/>
        <v>291.09489357901396</v>
      </c>
    </row>
    <row r="2034" spans="1:21" x14ac:dyDescent="0.3">
      <c r="A2034" s="2">
        <v>43126</v>
      </c>
      <c r="B2034" s="1">
        <v>5606.08</v>
      </c>
      <c r="C2034" s="2">
        <f t="shared" si="270"/>
        <v>43126</v>
      </c>
      <c r="D2034" s="1">
        <f t="shared" si="271"/>
        <v>5606.08</v>
      </c>
      <c r="E2034" s="4">
        <f t="shared" si="272"/>
        <v>5244.5714000000016</v>
      </c>
      <c r="F2034" s="3">
        <f t="shared" si="273"/>
        <v>1.0689300559431794</v>
      </c>
      <c r="G2034" s="18">
        <f t="shared" si="274"/>
        <v>1</v>
      </c>
      <c r="H2034" s="3">
        <f t="shared" si="275"/>
        <v>1.1858392384637817E-2</v>
      </c>
      <c r="I2034" s="3">
        <f t="shared" si="276"/>
        <v>1.1858392384637817E-2</v>
      </c>
      <c r="K2034" s="12" t="str">
        <f>IF(AND(G2034=1,G2033&lt;&gt;1),MAX($K$50:K2033)+1,"")</f>
        <v/>
      </c>
      <c r="L2034" s="13" t="str">
        <f>IF(AND(G2034&lt;&gt;1,G2033=1),MAX($L$50:L2033)+1,"")</f>
        <v/>
      </c>
      <c r="M2034" s="13" t="str">
        <f>IF(AND(G2034=-1,G2033&lt;&gt;-1),MAX($M$50:M2033)+1,"")</f>
        <v/>
      </c>
      <c r="N2034" s="13" t="str">
        <f>IF(AND(G2034&lt;&gt;-1,G2033=-1),MAX($N$50:N2033)+1,"")</f>
        <v/>
      </c>
      <c r="T2034" s="7">
        <f t="shared" si="277"/>
        <v>165.22207548826697</v>
      </c>
      <c r="U2034" s="1">
        <f t="shared" si="278"/>
        <v>294.54681104823828</v>
      </c>
    </row>
    <row r="2035" spans="1:21" x14ac:dyDescent="0.3">
      <c r="A2035" s="2">
        <v>43129</v>
      </c>
      <c r="B2035" s="1">
        <v>5568.67</v>
      </c>
      <c r="C2035" s="2">
        <f t="shared" si="270"/>
        <v>43129</v>
      </c>
      <c r="D2035" s="1">
        <f t="shared" si="271"/>
        <v>5568.67</v>
      </c>
      <c r="E2035" s="4">
        <f t="shared" si="272"/>
        <v>5255.6542000000009</v>
      </c>
      <c r="F2035" s="3">
        <f t="shared" si="273"/>
        <v>1.0595579138368729</v>
      </c>
      <c r="G2035" s="18">
        <f t="shared" si="274"/>
        <v>1</v>
      </c>
      <c r="H2035" s="3">
        <f t="shared" si="275"/>
        <v>-6.6731120497744989E-3</v>
      </c>
      <c r="I2035" s="3">
        <f t="shared" si="276"/>
        <v>-6.6731120497744989E-3</v>
      </c>
      <c r="K2035" s="12" t="str">
        <f>IF(AND(G2035=1,G2034&lt;&gt;1),MAX($K$50:K2034)+1,"")</f>
        <v/>
      </c>
      <c r="L2035" s="13" t="str">
        <f>IF(AND(G2035&lt;&gt;1,G2034=1),MAX($L$50:L2034)+1,"")</f>
        <v/>
      </c>
      <c r="M2035" s="13" t="str">
        <f>IF(AND(G2035=-1,G2034&lt;&gt;-1),MAX($M$50:M2034)+1,"")</f>
        <v/>
      </c>
      <c r="N2035" s="13" t="str">
        <f>IF(AND(G2035&lt;&gt;-1,G2034=-1),MAX($N$50:N2034)+1,"")</f>
        <v/>
      </c>
      <c r="T2035" s="7">
        <f t="shared" si="277"/>
        <v>164.11953006543746</v>
      </c>
      <c r="U2035" s="1">
        <f t="shared" si="278"/>
        <v>292.58126717420964</v>
      </c>
    </row>
    <row r="2036" spans="1:21" x14ac:dyDescent="0.3">
      <c r="A2036" s="2">
        <v>43130</v>
      </c>
      <c r="B2036" s="1">
        <v>5508.36</v>
      </c>
      <c r="C2036" s="2">
        <f t="shared" ref="C2036:C2099" si="279">A2036</f>
        <v>43130</v>
      </c>
      <c r="D2036" s="1">
        <f t="shared" ref="D2036:D2099" si="280">B2036</f>
        <v>5508.36</v>
      </c>
      <c r="E2036" s="4">
        <f t="shared" ref="E2036:E2099" si="281">AVERAGE(B1987:B2036)</f>
        <v>5266.0622000000012</v>
      </c>
      <c r="F2036" s="3">
        <f t="shared" ref="F2036:F2099" si="282">D2036/E2036</f>
        <v>1.0460111921959445</v>
      </c>
      <c r="G2036" s="18">
        <f t="shared" ref="G2036:G2099" si="283">IF(F2036&gt;=$Q$51,1,IF(F2036&lt;=$Q$52,-1,0))</f>
        <v>1</v>
      </c>
      <c r="H2036" s="3">
        <f t="shared" si="275"/>
        <v>-1.0830234149267315E-2</v>
      </c>
      <c r="I2036" s="3">
        <f t="shared" si="276"/>
        <v>-1.0830234149267315E-2</v>
      </c>
      <c r="K2036" s="12" t="str">
        <f>IF(AND(G2036=1,G2035&lt;&gt;1),MAX($K$50:K2035)+1,"")</f>
        <v/>
      </c>
      <c r="L2036" s="13" t="str">
        <f>IF(AND(G2036&lt;&gt;1,G2035=1),MAX($L$50:L2035)+1,"")</f>
        <v/>
      </c>
      <c r="M2036" s="13" t="str">
        <f>IF(AND(G2036=-1,G2035&lt;&gt;-1),MAX($M$50:M2035)+1,"")</f>
        <v/>
      </c>
      <c r="N2036" s="13" t="str">
        <f>IF(AND(G2036&lt;&gt;-1,G2035=-1),MAX($N$50:N2035)+1,"")</f>
        <v/>
      </c>
      <c r="T2036" s="7">
        <f t="shared" si="277"/>
        <v>162.34207712636106</v>
      </c>
      <c r="U2036" s="1">
        <f t="shared" si="278"/>
        <v>289.41254354302362</v>
      </c>
    </row>
    <row r="2037" spans="1:21" x14ac:dyDescent="0.3">
      <c r="A2037" s="2">
        <v>43131</v>
      </c>
      <c r="B2037" s="1">
        <v>5511.21</v>
      </c>
      <c r="C2037" s="2">
        <f t="shared" si="279"/>
        <v>43131</v>
      </c>
      <c r="D2037" s="1">
        <f t="shared" si="280"/>
        <v>5511.21</v>
      </c>
      <c r="E2037" s="4">
        <f t="shared" si="281"/>
        <v>5275.6768000000002</v>
      </c>
      <c r="F2037" s="3">
        <f t="shared" si="282"/>
        <v>1.0446451154854672</v>
      </c>
      <c r="G2037" s="18">
        <f t="shared" si="283"/>
        <v>1</v>
      </c>
      <c r="H2037" s="3">
        <f t="shared" ref="H2037:H2100" si="284">D2037/D2036-1</f>
        <v>5.1739537720862927E-4</v>
      </c>
      <c r="I2037" s="3">
        <f t="shared" ref="I2037:I2100" si="285">G2036*H2037</f>
        <v>5.1739537720862927E-4</v>
      </c>
      <c r="K2037" s="12" t="str">
        <f>IF(AND(G2037=1,G2036&lt;&gt;1),MAX($K$50:K2036)+1,"")</f>
        <v/>
      </c>
      <c r="L2037" s="13" t="str">
        <f>IF(AND(G2037&lt;&gt;1,G2036=1),MAX($L$50:L2036)+1,"")</f>
        <v/>
      </c>
      <c r="M2037" s="13" t="str">
        <f>IF(AND(G2037=-1,G2036&lt;&gt;-1),MAX($M$50:M2036)+1,"")</f>
        <v/>
      </c>
      <c r="N2037" s="13" t="str">
        <f>IF(AND(G2037&lt;&gt;-1,G2036=-1),MAX($N$50:N2036)+1,"")</f>
        <v/>
      </c>
      <c r="T2037" s="7">
        <f t="shared" ref="T2037:T2100" si="286">T2036*(1+I2037)</f>
        <v>162.42607216659269</v>
      </c>
      <c r="U2037" s="1">
        <f t="shared" ref="U2037:U2100" si="287">U2036*D2037/D2036</f>
        <v>289.56228425515894</v>
      </c>
    </row>
    <row r="2038" spans="1:21" x14ac:dyDescent="0.3">
      <c r="A2038" s="2">
        <v>43132</v>
      </c>
      <c r="B2038" s="1">
        <v>5508.7</v>
      </c>
      <c r="C2038" s="2">
        <f t="shared" si="279"/>
        <v>43132</v>
      </c>
      <c r="D2038" s="1">
        <f t="shared" si="280"/>
        <v>5508.7</v>
      </c>
      <c r="E2038" s="4">
        <f t="shared" si="281"/>
        <v>5285.5017999999991</v>
      </c>
      <c r="F2038" s="3">
        <f t="shared" si="282"/>
        <v>1.0422283840675262</v>
      </c>
      <c r="G2038" s="18">
        <f t="shared" si="283"/>
        <v>1</v>
      </c>
      <c r="H2038" s="3">
        <f t="shared" si="284"/>
        <v>-4.5543537626047126E-4</v>
      </c>
      <c r="I2038" s="3">
        <f t="shared" si="285"/>
        <v>-4.5543537626047126E-4</v>
      </c>
      <c r="K2038" s="12" t="str">
        <f>IF(AND(G2038=1,G2037&lt;&gt;1),MAX($K$50:K2037)+1,"")</f>
        <v/>
      </c>
      <c r="L2038" s="13" t="str">
        <f>IF(AND(G2038&lt;&gt;1,G2037=1),MAX($L$50:L2037)+1,"")</f>
        <v/>
      </c>
      <c r="M2038" s="13" t="str">
        <f>IF(AND(G2038=-1,G2037&lt;&gt;-1),MAX($M$50:M2037)+1,"")</f>
        <v/>
      </c>
      <c r="N2038" s="13" t="str">
        <f>IF(AND(G2038&lt;&gt;-1,G2037=-1),MAX($N$50:N2037)+1,"")</f>
        <v/>
      </c>
      <c r="T2038" s="7">
        <f t="shared" si="286"/>
        <v>162.35209758730099</v>
      </c>
      <c r="U2038" s="1">
        <f t="shared" si="287"/>
        <v>289.43040734727839</v>
      </c>
    </row>
    <row r="2039" spans="1:21" x14ac:dyDescent="0.3">
      <c r="A2039" s="2">
        <v>43133</v>
      </c>
      <c r="B2039" s="1">
        <v>5392.21</v>
      </c>
      <c r="C2039" s="2">
        <f t="shared" si="279"/>
        <v>43133</v>
      </c>
      <c r="D2039" s="1">
        <f t="shared" si="280"/>
        <v>5392.21</v>
      </c>
      <c r="E2039" s="4">
        <f t="shared" si="281"/>
        <v>5292.8658000000005</v>
      </c>
      <c r="F2039" s="3">
        <f t="shared" si="282"/>
        <v>1.0187694537805965</v>
      </c>
      <c r="G2039" s="18">
        <f t="shared" si="283"/>
        <v>1</v>
      </c>
      <c r="H2039" s="3">
        <f t="shared" si="284"/>
        <v>-2.1146550002722919E-2</v>
      </c>
      <c r="I2039" s="3">
        <f t="shared" si="285"/>
        <v>-2.1146550002722919E-2</v>
      </c>
      <c r="K2039" s="12" t="str">
        <f>IF(AND(G2039=1,G2038&lt;&gt;1),MAX($K$50:K2038)+1,"")</f>
        <v/>
      </c>
      <c r="L2039" s="13" t="str">
        <f>IF(AND(G2039&lt;&gt;1,G2038=1),MAX($L$50:L2038)+1,"")</f>
        <v/>
      </c>
      <c r="M2039" s="13" t="str">
        <f>IF(AND(G2039=-1,G2038&lt;&gt;-1),MAX($M$50:M2038)+1,"")</f>
        <v/>
      </c>
      <c r="N2039" s="13" t="str">
        <f>IF(AND(G2039&lt;&gt;-1,G2038=-1),MAX($N$50:N2038)+1,"")</f>
        <v/>
      </c>
      <c r="T2039" s="7">
        <f t="shared" si="286"/>
        <v>158.91891083762417</v>
      </c>
      <c r="U2039" s="1">
        <f t="shared" si="287"/>
        <v>283.30995276600072</v>
      </c>
    </row>
    <row r="2040" spans="1:21" x14ac:dyDescent="0.3">
      <c r="A2040" s="2">
        <v>43136</v>
      </c>
      <c r="B2040" s="1">
        <v>5171.26</v>
      </c>
      <c r="C2040" s="2">
        <f t="shared" si="279"/>
        <v>43136</v>
      </c>
      <c r="D2040" s="1">
        <f t="shared" si="280"/>
        <v>5171.26</v>
      </c>
      <c r="E2040" s="4">
        <f t="shared" si="281"/>
        <v>5295.1519999999991</v>
      </c>
      <c r="F2040" s="3">
        <f t="shared" si="282"/>
        <v>0.97660274908066869</v>
      </c>
      <c r="G2040" s="18">
        <f t="shared" si="283"/>
        <v>1</v>
      </c>
      <c r="H2040" s="3">
        <f t="shared" si="284"/>
        <v>-4.0975778020514775E-2</v>
      </c>
      <c r="I2040" s="3">
        <f t="shared" si="285"/>
        <v>-4.0975778020514775E-2</v>
      </c>
      <c r="K2040" s="12" t="str">
        <f>IF(AND(G2040=1,G2039&lt;&gt;1),MAX($K$50:K2039)+1,"")</f>
        <v/>
      </c>
      <c r="L2040" s="13" t="str">
        <f>IF(AND(G2040&lt;&gt;1,G2039=1),MAX($L$50:L2039)+1,"")</f>
        <v/>
      </c>
      <c r="M2040" s="13" t="str">
        <f>IF(AND(G2040=-1,G2039&lt;&gt;-1),MAX($M$50:M2039)+1,"")</f>
        <v/>
      </c>
      <c r="N2040" s="13" t="str">
        <f>IF(AND(G2040&lt;&gt;-1,G2039=-1),MAX($N$50:N2039)+1,"")</f>
        <v/>
      </c>
      <c r="T2040" s="7">
        <f t="shared" si="286"/>
        <v>152.4070848238797</v>
      </c>
      <c r="U2040" s="1">
        <f t="shared" si="287"/>
        <v>271.70110703045856</v>
      </c>
    </row>
    <row r="2041" spans="1:21" x14ac:dyDescent="0.3">
      <c r="A2041" s="2">
        <v>43137</v>
      </c>
      <c r="B2041" s="1">
        <v>5262.02</v>
      </c>
      <c r="C2041" s="2">
        <f t="shared" si="279"/>
        <v>43137</v>
      </c>
      <c r="D2041" s="1">
        <f t="shared" si="280"/>
        <v>5262.02</v>
      </c>
      <c r="E2041" s="4">
        <f t="shared" si="281"/>
        <v>5299.3204000000005</v>
      </c>
      <c r="F2041" s="3">
        <f t="shared" si="282"/>
        <v>0.99296128613019885</v>
      </c>
      <c r="G2041" s="18">
        <f t="shared" si="283"/>
        <v>1</v>
      </c>
      <c r="H2041" s="3">
        <f t="shared" si="284"/>
        <v>1.7550848342570369E-2</v>
      </c>
      <c r="I2041" s="3">
        <f t="shared" si="285"/>
        <v>1.7550848342570369E-2</v>
      </c>
      <c r="K2041" s="12" t="str">
        <f>IF(AND(G2041=1,G2040&lt;&gt;1),MAX($K$50:K2040)+1,"")</f>
        <v/>
      </c>
      <c r="L2041" s="13" t="str">
        <f>IF(AND(G2041&lt;&gt;1,G2040=1),MAX($L$50:L2040)+1,"")</f>
        <v/>
      </c>
      <c r="M2041" s="13" t="str">
        <f>IF(AND(G2041=-1,G2040&lt;&gt;-1),MAX($M$50:M2040)+1,"")</f>
        <v/>
      </c>
      <c r="N2041" s="13" t="str">
        <f>IF(AND(G2041&lt;&gt;-1,G2040=-1),MAX($N$50:N2040)+1,"")</f>
        <v/>
      </c>
      <c r="T2041" s="7">
        <f t="shared" si="286"/>
        <v>155.08195845595688</v>
      </c>
      <c r="U2041" s="1">
        <f t="shared" si="287"/>
        <v>276.4696919544586</v>
      </c>
    </row>
    <row r="2042" spans="1:21" x14ac:dyDescent="0.3">
      <c r="A2042" s="2">
        <v>43138</v>
      </c>
      <c r="B2042" s="1">
        <v>5235.84</v>
      </c>
      <c r="C2042" s="2">
        <f t="shared" si="279"/>
        <v>43138</v>
      </c>
      <c r="D2042" s="1">
        <f t="shared" si="280"/>
        <v>5235.84</v>
      </c>
      <c r="E2042" s="4">
        <f t="shared" si="281"/>
        <v>5302.7525999999989</v>
      </c>
      <c r="F2042" s="3">
        <f t="shared" si="282"/>
        <v>0.98738153463919875</v>
      </c>
      <c r="G2042" s="18">
        <f t="shared" si="283"/>
        <v>1</v>
      </c>
      <c r="H2042" s="3">
        <f t="shared" si="284"/>
        <v>-4.9752756545965449E-3</v>
      </c>
      <c r="I2042" s="3">
        <f t="shared" si="285"/>
        <v>-4.9752756545965449E-3</v>
      </c>
      <c r="K2042" s="12" t="str">
        <f>IF(AND(G2042=1,G2041&lt;&gt;1),MAX($K$50:K2041)+1,"")</f>
        <v/>
      </c>
      <c r="L2042" s="13" t="str">
        <f>IF(AND(G2042&lt;&gt;1,G2041=1),MAX($L$50:L2041)+1,"")</f>
        <v/>
      </c>
      <c r="M2042" s="13" t="str">
        <f>IF(AND(G2042=-1,G2041&lt;&gt;-1),MAX($M$50:M2041)+1,"")</f>
        <v/>
      </c>
      <c r="N2042" s="13" t="str">
        <f>IF(AND(G2042&lt;&gt;-1,G2041=-1),MAX($N$50:N2041)+1,"")</f>
        <v/>
      </c>
      <c r="T2042" s="7">
        <f t="shared" si="286"/>
        <v>154.31038296358381</v>
      </c>
      <c r="U2042" s="1">
        <f t="shared" si="287"/>
        <v>275.09417902684379</v>
      </c>
    </row>
    <row r="2043" spans="1:21" x14ac:dyDescent="0.3">
      <c r="A2043" s="2">
        <v>43139</v>
      </c>
      <c r="B2043" s="1">
        <v>5040.0600000000004</v>
      </c>
      <c r="C2043" s="2">
        <f t="shared" si="279"/>
        <v>43139</v>
      </c>
      <c r="D2043" s="1">
        <f t="shared" si="280"/>
        <v>5040.0600000000004</v>
      </c>
      <c r="E2043" s="4">
        <f t="shared" si="281"/>
        <v>5302.2967999999992</v>
      </c>
      <c r="F2043" s="3">
        <f t="shared" si="282"/>
        <v>0.95054279119192298</v>
      </c>
      <c r="G2043" s="18">
        <f t="shared" si="283"/>
        <v>1</v>
      </c>
      <c r="H2043" s="3">
        <f t="shared" si="284"/>
        <v>-3.7392280894756103E-2</v>
      </c>
      <c r="I2043" s="3">
        <f t="shared" si="285"/>
        <v>-3.7392280894756103E-2</v>
      </c>
      <c r="K2043" s="12" t="str">
        <f>IF(AND(G2043=1,G2042&lt;&gt;1),MAX($K$50:K2042)+1,"")</f>
        <v/>
      </c>
      <c r="L2043" s="13" t="str">
        <f>IF(AND(G2043&lt;&gt;1,G2042=1),MAX($L$50:L2042)+1,"")</f>
        <v/>
      </c>
      <c r="M2043" s="13" t="str">
        <f>IF(AND(G2043=-1,G2042&lt;&gt;-1),MAX($M$50:M2042)+1,"")</f>
        <v/>
      </c>
      <c r="N2043" s="13" t="str">
        <f>IF(AND(G2043&lt;&gt;-1,G2042=-1),MAX($N$50:N2042)+1,"")</f>
        <v/>
      </c>
      <c r="T2043" s="7">
        <f t="shared" si="286"/>
        <v>148.5403657788321</v>
      </c>
      <c r="U2043" s="1">
        <f t="shared" si="287"/>
        <v>264.80778021215968</v>
      </c>
    </row>
    <row r="2044" spans="1:21" x14ac:dyDescent="0.3">
      <c r="A2044" s="2">
        <v>43140</v>
      </c>
      <c r="B2044" s="1">
        <v>5116.99</v>
      </c>
      <c r="C2044" s="2">
        <f t="shared" si="279"/>
        <v>43140</v>
      </c>
      <c r="D2044" s="1">
        <f t="shared" si="280"/>
        <v>5116.99</v>
      </c>
      <c r="E2044" s="4">
        <f t="shared" si="281"/>
        <v>5302.3783999999987</v>
      </c>
      <c r="F2044" s="3">
        <f t="shared" si="282"/>
        <v>0.96503674652869009</v>
      </c>
      <c r="G2044" s="18">
        <f t="shared" si="283"/>
        <v>1</v>
      </c>
      <c r="H2044" s="3">
        <f t="shared" si="284"/>
        <v>1.5263707178089003E-2</v>
      </c>
      <c r="I2044" s="3">
        <f t="shared" si="285"/>
        <v>1.5263707178089003E-2</v>
      </c>
      <c r="K2044" s="12" t="str">
        <f>IF(AND(G2044=1,G2043&lt;&gt;1),MAX($K$50:K2043)+1,"")</f>
        <v/>
      </c>
      <c r="L2044" s="13" t="str">
        <f>IF(AND(G2044&lt;&gt;1,G2043=1),MAX($L$50:L2043)+1,"")</f>
        <v/>
      </c>
      <c r="M2044" s="13" t="str">
        <f>IF(AND(G2044=-1,G2043&lt;&gt;-1),MAX($M$50:M2043)+1,"")</f>
        <v/>
      </c>
      <c r="N2044" s="13" t="str">
        <f>IF(AND(G2044&lt;&gt;-1,G2043=-1),MAX($N$50:N2043)+1,"")</f>
        <v/>
      </c>
      <c r="T2044" s="7">
        <f t="shared" si="286"/>
        <v>150.80764242620643</v>
      </c>
      <c r="U2044" s="1">
        <f t="shared" si="287"/>
        <v>268.84972862779784</v>
      </c>
    </row>
    <row r="2045" spans="1:21" x14ac:dyDescent="0.3">
      <c r="A2045" s="2">
        <v>43143</v>
      </c>
      <c r="B2045" s="1">
        <v>5188.37</v>
      </c>
      <c r="C2045" s="2">
        <f t="shared" si="279"/>
        <v>43143</v>
      </c>
      <c r="D2045" s="1">
        <f t="shared" si="280"/>
        <v>5188.37</v>
      </c>
      <c r="E2045" s="4">
        <f t="shared" si="281"/>
        <v>5303.9121999999998</v>
      </c>
      <c r="F2045" s="3">
        <f t="shared" si="282"/>
        <v>0.97821566503306745</v>
      </c>
      <c r="G2045" s="18">
        <f t="shared" si="283"/>
        <v>1</v>
      </c>
      <c r="H2045" s="3">
        <f t="shared" si="284"/>
        <v>1.3949607093232563E-2</v>
      </c>
      <c r="I2045" s="3">
        <f t="shared" si="285"/>
        <v>1.3949607093232563E-2</v>
      </c>
      <c r="K2045" s="12" t="str">
        <f>IF(AND(G2045=1,G2044&lt;&gt;1),MAX($K$50:K2044)+1,"")</f>
        <v/>
      </c>
      <c r="L2045" s="13" t="str">
        <f>IF(AND(G2045&lt;&gt;1,G2044=1),MAX($L$50:L2044)+1,"")</f>
        <v/>
      </c>
      <c r="M2045" s="13" t="str">
        <f>IF(AND(G2045=-1,G2044&lt;&gt;-1),MAX($M$50:M2044)+1,"")</f>
        <v/>
      </c>
      <c r="N2045" s="13" t="str">
        <f>IF(AND(G2045&lt;&gt;-1,G2044=-1),MAX($N$50:N2044)+1,"")</f>
        <v/>
      </c>
      <c r="T2045" s="7">
        <f t="shared" si="286"/>
        <v>152.9113497847087</v>
      </c>
      <c r="U2045" s="1">
        <f t="shared" si="287"/>
        <v>272.6000767092778</v>
      </c>
    </row>
    <row r="2046" spans="1:21" x14ac:dyDescent="0.3">
      <c r="A2046" s="2">
        <v>43144</v>
      </c>
      <c r="B2046" s="1">
        <v>5202.22</v>
      </c>
      <c r="C2046" s="2">
        <f t="shared" si="279"/>
        <v>43144</v>
      </c>
      <c r="D2046" s="1">
        <f t="shared" si="280"/>
        <v>5202.22</v>
      </c>
      <c r="E2046" s="4">
        <f t="shared" si="281"/>
        <v>5304.8477999999996</v>
      </c>
      <c r="F2046" s="3">
        <f t="shared" si="282"/>
        <v>0.98065395957260093</v>
      </c>
      <c r="G2046" s="18">
        <f t="shared" si="283"/>
        <v>1</v>
      </c>
      <c r="H2046" s="3">
        <f t="shared" si="284"/>
        <v>2.6694318254096849E-3</v>
      </c>
      <c r="I2046" s="3">
        <f t="shared" si="285"/>
        <v>2.6694318254096849E-3</v>
      </c>
      <c r="K2046" s="12" t="str">
        <f>IF(AND(G2046=1,G2045&lt;&gt;1),MAX($K$50:K2045)+1,"")</f>
        <v/>
      </c>
      <c r="L2046" s="13" t="str">
        <f>IF(AND(G2046&lt;&gt;1,G2045=1),MAX($L$50:L2045)+1,"")</f>
        <v/>
      </c>
      <c r="M2046" s="13" t="str">
        <f>IF(AND(G2046=-1,G2045&lt;&gt;-1),MAX($M$50:M2045)+1,"")</f>
        <v/>
      </c>
      <c r="N2046" s="13" t="str">
        <f>IF(AND(G2046&lt;&gt;-1,G2045=-1),MAX($N$50:N2045)+1,"")</f>
        <v/>
      </c>
      <c r="T2046" s="7">
        <f t="shared" si="286"/>
        <v>153.31953620829034</v>
      </c>
      <c r="U2046" s="1">
        <f t="shared" si="287"/>
        <v>273.32776402965465</v>
      </c>
    </row>
    <row r="2047" spans="1:21" x14ac:dyDescent="0.3">
      <c r="A2047" s="2">
        <v>43145</v>
      </c>
      <c r="B2047" s="1">
        <v>5273.43</v>
      </c>
      <c r="C2047" s="2">
        <f t="shared" si="279"/>
        <v>43145</v>
      </c>
      <c r="D2047" s="1">
        <f t="shared" si="280"/>
        <v>5273.43</v>
      </c>
      <c r="E2047" s="4">
        <f t="shared" si="281"/>
        <v>5307.4121999999998</v>
      </c>
      <c r="F2047" s="3">
        <f t="shared" si="282"/>
        <v>0.99359721862191153</v>
      </c>
      <c r="G2047" s="18">
        <f t="shared" si="283"/>
        <v>1</v>
      </c>
      <c r="H2047" s="3">
        <f t="shared" si="284"/>
        <v>1.3688386880985393E-2</v>
      </c>
      <c r="I2047" s="3">
        <f t="shared" si="285"/>
        <v>1.3688386880985393E-2</v>
      </c>
      <c r="K2047" s="12" t="str">
        <f>IF(AND(G2047=1,G2046&lt;&gt;1),MAX($K$50:K2046)+1,"")</f>
        <v/>
      </c>
      <c r="L2047" s="13" t="str">
        <f>IF(AND(G2047&lt;&gt;1,G2046=1),MAX($L$50:L2046)+1,"")</f>
        <v/>
      </c>
      <c r="M2047" s="13" t="str">
        <f>IF(AND(G2047=-1,G2046&lt;&gt;-1),MAX($M$50:M2046)+1,"")</f>
        <v/>
      </c>
      <c r="N2047" s="13" t="str">
        <f>IF(AND(G2047&lt;&gt;-1,G2046=-1),MAX($N$50:N2046)+1,"")</f>
        <v/>
      </c>
      <c r="T2047" s="7">
        <f t="shared" si="286"/>
        <v>155.41823333632266</v>
      </c>
      <c r="U2047" s="1">
        <f t="shared" si="287"/>
        <v>277.06918020900724</v>
      </c>
    </row>
    <row r="2048" spans="1:21" x14ac:dyDescent="0.3">
      <c r="A2048" s="2">
        <v>43146</v>
      </c>
      <c r="B2048" s="1">
        <v>5338.35</v>
      </c>
      <c r="C2048" s="2">
        <f t="shared" si="279"/>
        <v>43146</v>
      </c>
      <c r="D2048" s="1">
        <f t="shared" si="280"/>
        <v>5338.35</v>
      </c>
      <c r="E2048" s="4">
        <f t="shared" si="281"/>
        <v>5311.3809999999985</v>
      </c>
      <c r="F2048" s="3">
        <f t="shared" si="282"/>
        <v>1.0050775871661253</v>
      </c>
      <c r="G2048" s="18">
        <f t="shared" si="283"/>
        <v>1</v>
      </c>
      <c r="H2048" s="3">
        <f t="shared" si="284"/>
        <v>1.2310773064210689E-2</v>
      </c>
      <c r="I2048" s="3">
        <f t="shared" si="285"/>
        <v>1.2310773064210689E-2</v>
      </c>
      <c r="K2048" s="12" t="str">
        <f>IF(AND(G2048=1,G2047&lt;&gt;1),MAX($K$50:K2047)+1,"")</f>
        <v/>
      </c>
      <c r="L2048" s="13" t="str">
        <f>IF(AND(G2048&lt;&gt;1,G2047=1),MAX($L$50:L2047)+1,"")</f>
        <v/>
      </c>
      <c r="M2048" s="13" t="str">
        <f>IF(AND(G2048=-1,G2047&lt;&gt;-1),MAX($M$50:M2047)+1,"")</f>
        <v/>
      </c>
      <c r="N2048" s="13" t="str">
        <f>IF(AND(G2048&lt;&gt;-1,G2047=-1),MAX($N$50:N2047)+1,"")</f>
        <v/>
      </c>
      <c r="T2048" s="7">
        <f t="shared" si="286"/>
        <v>157.33155193696666</v>
      </c>
      <c r="U2048" s="1">
        <f t="shared" si="287"/>
        <v>280.48011600964719</v>
      </c>
    </row>
    <row r="2049" spans="1:21" x14ac:dyDescent="0.3">
      <c r="A2049" s="2">
        <v>43147</v>
      </c>
      <c r="B2049" s="1">
        <v>5340.82</v>
      </c>
      <c r="C2049" s="2">
        <f t="shared" si="279"/>
        <v>43147</v>
      </c>
      <c r="D2049" s="1">
        <f t="shared" si="280"/>
        <v>5340.82</v>
      </c>
      <c r="E2049" s="4">
        <f t="shared" si="281"/>
        <v>5315.7789999999986</v>
      </c>
      <c r="F2049" s="3">
        <f t="shared" si="282"/>
        <v>1.0047106924497804</v>
      </c>
      <c r="G2049" s="18">
        <f t="shared" si="283"/>
        <v>1</v>
      </c>
      <c r="H2049" s="3">
        <f t="shared" si="284"/>
        <v>4.6268978242336445E-4</v>
      </c>
      <c r="I2049" s="3">
        <f t="shared" si="285"/>
        <v>4.6268978242336445E-4</v>
      </c>
      <c r="K2049" s="12" t="str">
        <f>IF(AND(G2049=1,G2048&lt;&gt;1),MAX($K$50:K2048)+1,"")</f>
        <v/>
      </c>
      <c r="L2049" s="13" t="str">
        <f>IF(AND(G2049&lt;&gt;1,G2048=1),MAX($L$50:L2048)+1,"")</f>
        <v/>
      </c>
      <c r="M2049" s="13" t="str">
        <f>IF(AND(G2049=-1,G2048&lt;&gt;-1),MAX($M$50:M2048)+1,"")</f>
        <v/>
      </c>
      <c r="N2049" s="13" t="str">
        <f>IF(AND(G2049&lt;&gt;-1,G2048=-1),MAX($N$50:N2048)+1,"")</f>
        <v/>
      </c>
      <c r="T2049" s="7">
        <f t="shared" si="286"/>
        <v>157.4043476385007</v>
      </c>
      <c r="U2049" s="1">
        <f t="shared" si="287"/>
        <v>280.60989129349775</v>
      </c>
    </row>
    <row r="2050" spans="1:21" x14ac:dyDescent="0.3">
      <c r="A2050" s="2">
        <v>43151</v>
      </c>
      <c r="B2050" s="1">
        <v>5309.99</v>
      </c>
      <c r="C2050" s="2">
        <f t="shared" si="279"/>
        <v>43151</v>
      </c>
      <c r="D2050" s="1">
        <f t="shared" si="280"/>
        <v>5309.99</v>
      </c>
      <c r="E2050" s="4">
        <f t="shared" si="281"/>
        <v>5319.5695999999998</v>
      </c>
      <c r="F2050" s="3">
        <f t="shared" si="282"/>
        <v>0.99819917761767796</v>
      </c>
      <c r="G2050" s="18">
        <f t="shared" si="283"/>
        <v>1</v>
      </c>
      <c r="H2050" s="3">
        <f t="shared" si="284"/>
        <v>-5.7725218224916608E-3</v>
      </c>
      <c r="I2050" s="3">
        <f t="shared" si="285"/>
        <v>-5.7725218224916608E-3</v>
      </c>
      <c r="K2050" s="12" t="str">
        <f>IF(AND(G2050=1,G2049&lt;&gt;1),MAX($K$50:K2049)+1,"")</f>
        <v/>
      </c>
      <c r="L2050" s="13" t="str">
        <f>IF(AND(G2050&lt;&gt;1,G2049=1),MAX($L$50:L2049)+1,"")</f>
        <v/>
      </c>
      <c r="M2050" s="13" t="str">
        <f>IF(AND(G2050=-1,G2049&lt;&gt;-1),MAX($M$50:M2049)+1,"")</f>
        <v/>
      </c>
      <c r="N2050" s="13" t="str">
        <f>IF(AND(G2050&lt;&gt;-1,G2049=-1),MAX($N$50:N2049)+1,"")</f>
        <v/>
      </c>
      <c r="T2050" s="7">
        <f t="shared" si="286"/>
        <v>156.49572760680238</v>
      </c>
      <c r="U2050" s="1">
        <f t="shared" si="287"/>
        <v>278.99006457239904</v>
      </c>
    </row>
    <row r="2051" spans="1:21" x14ac:dyDescent="0.3">
      <c r="A2051" s="2">
        <v>43152</v>
      </c>
      <c r="B2051" s="1">
        <v>5280.91</v>
      </c>
      <c r="C2051" s="2">
        <f t="shared" si="279"/>
        <v>43152</v>
      </c>
      <c r="D2051" s="1">
        <f t="shared" si="280"/>
        <v>5280.91</v>
      </c>
      <c r="E2051" s="4">
        <f t="shared" si="281"/>
        <v>5322.460399999999</v>
      </c>
      <c r="F2051" s="3">
        <f t="shared" si="282"/>
        <v>0.99219338484885689</v>
      </c>
      <c r="G2051" s="18">
        <f t="shared" si="283"/>
        <v>1</v>
      </c>
      <c r="H2051" s="3">
        <f t="shared" si="284"/>
        <v>-5.4764698238602971E-3</v>
      </c>
      <c r="I2051" s="3">
        <f t="shared" si="285"/>
        <v>-5.4764698238602971E-3</v>
      </c>
      <c r="K2051" s="12" t="str">
        <f>IF(AND(G2051=1,G2050&lt;&gt;1),MAX($K$50:K2050)+1,"")</f>
        <v/>
      </c>
      <c r="L2051" s="13" t="str">
        <f>IF(AND(G2051&lt;&gt;1,G2050=1),MAX($L$50:L2050)+1,"")</f>
        <v/>
      </c>
      <c r="M2051" s="13" t="str">
        <f>IF(AND(G2051=-1,G2050&lt;&gt;-1),MAX($M$50:M2050)+1,"")</f>
        <v/>
      </c>
      <c r="N2051" s="13" t="str">
        <f>IF(AND(G2051&lt;&gt;-1,G2050=-1),MAX($N$50:N2050)+1,"")</f>
        <v/>
      </c>
      <c r="T2051" s="7">
        <f t="shared" si="286"/>
        <v>155.63868347700065</v>
      </c>
      <c r="U2051" s="1">
        <f t="shared" si="287"/>
        <v>277.46218390261146</v>
      </c>
    </row>
    <row r="2052" spans="1:21" x14ac:dyDescent="0.3">
      <c r="A2052" s="2">
        <v>43153</v>
      </c>
      <c r="B2052" s="1">
        <v>5286.5</v>
      </c>
      <c r="C2052" s="2">
        <f t="shared" si="279"/>
        <v>43153</v>
      </c>
      <c r="D2052" s="1">
        <f t="shared" si="280"/>
        <v>5286.5</v>
      </c>
      <c r="E2052" s="4">
        <f t="shared" si="281"/>
        <v>5324.8865999999989</v>
      </c>
      <c r="F2052" s="3">
        <f t="shared" si="282"/>
        <v>0.99279109530708154</v>
      </c>
      <c r="G2052" s="18">
        <f t="shared" si="283"/>
        <v>1</v>
      </c>
      <c r="H2052" s="3">
        <f t="shared" si="284"/>
        <v>1.0585296852247961E-3</v>
      </c>
      <c r="I2052" s="3">
        <f t="shared" si="285"/>
        <v>1.0585296852247961E-3</v>
      </c>
      <c r="K2052" s="12" t="str">
        <f>IF(AND(G2052=1,G2051&lt;&gt;1),MAX($K$50:K2051)+1,"")</f>
        <v/>
      </c>
      <c r="L2052" s="13" t="str">
        <f>IF(AND(G2052&lt;&gt;1,G2051=1),MAX($L$50:L2051)+1,"")</f>
        <v/>
      </c>
      <c r="M2052" s="13" t="str">
        <f>IF(AND(G2052=-1,G2051&lt;&gt;-1),MAX($M$50:M2051)+1,"")</f>
        <v/>
      </c>
      <c r="N2052" s="13" t="str">
        <f>IF(AND(G2052&lt;&gt;-1,G2051=-1),MAX($N$50:N2051)+1,"")</f>
        <v/>
      </c>
      <c r="T2052" s="7">
        <f t="shared" si="286"/>
        <v>155.80343164363038</v>
      </c>
      <c r="U2052" s="1">
        <f t="shared" si="287"/>
        <v>277.75588586079965</v>
      </c>
    </row>
    <row r="2053" spans="1:21" x14ac:dyDescent="0.3">
      <c r="A2053" s="2">
        <v>43154</v>
      </c>
      <c r="B2053" s="1">
        <v>5371.56</v>
      </c>
      <c r="C2053" s="2">
        <f t="shared" si="279"/>
        <v>43154</v>
      </c>
      <c r="D2053" s="1">
        <f t="shared" si="280"/>
        <v>5371.56</v>
      </c>
      <c r="E2053" s="4">
        <f t="shared" si="281"/>
        <v>5328.6828000000005</v>
      </c>
      <c r="F2053" s="3">
        <f t="shared" si="282"/>
        <v>1.0080464913392855</v>
      </c>
      <c r="G2053" s="18">
        <f t="shared" si="283"/>
        <v>1</v>
      </c>
      <c r="H2053" s="3">
        <f t="shared" si="284"/>
        <v>1.6090040669630268E-2</v>
      </c>
      <c r="I2053" s="3">
        <f t="shared" si="285"/>
        <v>1.6090040669630268E-2</v>
      </c>
      <c r="K2053" s="12" t="str">
        <f>IF(AND(G2053=1,G2052&lt;&gt;1),MAX($K$50:K2052)+1,"")</f>
        <v/>
      </c>
      <c r="L2053" s="13" t="str">
        <f>IF(AND(G2053&lt;&gt;1,G2052=1),MAX($L$50:L2052)+1,"")</f>
        <v/>
      </c>
      <c r="M2053" s="13" t="str">
        <f>IF(AND(G2053=-1,G2052&lt;&gt;-1),MAX($M$50:M2052)+1,"")</f>
        <v/>
      </c>
      <c r="N2053" s="13" t="str">
        <f>IF(AND(G2053&lt;&gt;-1,G2052=-1),MAX($N$50:N2052)+1,"")</f>
        <v/>
      </c>
      <c r="T2053" s="7">
        <f t="shared" si="286"/>
        <v>158.31031519524436</v>
      </c>
      <c r="U2053" s="1">
        <f t="shared" si="287"/>
        <v>282.22498936052909</v>
      </c>
    </row>
    <row r="2054" spans="1:21" x14ac:dyDescent="0.3">
      <c r="A2054" s="2">
        <v>43157</v>
      </c>
      <c r="B2054" s="1">
        <v>5435.38</v>
      </c>
      <c r="C2054" s="2">
        <f t="shared" si="279"/>
        <v>43157</v>
      </c>
      <c r="D2054" s="1">
        <f t="shared" si="280"/>
        <v>5435.38</v>
      </c>
      <c r="E2054" s="4">
        <f t="shared" si="281"/>
        <v>5333.5911999999998</v>
      </c>
      <c r="F2054" s="3">
        <f t="shared" si="282"/>
        <v>1.0190844772655243</v>
      </c>
      <c r="G2054" s="18">
        <f t="shared" si="283"/>
        <v>1</v>
      </c>
      <c r="H2054" s="3">
        <f t="shared" si="284"/>
        <v>1.1881092271146532E-2</v>
      </c>
      <c r="I2054" s="3">
        <f t="shared" si="285"/>
        <v>1.1881092271146532E-2</v>
      </c>
      <c r="K2054" s="12" t="str">
        <f>IF(AND(G2054=1,G2053&lt;&gt;1),MAX($K$50:K2053)+1,"")</f>
        <v/>
      </c>
      <c r="L2054" s="13" t="str">
        <f>IF(AND(G2054&lt;&gt;1,G2053=1),MAX($L$50:L2053)+1,"")</f>
        <v/>
      </c>
      <c r="M2054" s="13" t="str">
        <f>IF(AND(G2054=-1,G2053&lt;&gt;-1),MAX($M$50:M2053)+1,"")</f>
        <v/>
      </c>
      <c r="N2054" s="13" t="str">
        <f>IF(AND(G2054&lt;&gt;-1,G2053=-1),MAX($N$50:N2053)+1,"")</f>
        <v/>
      </c>
      <c r="T2054" s="7">
        <f t="shared" si="286"/>
        <v>160.19121465755336</v>
      </c>
      <c r="U2054" s="1">
        <f t="shared" si="287"/>
        <v>285.57813050034491</v>
      </c>
    </row>
    <row r="2055" spans="1:21" x14ac:dyDescent="0.3">
      <c r="A2055" s="2">
        <v>43158</v>
      </c>
      <c r="B2055" s="1">
        <v>5367.09</v>
      </c>
      <c r="C2055" s="2">
        <f t="shared" si="279"/>
        <v>43158</v>
      </c>
      <c r="D2055" s="1">
        <f t="shared" si="280"/>
        <v>5367.09</v>
      </c>
      <c r="E2055" s="4">
        <f t="shared" si="281"/>
        <v>5337.1794000000009</v>
      </c>
      <c r="F2055" s="3">
        <f t="shared" si="282"/>
        <v>1.0056041961040318</v>
      </c>
      <c r="G2055" s="18">
        <f t="shared" si="283"/>
        <v>1</v>
      </c>
      <c r="H2055" s="3">
        <f t="shared" si="284"/>
        <v>-1.2563978967431888E-2</v>
      </c>
      <c r="I2055" s="3">
        <f t="shared" si="285"/>
        <v>-1.2563978967431888E-2</v>
      </c>
      <c r="K2055" s="12" t="str">
        <f>IF(AND(G2055=1,G2054&lt;&gt;1),MAX($K$50:K2054)+1,"")</f>
        <v/>
      </c>
      <c r="L2055" s="13" t="str">
        <f>IF(AND(G2055&lt;&gt;1,G2054=1),MAX($L$50:L2054)+1,"")</f>
        <v/>
      </c>
      <c r="M2055" s="13" t="str">
        <f>IF(AND(G2055=-1,G2054&lt;&gt;-1),MAX($M$50:M2054)+1,"")</f>
        <v/>
      </c>
      <c r="N2055" s="13" t="str">
        <f>IF(AND(G2055&lt;&gt;-1,G2054=-1),MAX($N$50:N2054)+1,"")</f>
        <v/>
      </c>
      <c r="T2055" s="7">
        <f t="shared" si="286"/>
        <v>158.17857560582848</v>
      </c>
      <c r="U2055" s="1">
        <f t="shared" si="287"/>
        <v>281.99013287518005</v>
      </c>
    </row>
    <row r="2056" spans="1:21" x14ac:dyDescent="0.3">
      <c r="A2056" s="2">
        <v>43159</v>
      </c>
      <c r="B2056" s="1">
        <v>5308.09</v>
      </c>
      <c r="C2056" s="2">
        <f t="shared" si="279"/>
        <v>43159</v>
      </c>
      <c r="D2056" s="1">
        <f t="shared" si="280"/>
        <v>5308.09</v>
      </c>
      <c r="E2056" s="4">
        <f t="shared" si="281"/>
        <v>5339.9921999999997</v>
      </c>
      <c r="F2056" s="3">
        <f t="shared" si="282"/>
        <v>0.99402579651708112</v>
      </c>
      <c r="G2056" s="18">
        <f t="shared" si="283"/>
        <v>1</v>
      </c>
      <c r="H2056" s="3">
        <f t="shared" si="284"/>
        <v>-1.0992921676364675E-2</v>
      </c>
      <c r="I2056" s="3">
        <f t="shared" si="285"/>
        <v>-1.0992921676364675E-2</v>
      </c>
      <c r="K2056" s="12" t="str">
        <f>IF(AND(G2056=1,G2055&lt;&gt;1),MAX($K$50:K2055)+1,"")</f>
        <v/>
      </c>
      <c r="L2056" s="13" t="str">
        <f>IF(AND(G2056&lt;&gt;1,G2055=1),MAX($L$50:L2055)+1,"")</f>
        <v/>
      </c>
      <c r="M2056" s="13" t="str">
        <f>IF(AND(G2056=-1,G2055&lt;&gt;-1),MAX($M$50:M2055)+1,"")</f>
        <v/>
      </c>
      <c r="N2056" s="13" t="str">
        <f>IF(AND(G2056&lt;&gt;-1,G2055=-1),MAX($N$50:N2055)+1,"")</f>
        <v/>
      </c>
      <c r="T2056" s="7">
        <f t="shared" si="286"/>
        <v>156.43973091331469</v>
      </c>
      <c r="U2056" s="1">
        <f t="shared" si="287"/>
        <v>278.89023743097556</v>
      </c>
    </row>
    <row r="2057" spans="1:21" x14ac:dyDescent="0.3">
      <c r="A2057" s="2">
        <v>43160</v>
      </c>
      <c r="B2057" s="1">
        <v>5238.18</v>
      </c>
      <c r="C2057" s="2">
        <f t="shared" si="279"/>
        <v>43160</v>
      </c>
      <c r="D2057" s="1">
        <f t="shared" si="280"/>
        <v>5238.18</v>
      </c>
      <c r="E2057" s="4">
        <f t="shared" si="281"/>
        <v>5340.4737999999998</v>
      </c>
      <c r="F2057" s="3">
        <f t="shared" si="282"/>
        <v>0.9808455571863306</v>
      </c>
      <c r="G2057" s="18">
        <f t="shared" si="283"/>
        <v>1</v>
      </c>
      <c r="H2057" s="3">
        <f t="shared" si="284"/>
        <v>-1.317046244506026E-2</v>
      </c>
      <c r="I2057" s="3">
        <f t="shared" si="285"/>
        <v>-1.317046244506026E-2</v>
      </c>
      <c r="K2057" s="12" t="str">
        <f>IF(AND(G2057=1,G2056&lt;&gt;1),MAX($K$50:K2056)+1,"")</f>
        <v/>
      </c>
      <c r="L2057" s="13" t="str">
        <f>IF(AND(G2057&lt;&gt;1,G2056=1),MAX($L$50:L2056)+1,"")</f>
        <v/>
      </c>
      <c r="M2057" s="13" t="str">
        <f>IF(AND(G2057=-1,G2056&lt;&gt;-1),MAX($M$50:M2056)+1,"")</f>
        <v/>
      </c>
      <c r="N2057" s="13" t="str">
        <f>IF(AND(G2057&lt;&gt;-1,G2056=-1),MAX($N$50:N2056)+1,"")</f>
        <v/>
      </c>
      <c r="T2057" s="7">
        <f t="shared" si="286"/>
        <v>154.37934731240554</v>
      </c>
      <c r="U2057" s="1">
        <f t="shared" si="287"/>
        <v>275.21712403259693</v>
      </c>
    </row>
    <row r="2058" spans="1:21" x14ac:dyDescent="0.3">
      <c r="A2058" s="2">
        <v>43161</v>
      </c>
      <c r="B2058" s="1">
        <v>5265.24</v>
      </c>
      <c r="C2058" s="2">
        <f t="shared" si="279"/>
        <v>43161</v>
      </c>
      <c r="D2058" s="1">
        <f t="shared" si="280"/>
        <v>5265.24</v>
      </c>
      <c r="E2058" s="4">
        <f t="shared" si="281"/>
        <v>5340.9329999999991</v>
      </c>
      <c r="F2058" s="3">
        <f t="shared" si="282"/>
        <v>0.9858277570604238</v>
      </c>
      <c r="G2058" s="18">
        <f t="shared" si="283"/>
        <v>1</v>
      </c>
      <c r="H2058" s="3">
        <f t="shared" si="284"/>
        <v>5.1659164060797735E-3</v>
      </c>
      <c r="I2058" s="3">
        <f t="shared" si="285"/>
        <v>5.1659164060797735E-3</v>
      </c>
      <c r="K2058" s="12" t="str">
        <f>IF(AND(G2058=1,G2057&lt;&gt;1),MAX($K$50:K2057)+1,"")</f>
        <v/>
      </c>
      <c r="L2058" s="13" t="str">
        <f>IF(AND(G2058&lt;&gt;1,G2057=1),MAX($L$50:L2057)+1,"")</f>
        <v/>
      </c>
      <c r="M2058" s="13" t="str">
        <f>IF(AND(G2058=-1,G2057&lt;&gt;-1),MAX($M$50:M2057)+1,"")</f>
        <v/>
      </c>
      <c r="N2058" s="13" t="str">
        <f>IF(AND(G2058&lt;&gt;-1,G2057=-1),MAX($N$50:N2057)+1,"")</f>
        <v/>
      </c>
      <c r="T2058" s="7">
        <f t="shared" si="286"/>
        <v>155.17685811544658</v>
      </c>
      <c r="U2058" s="1">
        <f t="shared" si="287"/>
        <v>276.63887268887106</v>
      </c>
    </row>
    <row r="2059" spans="1:21" x14ac:dyDescent="0.3">
      <c r="A2059" s="2">
        <v>43164</v>
      </c>
      <c r="B2059" s="1">
        <v>5323.36</v>
      </c>
      <c r="C2059" s="2">
        <f t="shared" si="279"/>
        <v>43164</v>
      </c>
      <c r="D2059" s="1">
        <f t="shared" si="280"/>
        <v>5323.36</v>
      </c>
      <c r="E2059" s="4">
        <f t="shared" si="281"/>
        <v>5342.891599999999</v>
      </c>
      <c r="F2059" s="3">
        <f t="shared" si="282"/>
        <v>0.9963443765170158</v>
      </c>
      <c r="G2059" s="18">
        <f t="shared" si="283"/>
        <v>1</v>
      </c>
      <c r="H2059" s="3">
        <f t="shared" si="284"/>
        <v>1.1038433195827757E-2</v>
      </c>
      <c r="I2059" s="3">
        <f t="shared" si="285"/>
        <v>1.1038433195827757E-2</v>
      </c>
      <c r="K2059" s="12" t="str">
        <f>IF(AND(G2059=1,G2058&lt;&gt;1),MAX($K$50:K2058)+1,"")</f>
        <v/>
      </c>
      <c r="L2059" s="13" t="str">
        <f>IF(AND(G2059&lt;&gt;1,G2058=1),MAX($L$50:L2058)+1,"")</f>
        <v/>
      </c>
      <c r="M2059" s="13" t="str">
        <f>IF(AND(G2059=-1,G2058&lt;&gt;-1),MAX($M$50:M2058)+1,"")</f>
        <v/>
      </c>
      <c r="N2059" s="13" t="str">
        <f>IF(AND(G2059&lt;&gt;-1,G2058=-1),MAX($N$50:N2058)+1,"")</f>
        <v/>
      </c>
      <c r="T2059" s="7">
        <f t="shared" si="286"/>
        <v>156.88976749729238</v>
      </c>
      <c r="U2059" s="1">
        <f t="shared" si="287"/>
        <v>279.69253240441628</v>
      </c>
    </row>
    <row r="2060" spans="1:21" x14ac:dyDescent="0.3">
      <c r="A2060" s="2">
        <v>43165</v>
      </c>
      <c r="B2060" s="1">
        <v>5337.69</v>
      </c>
      <c r="C2060" s="2">
        <f t="shared" si="279"/>
        <v>43165</v>
      </c>
      <c r="D2060" s="1">
        <f t="shared" si="280"/>
        <v>5337.69</v>
      </c>
      <c r="E2060" s="4">
        <f t="shared" si="281"/>
        <v>5345.2095999999983</v>
      </c>
      <c r="F2060" s="3">
        <f t="shared" si="282"/>
        <v>0.99859320764521586</v>
      </c>
      <c r="G2060" s="18">
        <f t="shared" si="283"/>
        <v>1</v>
      </c>
      <c r="H2060" s="3">
        <f t="shared" si="284"/>
        <v>2.6919088695860349E-3</v>
      </c>
      <c r="I2060" s="3">
        <f t="shared" si="285"/>
        <v>2.6919088695860349E-3</v>
      </c>
      <c r="K2060" s="12" t="str">
        <f>IF(AND(G2060=1,G2059&lt;&gt;1),MAX($K$50:K2059)+1,"")</f>
        <v/>
      </c>
      <c r="L2060" s="13" t="str">
        <f>IF(AND(G2060&lt;&gt;1,G2059=1),MAX($L$50:L2059)+1,"")</f>
        <v/>
      </c>
      <c r="M2060" s="13" t="str">
        <f>IF(AND(G2060=-1,G2059&lt;&gt;-1),MAX($M$50:M2059)+1,"")</f>
        <v/>
      </c>
      <c r="N2060" s="13" t="str">
        <f>IF(AND(G2060&lt;&gt;-1,G2059=-1),MAX($N$50:N2059)+1,"")</f>
        <v/>
      </c>
      <c r="T2060" s="7">
        <f t="shared" si="286"/>
        <v>157.31210045396563</v>
      </c>
      <c r="U2060" s="1">
        <f t="shared" si="287"/>
        <v>280.44543921315272</v>
      </c>
    </row>
    <row r="2061" spans="1:21" x14ac:dyDescent="0.3">
      <c r="A2061" s="2">
        <v>43166</v>
      </c>
      <c r="B2061" s="1">
        <v>5335.47</v>
      </c>
      <c r="C2061" s="2">
        <f t="shared" si="279"/>
        <v>43166</v>
      </c>
      <c r="D2061" s="1">
        <f t="shared" si="280"/>
        <v>5335.47</v>
      </c>
      <c r="E2061" s="4">
        <f t="shared" si="281"/>
        <v>5347.2757999999994</v>
      </c>
      <c r="F2061" s="3">
        <f t="shared" si="282"/>
        <v>0.99779218419966309</v>
      </c>
      <c r="G2061" s="18">
        <f t="shared" si="283"/>
        <v>1</v>
      </c>
      <c r="H2061" s="3">
        <f t="shared" si="284"/>
        <v>-4.1591025331166875E-4</v>
      </c>
      <c r="I2061" s="3">
        <f t="shared" si="285"/>
        <v>-4.1591025331166875E-4</v>
      </c>
      <c r="K2061" s="12" t="str">
        <f>IF(AND(G2061=1,G2060&lt;&gt;1),MAX($K$50:K2060)+1,"")</f>
        <v/>
      </c>
      <c r="L2061" s="13" t="str">
        <f>IF(AND(G2061&lt;&gt;1,G2060=1),MAX($L$50:L2060)+1,"")</f>
        <v/>
      </c>
      <c r="M2061" s="13" t="str">
        <f>IF(AND(G2061=-1,G2060&lt;&gt;-1),MAX($M$50:M2060)+1,"")</f>
        <v/>
      </c>
      <c r="N2061" s="13" t="str">
        <f>IF(AND(G2061&lt;&gt;-1,G2060=-1),MAX($N$50:N2060)+1,"")</f>
        <v/>
      </c>
      <c r="T2061" s="7">
        <f t="shared" si="286"/>
        <v>157.24667273841683</v>
      </c>
      <c r="U2061" s="1">
        <f t="shared" si="287"/>
        <v>280.32879907948944</v>
      </c>
    </row>
    <row r="2062" spans="1:21" x14ac:dyDescent="0.3">
      <c r="A2062" s="2">
        <v>43167</v>
      </c>
      <c r="B2062" s="1">
        <v>5360.73</v>
      </c>
      <c r="C2062" s="2">
        <f t="shared" si="279"/>
        <v>43167</v>
      </c>
      <c r="D2062" s="1">
        <f t="shared" si="280"/>
        <v>5360.73</v>
      </c>
      <c r="E2062" s="4">
        <f t="shared" si="281"/>
        <v>5349.8945999999996</v>
      </c>
      <c r="F2062" s="3">
        <f t="shared" si="282"/>
        <v>1.0020253483124695</v>
      </c>
      <c r="G2062" s="18">
        <f t="shared" si="283"/>
        <v>1</v>
      </c>
      <c r="H2062" s="3">
        <f t="shared" si="284"/>
        <v>4.7343532997092819E-3</v>
      </c>
      <c r="I2062" s="3">
        <f t="shared" si="285"/>
        <v>4.7343532997092819E-3</v>
      </c>
      <c r="K2062" s="12" t="str">
        <f>IF(AND(G2062=1,G2061&lt;&gt;1),MAX($K$50:K2061)+1,"")</f>
        <v/>
      </c>
      <c r="L2062" s="13" t="str">
        <f>IF(AND(G2062&lt;&gt;1,G2061=1),MAX($L$50:L2061)+1,"")</f>
        <v/>
      </c>
      <c r="M2062" s="13" t="str">
        <f>IF(AND(G2062=-1,G2061&lt;&gt;-1),MAX($M$50:M2061)+1,"")</f>
        <v/>
      </c>
      <c r="N2062" s="13" t="str">
        <f>IF(AND(G2062&lt;&gt;-1,G2061=-1),MAX($N$50:N2061)+1,"")</f>
        <v/>
      </c>
      <c r="T2062" s="7">
        <f t="shared" si="286"/>
        <v>157.99113404236425</v>
      </c>
      <c r="U2062" s="1">
        <f t="shared" si="287"/>
        <v>281.65597465441493</v>
      </c>
    </row>
    <row r="2063" spans="1:21" x14ac:dyDescent="0.3">
      <c r="A2063" s="2">
        <v>43168</v>
      </c>
      <c r="B2063" s="1">
        <v>5454.03</v>
      </c>
      <c r="C2063" s="2">
        <f t="shared" si="279"/>
        <v>43168</v>
      </c>
      <c r="D2063" s="1">
        <f t="shared" si="280"/>
        <v>5454.03</v>
      </c>
      <c r="E2063" s="4">
        <f t="shared" si="281"/>
        <v>5354.4849999999997</v>
      </c>
      <c r="F2063" s="3">
        <f t="shared" si="282"/>
        <v>1.0185909569267633</v>
      </c>
      <c r="G2063" s="18">
        <f t="shared" si="283"/>
        <v>1</v>
      </c>
      <c r="H2063" s="3">
        <f t="shared" si="284"/>
        <v>1.7404346049884944E-2</v>
      </c>
      <c r="I2063" s="3">
        <f t="shared" si="285"/>
        <v>1.7404346049884944E-2</v>
      </c>
      <c r="K2063" s="12" t="str">
        <f>IF(AND(G2063=1,G2062&lt;&gt;1),MAX($K$50:K2062)+1,"")</f>
        <v/>
      </c>
      <c r="L2063" s="13" t="str">
        <f>IF(AND(G2063&lt;&gt;1,G2062=1),MAX($L$50:L2062)+1,"")</f>
        <v/>
      </c>
      <c r="M2063" s="13" t="str">
        <f>IF(AND(G2063=-1,G2062&lt;&gt;-1),MAX($M$50:M2062)+1,"")</f>
        <v/>
      </c>
      <c r="N2063" s="13" t="str">
        <f>IF(AND(G2063&lt;&gt;-1,G2062=-1),MAX($N$50:N2062)+1,"")</f>
        <v/>
      </c>
      <c r="T2063" s="7">
        <f t="shared" si="286"/>
        <v>160.7408664120513</v>
      </c>
      <c r="U2063" s="1">
        <f t="shared" si="287"/>
        <v>286.558012704318</v>
      </c>
    </row>
    <row r="2064" spans="1:21" x14ac:dyDescent="0.3">
      <c r="A2064" s="2">
        <v>43171</v>
      </c>
      <c r="B2064" s="1">
        <v>5447.1</v>
      </c>
      <c r="C2064" s="2">
        <f t="shared" si="279"/>
        <v>43171</v>
      </c>
      <c r="D2064" s="1">
        <f t="shared" si="280"/>
        <v>5447.1</v>
      </c>
      <c r="E2064" s="4">
        <f t="shared" si="281"/>
        <v>5358.8467999999993</v>
      </c>
      <c r="F2064" s="3">
        <f t="shared" si="282"/>
        <v>1.0164686924806288</v>
      </c>
      <c r="G2064" s="18">
        <f t="shared" si="283"/>
        <v>1</v>
      </c>
      <c r="H2064" s="3">
        <f t="shared" si="284"/>
        <v>-1.2706200735967954E-3</v>
      </c>
      <c r="I2064" s="3">
        <f t="shared" si="285"/>
        <v>-1.2706200735967954E-3</v>
      </c>
      <c r="K2064" s="12" t="str">
        <f>IF(AND(G2064=1,G2063&lt;&gt;1),MAX($K$50:K2063)+1,"")</f>
        <v/>
      </c>
      <c r="L2064" s="13" t="str">
        <f>IF(AND(G2064&lt;&gt;1,G2063=1),MAX($L$50:L2063)+1,"")</f>
        <v/>
      </c>
      <c r="M2064" s="13" t="str">
        <f>IF(AND(G2064=-1,G2063&lt;&gt;-1),MAX($M$50:M2063)+1,"")</f>
        <v/>
      </c>
      <c r="N2064" s="13" t="str">
        <f>IF(AND(G2064&lt;&gt;-1,G2063=-1),MAX($N$50:N2063)+1,"")</f>
        <v/>
      </c>
      <c r="T2064" s="7">
        <f t="shared" si="286"/>
        <v>160.53662584054081</v>
      </c>
      <c r="U2064" s="1">
        <f t="shared" si="287"/>
        <v>286.19390634112585</v>
      </c>
    </row>
    <row r="2065" spans="1:21" x14ac:dyDescent="0.3">
      <c r="A2065" s="2">
        <v>43172</v>
      </c>
      <c r="B2065" s="1">
        <v>5412.75</v>
      </c>
      <c r="C2065" s="2">
        <f t="shared" si="279"/>
        <v>43172</v>
      </c>
      <c r="D2065" s="1">
        <f t="shared" si="280"/>
        <v>5412.75</v>
      </c>
      <c r="E2065" s="4">
        <f t="shared" si="281"/>
        <v>5362.3099999999986</v>
      </c>
      <c r="F2065" s="3">
        <f t="shared" si="282"/>
        <v>1.0094063938862172</v>
      </c>
      <c r="G2065" s="18">
        <f t="shared" si="283"/>
        <v>1</v>
      </c>
      <c r="H2065" s="3">
        <f t="shared" si="284"/>
        <v>-6.3061078371978718E-3</v>
      </c>
      <c r="I2065" s="3">
        <f t="shared" si="285"/>
        <v>-6.3061078371978718E-3</v>
      </c>
      <c r="K2065" s="12" t="str">
        <f>IF(AND(G2065=1,G2064&lt;&gt;1),MAX($K$50:K2064)+1,"")</f>
        <v/>
      </c>
      <c r="L2065" s="13" t="str">
        <f>IF(AND(G2065&lt;&gt;1,G2064=1),MAX($L$50:L2064)+1,"")</f>
        <v/>
      </c>
      <c r="M2065" s="13" t="str">
        <f>IF(AND(G2065=-1,G2064&lt;&gt;-1),MAX($M$50:M2064)+1,"")</f>
        <v/>
      </c>
      <c r="N2065" s="13" t="str">
        <f>IF(AND(G2065&lt;&gt;-1,G2064=-1),MAX($N$50:N2064)+1,"")</f>
        <v/>
      </c>
      <c r="T2065" s="7">
        <f t="shared" si="286"/>
        <v>159.52426456617047</v>
      </c>
      <c r="U2065" s="1">
        <f t="shared" si="287"/>
        <v>284.38913670538983</v>
      </c>
    </row>
    <row r="2066" spans="1:21" x14ac:dyDescent="0.3">
      <c r="A2066" s="2">
        <v>43173</v>
      </c>
      <c r="B2066" s="1">
        <v>5383.27</v>
      </c>
      <c r="C2066" s="2">
        <f t="shared" si="279"/>
        <v>43173</v>
      </c>
      <c r="D2066" s="1">
        <f t="shared" si="280"/>
        <v>5383.27</v>
      </c>
      <c r="E2066" s="4">
        <f t="shared" si="281"/>
        <v>5365.7201999999997</v>
      </c>
      <c r="F2066" s="3">
        <f t="shared" si="282"/>
        <v>1.0032707258943545</v>
      </c>
      <c r="G2066" s="18">
        <f t="shared" si="283"/>
        <v>1</v>
      </c>
      <c r="H2066" s="3">
        <f t="shared" si="284"/>
        <v>-5.4463997044015278E-3</v>
      </c>
      <c r="I2066" s="3">
        <f t="shared" si="285"/>
        <v>-5.4463997044015278E-3</v>
      </c>
      <c r="K2066" s="12" t="str">
        <f>IF(AND(G2066=1,G2065&lt;&gt;1),MAX($K$50:K2065)+1,"")</f>
        <v/>
      </c>
      <c r="L2066" s="13" t="str">
        <f>IF(AND(G2066&lt;&gt;1,G2065=1),MAX($L$50:L2065)+1,"")</f>
        <v/>
      </c>
      <c r="M2066" s="13" t="str">
        <f>IF(AND(G2066=-1,G2065&lt;&gt;-1),MAX($M$50:M2065)+1,"")</f>
        <v/>
      </c>
      <c r="N2066" s="13" t="str">
        <f>IF(AND(G2066&lt;&gt;-1,G2065=-1),MAX($N$50:N2065)+1,"")</f>
        <v/>
      </c>
      <c r="T2066" s="7">
        <f t="shared" si="286"/>
        <v>158.65543165879242</v>
      </c>
      <c r="U2066" s="1">
        <f t="shared" si="287"/>
        <v>282.84023979530258</v>
      </c>
    </row>
    <row r="2067" spans="1:21" x14ac:dyDescent="0.3">
      <c r="A2067" s="2">
        <v>43174</v>
      </c>
      <c r="B2067" s="1">
        <v>5379.39</v>
      </c>
      <c r="C2067" s="2">
        <f t="shared" si="279"/>
        <v>43174</v>
      </c>
      <c r="D2067" s="1">
        <f t="shared" si="280"/>
        <v>5379.39</v>
      </c>
      <c r="E2067" s="4">
        <f t="shared" si="281"/>
        <v>5368.1823999999997</v>
      </c>
      <c r="F2067" s="3">
        <f t="shared" si="282"/>
        <v>1.0020877830082675</v>
      </c>
      <c r="G2067" s="18">
        <f t="shared" si="283"/>
        <v>1</v>
      </c>
      <c r="H2067" s="3">
        <f t="shared" si="284"/>
        <v>-7.2075151348527378E-4</v>
      </c>
      <c r="I2067" s="3">
        <f t="shared" si="285"/>
        <v>-7.2075151348527378E-4</v>
      </c>
      <c r="K2067" s="12" t="str">
        <f>IF(AND(G2067=1,G2066&lt;&gt;1),MAX($K$50:K2066)+1,"")</f>
        <v/>
      </c>
      <c r="L2067" s="13" t="str">
        <f>IF(AND(G2067&lt;&gt;1,G2066=1),MAX($L$50:L2066)+1,"")</f>
        <v/>
      </c>
      <c r="M2067" s="13" t="str">
        <f>IF(AND(G2067=-1,G2066&lt;&gt;-1),MAX($M$50:M2066)+1,"")</f>
        <v/>
      </c>
      <c r="N2067" s="13" t="str">
        <f>IF(AND(G2067&lt;&gt;-1,G2066=-1),MAX($N$50:N2066)+1,"")</f>
        <v/>
      </c>
      <c r="T2067" s="7">
        <f t="shared" si="286"/>
        <v>158.54108051630169</v>
      </c>
      <c r="U2067" s="1">
        <f t="shared" si="287"/>
        <v>282.63638226439554</v>
      </c>
    </row>
    <row r="2068" spans="1:21" x14ac:dyDescent="0.3">
      <c r="A2068" s="2">
        <v>43175</v>
      </c>
      <c r="B2068" s="1">
        <v>5388.74</v>
      </c>
      <c r="C2068" s="2">
        <f t="shared" si="279"/>
        <v>43175</v>
      </c>
      <c r="D2068" s="1">
        <f t="shared" si="280"/>
        <v>5388.74</v>
      </c>
      <c r="E2068" s="4">
        <f t="shared" si="281"/>
        <v>5370.1587999999992</v>
      </c>
      <c r="F2068" s="3">
        <f t="shared" si="282"/>
        <v>1.0034600838991949</v>
      </c>
      <c r="G2068" s="18">
        <f t="shared" si="283"/>
        <v>1</v>
      </c>
      <c r="H2068" s="3">
        <f t="shared" si="284"/>
        <v>1.7381152881645878E-3</v>
      </c>
      <c r="I2068" s="3">
        <f t="shared" si="285"/>
        <v>1.7381152881645878E-3</v>
      </c>
      <c r="K2068" s="12" t="str">
        <f>IF(AND(G2068=1,G2067&lt;&gt;1),MAX($K$50:K2067)+1,"")</f>
        <v/>
      </c>
      <c r="L2068" s="13" t="str">
        <f>IF(AND(G2068&lt;&gt;1,G2067=1),MAX($L$50:L2067)+1,"")</f>
        <v/>
      </c>
      <c r="M2068" s="13" t="str">
        <f>IF(AND(G2068=-1,G2067&lt;&gt;-1),MAX($M$50:M2067)+1,"")</f>
        <v/>
      </c>
      <c r="N2068" s="13" t="str">
        <f>IF(AND(G2068&lt;&gt;-1,G2067=-1),MAX($N$50:N2067)+1,"")</f>
        <v/>
      </c>
      <c r="T2068" s="7">
        <f t="shared" si="286"/>
        <v>158.8166431921492</v>
      </c>
      <c r="U2068" s="1">
        <f t="shared" si="287"/>
        <v>283.1276368814008</v>
      </c>
    </row>
    <row r="2069" spans="1:21" x14ac:dyDescent="0.3">
      <c r="A2069" s="2">
        <v>43178</v>
      </c>
      <c r="B2069" s="1">
        <v>5312.23</v>
      </c>
      <c r="C2069" s="2">
        <f t="shared" si="279"/>
        <v>43178</v>
      </c>
      <c r="D2069" s="1">
        <f t="shared" si="280"/>
        <v>5312.23</v>
      </c>
      <c r="E2069" s="4">
        <f t="shared" si="281"/>
        <v>5370.1567999999997</v>
      </c>
      <c r="F2069" s="3">
        <f t="shared" si="282"/>
        <v>0.98921320137244406</v>
      </c>
      <c r="G2069" s="18">
        <f t="shared" si="283"/>
        <v>1</v>
      </c>
      <c r="H2069" s="3">
        <f t="shared" si="284"/>
        <v>-1.4198124236834642E-2</v>
      </c>
      <c r="I2069" s="3">
        <f t="shared" si="285"/>
        <v>-1.4198124236834642E-2</v>
      </c>
      <c r="K2069" s="12" t="str">
        <f>IF(AND(G2069=1,G2068&lt;&gt;1),MAX($K$50:K2068)+1,"")</f>
        <v/>
      </c>
      <c r="L2069" s="13" t="str">
        <f>IF(AND(G2069&lt;&gt;1,G2068=1),MAX($L$50:L2068)+1,"")</f>
        <v/>
      </c>
      <c r="M2069" s="13" t="str">
        <f>IF(AND(G2069=-1,G2068&lt;&gt;-1),MAX($M$50:M2068)+1,"")</f>
        <v/>
      </c>
      <c r="N2069" s="13" t="str">
        <f>IF(AND(G2069&lt;&gt;-1,G2068=-1),MAX($N$50:N2068)+1,"")</f>
        <v/>
      </c>
      <c r="T2069" s="7">
        <f t="shared" si="286"/>
        <v>156.56174476123002</v>
      </c>
      <c r="U2069" s="1">
        <f t="shared" si="287"/>
        <v>279.10775551807728</v>
      </c>
    </row>
    <row r="2070" spans="1:21" x14ac:dyDescent="0.3">
      <c r="A2070" s="2">
        <v>43179</v>
      </c>
      <c r="B2070" s="1">
        <v>5320.2</v>
      </c>
      <c r="C2070" s="2">
        <f t="shared" si="279"/>
        <v>43179</v>
      </c>
      <c r="D2070" s="1">
        <f t="shared" si="280"/>
        <v>5320.2</v>
      </c>
      <c r="E2070" s="4">
        <f t="shared" si="281"/>
        <v>5369.5669999999991</v>
      </c>
      <c r="F2070" s="3">
        <f t="shared" si="282"/>
        <v>0.99080614880119766</v>
      </c>
      <c r="G2070" s="18">
        <f t="shared" si="283"/>
        <v>1</v>
      </c>
      <c r="H2070" s="3">
        <f t="shared" si="284"/>
        <v>1.5003115452456584E-3</v>
      </c>
      <c r="I2070" s="3">
        <f t="shared" si="285"/>
        <v>1.5003115452456584E-3</v>
      </c>
      <c r="K2070" s="12" t="str">
        <f>IF(AND(G2070=1,G2069&lt;&gt;1),MAX($K$50:K2069)+1,"")</f>
        <v/>
      </c>
      <c r="L2070" s="13" t="str">
        <f>IF(AND(G2070&lt;&gt;1,G2069=1),MAX($L$50:L2069)+1,"")</f>
        <v/>
      </c>
      <c r="M2070" s="13" t="str">
        <f>IF(AND(G2070=-1,G2069&lt;&gt;-1),MAX($M$50:M2069)+1,"")</f>
        <v/>
      </c>
      <c r="N2070" s="13" t="str">
        <f>IF(AND(G2070&lt;&gt;-1,G2069=-1),MAX($N$50:N2069)+1,"")</f>
        <v/>
      </c>
      <c r="T2070" s="7">
        <f t="shared" si="286"/>
        <v>156.79663615443908</v>
      </c>
      <c r="U2070" s="1">
        <f t="shared" si="287"/>
        <v>279.52650410604866</v>
      </c>
    </row>
    <row r="2071" spans="1:21" x14ac:dyDescent="0.3">
      <c r="A2071" s="2">
        <v>43180</v>
      </c>
      <c r="B2071" s="1">
        <v>5310.96</v>
      </c>
      <c r="C2071" s="2">
        <f t="shared" si="279"/>
        <v>43180</v>
      </c>
      <c r="D2071" s="1">
        <f t="shared" si="280"/>
        <v>5310.96</v>
      </c>
      <c r="E2071" s="4">
        <f t="shared" si="281"/>
        <v>5368.6126000000004</v>
      </c>
      <c r="F2071" s="3">
        <f t="shared" si="282"/>
        <v>0.98926117336162411</v>
      </c>
      <c r="G2071" s="18">
        <f t="shared" si="283"/>
        <v>1</v>
      </c>
      <c r="H2071" s="3">
        <f t="shared" si="284"/>
        <v>-1.7367768129017414E-3</v>
      </c>
      <c r="I2071" s="3">
        <f t="shared" si="285"/>
        <v>-1.7367768129017414E-3</v>
      </c>
      <c r="K2071" s="12" t="str">
        <f>IF(AND(G2071=1,G2070&lt;&gt;1),MAX($K$50:K2070)+1,"")</f>
        <v/>
      </c>
      <c r="L2071" s="13" t="str">
        <f>IF(AND(G2071&lt;&gt;1,G2070=1),MAX($L$50:L2070)+1,"")</f>
        <v/>
      </c>
      <c r="M2071" s="13" t="str">
        <f>IF(AND(G2071=-1,G2070&lt;&gt;-1),MAX($M$50:M2070)+1,"")</f>
        <v/>
      </c>
      <c r="N2071" s="13" t="str">
        <f>IF(AND(G2071&lt;&gt;-1,G2070=-1),MAX($N$50:N2070)+1,"")</f>
        <v/>
      </c>
      <c r="T2071" s="7">
        <f t="shared" si="286"/>
        <v>156.52431539242505</v>
      </c>
      <c r="U2071" s="1">
        <f t="shared" si="287"/>
        <v>279.0410289551258</v>
      </c>
    </row>
    <row r="2072" spans="1:21" x14ac:dyDescent="0.3">
      <c r="A2072" s="2">
        <v>43181</v>
      </c>
      <c r="B2072" s="1">
        <v>5177.5200000000004</v>
      </c>
      <c r="C2072" s="2">
        <f t="shared" si="279"/>
        <v>43181</v>
      </c>
      <c r="D2072" s="1">
        <f t="shared" si="280"/>
        <v>5177.5200000000004</v>
      </c>
      <c r="E2072" s="4">
        <f t="shared" si="281"/>
        <v>5364.8178000000007</v>
      </c>
      <c r="F2072" s="3">
        <f t="shared" si="282"/>
        <v>0.96508776122834961</v>
      </c>
      <c r="G2072" s="18">
        <f t="shared" si="283"/>
        <v>1</v>
      </c>
      <c r="H2072" s="3">
        <f t="shared" si="284"/>
        <v>-2.5125401057435881E-2</v>
      </c>
      <c r="I2072" s="3">
        <f t="shared" si="285"/>
        <v>-2.5125401057435881E-2</v>
      </c>
      <c r="K2072" s="12" t="str">
        <f>IF(AND(G2072=1,G2071&lt;&gt;1),MAX($K$50:K2071)+1,"")</f>
        <v/>
      </c>
      <c r="L2072" s="13" t="str">
        <f>IF(AND(G2072&lt;&gt;1,G2071=1),MAX($L$50:L2071)+1,"")</f>
        <v/>
      </c>
      <c r="M2072" s="13" t="str">
        <f>IF(AND(G2072=-1,G2071&lt;&gt;-1),MAX($M$50:M2071)+1,"")</f>
        <v/>
      </c>
      <c r="N2072" s="13" t="str">
        <f>IF(AND(G2072&lt;&gt;-1,G2071=-1),MAX($N$50:N2071)+1,"")</f>
        <v/>
      </c>
      <c r="T2072" s="7">
        <f t="shared" si="286"/>
        <v>152.59157919294978</v>
      </c>
      <c r="U2072" s="1">
        <f t="shared" si="287"/>
        <v>272.03001119114867</v>
      </c>
    </row>
    <row r="2073" spans="1:21" x14ac:dyDescent="0.3">
      <c r="A2073" s="2">
        <v>43182</v>
      </c>
      <c r="B2073" s="1">
        <v>5069.03</v>
      </c>
      <c r="C2073" s="2">
        <f t="shared" si="279"/>
        <v>43182</v>
      </c>
      <c r="D2073" s="1">
        <f t="shared" si="280"/>
        <v>5069.03</v>
      </c>
      <c r="E2073" s="4">
        <f t="shared" si="281"/>
        <v>5358.9718000000003</v>
      </c>
      <c r="F2073" s="3">
        <f t="shared" si="282"/>
        <v>0.94589600191588985</v>
      </c>
      <c r="G2073" s="18">
        <f t="shared" si="283"/>
        <v>-1</v>
      </c>
      <c r="H2073" s="3">
        <f t="shared" si="284"/>
        <v>-2.0954047497643846E-2</v>
      </c>
      <c r="I2073" s="3">
        <f t="shared" si="285"/>
        <v>-2.0954047497643846E-2</v>
      </c>
      <c r="K2073" s="12" t="str">
        <f>IF(AND(G2073=1,G2072&lt;&gt;1),MAX($K$50:K2072)+1,"")</f>
        <v/>
      </c>
      <c r="L2073" s="13">
        <f>IF(AND(G2073&lt;&gt;1,G2072=1),MAX($L$50:L2072)+1,"")</f>
        <v>19</v>
      </c>
      <c r="M2073" s="13">
        <f>IF(AND(G2073=-1,G2072&lt;&gt;-1),MAX($M$50:M2072)+1,"")</f>
        <v>19</v>
      </c>
      <c r="N2073" s="13" t="str">
        <f>IF(AND(G2073&lt;&gt;-1,G2072=-1),MAX($N$50:N2072)+1,"")</f>
        <v/>
      </c>
      <c r="T2073" s="7">
        <f t="shared" si="286"/>
        <v>149.39416799480023</v>
      </c>
      <c r="U2073" s="1">
        <f t="shared" si="287"/>
        <v>266.3298814158648</v>
      </c>
    </row>
    <row r="2074" spans="1:21" x14ac:dyDescent="0.3">
      <c r="A2074" s="2">
        <v>43185</v>
      </c>
      <c r="B2074" s="1">
        <v>5206.6899999999996</v>
      </c>
      <c r="C2074" s="2">
        <f t="shared" si="279"/>
        <v>43185</v>
      </c>
      <c r="D2074" s="1">
        <f t="shared" si="280"/>
        <v>5206.6899999999996</v>
      </c>
      <c r="E2074" s="4">
        <f t="shared" si="281"/>
        <v>5355.1163999999999</v>
      </c>
      <c r="F2074" s="3">
        <f t="shared" si="282"/>
        <v>0.97228325419779849</v>
      </c>
      <c r="G2074" s="18">
        <f t="shared" si="283"/>
        <v>1</v>
      </c>
      <c r="H2074" s="3">
        <f t="shared" si="284"/>
        <v>2.7157069498503716E-2</v>
      </c>
      <c r="I2074" s="3">
        <f t="shared" si="285"/>
        <v>-2.7157069498503716E-2</v>
      </c>
      <c r="K2074" s="12">
        <f>IF(AND(G2074=1,G2073&lt;&gt;1),MAX($K$50:K2073)+1,"")</f>
        <v>20</v>
      </c>
      <c r="L2074" s="13" t="str">
        <f>IF(AND(G2074&lt;&gt;1,G2073=1),MAX($L$50:L2073)+1,"")</f>
        <v/>
      </c>
      <c r="M2074" s="13" t="str">
        <f>IF(AND(G2074=-1,G2073&lt;&gt;-1),MAX($M$50:M2073)+1,"")</f>
        <v/>
      </c>
      <c r="N2074" s="13">
        <f>IF(AND(G2074&lt;&gt;-1,G2073=-1),MAX($N$50:N2073)+1,"")</f>
        <v>19</v>
      </c>
      <c r="T2074" s="7">
        <f t="shared" si="286"/>
        <v>145.3370601918943</v>
      </c>
      <c r="U2074" s="1">
        <f t="shared" si="287"/>
        <v>273.56262051500369</v>
      </c>
    </row>
    <row r="2075" spans="1:21" x14ac:dyDescent="0.3">
      <c r="A2075" s="2">
        <v>43186</v>
      </c>
      <c r="B2075" s="1">
        <v>5116.75</v>
      </c>
      <c r="C2075" s="2">
        <f t="shared" si="279"/>
        <v>43186</v>
      </c>
      <c r="D2075" s="1">
        <f t="shared" si="280"/>
        <v>5116.75</v>
      </c>
      <c r="E2075" s="4">
        <f t="shared" si="281"/>
        <v>5348.7329999999993</v>
      </c>
      <c r="F2075" s="3">
        <f t="shared" si="282"/>
        <v>0.95662842022587413</v>
      </c>
      <c r="G2075" s="18">
        <f t="shared" si="283"/>
        <v>1</v>
      </c>
      <c r="H2075" s="3">
        <f t="shared" si="284"/>
        <v>-1.7273930270478854E-2</v>
      </c>
      <c r="I2075" s="3">
        <f t="shared" si="285"/>
        <v>-1.7273930270478854E-2</v>
      </c>
      <c r="K2075" s="12" t="str">
        <f>IF(AND(G2075=1,G2074&lt;&gt;1),MAX($K$50:K2074)+1,"")</f>
        <v/>
      </c>
      <c r="L2075" s="13" t="str">
        <f>IF(AND(G2075&lt;&gt;1,G2074=1),MAX($L$50:L2074)+1,"")</f>
        <v/>
      </c>
      <c r="M2075" s="13" t="str">
        <f>IF(AND(G2075=-1,G2074&lt;&gt;-1),MAX($M$50:M2074)+1,"")</f>
        <v/>
      </c>
      <c r="N2075" s="13" t="str">
        <f>IF(AND(G2075&lt;&gt;-1,G2074=-1),MAX($N$50:N2074)+1,"")</f>
        <v/>
      </c>
      <c r="T2075" s="7">
        <f t="shared" si="286"/>
        <v>142.82651794842312</v>
      </c>
      <c r="U2075" s="1">
        <f t="shared" si="287"/>
        <v>268.83711888361807</v>
      </c>
    </row>
    <row r="2076" spans="1:21" x14ac:dyDescent="0.3">
      <c r="A2076" s="2">
        <v>43187</v>
      </c>
      <c r="B2076" s="1">
        <v>5102.6899999999996</v>
      </c>
      <c r="C2076" s="2">
        <f t="shared" si="279"/>
        <v>43187</v>
      </c>
      <c r="D2076" s="1">
        <f t="shared" si="280"/>
        <v>5102.6899999999996</v>
      </c>
      <c r="E2076" s="4">
        <f t="shared" si="281"/>
        <v>5342.4495999999999</v>
      </c>
      <c r="F2076" s="3">
        <f t="shared" si="282"/>
        <v>0.95512178533233139</v>
      </c>
      <c r="G2076" s="18">
        <f t="shared" si="283"/>
        <v>1</v>
      </c>
      <c r="H2076" s="3">
        <f t="shared" si="284"/>
        <v>-2.7478379830948585E-3</v>
      </c>
      <c r="I2076" s="3">
        <f t="shared" si="285"/>
        <v>-2.7478379830948585E-3</v>
      </c>
      <c r="K2076" s="12" t="str">
        <f>IF(AND(G2076=1,G2075&lt;&gt;1),MAX($K$50:K2075)+1,"")</f>
        <v/>
      </c>
      <c r="L2076" s="13" t="str">
        <f>IF(AND(G2076&lt;&gt;1,G2075=1),MAX($L$50:L2075)+1,"")</f>
        <v/>
      </c>
      <c r="M2076" s="13" t="str">
        <f>IF(AND(G2076=-1,G2075&lt;&gt;-1),MAX($M$50:M2075)+1,"")</f>
        <v/>
      </c>
      <c r="N2076" s="13" t="str">
        <f>IF(AND(G2076&lt;&gt;-1,G2075=-1),MAX($N$50:N2075)+1,"")</f>
        <v/>
      </c>
      <c r="T2076" s="7">
        <f t="shared" si="286"/>
        <v>142.43405381741127</v>
      </c>
      <c r="U2076" s="1">
        <f t="shared" si="287"/>
        <v>268.09839803708388</v>
      </c>
    </row>
    <row r="2077" spans="1:21" x14ac:dyDescent="0.3">
      <c r="A2077" s="2">
        <v>43188</v>
      </c>
      <c r="B2077" s="1">
        <v>5173.1899999999996</v>
      </c>
      <c r="C2077" s="2">
        <f t="shared" si="279"/>
        <v>43188</v>
      </c>
      <c r="D2077" s="1">
        <f t="shared" si="280"/>
        <v>5173.1899999999996</v>
      </c>
      <c r="E2077" s="4">
        <f t="shared" si="281"/>
        <v>5336.5563999999986</v>
      </c>
      <c r="F2077" s="3">
        <f t="shared" si="282"/>
        <v>0.96938730001991569</v>
      </c>
      <c r="G2077" s="18">
        <f t="shared" si="283"/>
        <v>1</v>
      </c>
      <c r="H2077" s="3">
        <f t="shared" si="284"/>
        <v>1.3816242021365222E-2</v>
      </c>
      <c r="I2077" s="3">
        <f t="shared" si="285"/>
        <v>1.3816242021365222E-2</v>
      </c>
      <c r="K2077" s="12" t="str">
        <f>IF(AND(G2077=1,G2076&lt;&gt;1),MAX($K$50:K2076)+1,"")</f>
        <v/>
      </c>
      <c r="L2077" s="13" t="str">
        <f>IF(AND(G2077&lt;&gt;1,G2076=1),MAX($L$50:L2076)+1,"")</f>
        <v/>
      </c>
      <c r="M2077" s="13" t="str">
        <f>IF(AND(G2077=-1,G2076&lt;&gt;-1),MAX($M$50:M2076)+1,"")</f>
        <v/>
      </c>
      <c r="N2077" s="13" t="str">
        <f>IF(AND(G2077&lt;&gt;-1,G2076=-1),MAX($N$50:N2076)+1,"")</f>
        <v/>
      </c>
      <c r="T2077" s="7">
        <f t="shared" si="286"/>
        <v>144.40195717703679</v>
      </c>
      <c r="U2077" s="1">
        <f t="shared" si="287"/>
        <v>271.80251038990451</v>
      </c>
    </row>
    <row r="2078" spans="1:21" x14ac:dyDescent="0.3">
      <c r="A2078" s="2">
        <v>43192</v>
      </c>
      <c r="B2078" s="1">
        <v>5057.6899999999996</v>
      </c>
      <c r="C2078" s="2">
        <f t="shared" si="279"/>
        <v>43192</v>
      </c>
      <c r="D2078" s="1">
        <f t="shared" si="280"/>
        <v>5057.6899999999996</v>
      </c>
      <c r="E2078" s="4">
        <f t="shared" si="281"/>
        <v>5328.5201999999999</v>
      </c>
      <c r="F2078" s="3">
        <f t="shared" si="282"/>
        <v>0.94917346846128114</v>
      </c>
      <c r="G2078" s="18">
        <f t="shared" si="283"/>
        <v>-1</v>
      </c>
      <c r="H2078" s="3">
        <f t="shared" si="284"/>
        <v>-2.2326649514129548E-2</v>
      </c>
      <c r="I2078" s="3">
        <f t="shared" si="285"/>
        <v>-2.2326649514129548E-2</v>
      </c>
      <c r="K2078" s="12" t="str">
        <f>IF(AND(G2078=1,G2077&lt;&gt;1),MAX($K$50:K2077)+1,"")</f>
        <v/>
      </c>
      <c r="L2078" s="13">
        <f>IF(AND(G2078&lt;&gt;1,G2077=1),MAX($L$50:L2077)+1,"")</f>
        <v>20</v>
      </c>
      <c r="M2078" s="13">
        <f>IF(AND(G2078=-1,G2077&lt;&gt;-1),MAX($M$50:M2077)+1,"")</f>
        <v>20</v>
      </c>
      <c r="N2078" s="13" t="str">
        <f>IF(AND(G2078&lt;&gt;-1,G2077=-1),MAX($N$50:N2077)+1,"")</f>
        <v/>
      </c>
      <c r="T2078" s="7">
        <f t="shared" si="286"/>
        <v>141.17794528999076</v>
      </c>
      <c r="U2078" s="1">
        <f t="shared" si="287"/>
        <v>265.73407100336857</v>
      </c>
    </row>
    <row r="2079" spans="1:21" x14ac:dyDescent="0.3">
      <c r="A2079" s="2">
        <v>43193</v>
      </c>
      <c r="B2079" s="1">
        <v>5121.7</v>
      </c>
      <c r="C2079" s="2">
        <f t="shared" si="279"/>
        <v>43193</v>
      </c>
      <c r="D2079" s="1">
        <f t="shared" si="280"/>
        <v>5121.7</v>
      </c>
      <c r="E2079" s="4">
        <f t="shared" si="281"/>
        <v>5321.2828</v>
      </c>
      <c r="F2079" s="3">
        <f t="shared" si="282"/>
        <v>0.96249347995562273</v>
      </c>
      <c r="G2079" s="18">
        <f t="shared" si="283"/>
        <v>1</v>
      </c>
      <c r="H2079" s="3">
        <f t="shared" si="284"/>
        <v>1.2655975356338667E-2</v>
      </c>
      <c r="I2079" s="3">
        <f t="shared" si="285"/>
        <v>-1.2655975356338667E-2</v>
      </c>
      <c r="K2079" s="12">
        <f>IF(AND(G2079=1,G2078&lt;&gt;1),MAX($K$50:K2078)+1,"")</f>
        <v>21</v>
      </c>
      <c r="L2079" s="13" t="str">
        <f>IF(AND(G2079&lt;&gt;1,G2078=1),MAX($L$50:L2078)+1,"")</f>
        <v/>
      </c>
      <c r="M2079" s="13" t="str">
        <f>IF(AND(G2079=-1,G2078&lt;&gt;-1),MAX($M$50:M2078)+1,"")</f>
        <v/>
      </c>
      <c r="N2079" s="13">
        <f>IF(AND(G2079&lt;&gt;-1,G2078=-1),MAX($N$50:N2078)+1,"")</f>
        <v>20</v>
      </c>
      <c r="T2079" s="7">
        <f t="shared" si="286"/>
        <v>139.39120069354212</v>
      </c>
      <c r="U2079" s="1">
        <f t="shared" si="287"/>
        <v>269.09719485732677</v>
      </c>
    </row>
    <row r="2080" spans="1:21" x14ac:dyDescent="0.3">
      <c r="A2080" s="2">
        <v>43194</v>
      </c>
      <c r="B2080" s="1">
        <v>5181.3100000000004</v>
      </c>
      <c r="C2080" s="2">
        <f t="shared" si="279"/>
        <v>43194</v>
      </c>
      <c r="D2080" s="1">
        <f t="shared" si="280"/>
        <v>5181.3100000000004</v>
      </c>
      <c r="E2080" s="4">
        <f t="shared" si="281"/>
        <v>5314.351200000001</v>
      </c>
      <c r="F2080" s="3">
        <f t="shared" si="282"/>
        <v>0.97496567407889778</v>
      </c>
      <c r="G2080" s="18">
        <f t="shared" si="283"/>
        <v>1</v>
      </c>
      <c r="H2080" s="3">
        <f t="shared" si="284"/>
        <v>1.1638713708339132E-2</v>
      </c>
      <c r="I2080" s="3">
        <f t="shared" si="285"/>
        <v>1.1638713708339132E-2</v>
      </c>
      <c r="K2080" s="12" t="str">
        <f>IF(AND(G2080=1,G2079&lt;&gt;1),MAX($K$50:K2079)+1,"")</f>
        <v/>
      </c>
      <c r="L2080" s="13" t="str">
        <f>IF(AND(G2080&lt;&gt;1,G2079=1),MAX($L$50:L2079)+1,"")</f>
        <v/>
      </c>
      <c r="M2080" s="13" t="str">
        <f>IF(AND(G2080=-1,G2079&lt;&gt;-1),MAX($M$50:M2079)+1,"")</f>
        <v/>
      </c>
      <c r="N2080" s="13" t="str">
        <f>IF(AND(G2080&lt;&gt;-1,G2079=-1),MAX($N$50:N2079)+1,"")</f>
        <v/>
      </c>
      <c r="T2080" s="7">
        <f t="shared" si="286"/>
        <v>141.01353497187588</v>
      </c>
      <c r="U2080" s="1">
        <f t="shared" si="287"/>
        <v>272.22914006798834</v>
      </c>
    </row>
    <row r="2081" spans="1:21" x14ac:dyDescent="0.3">
      <c r="A2081" s="2">
        <v>43195</v>
      </c>
      <c r="B2081" s="1">
        <v>5217.62</v>
      </c>
      <c r="C2081" s="2">
        <f t="shared" si="279"/>
        <v>43195</v>
      </c>
      <c r="D2081" s="1">
        <f t="shared" si="280"/>
        <v>5217.62</v>
      </c>
      <c r="E2081" s="4">
        <f t="shared" si="281"/>
        <v>5307.9010000000007</v>
      </c>
      <c r="F2081" s="3">
        <f t="shared" si="282"/>
        <v>0.98299120499798298</v>
      </c>
      <c r="G2081" s="18">
        <f t="shared" si="283"/>
        <v>1</v>
      </c>
      <c r="H2081" s="3">
        <f t="shared" si="284"/>
        <v>7.0078802465012302E-3</v>
      </c>
      <c r="I2081" s="3">
        <f t="shared" si="285"/>
        <v>7.0078802465012302E-3</v>
      </c>
      <c r="K2081" s="12" t="str">
        <f>IF(AND(G2081=1,G2080&lt;&gt;1),MAX($K$50:K2080)+1,"")</f>
        <v/>
      </c>
      <c r="L2081" s="13" t="str">
        <f>IF(AND(G2081&lt;&gt;1,G2080=1),MAX($L$50:L2080)+1,"")</f>
        <v/>
      </c>
      <c r="M2081" s="13" t="str">
        <f>IF(AND(G2081=-1,G2080&lt;&gt;-1),MAX($M$50:M2080)+1,"")</f>
        <v/>
      </c>
      <c r="N2081" s="13" t="str">
        <f>IF(AND(G2081&lt;&gt;-1,G2080=-1),MAX($N$50:N2080)+1,"")</f>
        <v/>
      </c>
      <c r="T2081" s="7">
        <f t="shared" si="286"/>
        <v>142.0017409380946</v>
      </c>
      <c r="U2081" s="1">
        <f t="shared" si="287"/>
        <v>274.13688928119279</v>
      </c>
    </row>
    <row r="2082" spans="1:21" x14ac:dyDescent="0.3">
      <c r="A2082" s="2">
        <v>43196</v>
      </c>
      <c r="B2082" s="1">
        <v>5103.3500000000004</v>
      </c>
      <c r="C2082" s="2">
        <f t="shared" si="279"/>
        <v>43196</v>
      </c>
      <c r="D2082" s="1">
        <f t="shared" si="280"/>
        <v>5103.3500000000004</v>
      </c>
      <c r="E2082" s="4">
        <f t="shared" si="281"/>
        <v>5299.2273999999998</v>
      </c>
      <c r="F2082" s="3">
        <f t="shared" si="282"/>
        <v>0.96303661171437949</v>
      </c>
      <c r="G2082" s="18">
        <f t="shared" si="283"/>
        <v>1</v>
      </c>
      <c r="H2082" s="3">
        <f t="shared" si="284"/>
        <v>-2.190079001537093E-2</v>
      </c>
      <c r="I2082" s="3">
        <f t="shared" si="285"/>
        <v>-2.190079001537093E-2</v>
      </c>
      <c r="K2082" s="12" t="str">
        <f>IF(AND(G2082=1,G2081&lt;&gt;1),MAX($K$50:K2081)+1,"")</f>
        <v/>
      </c>
      <c r="L2082" s="13" t="str">
        <f>IF(AND(G2082&lt;&gt;1,G2081=1),MAX($L$50:L2081)+1,"")</f>
        <v/>
      </c>
      <c r="M2082" s="13" t="str">
        <f>IF(AND(G2082=-1,G2081&lt;&gt;-1),MAX($M$50:M2081)+1,"")</f>
        <v/>
      </c>
      <c r="N2082" s="13" t="str">
        <f>IF(AND(G2082&lt;&gt;-1,G2081=-1),MAX($N$50:N2081)+1,"")</f>
        <v/>
      </c>
      <c r="T2082" s="7">
        <f t="shared" si="286"/>
        <v>138.89179062799229</v>
      </c>
      <c r="U2082" s="1">
        <f t="shared" si="287"/>
        <v>268.13307483357841</v>
      </c>
    </row>
    <row r="2083" spans="1:21" x14ac:dyDescent="0.3">
      <c r="A2083" s="2">
        <v>43199</v>
      </c>
      <c r="B2083" s="1">
        <v>5121.8999999999996</v>
      </c>
      <c r="C2083" s="2">
        <f t="shared" si="279"/>
        <v>43199</v>
      </c>
      <c r="D2083" s="1">
        <f t="shared" si="280"/>
        <v>5121.8999999999996</v>
      </c>
      <c r="E2083" s="4">
        <f t="shared" si="281"/>
        <v>5290.8578000000016</v>
      </c>
      <c r="F2083" s="3">
        <f t="shared" si="282"/>
        <v>0.96806608561658902</v>
      </c>
      <c r="G2083" s="18">
        <f t="shared" si="283"/>
        <v>1</v>
      </c>
      <c r="H2083" s="3">
        <f t="shared" si="284"/>
        <v>3.6348672930524017E-3</v>
      </c>
      <c r="I2083" s="3">
        <f t="shared" si="285"/>
        <v>3.6348672930524017E-3</v>
      </c>
      <c r="K2083" s="12" t="str">
        <f>IF(AND(G2083=1,G2082&lt;&gt;1),MAX($K$50:K2082)+1,"")</f>
        <v/>
      </c>
      <c r="L2083" s="13" t="str">
        <f>IF(AND(G2083&lt;&gt;1,G2082=1),MAX($L$50:L2082)+1,"")</f>
        <v/>
      </c>
      <c r="M2083" s="13" t="str">
        <f>IF(AND(G2083=-1,G2082&lt;&gt;-1),MAX($M$50:M2082)+1,"")</f>
        <v/>
      </c>
      <c r="N2083" s="13" t="str">
        <f>IF(AND(G2083&lt;&gt;-1,G2082=-1),MAX($N$50:N2082)+1,"")</f>
        <v/>
      </c>
      <c r="T2083" s="7">
        <f t="shared" si="286"/>
        <v>139.39664385501948</v>
      </c>
      <c r="U2083" s="1">
        <f t="shared" si="287"/>
        <v>269.10770297747655</v>
      </c>
    </row>
    <row r="2084" spans="1:21" x14ac:dyDescent="0.3">
      <c r="A2084" s="2">
        <v>43200</v>
      </c>
      <c r="B2084" s="1">
        <v>5207.7299999999996</v>
      </c>
      <c r="C2084" s="2">
        <f t="shared" si="279"/>
        <v>43200</v>
      </c>
      <c r="D2084" s="1">
        <f t="shared" si="280"/>
        <v>5207.7299999999996</v>
      </c>
      <c r="E2084" s="4">
        <f t="shared" si="281"/>
        <v>5282.890800000001</v>
      </c>
      <c r="F2084" s="3">
        <f t="shared" si="282"/>
        <v>0.98577278939780444</v>
      </c>
      <c r="G2084" s="18">
        <f t="shared" si="283"/>
        <v>1</v>
      </c>
      <c r="H2084" s="3">
        <f t="shared" si="284"/>
        <v>1.6757453288818613E-2</v>
      </c>
      <c r="I2084" s="3">
        <f t="shared" si="285"/>
        <v>1.6757453288818613E-2</v>
      </c>
      <c r="K2084" s="12" t="str">
        <f>IF(AND(G2084=1,G2083&lt;&gt;1),MAX($K$50:K2083)+1,"")</f>
        <v/>
      </c>
      <c r="L2084" s="13" t="str">
        <f>IF(AND(G2084&lt;&gt;1,G2083=1),MAX($L$50:L2083)+1,"")</f>
        <v/>
      </c>
      <c r="M2084" s="13" t="str">
        <f>IF(AND(G2084=-1,G2083&lt;&gt;-1),MAX($M$50:M2083)+1,"")</f>
        <v/>
      </c>
      <c r="N2084" s="13" t="str">
        <f>IF(AND(G2084&lt;&gt;-1,G2083=-1),MAX($N$50:N2083)+1,"")</f>
        <v/>
      </c>
      <c r="T2084" s="7">
        <f t="shared" si="286"/>
        <v>141.73257660303804</v>
      </c>
      <c r="U2084" s="1">
        <f t="shared" si="287"/>
        <v>273.61726273978286</v>
      </c>
    </row>
    <row r="2085" spans="1:21" x14ac:dyDescent="0.3">
      <c r="A2085" s="2">
        <v>43201</v>
      </c>
      <c r="B2085" s="1">
        <v>5179.1899999999996</v>
      </c>
      <c r="C2085" s="2">
        <f t="shared" si="279"/>
        <v>43201</v>
      </c>
      <c r="D2085" s="1">
        <f t="shared" si="280"/>
        <v>5179.1899999999996</v>
      </c>
      <c r="E2085" s="4">
        <f t="shared" si="281"/>
        <v>5275.101200000001</v>
      </c>
      <c r="F2085" s="3">
        <f t="shared" si="282"/>
        <v>0.98181813080666558</v>
      </c>
      <c r="G2085" s="18">
        <f t="shared" si="283"/>
        <v>1</v>
      </c>
      <c r="H2085" s="3">
        <f t="shared" si="284"/>
        <v>-5.480314839671041E-3</v>
      </c>
      <c r="I2085" s="3">
        <f t="shared" si="285"/>
        <v>-5.480314839671041E-3</v>
      </c>
      <c r="K2085" s="12" t="str">
        <f>IF(AND(G2085=1,G2084&lt;&gt;1),MAX($K$50:K2084)+1,"")</f>
        <v/>
      </c>
      <c r="L2085" s="13" t="str">
        <f>IF(AND(G2085&lt;&gt;1,G2084=1),MAX($L$50:L2084)+1,"")</f>
        <v/>
      </c>
      <c r="M2085" s="13" t="str">
        <f>IF(AND(G2085=-1,G2084&lt;&gt;-1),MAX($M$50:M2084)+1,"")</f>
        <v/>
      </c>
      <c r="N2085" s="13" t="str">
        <f>IF(AND(G2085&lt;&gt;-1,G2084=-1),MAX($N$50:N2084)+1,"")</f>
        <v/>
      </c>
      <c r="T2085" s="7">
        <f t="shared" si="286"/>
        <v>140.95583746021561</v>
      </c>
      <c r="U2085" s="1">
        <f t="shared" si="287"/>
        <v>272.11775399439989</v>
      </c>
    </row>
    <row r="2086" spans="1:21" x14ac:dyDescent="0.3">
      <c r="A2086" s="2">
        <v>43202</v>
      </c>
      <c r="B2086" s="1">
        <v>5222.55</v>
      </c>
      <c r="C2086" s="2">
        <f t="shared" si="279"/>
        <v>43202</v>
      </c>
      <c r="D2086" s="1">
        <f t="shared" si="280"/>
        <v>5222.55</v>
      </c>
      <c r="E2086" s="4">
        <f t="shared" si="281"/>
        <v>5269.3850000000011</v>
      </c>
      <c r="F2086" s="3">
        <f t="shared" si="282"/>
        <v>0.99111186599574697</v>
      </c>
      <c r="G2086" s="18">
        <f t="shared" si="283"/>
        <v>1</v>
      </c>
      <c r="H2086" s="3">
        <f t="shared" si="284"/>
        <v>8.3719655003968718E-3</v>
      </c>
      <c r="I2086" s="3">
        <f t="shared" si="285"/>
        <v>8.3719655003968718E-3</v>
      </c>
      <c r="K2086" s="12" t="str">
        <f>IF(AND(G2086=1,G2085&lt;&gt;1),MAX($K$50:K2085)+1,"")</f>
        <v/>
      </c>
      <c r="L2086" s="13" t="str">
        <f>IF(AND(G2086&lt;&gt;1,G2085=1),MAX($L$50:L2085)+1,"")</f>
        <v/>
      </c>
      <c r="M2086" s="13" t="str">
        <f>IF(AND(G2086=-1,G2085&lt;&gt;-1),MAX($M$50:M2085)+1,"")</f>
        <v/>
      </c>
      <c r="N2086" s="13" t="str">
        <f>IF(AND(G2086&lt;&gt;-1,G2085=-1),MAX($N$50:N2085)+1,"")</f>
        <v/>
      </c>
      <c r="T2086" s="7">
        <f t="shared" si="286"/>
        <v>142.13591486851209</v>
      </c>
      <c r="U2086" s="1">
        <f t="shared" si="287"/>
        <v>274.39591444288652</v>
      </c>
    </row>
    <row r="2087" spans="1:21" x14ac:dyDescent="0.3">
      <c r="A2087" s="2">
        <v>43203</v>
      </c>
      <c r="B2087" s="1">
        <v>5207.57</v>
      </c>
      <c r="C2087" s="2">
        <f t="shared" si="279"/>
        <v>43203</v>
      </c>
      <c r="D2087" s="1">
        <f t="shared" si="280"/>
        <v>5207.57</v>
      </c>
      <c r="E2087" s="4">
        <f t="shared" si="281"/>
        <v>5263.3122000000012</v>
      </c>
      <c r="F2087" s="3">
        <f t="shared" si="282"/>
        <v>0.98940929249836229</v>
      </c>
      <c r="G2087" s="18">
        <f t="shared" si="283"/>
        <v>1</v>
      </c>
      <c r="H2087" s="3">
        <f t="shared" si="284"/>
        <v>-2.8683306047813106E-3</v>
      </c>
      <c r="I2087" s="3">
        <f t="shared" si="285"/>
        <v>-2.8683306047813106E-3</v>
      </c>
      <c r="K2087" s="12" t="str">
        <f>IF(AND(G2087=1,G2086&lt;&gt;1),MAX($K$50:K2086)+1,"")</f>
        <v/>
      </c>
      <c r="L2087" s="13" t="str">
        <f>IF(AND(G2087&lt;&gt;1,G2086=1),MAX($L$50:L2086)+1,"")</f>
        <v/>
      </c>
      <c r="M2087" s="13" t="str">
        <f>IF(AND(G2087=-1,G2086&lt;&gt;-1),MAX($M$50:M2086)+1,"")</f>
        <v/>
      </c>
      <c r="N2087" s="13" t="str">
        <f>IF(AND(G2087&lt;&gt;-1,G2086=-1),MAX($N$50:N2086)+1,"")</f>
        <v/>
      </c>
      <c r="T2087" s="7">
        <f t="shared" si="286"/>
        <v>141.72822207385613</v>
      </c>
      <c r="U2087" s="1">
        <f t="shared" si="287"/>
        <v>273.60885624366301</v>
      </c>
    </row>
    <row r="2088" spans="1:21" x14ac:dyDescent="0.3">
      <c r="A2088" s="2">
        <v>43206</v>
      </c>
      <c r="B2088" s="1">
        <v>5249.94</v>
      </c>
      <c r="C2088" s="2">
        <f t="shared" si="279"/>
        <v>43206</v>
      </c>
      <c r="D2088" s="1">
        <f t="shared" si="280"/>
        <v>5249.94</v>
      </c>
      <c r="E2088" s="4">
        <f t="shared" si="281"/>
        <v>5258.1370000000006</v>
      </c>
      <c r="F2088" s="3">
        <f t="shared" si="282"/>
        <v>0.99844108283979649</v>
      </c>
      <c r="G2088" s="18">
        <f t="shared" si="283"/>
        <v>1</v>
      </c>
      <c r="H2088" s="3">
        <f t="shared" si="284"/>
        <v>8.1362324462272984E-3</v>
      </c>
      <c r="I2088" s="3">
        <f t="shared" si="285"/>
        <v>8.1362324462272984E-3</v>
      </c>
      <c r="K2088" s="12" t="str">
        <f>IF(AND(G2088=1,G2087&lt;&gt;1),MAX($K$50:K2087)+1,"")</f>
        <v/>
      </c>
      <c r="L2088" s="13" t="str">
        <f>IF(AND(G2088&lt;&gt;1,G2087=1),MAX($L$50:L2087)+1,"")</f>
        <v/>
      </c>
      <c r="M2088" s="13" t="str">
        <f>IF(AND(G2088=-1,G2087&lt;&gt;-1),MAX($M$50:M2087)+1,"")</f>
        <v/>
      </c>
      <c r="N2088" s="13" t="str">
        <f>IF(AND(G2088&lt;&gt;-1,G2087=-1),MAX($N$50:N2087)+1,"")</f>
        <v/>
      </c>
      <c r="T2088" s="7">
        <f t="shared" si="286"/>
        <v>142.88135583283955</v>
      </c>
      <c r="U2088" s="1">
        <f t="shared" si="287"/>
        <v>275.83500149740786</v>
      </c>
    </row>
    <row r="2089" spans="1:21" x14ac:dyDescent="0.3">
      <c r="A2089" s="2">
        <v>43207</v>
      </c>
      <c r="B2089" s="1">
        <v>5305.9</v>
      </c>
      <c r="C2089" s="2">
        <f t="shared" si="279"/>
        <v>43207</v>
      </c>
      <c r="D2089" s="1">
        <f t="shared" si="280"/>
        <v>5305.9</v>
      </c>
      <c r="E2089" s="4">
        <f t="shared" si="281"/>
        <v>5256.4108000000006</v>
      </c>
      <c r="F2089" s="3">
        <f t="shared" si="282"/>
        <v>1.0094150175629346</v>
      </c>
      <c r="G2089" s="18">
        <f t="shared" si="283"/>
        <v>1</v>
      </c>
      <c r="H2089" s="3">
        <f t="shared" si="284"/>
        <v>1.0659169438126836E-2</v>
      </c>
      <c r="I2089" s="3">
        <f t="shared" si="285"/>
        <v>1.0659169438126836E-2</v>
      </c>
      <c r="K2089" s="12" t="str">
        <f>IF(AND(G2089=1,G2088&lt;&gt;1),MAX($K$50:K2088)+1,"")</f>
        <v/>
      </c>
      <c r="L2089" s="13" t="str">
        <f>IF(AND(G2089&lt;&gt;1,G2088=1),MAX($L$50:L2088)+1,"")</f>
        <v/>
      </c>
      <c r="M2089" s="13" t="str">
        <f>IF(AND(G2089=-1,G2088&lt;&gt;-1),MAX($M$50:M2088)+1,"")</f>
        <v/>
      </c>
      <c r="N2089" s="13" t="str">
        <f>IF(AND(G2089&lt;&gt;-1,G2088=-1),MAX($N$50:N2088)+1,"")</f>
        <v/>
      </c>
      <c r="T2089" s="7">
        <f t="shared" si="286"/>
        <v>144.40435241421108</v>
      </c>
      <c r="U2089" s="1">
        <f t="shared" si="287"/>
        <v>278.7751735153347</v>
      </c>
    </row>
    <row r="2090" spans="1:21" x14ac:dyDescent="0.3">
      <c r="A2090" s="2">
        <v>43208</v>
      </c>
      <c r="B2090" s="1">
        <v>5310.32</v>
      </c>
      <c r="C2090" s="2">
        <f t="shared" si="279"/>
        <v>43208</v>
      </c>
      <c r="D2090" s="1">
        <f t="shared" si="280"/>
        <v>5310.32</v>
      </c>
      <c r="E2090" s="4">
        <f t="shared" si="281"/>
        <v>5259.1919999999991</v>
      </c>
      <c r="F2090" s="3">
        <f t="shared" si="282"/>
        <v>1.0097216454542828</v>
      </c>
      <c r="G2090" s="18">
        <f t="shared" si="283"/>
        <v>1</v>
      </c>
      <c r="H2090" s="3">
        <f t="shared" si="284"/>
        <v>8.3303492338715479E-4</v>
      </c>
      <c r="I2090" s="3">
        <f t="shared" si="285"/>
        <v>8.3303492338715479E-4</v>
      </c>
      <c r="K2090" s="12" t="str">
        <f>IF(AND(G2090=1,G2089&lt;&gt;1),MAX($K$50:K2089)+1,"")</f>
        <v/>
      </c>
      <c r="L2090" s="13" t="str">
        <f>IF(AND(G2090&lt;&gt;1,G2089=1),MAX($L$50:L2089)+1,"")</f>
        <v/>
      </c>
      <c r="M2090" s="13" t="str">
        <f>IF(AND(G2090=-1,G2089&lt;&gt;-1),MAX($M$50:M2089)+1,"")</f>
        <v/>
      </c>
      <c r="N2090" s="13" t="str">
        <f>IF(AND(G2090&lt;&gt;-1,G2089=-1),MAX($N$50:N2089)+1,"")</f>
        <v/>
      </c>
      <c r="T2090" s="7">
        <f t="shared" si="286"/>
        <v>144.52464628286123</v>
      </c>
      <c r="U2090" s="1">
        <f t="shared" si="287"/>
        <v>279.0074029706463</v>
      </c>
    </row>
    <row r="2091" spans="1:21" x14ac:dyDescent="0.3">
      <c r="A2091" s="2">
        <v>43209</v>
      </c>
      <c r="B2091" s="1">
        <v>5280.57</v>
      </c>
      <c r="C2091" s="2">
        <f t="shared" si="279"/>
        <v>43209</v>
      </c>
      <c r="D2091" s="1">
        <f t="shared" si="280"/>
        <v>5280.57</v>
      </c>
      <c r="E2091" s="4">
        <f t="shared" si="281"/>
        <v>5259.5630000000001</v>
      </c>
      <c r="F2091" s="3">
        <f t="shared" si="282"/>
        <v>1.0039940580614777</v>
      </c>
      <c r="G2091" s="18">
        <f t="shared" si="283"/>
        <v>1</v>
      </c>
      <c r="H2091" s="3">
        <f t="shared" si="284"/>
        <v>-5.6022989198390993E-3</v>
      </c>
      <c r="I2091" s="3">
        <f t="shared" si="285"/>
        <v>-5.6022989198390993E-3</v>
      </c>
      <c r="K2091" s="12" t="str">
        <f>IF(AND(G2091=1,G2090&lt;&gt;1),MAX($K$50:K2090)+1,"")</f>
        <v/>
      </c>
      <c r="L2091" s="13" t="str">
        <f>IF(AND(G2091&lt;&gt;1,G2090=1),MAX($L$50:L2090)+1,"")</f>
        <v/>
      </c>
      <c r="M2091" s="13" t="str">
        <f>IF(AND(G2091=-1,G2090&lt;&gt;-1),MAX($M$50:M2090)+1,"")</f>
        <v/>
      </c>
      <c r="N2091" s="13" t="str">
        <f>IF(AND(G2091&lt;&gt;-1,G2090=-1),MAX($N$50:N2090)+1,"")</f>
        <v/>
      </c>
      <c r="T2091" s="7">
        <f t="shared" si="286"/>
        <v>143.71497601310062</v>
      </c>
      <c r="U2091" s="1">
        <f t="shared" si="287"/>
        <v>277.44432009835674</v>
      </c>
    </row>
    <row r="2092" spans="1:21" x14ac:dyDescent="0.3">
      <c r="A2092" s="2">
        <v>43210</v>
      </c>
      <c r="B2092" s="1">
        <v>5235.75</v>
      </c>
      <c r="C2092" s="2">
        <f t="shared" si="279"/>
        <v>43210</v>
      </c>
      <c r="D2092" s="1">
        <f t="shared" si="280"/>
        <v>5235.75</v>
      </c>
      <c r="E2092" s="4">
        <f t="shared" si="281"/>
        <v>5259.561200000001</v>
      </c>
      <c r="F2092" s="3">
        <f t="shared" si="282"/>
        <v>0.99547277822339986</v>
      </c>
      <c r="G2092" s="18">
        <f t="shared" si="283"/>
        <v>1</v>
      </c>
      <c r="H2092" s="3">
        <f t="shared" si="284"/>
        <v>-8.4877200756735549E-3</v>
      </c>
      <c r="I2092" s="3">
        <f t="shared" si="285"/>
        <v>-8.4877200756735549E-3</v>
      </c>
      <c r="K2092" s="12" t="str">
        <f>IF(AND(G2092=1,G2091&lt;&gt;1),MAX($K$50:K2091)+1,"")</f>
        <v/>
      </c>
      <c r="L2092" s="13" t="str">
        <f>IF(AND(G2092&lt;&gt;1,G2091=1),MAX($L$50:L2091)+1,"")</f>
        <v/>
      </c>
      <c r="M2092" s="13" t="str">
        <f>IF(AND(G2092=-1,G2091&lt;&gt;-1),MAX($M$50:M2091)+1,"")</f>
        <v/>
      </c>
      <c r="N2092" s="13" t="str">
        <f>IF(AND(G2092&lt;&gt;-1,G2091=-1),MAX($N$50:N2091)+1,"")</f>
        <v/>
      </c>
      <c r="T2092" s="7">
        <f t="shared" si="286"/>
        <v>142.4951635260193</v>
      </c>
      <c r="U2092" s="1">
        <f t="shared" si="287"/>
        <v>275.08945037277635</v>
      </c>
    </row>
    <row r="2093" spans="1:21" x14ac:dyDescent="0.3">
      <c r="A2093" s="2">
        <v>43213</v>
      </c>
      <c r="B2093" s="1">
        <v>5236.04</v>
      </c>
      <c r="C2093" s="2">
        <f t="shared" si="279"/>
        <v>43213</v>
      </c>
      <c r="D2093" s="1">
        <f t="shared" si="280"/>
        <v>5236.04</v>
      </c>
      <c r="E2093" s="4">
        <f t="shared" si="281"/>
        <v>5263.4808000000012</v>
      </c>
      <c r="F2093" s="3">
        <f t="shared" si="282"/>
        <v>0.99478656785448871</v>
      </c>
      <c r="G2093" s="18">
        <f t="shared" si="283"/>
        <v>1</v>
      </c>
      <c r="H2093" s="3">
        <f t="shared" si="284"/>
        <v>5.5388435276748638E-5</v>
      </c>
      <c r="I2093" s="3">
        <f t="shared" si="285"/>
        <v>5.5388435276748638E-5</v>
      </c>
      <c r="K2093" s="12" t="str">
        <f>IF(AND(G2093=1,G2092&lt;&gt;1),MAX($K$50:K2092)+1,"")</f>
        <v/>
      </c>
      <c r="L2093" s="13" t="str">
        <f>IF(AND(G2093&lt;&gt;1,G2092=1),MAX($L$50:L2092)+1,"")</f>
        <v/>
      </c>
      <c r="M2093" s="13" t="str">
        <f>IF(AND(G2093=-1,G2092&lt;&gt;-1),MAX($M$50:M2092)+1,"")</f>
        <v/>
      </c>
      <c r="N2093" s="13" t="str">
        <f>IF(AND(G2093&lt;&gt;-1,G2092=-1),MAX($N$50:N2092)+1,"")</f>
        <v/>
      </c>
      <c r="T2093" s="7">
        <f t="shared" si="286"/>
        <v>142.50305611016151</v>
      </c>
      <c r="U2093" s="1">
        <f t="shared" si="287"/>
        <v>275.10468714699363</v>
      </c>
    </row>
    <row r="2094" spans="1:21" x14ac:dyDescent="0.3">
      <c r="A2094" s="2">
        <v>43214</v>
      </c>
      <c r="B2094" s="1">
        <v>5166.1000000000004</v>
      </c>
      <c r="C2094" s="2">
        <f t="shared" si="279"/>
        <v>43214</v>
      </c>
      <c r="D2094" s="1">
        <f t="shared" si="280"/>
        <v>5166.1000000000004</v>
      </c>
      <c r="E2094" s="4">
        <f t="shared" si="281"/>
        <v>5264.4630000000006</v>
      </c>
      <c r="F2094" s="3">
        <f t="shared" si="282"/>
        <v>0.9813156631550074</v>
      </c>
      <c r="G2094" s="18">
        <f t="shared" si="283"/>
        <v>1</v>
      </c>
      <c r="H2094" s="3">
        <f t="shared" si="284"/>
        <v>-1.3357422785158168E-2</v>
      </c>
      <c r="I2094" s="3">
        <f t="shared" si="285"/>
        <v>-1.3357422785158168E-2</v>
      </c>
      <c r="K2094" s="12" t="str">
        <f>IF(AND(G2094=1,G2093&lt;&gt;1),MAX($K$50:K2093)+1,"")</f>
        <v/>
      </c>
      <c r="L2094" s="13" t="str">
        <f>IF(AND(G2094&lt;&gt;1,G2093=1),MAX($L$50:L2093)+1,"")</f>
        <v/>
      </c>
      <c r="M2094" s="13" t="str">
        <f>IF(AND(G2094=-1,G2093&lt;&gt;-1),MAX($M$50:M2093)+1,"")</f>
        <v/>
      </c>
      <c r="N2094" s="13" t="str">
        <f>IF(AND(G2094&lt;&gt;-1,G2093=-1),MAX($N$50:N2093)+1,"")</f>
        <v/>
      </c>
      <c r="T2094" s="7">
        <f t="shared" si="286"/>
        <v>140.59958254152096</v>
      </c>
      <c r="U2094" s="1">
        <f t="shared" si="287"/>
        <v>271.42999753059257</v>
      </c>
    </row>
    <row r="2095" spans="1:21" x14ac:dyDescent="0.3">
      <c r="A2095" s="2">
        <v>43215</v>
      </c>
      <c r="B2095" s="1">
        <v>5175.59</v>
      </c>
      <c r="C2095" s="2">
        <f t="shared" si="279"/>
        <v>43215</v>
      </c>
      <c r="D2095" s="1">
        <f t="shared" si="280"/>
        <v>5175.59</v>
      </c>
      <c r="E2095" s="4">
        <f t="shared" si="281"/>
        <v>5264.2074000000011</v>
      </c>
      <c r="F2095" s="3">
        <f t="shared" si="282"/>
        <v>0.98316605079047592</v>
      </c>
      <c r="G2095" s="18">
        <f t="shared" si="283"/>
        <v>1</v>
      </c>
      <c r="H2095" s="3">
        <f t="shared" si="284"/>
        <v>1.8369756682989902E-3</v>
      </c>
      <c r="I2095" s="3">
        <f t="shared" si="285"/>
        <v>1.8369756682989902E-3</v>
      </c>
      <c r="K2095" s="12" t="str">
        <f>IF(AND(G2095=1,G2094&lt;&gt;1),MAX($K$50:K2094)+1,"")</f>
        <v/>
      </c>
      <c r="L2095" s="13" t="str">
        <f>IF(AND(G2095&lt;&gt;1,G2094=1),MAX($L$50:L2094)+1,"")</f>
        <v/>
      </c>
      <c r="M2095" s="13" t="str">
        <f>IF(AND(G2095=-1,G2094&lt;&gt;-1),MAX($M$50:M2094)+1,"")</f>
        <v/>
      </c>
      <c r="N2095" s="13" t="str">
        <f>IF(AND(G2095&lt;&gt;-1,G2094=-1),MAX($N$50:N2094)+1,"")</f>
        <v/>
      </c>
      <c r="T2095" s="7">
        <f t="shared" si="286"/>
        <v>140.85786055362274</v>
      </c>
      <c r="U2095" s="1">
        <f t="shared" si="287"/>
        <v>271.92860783170272</v>
      </c>
    </row>
    <row r="2096" spans="1:21" x14ac:dyDescent="0.3">
      <c r="A2096" s="2">
        <v>43216</v>
      </c>
      <c r="B2096" s="1">
        <v>5229.6099999999997</v>
      </c>
      <c r="C2096" s="2">
        <f t="shared" si="279"/>
        <v>43216</v>
      </c>
      <c r="D2096" s="1">
        <f t="shared" si="280"/>
        <v>5229.6099999999997</v>
      </c>
      <c r="E2096" s="4">
        <f t="shared" si="281"/>
        <v>5264.7552000000005</v>
      </c>
      <c r="F2096" s="3">
        <f t="shared" si="282"/>
        <v>0.99332443795297432</v>
      </c>
      <c r="G2096" s="18">
        <f t="shared" si="283"/>
        <v>1</v>
      </c>
      <c r="H2096" s="3">
        <f t="shared" si="284"/>
        <v>1.0437457372009629E-2</v>
      </c>
      <c r="I2096" s="3">
        <f t="shared" si="285"/>
        <v>1.0437457372009629E-2</v>
      </c>
      <c r="K2096" s="12" t="str">
        <f>IF(AND(G2096=1,G2095&lt;&gt;1),MAX($K$50:K2095)+1,"")</f>
        <v/>
      </c>
      <c r="L2096" s="13" t="str">
        <f>IF(AND(G2096&lt;&gt;1,G2095=1),MAX($L$50:L2095)+1,"")</f>
        <v/>
      </c>
      <c r="M2096" s="13" t="str">
        <f>IF(AND(G2096=-1,G2095&lt;&gt;-1),MAX($M$50:M2095)+1,"")</f>
        <v/>
      </c>
      <c r="N2096" s="13" t="str">
        <f>IF(AND(G2096&lt;&gt;-1,G2095=-1),MAX($N$50:N2095)+1,"")</f>
        <v/>
      </c>
      <c r="T2096" s="7">
        <f t="shared" si="286"/>
        <v>142.32805846866367</v>
      </c>
      <c r="U2096" s="1">
        <f t="shared" si="287"/>
        <v>274.76685108417604</v>
      </c>
    </row>
    <row r="2097" spans="1:21" x14ac:dyDescent="0.3">
      <c r="A2097" s="2">
        <v>43217</v>
      </c>
      <c r="B2097" s="1">
        <v>5235.7299999999996</v>
      </c>
      <c r="C2097" s="2">
        <f t="shared" si="279"/>
        <v>43217</v>
      </c>
      <c r="D2097" s="1">
        <f t="shared" si="280"/>
        <v>5235.7299999999996</v>
      </c>
      <c r="E2097" s="4">
        <f t="shared" si="281"/>
        <v>5264.0012000000015</v>
      </c>
      <c r="F2097" s="3">
        <f t="shared" si="282"/>
        <v>0.99462933253130681</v>
      </c>
      <c r="G2097" s="18">
        <f t="shared" si="283"/>
        <v>1</v>
      </c>
      <c r="H2097" s="3">
        <f t="shared" si="284"/>
        <v>1.1702593501234926E-3</v>
      </c>
      <c r="I2097" s="3">
        <f t="shared" si="285"/>
        <v>1.1702593501234926E-3</v>
      </c>
      <c r="K2097" s="12" t="str">
        <f>IF(AND(G2097=1,G2096&lt;&gt;1),MAX($K$50:K2096)+1,"")</f>
        <v/>
      </c>
      <c r="L2097" s="13" t="str">
        <f>IF(AND(G2097&lt;&gt;1,G2096=1),MAX($L$50:L2096)+1,"")</f>
        <v/>
      </c>
      <c r="M2097" s="13" t="str">
        <f>IF(AND(G2097=-1,G2096&lt;&gt;-1),MAX($M$50:M2096)+1,"")</f>
        <v/>
      </c>
      <c r="N2097" s="13" t="str">
        <f>IF(AND(G2097&lt;&gt;-1,G2096=-1),MAX($N$50:N2096)+1,"")</f>
        <v/>
      </c>
      <c r="T2097" s="7">
        <f t="shared" si="286"/>
        <v>142.49461920987156</v>
      </c>
      <c r="U2097" s="1">
        <f t="shared" si="287"/>
        <v>275.08839956076133</v>
      </c>
    </row>
    <row r="2098" spans="1:21" x14ac:dyDescent="0.3">
      <c r="A2098" s="2">
        <v>43220</v>
      </c>
      <c r="B2098" s="1">
        <v>5193.04</v>
      </c>
      <c r="C2098" s="2">
        <f t="shared" si="279"/>
        <v>43220</v>
      </c>
      <c r="D2098" s="1">
        <f t="shared" si="280"/>
        <v>5193.04</v>
      </c>
      <c r="E2098" s="4">
        <f t="shared" si="281"/>
        <v>5261.0950000000012</v>
      </c>
      <c r="F2098" s="3">
        <f t="shared" si="282"/>
        <v>0.98706447992290558</v>
      </c>
      <c r="G2098" s="18">
        <f t="shared" si="283"/>
        <v>1</v>
      </c>
      <c r="H2098" s="3">
        <f t="shared" si="284"/>
        <v>-8.1535908077764452E-3</v>
      </c>
      <c r="I2098" s="3">
        <f t="shared" si="285"/>
        <v>-8.1535908077764452E-3</v>
      </c>
      <c r="K2098" s="12" t="str">
        <f>IF(AND(G2098=1,G2097&lt;&gt;1),MAX($K$50:K2097)+1,"")</f>
        <v/>
      </c>
      <c r="L2098" s="13" t="str">
        <f>IF(AND(G2098&lt;&gt;1,G2097=1),MAX($L$50:L2097)+1,"")</f>
        <v/>
      </c>
      <c r="M2098" s="13" t="str">
        <f>IF(AND(G2098=-1,G2097&lt;&gt;-1),MAX($M$50:M2097)+1,"")</f>
        <v/>
      </c>
      <c r="N2098" s="13" t="str">
        <f>IF(AND(G2098&lt;&gt;-1,G2097=-1),MAX($N$50:N2097)+1,"")</f>
        <v/>
      </c>
      <c r="T2098" s="7">
        <f t="shared" si="286"/>
        <v>141.33277639252435</v>
      </c>
      <c r="U2098" s="1">
        <f t="shared" si="287"/>
        <v>272.84544131477674</v>
      </c>
    </row>
    <row r="2099" spans="1:21" x14ac:dyDescent="0.3">
      <c r="A2099" s="2">
        <v>43221</v>
      </c>
      <c r="B2099" s="1">
        <v>5206.3100000000004</v>
      </c>
      <c r="C2099" s="2">
        <f t="shared" si="279"/>
        <v>43221</v>
      </c>
      <c r="D2099" s="1">
        <f t="shared" si="280"/>
        <v>5206.3100000000004</v>
      </c>
      <c r="E2099" s="4">
        <f t="shared" si="281"/>
        <v>5258.4048000000012</v>
      </c>
      <c r="F2099" s="3">
        <f t="shared" si="282"/>
        <v>0.99009304114434082</v>
      </c>
      <c r="G2099" s="18">
        <f t="shared" si="283"/>
        <v>1</v>
      </c>
      <c r="H2099" s="3">
        <f t="shared" si="284"/>
        <v>2.5553433056553221E-3</v>
      </c>
      <c r="I2099" s="3">
        <f t="shared" si="285"/>
        <v>2.5553433056553221E-3</v>
      </c>
      <c r="K2099" s="12" t="str">
        <f>IF(AND(G2099=1,G2098&lt;&gt;1),MAX($K$50:K2098)+1,"")</f>
        <v/>
      </c>
      <c r="L2099" s="13" t="str">
        <f>IF(AND(G2099&lt;&gt;1,G2098=1),MAX($L$50:L2098)+1,"")</f>
        <v/>
      </c>
      <c r="M2099" s="13" t="str">
        <f>IF(AND(G2099=-1,G2098&lt;&gt;-1),MAX($M$50:M2098)+1,"")</f>
        <v/>
      </c>
      <c r="N2099" s="13" t="str">
        <f>IF(AND(G2099&lt;&gt;-1,G2098=-1),MAX($N$50:N2098)+1,"")</f>
        <v/>
      </c>
      <c r="T2099" s="7">
        <f t="shared" si="286"/>
        <v>141.69393015654867</v>
      </c>
      <c r="U2099" s="1">
        <f t="shared" si="287"/>
        <v>273.54265508671904</v>
      </c>
    </row>
    <row r="2100" spans="1:21" x14ac:dyDescent="0.3">
      <c r="A2100" s="2">
        <v>43222</v>
      </c>
      <c r="B2100" s="1">
        <v>5168.79</v>
      </c>
      <c r="C2100" s="2">
        <f t="shared" ref="C2100:C2163" si="288">A2100</f>
        <v>43222</v>
      </c>
      <c r="D2100" s="1">
        <f t="shared" ref="D2100:D2163" si="289">B2100</f>
        <v>5168.79</v>
      </c>
      <c r="E2100" s="4">
        <f t="shared" ref="E2100:E2163" si="290">AVERAGE(B2051:B2100)</f>
        <v>5255.5808000000015</v>
      </c>
      <c r="F2100" s="3">
        <f t="shared" ref="F2100:F2163" si="291">D2100/E2100</f>
        <v>0.9834859736149425</v>
      </c>
      <c r="G2100" s="18">
        <f t="shared" ref="G2100:G2163" si="292">IF(F2100&gt;=$Q$51,1,IF(F2100&lt;=$Q$52,-1,0))</f>
        <v>1</v>
      </c>
      <c r="H2100" s="3">
        <f t="shared" si="284"/>
        <v>-7.2066396353656081E-3</v>
      </c>
      <c r="I2100" s="3">
        <f t="shared" si="285"/>
        <v>-7.2066396353656081E-3</v>
      </c>
      <c r="K2100" s="12" t="str">
        <f>IF(AND(G2100=1,G2099&lt;&gt;1),MAX($K$50:K2099)+1,"")</f>
        <v/>
      </c>
      <c r="L2100" s="13" t="str">
        <f>IF(AND(G2100&lt;&gt;1,G2099=1),MAX($L$50:L2099)+1,"")</f>
        <v/>
      </c>
      <c r="M2100" s="13" t="str">
        <f>IF(AND(G2100=-1,G2099&lt;&gt;-1),MAX($M$50:M2099)+1,"")</f>
        <v/>
      </c>
      <c r="N2100" s="13" t="str">
        <f>IF(AND(G2100&lt;&gt;-1,G2099=-1),MAX($N$50:N2099)+1,"")</f>
        <v/>
      </c>
      <c r="T2100" s="7">
        <f t="shared" si="286"/>
        <v>140.67279306339177</v>
      </c>
      <c r="U2100" s="1">
        <f t="shared" si="287"/>
        <v>271.57133174660794</v>
      </c>
    </row>
    <row r="2101" spans="1:21" x14ac:dyDescent="0.3">
      <c r="A2101" s="2">
        <v>43223</v>
      </c>
      <c r="B2101" s="1">
        <v>5157.7</v>
      </c>
      <c r="C2101" s="2">
        <f t="shared" si="288"/>
        <v>43223</v>
      </c>
      <c r="D2101" s="1">
        <f t="shared" si="289"/>
        <v>5157.7</v>
      </c>
      <c r="E2101" s="4">
        <f t="shared" si="290"/>
        <v>5253.1166000000012</v>
      </c>
      <c r="F2101" s="3">
        <f t="shared" si="291"/>
        <v>0.98183619225204299</v>
      </c>
      <c r="G2101" s="18">
        <f t="shared" si="292"/>
        <v>1</v>
      </c>
      <c r="H2101" s="3">
        <f t="shared" ref="H2101:H2164" si="293">D2101/D2100-1</f>
        <v>-2.1455698529055933E-3</v>
      </c>
      <c r="I2101" s="3">
        <f t="shared" ref="I2101:I2164" si="294">G2100*H2101</f>
        <v>-2.1455698529055933E-3</v>
      </c>
      <c r="K2101" s="12" t="str">
        <f>IF(AND(G2101=1,G2100&lt;&gt;1),MAX($K$50:K2100)+1,"")</f>
        <v/>
      </c>
      <c r="L2101" s="13" t="str">
        <f>IF(AND(G2101&lt;&gt;1,G2100=1),MAX($L$50:L2100)+1,"")</f>
        <v/>
      </c>
      <c r="M2101" s="13" t="str">
        <f>IF(AND(G2101=-1,G2100&lt;&gt;-1),MAX($M$50:M2100)+1,"")</f>
        <v/>
      </c>
      <c r="N2101" s="13" t="str">
        <f>IF(AND(G2101&lt;&gt;-1,G2100=-1),MAX($N$50:N2100)+1,"")</f>
        <v/>
      </c>
      <c r="T2101" s="7">
        <f t="shared" ref="T2101:T2164" si="295">T2100*(1+I2101)</f>
        <v>140.37096975947094</v>
      </c>
      <c r="U2101" s="1">
        <f t="shared" ref="U2101:U2164" si="296">U2100*D2101/D2100</f>
        <v>270.98865648429899</v>
      </c>
    </row>
    <row r="2102" spans="1:21" x14ac:dyDescent="0.3">
      <c r="A2102" s="2">
        <v>43224</v>
      </c>
      <c r="B2102" s="1">
        <v>5224.71</v>
      </c>
      <c r="C2102" s="2">
        <f t="shared" si="288"/>
        <v>43224</v>
      </c>
      <c r="D2102" s="1">
        <f t="shared" si="289"/>
        <v>5224.71</v>
      </c>
      <c r="E2102" s="4">
        <f t="shared" si="290"/>
        <v>5251.8808000000017</v>
      </c>
      <c r="F2102" s="3">
        <f t="shared" si="291"/>
        <v>0.99482646293114618</v>
      </c>
      <c r="G2102" s="18">
        <f t="shared" si="292"/>
        <v>1</v>
      </c>
      <c r="H2102" s="3">
        <f t="shared" si="293"/>
        <v>1.299222521666632E-2</v>
      </c>
      <c r="I2102" s="3">
        <f t="shared" si="294"/>
        <v>1.299222521666632E-2</v>
      </c>
      <c r="K2102" s="12" t="str">
        <f>IF(AND(G2102=1,G2101&lt;&gt;1),MAX($K$50:K2101)+1,"")</f>
        <v/>
      </c>
      <c r="L2102" s="13" t="str">
        <f>IF(AND(G2102&lt;&gt;1,G2101=1),MAX($L$50:L2101)+1,"")</f>
        <v/>
      </c>
      <c r="M2102" s="13" t="str">
        <f>IF(AND(G2102=-1,G2101&lt;&gt;-1),MAX($M$50:M2101)+1,"")</f>
        <v/>
      </c>
      <c r="N2102" s="13" t="str">
        <f>IF(AND(G2102&lt;&gt;-1,G2101=-1),MAX($N$50:N2101)+1,"")</f>
        <v/>
      </c>
      <c r="T2102" s="7">
        <f t="shared" si="295"/>
        <v>142.19470101246785</v>
      </c>
      <c r="U2102" s="1">
        <f t="shared" si="296"/>
        <v>274.50940214050485</v>
      </c>
    </row>
    <row r="2103" spans="1:21" x14ac:dyDescent="0.3">
      <c r="A2103" s="2">
        <v>43227</v>
      </c>
      <c r="B2103" s="1">
        <v>5242.87</v>
      </c>
      <c r="C2103" s="2">
        <f t="shared" si="288"/>
        <v>43227</v>
      </c>
      <c r="D2103" s="1">
        <f t="shared" si="289"/>
        <v>5242.87</v>
      </c>
      <c r="E2103" s="4">
        <f t="shared" si="290"/>
        <v>5249.3070000000016</v>
      </c>
      <c r="F2103" s="3">
        <f t="shared" si="291"/>
        <v>0.99877374289596665</v>
      </c>
      <c r="G2103" s="18">
        <f t="shared" si="292"/>
        <v>1</v>
      </c>
      <c r="H2103" s="3">
        <f t="shared" si="293"/>
        <v>3.4757910008402781E-3</v>
      </c>
      <c r="I2103" s="3">
        <f t="shared" si="294"/>
        <v>3.4757910008402781E-3</v>
      </c>
      <c r="K2103" s="12" t="str">
        <f>IF(AND(G2103=1,G2102&lt;&gt;1),MAX($K$50:K2102)+1,"")</f>
        <v/>
      </c>
      <c r="L2103" s="13" t="str">
        <f>IF(AND(G2103&lt;&gt;1,G2102=1),MAX($L$50:L2102)+1,"")</f>
        <v/>
      </c>
      <c r="M2103" s="13" t="str">
        <f>IF(AND(G2103=-1,G2102&lt;&gt;-1),MAX($M$50:M2102)+1,"")</f>
        <v/>
      </c>
      <c r="N2103" s="13" t="str">
        <f>IF(AND(G2103&lt;&gt;-1,G2102=-1),MAX($N$50:N2102)+1,"")</f>
        <v/>
      </c>
      <c r="T2103" s="7">
        <f t="shared" si="295"/>
        <v>142.68894007461415</v>
      </c>
      <c r="U2103" s="1">
        <f t="shared" si="296"/>
        <v>275.46353945011083</v>
      </c>
    </row>
    <row r="2104" spans="1:21" x14ac:dyDescent="0.3">
      <c r="A2104" s="2">
        <v>43228</v>
      </c>
      <c r="B2104" s="1">
        <v>5241.53</v>
      </c>
      <c r="C2104" s="2">
        <f t="shared" si="288"/>
        <v>43228</v>
      </c>
      <c r="D2104" s="1">
        <f t="shared" si="289"/>
        <v>5241.53</v>
      </c>
      <c r="E2104" s="4">
        <f t="shared" si="290"/>
        <v>5245.4300000000012</v>
      </c>
      <c r="F2104" s="3">
        <f t="shared" si="291"/>
        <v>0.99925649565431218</v>
      </c>
      <c r="G2104" s="18">
        <f t="shared" si="292"/>
        <v>1</v>
      </c>
      <c r="H2104" s="3">
        <f t="shared" si="293"/>
        <v>-2.5558520428703435E-4</v>
      </c>
      <c r="I2104" s="3">
        <f t="shared" si="294"/>
        <v>-2.5558520428703435E-4</v>
      </c>
      <c r="K2104" s="12" t="str">
        <f>IF(AND(G2104=1,G2103&lt;&gt;1),MAX($K$50:K2103)+1,"")</f>
        <v/>
      </c>
      <c r="L2104" s="13" t="str">
        <f>IF(AND(G2104&lt;&gt;1,G2103=1),MAX($L$50:L2103)+1,"")</f>
        <v/>
      </c>
      <c r="M2104" s="13" t="str">
        <f>IF(AND(G2104=-1,G2103&lt;&gt;-1),MAX($M$50:M2103)+1,"")</f>
        <v/>
      </c>
      <c r="N2104" s="13" t="str">
        <f>IF(AND(G2104&lt;&gt;-1,G2103=-1),MAX($N$50:N2103)+1,"")</f>
        <v/>
      </c>
      <c r="T2104" s="7">
        <f t="shared" si="295"/>
        <v>142.65247089271568</v>
      </c>
      <c r="U2104" s="1">
        <f t="shared" si="296"/>
        <v>275.39313504510687</v>
      </c>
    </row>
    <row r="2105" spans="1:21" x14ac:dyDescent="0.3">
      <c r="A2105" s="2">
        <v>43229</v>
      </c>
      <c r="B2105" s="1">
        <v>5292.9</v>
      </c>
      <c r="C2105" s="2">
        <f t="shared" si="288"/>
        <v>43229</v>
      </c>
      <c r="D2105" s="1">
        <f t="shared" si="289"/>
        <v>5292.9</v>
      </c>
      <c r="E2105" s="4">
        <f t="shared" si="290"/>
        <v>5243.9462000000012</v>
      </c>
      <c r="F2105" s="3">
        <f t="shared" si="291"/>
        <v>1.0093352979098067</v>
      </c>
      <c r="G2105" s="18">
        <f t="shared" si="292"/>
        <v>1</v>
      </c>
      <c r="H2105" s="3">
        <f t="shared" si="293"/>
        <v>9.80057349666974E-3</v>
      </c>
      <c r="I2105" s="3">
        <f t="shared" si="294"/>
        <v>9.80057349666974E-3</v>
      </c>
      <c r="K2105" s="12" t="str">
        <f>IF(AND(G2105=1,G2104&lt;&gt;1),MAX($K$50:K2104)+1,"")</f>
        <v/>
      </c>
      <c r="L2105" s="13" t="str">
        <f>IF(AND(G2105&lt;&gt;1,G2104=1),MAX($L$50:L2104)+1,"")</f>
        <v/>
      </c>
      <c r="M2105" s="13" t="str">
        <f>IF(AND(G2105=-1,G2104&lt;&gt;-1),MAX($M$50:M2104)+1,"")</f>
        <v/>
      </c>
      <c r="N2105" s="13" t="str">
        <f>IF(AND(G2105&lt;&gt;-1,G2104=-1),MAX($N$50:N2104)+1,"")</f>
        <v/>
      </c>
      <c r="T2105" s="7">
        <f t="shared" si="295"/>
        <v>144.05054691818128</v>
      </c>
      <c r="U2105" s="1">
        <f t="shared" si="296"/>
        <v>278.09214570559476</v>
      </c>
    </row>
    <row r="2106" spans="1:21" x14ac:dyDescent="0.3">
      <c r="A2106" s="2">
        <v>43230</v>
      </c>
      <c r="B2106" s="1">
        <v>5343.7</v>
      </c>
      <c r="C2106" s="2">
        <f t="shared" si="288"/>
        <v>43230</v>
      </c>
      <c r="D2106" s="1">
        <f t="shared" si="289"/>
        <v>5343.7</v>
      </c>
      <c r="E2106" s="4">
        <f t="shared" si="290"/>
        <v>5244.6584000000012</v>
      </c>
      <c r="F2106" s="3">
        <f t="shared" si="291"/>
        <v>1.0188842804328302</v>
      </c>
      <c r="G2106" s="18">
        <f t="shared" si="292"/>
        <v>1</v>
      </c>
      <c r="H2106" s="3">
        <f t="shared" si="293"/>
        <v>9.5977630410550852E-3</v>
      </c>
      <c r="I2106" s="3">
        <f t="shared" si="294"/>
        <v>9.5977630410550852E-3</v>
      </c>
      <c r="K2106" s="12" t="str">
        <f>IF(AND(G2106=1,G2105&lt;&gt;1),MAX($K$50:K2105)+1,"")</f>
        <v/>
      </c>
      <c r="L2106" s="13" t="str">
        <f>IF(AND(G2106&lt;&gt;1,G2105=1),MAX($L$50:L2105)+1,"")</f>
        <v/>
      </c>
      <c r="M2106" s="13" t="str">
        <f>IF(AND(G2106=-1,G2105&lt;&gt;-1),MAX($M$50:M2105)+1,"")</f>
        <v/>
      </c>
      <c r="N2106" s="13" t="str">
        <f>IF(AND(G2106&lt;&gt;-1,G2105=-1),MAX($N$50:N2105)+1,"")</f>
        <v/>
      </c>
      <c r="T2106" s="7">
        <f t="shared" si="295"/>
        <v>145.43310993343638</v>
      </c>
      <c r="U2106" s="1">
        <f t="shared" si="296"/>
        <v>280.76120822365561</v>
      </c>
    </row>
    <row r="2107" spans="1:21" x14ac:dyDescent="0.3">
      <c r="A2107" s="2">
        <v>43231</v>
      </c>
      <c r="B2107" s="1">
        <v>5354.69</v>
      </c>
      <c r="C2107" s="2">
        <f t="shared" si="288"/>
        <v>43231</v>
      </c>
      <c r="D2107" s="1">
        <f t="shared" si="289"/>
        <v>5354.69</v>
      </c>
      <c r="E2107" s="4">
        <f t="shared" si="290"/>
        <v>5246.9886000000006</v>
      </c>
      <c r="F2107" s="3">
        <f t="shared" si="291"/>
        <v>1.0205263262817075</v>
      </c>
      <c r="G2107" s="18">
        <f t="shared" si="292"/>
        <v>1</v>
      </c>
      <c r="H2107" s="3">
        <f t="shared" si="293"/>
        <v>2.0566274304321119E-3</v>
      </c>
      <c r="I2107" s="3">
        <f t="shared" si="294"/>
        <v>2.0566274304321119E-3</v>
      </c>
      <c r="K2107" s="12" t="str">
        <f>IF(AND(G2107=1,G2106&lt;&gt;1),MAX($K$50:K2106)+1,"")</f>
        <v/>
      </c>
      <c r="L2107" s="13" t="str">
        <f>IF(AND(G2107&lt;&gt;1,G2106=1),MAX($L$50:L2106)+1,"")</f>
        <v/>
      </c>
      <c r="M2107" s="13" t="str">
        <f>IF(AND(G2107=-1,G2106&lt;&gt;-1),MAX($M$50:M2106)+1,"")</f>
        <v/>
      </c>
      <c r="N2107" s="13" t="str">
        <f>IF(AND(G2107&lt;&gt;-1,G2106=-1),MAX($N$50:N2106)+1,"")</f>
        <v/>
      </c>
      <c r="T2107" s="7">
        <f t="shared" si="295"/>
        <v>145.73221165661855</v>
      </c>
      <c r="U2107" s="1">
        <f t="shared" si="296"/>
        <v>281.33862942588962</v>
      </c>
    </row>
    <row r="2108" spans="1:21" x14ac:dyDescent="0.3">
      <c r="A2108" s="2">
        <v>43234</v>
      </c>
      <c r="B2108" s="1">
        <v>5359.66</v>
      </c>
      <c r="C2108" s="2">
        <f t="shared" si="288"/>
        <v>43234</v>
      </c>
      <c r="D2108" s="1">
        <f t="shared" si="289"/>
        <v>5359.66</v>
      </c>
      <c r="E2108" s="4">
        <f t="shared" si="290"/>
        <v>5248.8770000000004</v>
      </c>
      <c r="F2108" s="3">
        <f t="shared" si="291"/>
        <v>1.0211060384916619</v>
      </c>
      <c r="G2108" s="18">
        <f t="shared" si="292"/>
        <v>1</v>
      </c>
      <c r="H2108" s="3">
        <f t="shared" si="293"/>
        <v>9.2815830608317107E-4</v>
      </c>
      <c r="I2108" s="3">
        <f t="shared" si="294"/>
        <v>9.2815830608317107E-4</v>
      </c>
      <c r="K2108" s="12" t="str">
        <f>IF(AND(G2108=1,G2107&lt;&gt;1),MAX($K$50:K2107)+1,"")</f>
        <v/>
      </c>
      <c r="L2108" s="13" t="str">
        <f>IF(AND(G2108&lt;&gt;1,G2107=1),MAX($L$50:L2107)+1,"")</f>
        <v/>
      </c>
      <c r="M2108" s="13" t="str">
        <f>IF(AND(G2108=-1,G2107&lt;&gt;-1),MAX($M$50:M2107)+1,"")</f>
        <v/>
      </c>
      <c r="N2108" s="13" t="str">
        <f>IF(AND(G2108&lt;&gt;-1,G2107=-1),MAX($N$50:N2107)+1,"")</f>
        <v/>
      </c>
      <c r="T2108" s="7">
        <f t="shared" si="295"/>
        <v>145.86747421933151</v>
      </c>
      <c r="U2108" s="1">
        <f t="shared" si="296"/>
        <v>281.59975621161328</v>
      </c>
    </row>
    <row r="2109" spans="1:21" x14ac:dyDescent="0.3">
      <c r="A2109" s="2">
        <v>43235</v>
      </c>
      <c r="B2109" s="1">
        <v>5323.23</v>
      </c>
      <c r="C2109" s="2">
        <f t="shared" si="288"/>
        <v>43235</v>
      </c>
      <c r="D2109" s="1">
        <f t="shared" si="289"/>
        <v>5323.23</v>
      </c>
      <c r="E2109" s="4">
        <f t="shared" si="290"/>
        <v>5248.8744000000006</v>
      </c>
      <c r="F2109" s="3">
        <f t="shared" si="291"/>
        <v>1.0141660086208195</v>
      </c>
      <c r="G2109" s="18">
        <f t="shared" si="292"/>
        <v>1</v>
      </c>
      <c r="H2109" s="3">
        <f t="shared" si="293"/>
        <v>-6.797072948657279E-3</v>
      </c>
      <c r="I2109" s="3">
        <f t="shared" si="294"/>
        <v>-6.797072948657279E-3</v>
      </c>
      <c r="K2109" s="12" t="str">
        <f>IF(AND(G2109=1,G2108&lt;&gt;1),MAX($K$50:K2108)+1,"")</f>
        <v/>
      </c>
      <c r="L2109" s="13" t="str">
        <f>IF(AND(G2109&lt;&gt;1,G2108=1),MAX($L$50:L2108)+1,"")</f>
        <v/>
      </c>
      <c r="M2109" s="13" t="str">
        <f>IF(AND(G2109=-1,G2108&lt;&gt;-1),MAX($M$50:M2108)+1,"")</f>
        <v/>
      </c>
      <c r="N2109" s="13" t="str">
        <f>IF(AND(G2109&lt;&gt;-1,G2108=-1),MAX($N$50:N2108)+1,"")</f>
        <v/>
      </c>
      <c r="T2109" s="7">
        <f t="shared" si="295"/>
        <v>144.87600235622634</v>
      </c>
      <c r="U2109" s="1">
        <f t="shared" si="296"/>
        <v>279.68570212631886</v>
      </c>
    </row>
    <row r="2110" spans="1:21" x14ac:dyDescent="0.3">
      <c r="A2110" s="2">
        <v>43236</v>
      </c>
      <c r="B2110" s="1">
        <v>5346.33</v>
      </c>
      <c r="C2110" s="2">
        <f t="shared" si="288"/>
        <v>43236</v>
      </c>
      <c r="D2110" s="1">
        <f t="shared" si="289"/>
        <v>5346.33</v>
      </c>
      <c r="E2110" s="4">
        <f t="shared" si="290"/>
        <v>5249.0472000000009</v>
      </c>
      <c r="F2110" s="3">
        <f t="shared" si="291"/>
        <v>1.0185334206939498</v>
      </c>
      <c r="G2110" s="18">
        <f t="shared" si="292"/>
        <v>1</v>
      </c>
      <c r="H2110" s="3">
        <f t="shared" si="293"/>
        <v>4.3394705845887227E-3</v>
      </c>
      <c r="I2110" s="3">
        <f t="shared" si="294"/>
        <v>4.3394705845887227E-3</v>
      </c>
      <c r="K2110" s="12" t="str">
        <f>IF(AND(G2110=1,G2109&lt;&gt;1),MAX($K$50:K2109)+1,"")</f>
        <v/>
      </c>
      <c r="L2110" s="13" t="str">
        <f>IF(AND(G2110&lt;&gt;1,G2109=1),MAX($L$50:L2109)+1,"")</f>
        <v/>
      </c>
      <c r="M2110" s="13" t="str">
        <f>IF(AND(G2110=-1,G2109&lt;&gt;-1),MAX($M$50:M2109)+1,"")</f>
        <v/>
      </c>
      <c r="N2110" s="13" t="str">
        <f>IF(AND(G2110&lt;&gt;-1,G2109=-1),MAX($N$50:N2109)+1,"")</f>
        <v/>
      </c>
      <c r="T2110" s="7">
        <f t="shared" si="295"/>
        <v>145.50468750686397</v>
      </c>
      <c r="U2110" s="1">
        <f t="shared" si="296"/>
        <v>280.89939000362608</v>
      </c>
    </row>
    <row r="2111" spans="1:21" x14ac:dyDescent="0.3">
      <c r="A2111" s="2">
        <v>43237</v>
      </c>
      <c r="B2111" s="1">
        <v>5343.29</v>
      </c>
      <c r="C2111" s="2">
        <f t="shared" si="288"/>
        <v>43237</v>
      </c>
      <c r="D2111" s="1">
        <f t="shared" si="289"/>
        <v>5343.29</v>
      </c>
      <c r="E2111" s="4">
        <f t="shared" si="290"/>
        <v>5249.2036000000007</v>
      </c>
      <c r="F2111" s="3">
        <f t="shared" si="291"/>
        <v>1.0179239380236651</v>
      </c>
      <c r="G2111" s="18">
        <f t="shared" si="292"/>
        <v>1</v>
      </c>
      <c r="H2111" s="3">
        <f t="shared" si="293"/>
        <v>-5.6861435788657655E-4</v>
      </c>
      <c r="I2111" s="3">
        <f t="shared" si="294"/>
        <v>-5.6861435788657655E-4</v>
      </c>
      <c r="K2111" s="12" t="str">
        <f>IF(AND(G2111=1,G2110&lt;&gt;1),MAX($K$50:K2110)+1,"")</f>
        <v/>
      </c>
      <c r="L2111" s="13" t="str">
        <f>IF(AND(G2111&lt;&gt;1,G2110=1),MAX($L$50:L2110)+1,"")</f>
        <v/>
      </c>
      <c r="M2111" s="13" t="str">
        <f>IF(AND(G2111=-1,G2110&lt;&gt;-1),MAX($M$50:M2110)+1,"")</f>
        <v/>
      </c>
      <c r="N2111" s="13" t="str">
        <f>IF(AND(G2111&lt;&gt;-1,G2110=-1),MAX($N$50:N2110)+1,"")</f>
        <v/>
      </c>
      <c r="T2111" s="7">
        <f t="shared" si="295"/>
        <v>145.42195145240777</v>
      </c>
      <c r="U2111" s="1">
        <f t="shared" si="296"/>
        <v>280.73966657734843</v>
      </c>
    </row>
    <row r="2112" spans="1:21" x14ac:dyDescent="0.3">
      <c r="A2112" s="2">
        <v>43238</v>
      </c>
      <c r="B2112" s="1">
        <v>5329.66</v>
      </c>
      <c r="C2112" s="2">
        <f t="shared" si="288"/>
        <v>43238</v>
      </c>
      <c r="D2112" s="1">
        <f t="shared" si="289"/>
        <v>5329.66</v>
      </c>
      <c r="E2112" s="4">
        <f t="shared" si="290"/>
        <v>5248.5822000000007</v>
      </c>
      <c r="F2112" s="3">
        <f t="shared" si="291"/>
        <v>1.0154475622007024</v>
      </c>
      <c r="G2112" s="18">
        <f t="shared" si="292"/>
        <v>1</v>
      </c>
      <c r="H2112" s="3">
        <f t="shared" si="293"/>
        <v>-2.5508628579021808E-3</v>
      </c>
      <c r="I2112" s="3">
        <f t="shared" si="294"/>
        <v>-2.5508628579021808E-3</v>
      </c>
      <c r="K2112" s="12" t="str">
        <f>IF(AND(G2112=1,G2111&lt;&gt;1),MAX($K$50:K2111)+1,"")</f>
        <v/>
      </c>
      <c r="L2112" s="13" t="str">
        <f>IF(AND(G2112&lt;&gt;1,G2111=1),MAX($L$50:L2111)+1,"")</f>
        <v/>
      </c>
      <c r="M2112" s="13" t="str">
        <f>IF(AND(G2112=-1,G2111&lt;&gt;-1),MAX($M$50:M2111)+1,"")</f>
        <v/>
      </c>
      <c r="N2112" s="13" t="str">
        <f>IF(AND(G2112&lt;&gt;-1,G2111=-1),MAX($N$50:N2111)+1,"")</f>
        <v/>
      </c>
      <c r="T2112" s="7">
        <f t="shared" si="295"/>
        <v>145.05099999772418</v>
      </c>
      <c r="U2112" s="1">
        <f t="shared" si="296"/>
        <v>280.02353818913645</v>
      </c>
    </row>
    <row r="2113" spans="1:21" x14ac:dyDescent="0.3">
      <c r="A2113" s="2">
        <v>43241</v>
      </c>
      <c r="B2113" s="1">
        <v>5369.19</v>
      </c>
      <c r="C2113" s="2">
        <f t="shared" si="288"/>
        <v>43241</v>
      </c>
      <c r="D2113" s="1">
        <f t="shared" si="289"/>
        <v>5369.19</v>
      </c>
      <c r="E2113" s="4">
        <f t="shared" si="290"/>
        <v>5246.8854000000001</v>
      </c>
      <c r="F2113" s="3">
        <f t="shared" si="291"/>
        <v>1.0233099430759436</v>
      </c>
      <c r="G2113" s="18">
        <f t="shared" si="292"/>
        <v>1</v>
      </c>
      <c r="H2113" s="3">
        <f t="shared" si="293"/>
        <v>7.4169834473494234E-3</v>
      </c>
      <c r="I2113" s="3">
        <f t="shared" si="294"/>
        <v>7.4169834473494234E-3</v>
      </c>
      <c r="K2113" s="12" t="str">
        <f>IF(AND(G2113=1,G2112&lt;&gt;1),MAX($K$50:K2112)+1,"")</f>
        <v/>
      </c>
      <c r="L2113" s="13" t="str">
        <f>IF(AND(G2113&lt;&gt;1,G2112=1),MAX($L$50:L2112)+1,"")</f>
        <v/>
      </c>
      <c r="M2113" s="13" t="str">
        <f>IF(AND(G2113=-1,G2112&lt;&gt;-1),MAX($M$50:M2112)+1,"")</f>
        <v/>
      </c>
      <c r="N2113" s="13" t="str">
        <f>IF(AND(G2113&lt;&gt;-1,G2112=-1),MAX($N$50:N2112)+1,"")</f>
        <v/>
      </c>
      <c r="T2113" s="7">
        <f t="shared" si="295"/>
        <v>146.12684086372877</v>
      </c>
      <c r="U2113" s="1">
        <f t="shared" si="296"/>
        <v>282.10046813675342</v>
      </c>
    </row>
    <row r="2114" spans="1:21" x14ac:dyDescent="0.3">
      <c r="A2114" s="2">
        <v>43242</v>
      </c>
      <c r="B2114" s="1">
        <v>5352.45</v>
      </c>
      <c r="C2114" s="2">
        <f t="shared" si="288"/>
        <v>43242</v>
      </c>
      <c r="D2114" s="1">
        <f t="shared" si="289"/>
        <v>5352.45</v>
      </c>
      <c r="E2114" s="4">
        <f t="shared" si="290"/>
        <v>5244.992400000001</v>
      </c>
      <c r="F2114" s="3">
        <f t="shared" si="291"/>
        <v>1.0204876559973659</v>
      </c>
      <c r="G2114" s="18">
        <f t="shared" si="292"/>
        <v>1</v>
      </c>
      <c r="H2114" s="3">
        <f t="shared" si="293"/>
        <v>-3.1177887167337381E-3</v>
      </c>
      <c r="I2114" s="3">
        <f t="shared" si="294"/>
        <v>-3.1177887167337381E-3</v>
      </c>
      <c r="K2114" s="12" t="str">
        <f>IF(AND(G2114=1,G2113&lt;&gt;1),MAX($K$50:K2113)+1,"")</f>
        <v/>
      </c>
      <c r="L2114" s="13" t="str">
        <f>IF(AND(G2114&lt;&gt;1,G2113=1),MAX($L$50:L2113)+1,"")</f>
        <v/>
      </c>
      <c r="M2114" s="13" t="str">
        <f>IF(AND(G2114=-1,G2113&lt;&gt;-1),MAX($M$50:M2113)+1,"")</f>
        <v/>
      </c>
      <c r="N2114" s="13" t="str">
        <f>IF(AND(G2114&lt;&gt;-1,G2113=-1),MAX($N$50:N2113)+1,"")</f>
        <v/>
      </c>
      <c r="T2114" s="7">
        <f t="shared" si="295"/>
        <v>145.67124824807189</v>
      </c>
      <c r="U2114" s="1">
        <f t="shared" si="296"/>
        <v>281.22093848021132</v>
      </c>
    </row>
    <row r="2115" spans="1:21" x14ac:dyDescent="0.3">
      <c r="A2115" s="2">
        <v>43243</v>
      </c>
      <c r="B2115" s="1">
        <v>5369.99</v>
      </c>
      <c r="C2115" s="2">
        <f t="shared" si="288"/>
        <v>43243</v>
      </c>
      <c r="D2115" s="1">
        <f t="shared" si="289"/>
        <v>5369.99</v>
      </c>
      <c r="E2115" s="4">
        <f t="shared" si="290"/>
        <v>5244.137200000001</v>
      </c>
      <c r="F2115" s="3">
        <f t="shared" si="291"/>
        <v>1.0239987618935673</v>
      </c>
      <c r="G2115" s="18">
        <f t="shared" si="292"/>
        <v>1</v>
      </c>
      <c r="H2115" s="3">
        <f t="shared" si="293"/>
        <v>3.2770039888274649E-3</v>
      </c>
      <c r="I2115" s="3">
        <f t="shared" si="294"/>
        <v>3.2770039888274649E-3</v>
      </c>
      <c r="K2115" s="12" t="str">
        <f>IF(AND(G2115=1,G2114&lt;&gt;1),MAX($K$50:K2114)+1,"")</f>
        <v/>
      </c>
      <c r="L2115" s="13" t="str">
        <f>IF(AND(G2115&lt;&gt;1,G2114=1),MAX($L$50:L2114)+1,"")</f>
        <v/>
      </c>
      <c r="M2115" s="13" t="str">
        <f>IF(AND(G2115=-1,G2114&lt;&gt;-1),MAX($M$50:M2114)+1,"")</f>
        <v/>
      </c>
      <c r="N2115" s="13" t="str">
        <f>IF(AND(G2115&lt;&gt;-1,G2114=-1),MAX($N$50:N2114)+1,"")</f>
        <v/>
      </c>
      <c r="T2115" s="7">
        <f t="shared" si="295"/>
        <v>146.1486135096383</v>
      </c>
      <c r="U2115" s="1">
        <f t="shared" si="296"/>
        <v>282.14250061735277</v>
      </c>
    </row>
    <row r="2116" spans="1:21" x14ac:dyDescent="0.3">
      <c r="A2116" s="2">
        <v>43244</v>
      </c>
      <c r="B2116" s="1">
        <v>5359.32</v>
      </c>
      <c r="C2116" s="2">
        <f t="shared" si="288"/>
        <v>43244</v>
      </c>
      <c r="D2116" s="1">
        <f t="shared" si="289"/>
        <v>5359.32</v>
      </c>
      <c r="E2116" s="4">
        <f t="shared" si="290"/>
        <v>5243.6582000000008</v>
      </c>
      <c r="F2116" s="3">
        <f t="shared" si="291"/>
        <v>1.0220574636233917</v>
      </c>
      <c r="G2116" s="18">
        <f t="shared" si="292"/>
        <v>1</v>
      </c>
      <c r="H2116" s="3">
        <f t="shared" si="293"/>
        <v>-1.9869683183767473E-3</v>
      </c>
      <c r="I2116" s="3">
        <f t="shared" si="294"/>
        <v>-1.9869683183767473E-3</v>
      </c>
      <c r="K2116" s="12" t="str">
        <f>IF(AND(G2116=1,G2115&lt;&gt;1),MAX($K$50:K2115)+1,"")</f>
        <v/>
      </c>
      <c r="L2116" s="13" t="str">
        <f>IF(AND(G2116&lt;&gt;1,G2115=1),MAX($L$50:L2115)+1,"")</f>
        <v/>
      </c>
      <c r="M2116" s="13" t="str">
        <f>IF(AND(G2116=-1,G2115&lt;&gt;-1),MAX($M$50:M2115)+1,"")</f>
        <v/>
      </c>
      <c r="N2116" s="13" t="str">
        <f>IF(AND(G2116&lt;&gt;-1,G2115=-1),MAX($N$50:N2115)+1,"")</f>
        <v/>
      </c>
      <c r="T2116" s="7">
        <f t="shared" si="295"/>
        <v>145.85822084481995</v>
      </c>
      <c r="U2116" s="1">
        <f t="shared" si="296"/>
        <v>281.58189240735851</v>
      </c>
    </row>
    <row r="2117" spans="1:21" x14ac:dyDescent="0.3">
      <c r="A2117" s="2">
        <v>43245</v>
      </c>
      <c r="B2117" s="1">
        <v>5347.31</v>
      </c>
      <c r="C2117" s="2">
        <f t="shared" si="288"/>
        <v>43245</v>
      </c>
      <c r="D2117" s="1">
        <f t="shared" si="289"/>
        <v>5347.31</v>
      </c>
      <c r="E2117" s="4">
        <f t="shared" si="290"/>
        <v>5243.0166000000017</v>
      </c>
      <c r="F2117" s="3">
        <f t="shared" si="291"/>
        <v>1.0198918691197734</v>
      </c>
      <c r="G2117" s="18">
        <f t="shared" si="292"/>
        <v>1</v>
      </c>
      <c r="H2117" s="3">
        <f t="shared" si="293"/>
        <v>-2.2409559421716629E-3</v>
      </c>
      <c r="I2117" s="3">
        <f t="shared" si="294"/>
        <v>-2.2409559421716629E-3</v>
      </c>
      <c r="K2117" s="12" t="str">
        <f>IF(AND(G2117=1,G2116&lt;&gt;1),MAX($K$50:K2116)+1,"")</f>
        <v/>
      </c>
      <c r="L2117" s="13" t="str">
        <f>IF(AND(G2117&lt;&gt;1,G2116=1),MAX($L$50:L2116)+1,"")</f>
        <v/>
      </c>
      <c r="M2117" s="13" t="str">
        <f>IF(AND(G2117=-1,G2116&lt;&gt;-1),MAX($M$50:M2116)+1,"")</f>
        <v/>
      </c>
      <c r="N2117" s="13" t="str">
        <f>IF(AND(G2117&lt;&gt;-1,G2116=-1),MAX($N$50:N2116)+1,"")</f>
        <v/>
      </c>
      <c r="T2117" s="7">
        <f t="shared" si="295"/>
        <v>145.53135899810317</v>
      </c>
      <c r="U2117" s="1">
        <f t="shared" si="296"/>
        <v>280.9508797923603</v>
      </c>
    </row>
    <row r="2118" spans="1:21" x14ac:dyDescent="0.3">
      <c r="A2118" s="2">
        <v>43249</v>
      </c>
      <c r="B2118" s="1">
        <v>5285.7</v>
      </c>
      <c r="C2118" s="2">
        <f t="shared" si="288"/>
        <v>43249</v>
      </c>
      <c r="D2118" s="1">
        <f t="shared" si="289"/>
        <v>5285.7</v>
      </c>
      <c r="E2118" s="4">
        <f t="shared" si="290"/>
        <v>5240.9558000000006</v>
      </c>
      <c r="F2118" s="3">
        <f t="shared" si="291"/>
        <v>1.0085374122025603</v>
      </c>
      <c r="G2118" s="18">
        <f t="shared" si="292"/>
        <v>1</v>
      </c>
      <c r="H2118" s="3">
        <f t="shared" si="293"/>
        <v>-1.1521680994743266E-2</v>
      </c>
      <c r="I2118" s="3">
        <f t="shared" si="294"/>
        <v>-1.1521680994743266E-2</v>
      </c>
      <c r="K2118" s="12" t="str">
        <f>IF(AND(G2118=1,G2117&lt;&gt;1),MAX($K$50:K2117)+1,"")</f>
        <v/>
      </c>
      <c r="L2118" s="13" t="str">
        <f>IF(AND(G2118&lt;&gt;1,G2117=1),MAX($L$50:L2117)+1,"")</f>
        <v/>
      </c>
      <c r="M2118" s="13" t="str">
        <f>IF(AND(G2118=-1,G2117&lt;&gt;-1),MAX($M$50:M2117)+1,"")</f>
        <v/>
      </c>
      <c r="N2118" s="13" t="str">
        <f>IF(AND(G2118&lt;&gt;-1,G2117=-1),MAX($N$50:N2117)+1,"")</f>
        <v/>
      </c>
      <c r="T2118" s="7">
        <f t="shared" si="295"/>
        <v>143.85459310499556</v>
      </c>
      <c r="U2118" s="1">
        <f t="shared" si="296"/>
        <v>277.71385338020025</v>
      </c>
    </row>
    <row r="2119" spans="1:21" x14ac:dyDescent="0.3">
      <c r="A2119" s="2">
        <v>43250</v>
      </c>
      <c r="B2119" s="1">
        <v>5353.76</v>
      </c>
      <c r="C2119" s="2">
        <f t="shared" si="288"/>
        <v>43250</v>
      </c>
      <c r="D2119" s="1">
        <f t="shared" si="289"/>
        <v>5353.76</v>
      </c>
      <c r="E2119" s="4">
        <f t="shared" si="290"/>
        <v>5241.7864000000009</v>
      </c>
      <c r="F2119" s="3">
        <f t="shared" si="291"/>
        <v>1.0213617250790683</v>
      </c>
      <c r="G2119" s="18">
        <f t="shared" si="292"/>
        <v>1</v>
      </c>
      <c r="H2119" s="3">
        <f t="shared" si="293"/>
        <v>1.2876251016894713E-2</v>
      </c>
      <c r="I2119" s="3">
        <f t="shared" si="294"/>
        <v>1.2876251016894713E-2</v>
      </c>
      <c r="K2119" s="12" t="str">
        <f>IF(AND(G2119=1,G2118&lt;&gt;1),MAX($K$50:K2118)+1,"")</f>
        <v/>
      </c>
      <c r="L2119" s="13" t="str">
        <f>IF(AND(G2119&lt;&gt;1,G2118=1),MAX($L$50:L2118)+1,"")</f>
        <v/>
      </c>
      <c r="M2119" s="13" t="str">
        <f>IF(AND(G2119=-1,G2118&lt;&gt;-1),MAX($M$50:M2118)+1,"")</f>
        <v/>
      </c>
      <c r="N2119" s="13" t="str">
        <f>IF(AND(G2119&lt;&gt;-1,G2118=-1),MAX($N$50:N2118)+1,"")</f>
        <v/>
      </c>
      <c r="T2119" s="7">
        <f t="shared" si="295"/>
        <v>145.70690095574872</v>
      </c>
      <c r="U2119" s="1">
        <f t="shared" si="296"/>
        <v>281.28976666719279</v>
      </c>
    </row>
    <row r="2120" spans="1:21" x14ac:dyDescent="0.3">
      <c r="A2120" s="2">
        <v>43251</v>
      </c>
      <c r="B2120" s="1">
        <v>5318.1</v>
      </c>
      <c r="C2120" s="2">
        <f t="shared" si="288"/>
        <v>43251</v>
      </c>
      <c r="D2120" s="1">
        <f t="shared" si="289"/>
        <v>5318.1</v>
      </c>
      <c r="E2120" s="4">
        <f t="shared" si="290"/>
        <v>5241.7444000000014</v>
      </c>
      <c r="F2120" s="3">
        <f t="shared" si="291"/>
        <v>1.0145668300804593</v>
      </c>
      <c r="G2120" s="18">
        <f t="shared" si="292"/>
        <v>1</v>
      </c>
      <c r="H2120" s="3">
        <f t="shared" si="293"/>
        <v>-6.6607393682196481E-3</v>
      </c>
      <c r="I2120" s="3">
        <f t="shared" si="294"/>
        <v>-6.6607393682196481E-3</v>
      </c>
      <c r="K2120" s="12" t="str">
        <f>IF(AND(G2120=1,G2119&lt;&gt;1),MAX($K$50:K2119)+1,"")</f>
        <v/>
      </c>
      <c r="L2120" s="13" t="str">
        <f>IF(AND(G2120&lt;&gt;1,G2119=1),MAX($L$50:L2119)+1,"")</f>
        <v/>
      </c>
      <c r="M2120" s="13" t="str">
        <f>IF(AND(G2120=-1,G2119&lt;&gt;-1),MAX($M$50:M2119)+1,"")</f>
        <v/>
      </c>
      <c r="N2120" s="13" t="str">
        <f>IF(AND(G2120&lt;&gt;-1,G2119=-1),MAX($N$50:N2119)+1,"")</f>
        <v/>
      </c>
      <c r="T2120" s="7">
        <f t="shared" si="295"/>
        <v>144.73638526433149</v>
      </c>
      <c r="U2120" s="1">
        <f t="shared" si="296"/>
        <v>279.41616884447529</v>
      </c>
    </row>
    <row r="2121" spans="1:21" x14ac:dyDescent="0.3">
      <c r="A2121" s="2">
        <v>43252</v>
      </c>
      <c r="B2121" s="1">
        <v>5376.29</v>
      </c>
      <c r="C2121" s="2">
        <f t="shared" si="288"/>
        <v>43252</v>
      </c>
      <c r="D2121" s="1">
        <f t="shared" si="289"/>
        <v>5376.29</v>
      </c>
      <c r="E2121" s="4">
        <f t="shared" si="290"/>
        <v>5243.0510000000022</v>
      </c>
      <c r="F2121" s="3">
        <f t="shared" si="291"/>
        <v>1.0254124936034377</v>
      </c>
      <c r="G2121" s="18">
        <f t="shared" si="292"/>
        <v>1</v>
      </c>
      <c r="H2121" s="3">
        <f t="shared" si="293"/>
        <v>1.0941877738289918E-2</v>
      </c>
      <c r="I2121" s="3">
        <f t="shared" si="294"/>
        <v>1.0941877738289918E-2</v>
      </c>
      <c r="K2121" s="12" t="str">
        <f>IF(AND(G2121=1,G2120&lt;&gt;1),MAX($K$50:K2120)+1,"")</f>
        <v/>
      </c>
      <c r="L2121" s="13" t="str">
        <f>IF(AND(G2121&lt;&gt;1,G2120=1),MAX($L$50:L2120)+1,"")</f>
        <v/>
      </c>
      <c r="M2121" s="13" t="str">
        <f>IF(AND(G2121=-1,G2120&lt;&gt;-1),MAX($M$50:M2120)+1,"")</f>
        <v/>
      </c>
      <c r="N2121" s="13" t="str">
        <f>IF(AND(G2121&lt;&gt;-1,G2120=-1),MAX($N$50:N2120)+1,"")</f>
        <v/>
      </c>
      <c r="T2121" s="7">
        <f t="shared" si="295"/>
        <v>146.32007309617583</v>
      </c>
      <c r="U2121" s="1">
        <f t="shared" si="296"/>
        <v>282.47350640207293</v>
      </c>
    </row>
    <row r="2122" spans="1:21" x14ac:dyDescent="0.3">
      <c r="A2122" s="2">
        <v>43255</v>
      </c>
      <c r="B2122" s="1">
        <v>5400.5</v>
      </c>
      <c r="C2122" s="2">
        <f t="shared" si="288"/>
        <v>43255</v>
      </c>
      <c r="D2122" s="1">
        <f t="shared" si="289"/>
        <v>5400.5</v>
      </c>
      <c r="E2122" s="4">
        <f t="shared" si="290"/>
        <v>5247.5106000000005</v>
      </c>
      <c r="F2122" s="3">
        <f t="shared" si="291"/>
        <v>1.0291546624031591</v>
      </c>
      <c r="G2122" s="18">
        <f t="shared" si="292"/>
        <v>1</v>
      </c>
      <c r="H2122" s="3">
        <f t="shared" si="293"/>
        <v>4.5031053012394295E-3</v>
      </c>
      <c r="I2122" s="3">
        <f t="shared" si="294"/>
        <v>4.5031053012394295E-3</v>
      </c>
      <c r="K2122" s="12" t="str">
        <f>IF(AND(G2122=1,G2121&lt;&gt;1),MAX($K$50:K2121)+1,"")</f>
        <v/>
      </c>
      <c r="L2122" s="13" t="str">
        <f>IF(AND(G2122&lt;&gt;1,G2121=1),MAX($L$50:L2121)+1,"")</f>
        <v/>
      </c>
      <c r="M2122" s="13" t="str">
        <f>IF(AND(G2122=-1,G2121&lt;&gt;-1),MAX($M$50:M2121)+1,"")</f>
        <v/>
      </c>
      <c r="N2122" s="13" t="str">
        <f>IF(AND(G2122&lt;&gt;-1,G2121=-1),MAX($N$50:N2121)+1,"")</f>
        <v/>
      </c>
      <c r="T2122" s="7">
        <f t="shared" si="295"/>
        <v>146.97896779301297</v>
      </c>
      <c r="U2122" s="1">
        <f t="shared" si="296"/>
        <v>283.74551434621179</v>
      </c>
    </row>
    <row r="2123" spans="1:21" x14ac:dyDescent="0.3">
      <c r="A2123" s="2">
        <v>43256</v>
      </c>
      <c r="B2123" s="1">
        <v>5404.62</v>
      </c>
      <c r="C2123" s="2">
        <f t="shared" si="288"/>
        <v>43256</v>
      </c>
      <c r="D2123" s="1">
        <f t="shared" si="289"/>
        <v>5404.62</v>
      </c>
      <c r="E2123" s="4">
        <f t="shared" si="290"/>
        <v>5254.2224000000015</v>
      </c>
      <c r="F2123" s="3">
        <f t="shared" si="291"/>
        <v>1.0286241404627254</v>
      </c>
      <c r="G2123" s="18">
        <f t="shared" si="292"/>
        <v>1</v>
      </c>
      <c r="H2123" s="3">
        <f t="shared" si="293"/>
        <v>7.6289232478465863E-4</v>
      </c>
      <c r="I2123" s="3">
        <f t="shared" si="294"/>
        <v>7.6289232478465863E-4</v>
      </c>
      <c r="K2123" s="12" t="str">
        <f>IF(AND(G2123=1,G2122&lt;&gt;1),MAX($K$50:K2122)+1,"")</f>
        <v/>
      </c>
      <c r="L2123" s="13" t="str">
        <f>IF(AND(G2123&lt;&gt;1,G2122=1),MAX($L$50:L2122)+1,"")</f>
        <v/>
      </c>
      <c r="M2123" s="13" t="str">
        <f>IF(AND(G2123=-1,G2122&lt;&gt;-1),MAX($M$50:M2122)+1,"")</f>
        <v/>
      </c>
      <c r="N2123" s="13" t="str">
        <f>IF(AND(G2123&lt;&gt;-1,G2122=-1),MAX($N$50:N2122)+1,"")</f>
        <v/>
      </c>
      <c r="T2123" s="7">
        <f t="shared" si="295"/>
        <v>147.09109691944704</v>
      </c>
      <c r="U2123" s="1">
        <f t="shared" si="296"/>
        <v>283.96198162129861</v>
      </c>
    </row>
    <row r="2124" spans="1:21" x14ac:dyDescent="0.3">
      <c r="A2124" s="2">
        <v>43257</v>
      </c>
      <c r="B2124" s="1">
        <v>5451.09</v>
      </c>
      <c r="C2124" s="2">
        <f t="shared" si="288"/>
        <v>43257</v>
      </c>
      <c r="D2124" s="1">
        <f t="shared" si="289"/>
        <v>5451.09</v>
      </c>
      <c r="E2124" s="4">
        <f t="shared" si="290"/>
        <v>5259.1104000000014</v>
      </c>
      <c r="F2124" s="3">
        <f t="shared" si="291"/>
        <v>1.0365041966032884</v>
      </c>
      <c r="G2124" s="18">
        <f t="shared" si="292"/>
        <v>1</v>
      </c>
      <c r="H2124" s="3">
        <f t="shared" si="293"/>
        <v>8.5981993183610328E-3</v>
      </c>
      <c r="I2124" s="3">
        <f t="shared" si="294"/>
        <v>8.5981993183610328E-3</v>
      </c>
      <c r="K2124" s="12" t="str">
        <f>IF(AND(G2124=1,G2123&lt;&gt;1),MAX($K$50:K2123)+1,"")</f>
        <v/>
      </c>
      <c r="L2124" s="13" t="str">
        <f>IF(AND(G2124&lt;&gt;1,G2123=1),MAX($L$50:L2123)+1,"")</f>
        <v/>
      </c>
      <c r="M2124" s="13" t="str">
        <f>IF(AND(G2124=-1,G2123&lt;&gt;-1),MAX($M$50:M2123)+1,"")</f>
        <v/>
      </c>
      <c r="N2124" s="13" t="str">
        <f>IF(AND(G2124&lt;&gt;-1,G2123=-1),MAX($N$50:N2123)+1,"")</f>
        <v/>
      </c>
      <c r="T2124" s="7">
        <f t="shared" si="295"/>
        <v>148.35581548871681</v>
      </c>
      <c r="U2124" s="1">
        <f t="shared" si="296"/>
        <v>286.4035433381153</v>
      </c>
    </row>
    <row r="2125" spans="1:21" x14ac:dyDescent="0.3">
      <c r="A2125" s="2">
        <v>43258</v>
      </c>
      <c r="B2125" s="1">
        <v>5448.18</v>
      </c>
      <c r="C2125" s="2">
        <f t="shared" si="288"/>
        <v>43258</v>
      </c>
      <c r="D2125" s="1">
        <f t="shared" si="289"/>
        <v>5448.18</v>
      </c>
      <c r="E2125" s="4">
        <f t="shared" si="290"/>
        <v>5265.7390000000005</v>
      </c>
      <c r="F2125" s="3">
        <f t="shared" si="291"/>
        <v>1.0346467988633694</v>
      </c>
      <c r="G2125" s="18">
        <f t="shared" si="292"/>
        <v>1</v>
      </c>
      <c r="H2125" s="3">
        <f t="shared" si="293"/>
        <v>-5.3383818649110903E-4</v>
      </c>
      <c r="I2125" s="3">
        <f t="shared" si="294"/>
        <v>-5.3383818649110903E-4</v>
      </c>
      <c r="K2125" s="12" t="str">
        <f>IF(AND(G2125=1,G2124&lt;&gt;1),MAX($K$50:K2124)+1,"")</f>
        <v/>
      </c>
      <c r="L2125" s="13" t="str">
        <f>IF(AND(G2125&lt;&gt;1,G2124=1),MAX($L$50:L2124)+1,"")</f>
        <v/>
      </c>
      <c r="M2125" s="13" t="str">
        <f>IF(AND(G2125=-1,G2124&lt;&gt;-1),MAX($M$50:M2124)+1,"")</f>
        <v/>
      </c>
      <c r="N2125" s="13" t="str">
        <f>IF(AND(G2125&lt;&gt;-1,G2124=-1),MAX($N$50:N2124)+1,"")</f>
        <v/>
      </c>
      <c r="T2125" s="7">
        <f t="shared" si="295"/>
        <v>148.27661748922091</v>
      </c>
      <c r="U2125" s="1">
        <f t="shared" si="296"/>
        <v>286.25065018993502</v>
      </c>
    </row>
    <row r="2126" spans="1:21" x14ac:dyDescent="0.3">
      <c r="A2126" s="2">
        <v>43259</v>
      </c>
      <c r="B2126" s="1">
        <v>5465.42</v>
      </c>
      <c r="C2126" s="2">
        <f t="shared" si="288"/>
        <v>43259</v>
      </c>
      <c r="D2126" s="1">
        <f t="shared" si="289"/>
        <v>5465.42</v>
      </c>
      <c r="E2126" s="4">
        <f t="shared" si="290"/>
        <v>5272.9936000000007</v>
      </c>
      <c r="F2126" s="3">
        <f t="shared" si="291"/>
        <v>1.0364928188041038</v>
      </c>
      <c r="G2126" s="18">
        <f t="shared" si="292"/>
        <v>1</v>
      </c>
      <c r="H2126" s="3">
        <f t="shared" si="293"/>
        <v>3.1643594741730396E-3</v>
      </c>
      <c r="I2126" s="3">
        <f t="shared" si="294"/>
        <v>3.1643594741730396E-3</v>
      </c>
      <c r="K2126" s="12" t="str">
        <f>IF(AND(G2126=1,G2125&lt;&gt;1),MAX($K$50:K2125)+1,"")</f>
        <v/>
      </c>
      <c r="L2126" s="13" t="str">
        <f>IF(AND(G2126&lt;&gt;1,G2125=1),MAX($L$50:L2125)+1,"")</f>
        <v/>
      </c>
      <c r="M2126" s="13" t="str">
        <f>IF(AND(G2126=-1,G2125&lt;&gt;-1),MAX($M$50:M2125)+1,"")</f>
        <v/>
      </c>
      <c r="N2126" s="13" t="str">
        <f>IF(AND(G2126&lt;&gt;-1,G2125=-1),MAX($N$50:N2125)+1,"")</f>
        <v/>
      </c>
      <c r="T2126" s="7">
        <f t="shared" si="295"/>
        <v>148.74581800857126</v>
      </c>
      <c r="U2126" s="1">
        <f t="shared" si="296"/>
        <v>287.15645014685174</v>
      </c>
    </row>
    <row r="2127" spans="1:21" x14ac:dyDescent="0.3">
      <c r="A2127" s="2">
        <v>43262</v>
      </c>
      <c r="B2127" s="1">
        <v>5471.29</v>
      </c>
      <c r="C2127" s="2">
        <f t="shared" si="288"/>
        <v>43262</v>
      </c>
      <c r="D2127" s="1">
        <f t="shared" si="289"/>
        <v>5471.29</v>
      </c>
      <c r="E2127" s="4">
        <f t="shared" si="290"/>
        <v>5278.9556000000021</v>
      </c>
      <c r="F2127" s="3">
        <f t="shared" si="291"/>
        <v>1.0364341764874851</v>
      </c>
      <c r="G2127" s="18">
        <f t="shared" si="292"/>
        <v>1</v>
      </c>
      <c r="H2127" s="3">
        <f t="shared" si="293"/>
        <v>1.0740254179917308E-3</v>
      </c>
      <c r="I2127" s="3">
        <f t="shared" si="294"/>
        <v>1.0740254179917308E-3</v>
      </c>
      <c r="K2127" s="12" t="str">
        <f>IF(AND(G2127=1,G2126&lt;&gt;1),MAX($K$50:K2126)+1,"")</f>
        <v/>
      </c>
      <c r="L2127" s="13" t="str">
        <f>IF(AND(G2127&lt;&gt;1,G2126=1),MAX($L$50:L2126)+1,"")</f>
        <v/>
      </c>
      <c r="M2127" s="13" t="str">
        <f>IF(AND(G2127=-1,G2126&lt;&gt;-1),MAX($M$50:M2126)+1,"")</f>
        <v/>
      </c>
      <c r="N2127" s="13" t="str">
        <f>IF(AND(G2127&lt;&gt;-1,G2126=-1),MAX($N$50:N2126)+1,"")</f>
        <v/>
      </c>
      <c r="T2127" s="7">
        <f t="shared" si="295"/>
        <v>148.90557479793245</v>
      </c>
      <c r="U2127" s="1">
        <f t="shared" si="296"/>
        <v>287.46486347324969</v>
      </c>
    </row>
    <row r="2128" spans="1:21" x14ac:dyDescent="0.3">
      <c r="A2128" s="2">
        <v>43263</v>
      </c>
      <c r="B2128" s="1">
        <v>5481.07</v>
      </c>
      <c r="C2128" s="2">
        <f t="shared" si="288"/>
        <v>43263</v>
      </c>
      <c r="D2128" s="1">
        <f t="shared" si="289"/>
        <v>5481.07</v>
      </c>
      <c r="E2128" s="4">
        <f t="shared" si="290"/>
        <v>5287.4232000000011</v>
      </c>
      <c r="F2128" s="3">
        <f t="shared" si="291"/>
        <v>1.0366240402319222</v>
      </c>
      <c r="G2128" s="18">
        <f t="shared" si="292"/>
        <v>1</v>
      </c>
      <c r="H2128" s="3">
        <f t="shared" si="293"/>
        <v>1.7875126341320158E-3</v>
      </c>
      <c r="I2128" s="3">
        <f t="shared" si="294"/>
        <v>1.7875126341320158E-3</v>
      </c>
      <c r="K2128" s="12" t="str">
        <f>IF(AND(G2128=1,G2127&lt;&gt;1),MAX($K$50:K2127)+1,"")</f>
        <v/>
      </c>
      <c r="L2128" s="13" t="str">
        <f>IF(AND(G2128&lt;&gt;1,G2127=1),MAX($L$50:L2127)+1,"")</f>
        <v/>
      </c>
      <c r="M2128" s="13" t="str">
        <f>IF(AND(G2128=-1,G2127&lt;&gt;-1),MAX($M$50:M2127)+1,"")</f>
        <v/>
      </c>
      <c r="N2128" s="13" t="str">
        <f>IF(AND(G2128&lt;&gt;-1,G2127=-1),MAX($N$50:N2127)+1,"")</f>
        <v/>
      </c>
      <c r="T2128" s="7">
        <f t="shared" si="295"/>
        <v>149.17174539417644</v>
      </c>
      <c r="U2128" s="1">
        <f t="shared" si="296"/>
        <v>287.97871054857717</v>
      </c>
    </row>
    <row r="2129" spans="1:21" x14ac:dyDescent="0.3">
      <c r="A2129" s="2">
        <v>43264</v>
      </c>
      <c r="B2129" s="1">
        <v>5459.21</v>
      </c>
      <c r="C2129" s="2">
        <f t="shared" si="288"/>
        <v>43264</v>
      </c>
      <c r="D2129" s="1">
        <f t="shared" si="289"/>
        <v>5459.21</v>
      </c>
      <c r="E2129" s="4">
        <f t="shared" si="290"/>
        <v>5294.1734000000024</v>
      </c>
      <c r="F2129" s="3">
        <f t="shared" si="291"/>
        <v>1.0311732517110221</v>
      </c>
      <c r="G2129" s="18">
        <f t="shared" si="292"/>
        <v>1</v>
      </c>
      <c r="H2129" s="3">
        <f t="shared" si="293"/>
        <v>-3.9882723628780203E-3</v>
      </c>
      <c r="I2129" s="3">
        <f t="shared" si="294"/>
        <v>-3.9882723628780203E-3</v>
      </c>
      <c r="K2129" s="12" t="str">
        <f>IF(AND(G2129=1,G2128&lt;&gt;1),MAX($K$50:K2128)+1,"")</f>
        <v/>
      </c>
      <c r="L2129" s="13" t="str">
        <f>IF(AND(G2129&lt;&gt;1,G2128=1),MAX($L$50:L2128)+1,"")</f>
        <v/>
      </c>
      <c r="M2129" s="13" t="str">
        <f>IF(AND(G2129=-1,G2128&lt;&gt;-1),MAX($M$50:M2128)+1,"")</f>
        <v/>
      </c>
      <c r="N2129" s="13" t="str">
        <f>IF(AND(G2129&lt;&gt;-1,G2128=-1),MAX($N$50:N2128)+1,"")</f>
        <v/>
      </c>
      <c r="T2129" s="7">
        <f t="shared" si="295"/>
        <v>148.57680784469858</v>
      </c>
      <c r="U2129" s="1">
        <f t="shared" si="296"/>
        <v>286.83017301619901</v>
      </c>
    </row>
    <row r="2130" spans="1:21" x14ac:dyDescent="0.3">
      <c r="A2130" s="2">
        <v>43265</v>
      </c>
      <c r="B2130" s="1">
        <v>5474.37</v>
      </c>
      <c r="C2130" s="2">
        <f t="shared" si="288"/>
        <v>43265</v>
      </c>
      <c r="D2130" s="1">
        <f t="shared" si="289"/>
        <v>5474.37</v>
      </c>
      <c r="E2130" s="4">
        <f t="shared" si="290"/>
        <v>5300.0346000000009</v>
      </c>
      <c r="F2130" s="3">
        <f t="shared" si="291"/>
        <v>1.0328932569610014</v>
      </c>
      <c r="G2130" s="18">
        <f t="shared" si="292"/>
        <v>1</v>
      </c>
      <c r="H2130" s="3">
        <f t="shared" si="293"/>
        <v>2.7769585709287448E-3</v>
      </c>
      <c r="I2130" s="3">
        <f t="shared" si="294"/>
        <v>2.7769585709287448E-3</v>
      </c>
      <c r="K2130" s="12" t="str">
        <f>IF(AND(G2130=1,G2129&lt;&gt;1),MAX($K$50:K2129)+1,"")</f>
        <v/>
      </c>
      <c r="L2130" s="13" t="str">
        <f>IF(AND(G2130&lt;&gt;1,G2129=1),MAX($L$50:L2129)+1,"")</f>
        <v/>
      </c>
      <c r="M2130" s="13" t="str">
        <f>IF(AND(G2130=-1,G2129&lt;&gt;-1),MAX($M$50:M2129)+1,"")</f>
        <v/>
      </c>
      <c r="N2130" s="13" t="str">
        <f>IF(AND(G2130&lt;&gt;-1,G2129=-1),MAX($N$50:N2129)+1,"")</f>
        <v/>
      </c>
      <c r="T2130" s="7">
        <f t="shared" si="295"/>
        <v>148.98939948468416</v>
      </c>
      <c r="U2130" s="1">
        <f t="shared" si="296"/>
        <v>287.62668852355733</v>
      </c>
    </row>
    <row r="2131" spans="1:21" x14ac:dyDescent="0.3">
      <c r="A2131" s="2">
        <v>43266</v>
      </c>
      <c r="B2131" s="1">
        <v>5469.37</v>
      </c>
      <c r="C2131" s="2">
        <f t="shared" si="288"/>
        <v>43266</v>
      </c>
      <c r="D2131" s="1">
        <f t="shared" si="289"/>
        <v>5469.37</v>
      </c>
      <c r="E2131" s="4">
        <f t="shared" si="290"/>
        <v>5305.0696000000007</v>
      </c>
      <c r="F2131" s="3">
        <f t="shared" si="291"/>
        <v>1.0309704513584514</v>
      </c>
      <c r="G2131" s="18">
        <f t="shared" si="292"/>
        <v>1</v>
      </c>
      <c r="H2131" s="3">
        <f t="shared" si="293"/>
        <v>-9.1334710660773144E-4</v>
      </c>
      <c r="I2131" s="3">
        <f t="shared" si="294"/>
        <v>-9.1334710660773144E-4</v>
      </c>
      <c r="K2131" s="12" t="str">
        <f>IF(AND(G2131=1,G2130&lt;&gt;1),MAX($K$50:K2130)+1,"")</f>
        <v/>
      </c>
      <c r="L2131" s="13" t="str">
        <f>IF(AND(G2131&lt;&gt;1,G2130=1),MAX($L$50:L2130)+1,"")</f>
        <v/>
      </c>
      <c r="M2131" s="13" t="str">
        <f>IF(AND(G2131=-1,G2130&lt;&gt;-1),MAX($M$50:M2130)+1,"")</f>
        <v/>
      </c>
      <c r="N2131" s="13" t="str">
        <f>IF(AND(G2131&lt;&gt;-1,G2130=-1),MAX($N$50:N2130)+1,"")</f>
        <v/>
      </c>
      <c r="T2131" s="7">
        <f t="shared" si="295"/>
        <v>148.85332044774961</v>
      </c>
      <c r="U2131" s="1">
        <f t="shared" si="296"/>
        <v>287.36398551981119</v>
      </c>
    </row>
    <row r="2132" spans="1:21" x14ac:dyDescent="0.3">
      <c r="A2132" s="2">
        <v>43269</v>
      </c>
      <c r="B2132" s="1">
        <v>5457.83</v>
      </c>
      <c r="C2132" s="2">
        <f t="shared" si="288"/>
        <v>43269</v>
      </c>
      <c r="D2132" s="1">
        <f t="shared" si="289"/>
        <v>5457.83</v>
      </c>
      <c r="E2132" s="4">
        <f t="shared" si="290"/>
        <v>5312.1592000000001</v>
      </c>
      <c r="F2132" s="3">
        <f t="shared" si="291"/>
        <v>1.0274221450290872</v>
      </c>
      <c r="G2132" s="18">
        <f t="shared" si="292"/>
        <v>1</v>
      </c>
      <c r="H2132" s="3">
        <f t="shared" si="293"/>
        <v>-2.1099322225411887E-3</v>
      </c>
      <c r="I2132" s="3">
        <f t="shared" si="294"/>
        <v>-2.1099322225411887E-3</v>
      </c>
      <c r="K2132" s="12" t="str">
        <f>IF(AND(G2132=1,G2131&lt;&gt;1),MAX($K$50:K2131)+1,"")</f>
        <v/>
      </c>
      <c r="L2132" s="13" t="str">
        <f>IF(AND(G2132&lt;&gt;1,G2131=1),MAX($L$50:L2131)+1,"")</f>
        <v/>
      </c>
      <c r="M2132" s="13" t="str">
        <f>IF(AND(G2132=-1,G2131&lt;&gt;-1),MAX($M$50:M2131)+1,"")</f>
        <v/>
      </c>
      <c r="N2132" s="13" t="str">
        <f>IF(AND(G2132&lt;&gt;-1,G2131=-1),MAX($N$50:N2131)+1,"")</f>
        <v/>
      </c>
      <c r="T2132" s="7">
        <f t="shared" si="295"/>
        <v>148.53925003050466</v>
      </c>
      <c r="U2132" s="1">
        <f t="shared" si="296"/>
        <v>286.75766698716507</v>
      </c>
    </row>
    <row r="2133" spans="1:21" x14ac:dyDescent="0.3">
      <c r="A2133" s="2">
        <v>43270</v>
      </c>
      <c r="B2133" s="1">
        <v>5436.13</v>
      </c>
      <c r="C2133" s="2">
        <f t="shared" si="288"/>
        <v>43270</v>
      </c>
      <c r="D2133" s="1">
        <f t="shared" si="289"/>
        <v>5436.13</v>
      </c>
      <c r="E2133" s="4">
        <f t="shared" si="290"/>
        <v>5318.4438</v>
      </c>
      <c r="F2133" s="3">
        <f t="shared" si="291"/>
        <v>1.0221279390035107</v>
      </c>
      <c r="G2133" s="18">
        <f t="shared" si="292"/>
        <v>1</v>
      </c>
      <c r="H2133" s="3">
        <f t="shared" si="293"/>
        <v>-3.9759391553052525E-3</v>
      </c>
      <c r="I2133" s="3">
        <f t="shared" si="294"/>
        <v>-3.9759391553052525E-3</v>
      </c>
      <c r="K2133" s="12" t="str">
        <f>IF(AND(G2133=1,G2132&lt;&gt;1),MAX($K$50:K2132)+1,"")</f>
        <v/>
      </c>
      <c r="L2133" s="13" t="str">
        <f>IF(AND(G2133&lt;&gt;1,G2132=1),MAX($L$50:L2132)+1,"")</f>
        <v/>
      </c>
      <c r="M2133" s="13" t="str">
        <f>IF(AND(G2133=-1,G2132&lt;&gt;-1),MAX($M$50:M2132)+1,"")</f>
        <v/>
      </c>
      <c r="N2133" s="13" t="str">
        <f>IF(AND(G2133&lt;&gt;-1,G2132=-1),MAX($N$50:N2132)+1,"")</f>
        <v/>
      </c>
      <c r="T2133" s="7">
        <f t="shared" si="295"/>
        <v>147.94866701020871</v>
      </c>
      <c r="U2133" s="1">
        <f t="shared" si="296"/>
        <v>285.61753595090681</v>
      </c>
    </row>
    <row r="2134" spans="1:21" x14ac:dyDescent="0.3">
      <c r="A2134" s="2">
        <v>43271</v>
      </c>
      <c r="B2134" s="1">
        <v>5445.43</v>
      </c>
      <c r="C2134" s="2">
        <f t="shared" si="288"/>
        <v>43271</v>
      </c>
      <c r="D2134" s="1">
        <f t="shared" si="289"/>
        <v>5445.43</v>
      </c>
      <c r="E2134" s="4">
        <f t="shared" si="290"/>
        <v>5323.1977999999999</v>
      </c>
      <c r="F2134" s="3">
        <f t="shared" si="291"/>
        <v>1.0229621751045961</v>
      </c>
      <c r="G2134" s="18">
        <f t="shared" si="292"/>
        <v>1</v>
      </c>
      <c r="H2134" s="3">
        <f t="shared" si="293"/>
        <v>1.7107758644476778E-3</v>
      </c>
      <c r="I2134" s="3">
        <f t="shared" si="294"/>
        <v>1.7107758644476778E-3</v>
      </c>
      <c r="K2134" s="12" t="str">
        <f>IF(AND(G2134=1,G2133&lt;&gt;1),MAX($K$50:K2133)+1,"")</f>
        <v/>
      </c>
      <c r="L2134" s="13" t="str">
        <f>IF(AND(G2134&lt;&gt;1,G2133=1),MAX($L$50:L2133)+1,"")</f>
        <v/>
      </c>
      <c r="M2134" s="13" t="str">
        <f>IF(AND(G2134=-1,G2133&lt;&gt;-1),MAX($M$50:M2133)+1,"")</f>
        <v/>
      </c>
      <c r="N2134" s="13" t="str">
        <f>IF(AND(G2134&lt;&gt;-1,G2133=-1),MAX($N$50:N2133)+1,"")</f>
        <v/>
      </c>
      <c r="T2134" s="7">
        <f t="shared" si="295"/>
        <v>148.20177401890697</v>
      </c>
      <c r="U2134" s="1">
        <f t="shared" si="296"/>
        <v>286.10616353787464</v>
      </c>
    </row>
    <row r="2135" spans="1:21" x14ac:dyDescent="0.3">
      <c r="A2135" s="2">
        <v>43272</v>
      </c>
      <c r="B2135" s="1">
        <v>5411.4</v>
      </c>
      <c r="C2135" s="2">
        <f t="shared" si="288"/>
        <v>43272</v>
      </c>
      <c r="D2135" s="1">
        <f t="shared" si="289"/>
        <v>5411.4</v>
      </c>
      <c r="E2135" s="4">
        <f t="shared" si="290"/>
        <v>5327.8420000000006</v>
      </c>
      <c r="F2135" s="3">
        <f t="shared" si="291"/>
        <v>1.0156832728898491</v>
      </c>
      <c r="G2135" s="18">
        <f t="shared" si="292"/>
        <v>1</v>
      </c>
      <c r="H2135" s="3">
        <f t="shared" si="293"/>
        <v>-6.2492769166072604E-3</v>
      </c>
      <c r="I2135" s="3">
        <f t="shared" si="294"/>
        <v>-6.2492769166072604E-3</v>
      </c>
      <c r="K2135" s="12" t="str">
        <f>IF(AND(G2135=1,G2134&lt;&gt;1),MAX($K$50:K2134)+1,"")</f>
        <v/>
      </c>
      <c r="L2135" s="13" t="str">
        <f>IF(AND(G2135&lt;&gt;1,G2134=1),MAX($L$50:L2134)+1,"")</f>
        <v/>
      </c>
      <c r="M2135" s="13" t="str">
        <f>IF(AND(G2135=-1,G2134&lt;&gt;-1),MAX($M$50:M2134)+1,"")</f>
        <v/>
      </c>
      <c r="N2135" s="13" t="str">
        <f>IF(AND(G2135&lt;&gt;-1,G2134=-1),MAX($N$50:N2134)+1,"")</f>
        <v/>
      </c>
      <c r="T2135" s="7">
        <f t="shared" si="295"/>
        <v>147.27562009353036</v>
      </c>
      <c r="U2135" s="1">
        <f t="shared" si="296"/>
        <v>284.31820689437831</v>
      </c>
    </row>
    <row r="2136" spans="1:21" x14ac:dyDescent="0.3">
      <c r="A2136" s="2">
        <v>43273</v>
      </c>
      <c r="B2136" s="1">
        <v>5421.63</v>
      </c>
      <c r="C2136" s="2">
        <f t="shared" si="288"/>
        <v>43273</v>
      </c>
      <c r="D2136" s="1">
        <f t="shared" si="289"/>
        <v>5421.63</v>
      </c>
      <c r="E2136" s="4">
        <f t="shared" si="290"/>
        <v>5331.8235999999997</v>
      </c>
      <c r="F2136" s="3">
        <f t="shared" si="291"/>
        <v>1.0168434679646943</v>
      </c>
      <c r="G2136" s="18">
        <f t="shared" si="292"/>
        <v>1</v>
      </c>
      <c r="H2136" s="3">
        <f t="shared" si="293"/>
        <v>1.8904534870829437E-3</v>
      </c>
      <c r="I2136" s="3">
        <f t="shared" si="294"/>
        <v>1.8904534870829437E-3</v>
      </c>
      <c r="K2136" s="12" t="str">
        <f>IF(AND(G2136=1,G2135&lt;&gt;1),MAX($K$50:K2135)+1,"")</f>
        <v/>
      </c>
      <c r="L2136" s="13" t="str">
        <f>IF(AND(G2136&lt;&gt;1,G2135=1),MAX($L$50:L2135)+1,"")</f>
        <v/>
      </c>
      <c r="M2136" s="13" t="str">
        <f>IF(AND(G2136=-1,G2135&lt;&gt;-1),MAX($M$50:M2135)+1,"")</f>
        <v/>
      </c>
      <c r="N2136" s="13" t="str">
        <f>IF(AND(G2136&lt;&gt;-1,G2135=-1),MAX($N$50:N2135)+1,"")</f>
        <v/>
      </c>
      <c r="T2136" s="7">
        <f t="shared" si="295"/>
        <v>147.55403780309848</v>
      </c>
      <c r="U2136" s="1">
        <f t="shared" si="296"/>
        <v>284.85569724004296</v>
      </c>
    </row>
    <row r="2137" spans="1:21" x14ac:dyDescent="0.3">
      <c r="A2137" s="2">
        <v>43276</v>
      </c>
      <c r="B2137" s="1">
        <v>5347.23</v>
      </c>
      <c r="C2137" s="2">
        <f t="shared" si="288"/>
        <v>43276</v>
      </c>
      <c r="D2137" s="1">
        <f t="shared" si="289"/>
        <v>5347.23</v>
      </c>
      <c r="E2137" s="4">
        <f t="shared" si="290"/>
        <v>5334.6168000000007</v>
      </c>
      <c r="F2137" s="3">
        <f t="shared" si="291"/>
        <v>1.0023644060056944</v>
      </c>
      <c r="G2137" s="18">
        <f t="shared" si="292"/>
        <v>1</v>
      </c>
      <c r="H2137" s="3">
        <f t="shared" si="293"/>
        <v>-1.3722810298747889E-2</v>
      </c>
      <c r="I2137" s="3">
        <f t="shared" si="294"/>
        <v>-1.3722810298747889E-2</v>
      </c>
      <c r="K2137" s="12" t="str">
        <f>IF(AND(G2137=1,G2136&lt;&gt;1),MAX($K$50:K2136)+1,"")</f>
        <v/>
      </c>
      <c r="L2137" s="13" t="str">
        <f>IF(AND(G2137&lt;&gt;1,G2136=1),MAX($L$50:L2136)+1,"")</f>
        <v/>
      </c>
      <c r="M2137" s="13" t="str">
        <f>IF(AND(G2137=-1,G2136&lt;&gt;-1),MAX($M$50:M2136)+1,"")</f>
        <v/>
      </c>
      <c r="N2137" s="13" t="str">
        <f>IF(AND(G2137&lt;&gt;-1,G2136=-1),MAX($N$50:N2136)+1,"")</f>
        <v/>
      </c>
      <c r="T2137" s="7">
        <f t="shared" si="295"/>
        <v>145.52918173351227</v>
      </c>
      <c r="U2137" s="1">
        <f t="shared" si="296"/>
        <v>280.94667654430026</v>
      </c>
    </row>
    <row r="2138" spans="1:21" x14ac:dyDescent="0.3">
      <c r="A2138" s="2">
        <v>43277</v>
      </c>
      <c r="B2138" s="1">
        <v>5359.01</v>
      </c>
      <c r="C2138" s="2">
        <f t="shared" si="288"/>
        <v>43277</v>
      </c>
      <c r="D2138" s="1">
        <f t="shared" si="289"/>
        <v>5359.01</v>
      </c>
      <c r="E2138" s="4">
        <f t="shared" si="290"/>
        <v>5336.7982000000011</v>
      </c>
      <c r="F2138" s="3">
        <f t="shared" si="291"/>
        <v>1.0041620085990883</v>
      </c>
      <c r="G2138" s="18">
        <f t="shared" si="292"/>
        <v>1</v>
      </c>
      <c r="H2138" s="3">
        <f t="shared" si="293"/>
        <v>2.2030097826353234E-3</v>
      </c>
      <c r="I2138" s="3">
        <f t="shared" si="294"/>
        <v>2.2030097826353234E-3</v>
      </c>
      <c r="K2138" s="12" t="str">
        <f>IF(AND(G2138=1,G2137&lt;&gt;1),MAX($K$50:K2137)+1,"")</f>
        <v/>
      </c>
      <c r="L2138" s="13" t="str">
        <f>IF(AND(G2138&lt;&gt;1,G2137=1),MAX($L$50:L2137)+1,"")</f>
        <v/>
      </c>
      <c r="M2138" s="13" t="str">
        <f>IF(AND(G2138=-1,G2137&lt;&gt;-1),MAX($M$50:M2137)+1,"")</f>
        <v/>
      </c>
      <c r="N2138" s="13" t="str">
        <f>IF(AND(G2138&lt;&gt;-1,G2137=-1),MAX($N$50:N2137)+1,"")</f>
        <v/>
      </c>
      <c r="T2138" s="7">
        <f t="shared" si="295"/>
        <v>145.84978394453012</v>
      </c>
      <c r="U2138" s="1">
        <f t="shared" si="296"/>
        <v>281.56560482112621</v>
      </c>
    </row>
    <row r="2139" spans="1:21" x14ac:dyDescent="0.3">
      <c r="A2139" s="2">
        <v>43278</v>
      </c>
      <c r="B2139" s="1">
        <v>5312.89</v>
      </c>
      <c r="C2139" s="2">
        <f t="shared" si="288"/>
        <v>43278</v>
      </c>
      <c r="D2139" s="1">
        <f t="shared" si="289"/>
        <v>5312.89</v>
      </c>
      <c r="E2139" s="4">
        <f t="shared" si="290"/>
        <v>5336.9380000000001</v>
      </c>
      <c r="F2139" s="3">
        <f t="shared" si="291"/>
        <v>0.99549404546202336</v>
      </c>
      <c r="G2139" s="18">
        <f t="shared" si="292"/>
        <v>1</v>
      </c>
      <c r="H2139" s="3">
        <f t="shared" si="293"/>
        <v>-8.6060671653905851E-3</v>
      </c>
      <c r="I2139" s="3">
        <f t="shared" si="294"/>
        <v>-8.6060671653905851E-3</v>
      </c>
      <c r="K2139" s="12" t="str">
        <f>IF(AND(G2139=1,G2138&lt;&gt;1),MAX($K$50:K2138)+1,"")</f>
        <v/>
      </c>
      <c r="L2139" s="13" t="str">
        <f>IF(AND(G2139&lt;&gt;1,G2138=1),MAX($L$50:L2138)+1,"")</f>
        <v/>
      </c>
      <c r="M2139" s="13" t="str">
        <f>IF(AND(G2139=-1,G2138&lt;&gt;-1),MAX($M$50:M2138)+1,"")</f>
        <v/>
      </c>
      <c r="N2139" s="13" t="str">
        <f>IF(AND(G2139&lt;&gt;-1,G2138=-1),MAX($N$50:N2138)+1,"")</f>
        <v/>
      </c>
      <c r="T2139" s="7">
        <f t="shared" si="295"/>
        <v>144.5945909078458</v>
      </c>
      <c r="U2139" s="1">
        <f t="shared" si="296"/>
        <v>279.14243231457181</v>
      </c>
    </row>
    <row r="2140" spans="1:21" x14ac:dyDescent="0.3">
      <c r="A2140" s="2">
        <v>43279</v>
      </c>
      <c r="B2140" s="1">
        <v>5346.44</v>
      </c>
      <c r="C2140" s="2">
        <f t="shared" si="288"/>
        <v>43279</v>
      </c>
      <c r="D2140" s="1">
        <f t="shared" si="289"/>
        <v>5346.44</v>
      </c>
      <c r="E2140" s="4">
        <f t="shared" si="290"/>
        <v>5337.6604000000007</v>
      </c>
      <c r="F2140" s="3">
        <f t="shared" si="291"/>
        <v>1.0016448404997813</v>
      </c>
      <c r="G2140" s="18">
        <f t="shared" si="292"/>
        <v>1</v>
      </c>
      <c r="H2140" s="3">
        <f t="shared" si="293"/>
        <v>6.3148305347935363E-3</v>
      </c>
      <c r="I2140" s="3">
        <f t="shared" si="294"/>
        <v>6.3148305347935363E-3</v>
      </c>
      <c r="K2140" s="12" t="str">
        <f>IF(AND(G2140=1,G2139&lt;&gt;1),MAX($K$50:K2139)+1,"")</f>
        <v/>
      </c>
      <c r="L2140" s="13" t="str">
        <f>IF(AND(G2140&lt;&gt;1,G2139=1),MAX($L$50:L2139)+1,"")</f>
        <v/>
      </c>
      <c r="M2140" s="13" t="str">
        <f>IF(AND(G2140=-1,G2139&lt;&gt;-1),MAX($M$50:M2139)+1,"")</f>
        <v/>
      </c>
      <c r="N2140" s="13" t="str">
        <f>IF(AND(G2140&lt;&gt;-1,G2139=-1),MAX($N$50:N2139)+1,"")</f>
        <v/>
      </c>
      <c r="T2140" s="7">
        <f t="shared" si="295"/>
        <v>145.50768124567665</v>
      </c>
      <c r="U2140" s="1">
        <f t="shared" si="296"/>
        <v>280.90516946970837</v>
      </c>
    </row>
    <row r="2141" spans="1:21" x14ac:dyDescent="0.3">
      <c r="A2141" s="2">
        <v>43280</v>
      </c>
      <c r="B2141" s="1">
        <v>5350.83</v>
      </c>
      <c r="C2141" s="2">
        <f t="shared" si="288"/>
        <v>43280</v>
      </c>
      <c r="D2141" s="1">
        <f t="shared" si="289"/>
        <v>5350.83</v>
      </c>
      <c r="E2141" s="4">
        <f t="shared" si="290"/>
        <v>5339.0656000000008</v>
      </c>
      <c r="F2141" s="3">
        <f t="shared" si="291"/>
        <v>1.002203456724712</v>
      </c>
      <c r="G2141" s="18">
        <f t="shared" si="292"/>
        <v>1</v>
      </c>
      <c r="H2141" s="3">
        <f t="shared" si="293"/>
        <v>8.2110712922989215E-4</v>
      </c>
      <c r="I2141" s="3">
        <f t="shared" si="294"/>
        <v>8.2110712922989215E-4</v>
      </c>
      <c r="K2141" s="12" t="str">
        <f>IF(AND(G2141=1,G2140&lt;&gt;1),MAX($K$50:K2140)+1,"")</f>
        <v/>
      </c>
      <c r="L2141" s="13" t="str">
        <f>IF(AND(G2141&lt;&gt;1,G2140=1),MAX($L$50:L2140)+1,"")</f>
        <v/>
      </c>
      <c r="M2141" s="13" t="str">
        <f>IF(AND(G2141=-1,G2140&lt;&gt;-1),MAX($M$50:M2140)+1,"")</f>
        <v/>
      </c>
      <c r="N2141" s="13" t="str">
        <f>IF(AND(G2141&lt;&gt;-1,G2140=-1),MAX($N$50:N2140)+1,"")</f>
        <v/>
      </c>
      <c r="T2141" s="7">
        <f t="shared" si="295"/>
        <v>145.62715864010519</v>
      </c>
      <c r="U2141" s="1">
        <f t="shared" si="296"/>
        <v>281.13582270699749</v>
      </c>
    </row>
    <row r="2142" spans="1:21" x14ac:dyDescent="0.3">
      <c r="A2142" s="2">
        <v>43283</v>
      </c>
      <c r="B2142" s="1">
        <v>5367.49</v>
      </c>
      <c r="C2142" s="2">
        <f t="shared" si="288"/>
        <v>43283</v>
      </c>
      <c r="D2142" s="1">
        <f t="shared" si="289"/>
        <v>5367.49</v>
      </c>
      <c r="E2142" s="4">
        <f t="shared" si="290"/>
        <v>5341.7004000000006</v>
      </c>
      <c r="F2142" s="3">
        <f t="shared" si="291"/>
        <v>1.0048279757509424</v>
      </c>
      <c r="G2142" s="18">
        <f t="shared" si="292"/>
        <v>1</v>
      </c>
      <c r="H2142" s="3">
        <f t="shared" si="293"/>
        <v>3.1135356570850536E-3</v>
      </c>
      <c r="I2142" s="3">
        <f t="shared" si="294"/>
        <v>3.1135356570850536E-3</v>
      </c>
      <c r="K2142" s="12" t="str">
        <f>IF(AND(G2142=1,G2141&lt;&gt;1),MAX($K$50:K2141)+1,"")</f>
        <v/>
      </c>
      <c r="L2142" s="13" t="str">
        <f>IF(AND(G2142&lt;&gt;1,G2141=1),MAX($L$50:L2141)+1,"")</f>
        <v/>
      </c>
      <c r="M2142" s="13" t="str">
        <f>IF(AND(G2142=-1,G2141&lt;&gt;-1),MAX($M$50:M2141)+1,"")</f>
        <v/>
      </c>
      <c r="N2142" s="13" t="str">
        <f>IF(AND(G2142&lt;&gt;-1,G2141=-1),MAX($N$50:N2141)+1,"")</f>
        <v/>
      </c>
      <c r="T2142" s="7">
        <f t="shared" si="295"/>
        <v>146.08057399117115</v>
      </c>
      <c r="U2142" s="1">
        <f t="shared" si="296"/>
        <v>282.01114911547967</v>
      </c>
    </row>
    <row r="2143" spans="1:21" x14ac:dyDescent="0.3">
      <c r="A2143" s="2">
        <v>43284</v>
      </c>
      <c r="B2143" s="1">
        <v>5340.93</v>
      </c>
      <c r="C2143" s="2">
        <f t="shared" si="288"/>
        <v>43284</v>
      </c>
      <c r="D2143" s="1">
        <f t="shared" si="289"/>
        <v>5340.93</v>
      </c>
      <c r="E2143" s="4">
        <f t="shared" si="290"/>
        <v>5343.7982000000011</v>
      </c>
      <c r="F2143" s="3">
        <f t="shared" si="291"/>
        <v>0.99946326565999433</v>
      </c>
      <c r="G2143" s="18">
        <f t="shared" si="292"/>
        <v>1</v>
      </c>
      <c r="H2143" s="3">
        <f t="shared" si="293"/>
        <v>-4.948309172443599E-3</v>
      </c>
      <c r="I2143" s="3">
        <f t="shared" si="294"/>
        <v>-4.948309172443599E-3</v>
      </c>
      <c r="K2143" s="12" t="str">
        <f>IF(AND(G2143=1,G2142&lt;&gt;1),MAX($K$50:K2142)+1,"")</f>
        <v/>
      </c>
      <c r="L2143" s="13" t="str">
        <f>IF(AND(G2143&lt;&gt;1,G2142=1),MAX($L$50:L2142)+1,"")</f>
        <v/>
      </c>
      <c r="M2143" s="13" t="str">
        <f>IF(AND(G2143=-1,G2142&lt;&gt;-1),MAX($M$50:M2142)+1,"")</f>
        <v/>
      </c>
      <c r="N2143" s="13" t="str">
        <f>IF(AND(G2143&lt;&gt;-1,G2142=-1),MAX($N$50:N2142)+1,"")</f>
        <v/>
      </c>
      <c r="T2143" s="7">
        <f t="shared" si="295"/>
        <v>145.35772214697482</v>
      </c>
      <c r="U2143" s="1">
        <f t="shared" si="296"/>
        <v>280.61567075958015</v>
      </c>
    </row>
    <row r="2144" spans="1:21" x14ac:dyDescent="0.3">
      <c r="A2144" s="2">
        <v>43286</v>
      </c>
      <c r="B2144" s="1">
        <v>5388.28</v>
      </c>
      <c r="C2144" s="2">
        <f t="shared" si="288"/>
        <v>43286</v>
      </c>
      <c r="D2144" s="1">
        <f t="shared" si="289"/>
        <v>5388.28</v>
      </c>
      <c r="E2144" s="4">
        <f t="shared" si="290"/>
        <v>5348.2418000000007</v>
      </c>
      <c r="F2144" s="3">
        <f t="shared" si="291"/>
        <v>1.0074862359439318</v>
      </c>
      <c r="G2144" s="18">
        <f t="shared" si="292"/>
        <v>1</v>
      </c>
      <c r="H2144" s="3">
        <f t="shared" si="293"/>
        <v>8.8654972074151406E-3</v>
      </c>
      <c r="I2144" s="3">
        <f t="shared" si="294"/>
        <v>8.8654972074151406E-3</v>
      </c>
      <c r="K2144" s="12" t="str">
        <f>IF(AND(G2144=1,G2143&lt;&gt;1),MAX($K$50:K2143)+1,"")</f>
        <v/>
      </c>
      <c r="L2144" s="13" t="str">
        <f>IF(AND(G2144&lt;&gt;1,G2143=1),MAX($L$50:L2143)+1,"")</f>
        <v/>
      </c>
      <c r="M2144" s="13" t="str">
        <f>IF(AND(G2144=-1,G2143&lt;&gt;-1),MAX($M$50:M2143)+1,"")</f>
        <v/>
      </c>
      <c r="N2144" s="13" t="str">
        <f>IF(AND(G2144&lt;&gt;-1,G2143=-1),MAX($N$50:N2143)+1,"")</f>
        <v/>
      </c>
      <c r="T2144" s="7">
        <f t="shared" si="295"/>
        <v>146.64639062674505</v>
      </c>
      <c r="U2144" s="1">
        <f t="shared" si="296"/>
        <v>283.10346820505612</v>
      </c>
    </row>
    <row r="2145" spans="1:21" x14ac:dyDescent="0.3">
      <c r="A2145" s="2">
        <v>43287</v>
      </c>
      <c r="B2145" s="1">
        <v>5434.36</v>
      </c>
      <c r="C2145" s="2">
        <f t="shared" si="288"/>
        <v>43287</v>
      </c>
      <c r="D2145" s="1">
        <f t="shared" si="289"/>
        <v>5434.36</v>
      </c>
      <c r="E2145" s="4">
        <f t="shared" si="290"/>
        <v>5353.4171999999999</v>
      </c>
      <c r="F2145" s="3">
        <f t="shared" si="291"/>
        <v>1.0151198378486175</v>
      </c>
      <c r="G2145" s="18">
        <f t="shared" si="292"/>
        <v>1</v>
      </c>
      <c r="H2145" s="3">
        <f t="shared" si="293"/>
        <v>8.5518941109221647E-3</v>
      </c>
      <c r="I2145" s="3">
        <f t="shared" si="294"/>
        <v>8.5518941109221647E-3</v>
      </c>
      <c r="K2145" s="12" t="str">
        <f>IF(AND(G2145=1,G2144&lt;&gt;1),MAX($K$50:K2144)+1,"")</f>
        <v/>
      </c>
      <c r="L2145" s="13" t="str">
        <f>IF(AND(G2145&lt;&gt;1,G2144=1),MAX($L$50:L2144)+1,"")</f>
        <v/>
      </c>
      <c r="M2145" s="13" t="str">
        <f>IF(AND(G2145=-1,G2144&lt;&gt;-1),MAX($M$50:M2144)+1,"")</f>
        <v/>
      </c>
      <c r="N2145" s="13" t="str">
        <f>IF(AND(G2145&lt;&gt;-1,G2144=-1),MAX($N$50:N2144)+1,"")</f>
        <v/>
      </c>
      <c r="T2145" s="7">
        <f t="shared" si="295"/>
        <v>147.90049503113389</v>
      </c>
      <c r="U2145" s="1">
        <f t="shared" si="296"/>
        <v>285.52453908758059</v>
      </c>
    </row>
    <row r="2146" spans="1:21" x14ac:dyDescent="0.3">
      <c r="A2146" s="2">
        <v>43290</v>
      </c>
      <c r="B2146" s="1">
        <v>5483.89</v>
      </c>
      <c r="C2146" s="2">
        <f t="shared" si="288"/>
        <v>43290</v>
      </c>
      <c r="D2146" s="1">
        <f t="shared" si="289"/>
        <v>5483.89</v>
      </c>
      <c r="E2146" s="4">
        <f t="shared" si="290"/>
        <v>5358.5028000000002</v>
      </c>
      <c r="F2146" s="3">
        <f t="shared" si="291"/>
        <v>1.0233996705199071</v>
      </c>
      <c r="G2146" s="18">
        <f t="shared" si="292"/>
        <v>1</v>
      </c>
      <c r="H2146" s="3">
        <f t="shared" si="293"/>
        <v>9.1142287224255103E-3</v>
      </c>
      <c r="I2146" s="3">
        <f t="shared" si="294"/>
        <v>9.1142287224255103E-3</v>
      </c>
      <c r="K2146" s="12" t="str">
        <f>IF(AND(G2146=1,G2145&lt;&gt;1),MAX($K$50:K2145)+1,"")</f>
        <v/>
      </c>
      <c r="L2146" s="13" t="str">
        <f>IF(AND(G2146&lt;&gt;1,G2145=1),MAX($L$50:L2145)+1,"")</f>
        <v/>
      </c>
      <c r="M2146" s="13" t="str">
        <f>IF(AND(G2146=-1,G2145&lt;&gt;-1),MAX($M$50:M2145)+1,"")</f>
        <v/>
      </c>
      <c r="N2146" s="13" t="str">
        <f>IF(AND(G2146&lt;&gt;-1,G2145=-1),MAX($N$50:N2145)+1,"")</f>
        <v/>
      </c>
      <c r="T2146" s="7">
        <f t="shared" si="295"/>
        <v>149.2484939710076</v>
      </c>
      <c r="U2146" s="1">
        <f t="shared" si="296"/>
        <v>288.12687504268996</v>
      </c>
    </row>
    <row r="2147" spans="1:21" x14ac:dyDescent="0.3">
      <c r="A2147" s="2">
        <v>43291</v>
      </c>
      <c r="B2147" s="1">
        <v>5503.05</v>
      </c>
      <c r="C2147" s="2">
        <f t="shared" si="288"/>
        <v>43291</v>
      </c>
      <c r="D2147" s="1">
        <f t="shared" si="289"/>
        <v>5503.05</v>
      </c>
      <c r="E2147" s="4">
        <f t="shared" si="290"/>
        <v>5363.8491999999978</v>
      </c>
      <c r="F2147" s="3">
        <f t="shared" si="291"/>
        <v>1.0259516617282982</v>
      </c>
      <c r="G2147" s="18">
        <f t="shared" si="292"/>
        <v>1</v>
      </c>
      <c r="H2147" s="3">
        <f t="shared" si="293"/>
        <v>3.4938702271563038E-3</v>
      </c>
      <c r="I2147" s="3">
        <f t="shared" si="294"/>
        <v>3.4938702271563038E-3</v>
      </c>
      <c r="K2147" s="12" t="str">
        <f>IF(AND(G2147=1,G2146&lt;&gt;1),MAX($K$50:K2146)+1,"")</f>
        <v/>
      </c>
      <c r="L2147" s="13" t="str">
        <f>IF(AND(G2147&lt;&gt;1,G2146=1),MAX($L$50:L2146)+1,"")</f>
        <v/>
      </c>
      <c r="M2147" s="13" t="str">
        <f>IF(AND(G2147=-1,G2146&lt;&gt;-1),MAX($M$50:M2146)+1,"")</f>
        <v/>
      </c>
      <c r="N2147" s="13" t="str">
        <f>IF(AND(G2147&lt;&gt;-1,G2146=-1),MAX($N$50:N2146)+1,"")</f>
        <v/>
      </c>
      <c r="T2147" s="7">
        <f t="shared" si="295"/>
        <v>149.76994884054082</v>
      </c>
      <c r="U2147" s="1">
        <f t="shared" si="296"/>
        <v>289.13355295304518</v>
      </c>
    </row>
    <row r="2148" spans="1:21" x14ac:dyDescent="0.3">
      <c r="A2148" s="2">
        <v>43292</v>
      </c>
      <c r="B2148" s="1">
        <v>5464.01</v>
      </c>
      <c r="C2148" s="2">
        <f t="shared" si="288"/>
        <v>43292</v>
      </c>
      <c r="D2148" s="1">
        <f t="shared" si="289"/>
        <v>5464.01</v>
      </c>
      <c r="E2148" s="4">
        <f t="shared" si="290"/>
        <v>5369.2685999999994</v>
      </c>
      <c r="F2148" s="3">
        <f t="shared" si="291"/>
        <v>1.0176451220935381</v>
      </c>
      <c r="G2148" s="18">
        <f t="shared" si="292"/>
        <v>1</v>
      </c>
      <c r="H2148" s="3">
        <f t="shared" si="293"/>
        <v>-7.0942477353467259E-3</v>
      </c>
      <c r="I2148" s="3">
        <f t="shared" si="294"/>
        <v>-7.0942477353467259E-3</v>
      </c>
      <c r="K2148" s="12" t="str">
        <f>IF(AND(G2148=1,G2147&lt;&gt;1),MAX($K$50:K2147)+1,"")</f>
        <v/>
      </c>
      <c r="L2148" s="13" t="str">
        <f>IF(AND(G2148&lt;&gt;1,G2147=1),MAX($L$50:L2147)+1,"")</f>
        <v/>
      </c>
      <c r="M2148" s="13" t="str">
        <f>IF(AND(G2148=-1,G2147&lt;&gt;-1),MAX($M$50:M2147)+1,"")</f>
        <v/>
      </c>
      <c r="N2148" s="13" t="str">
        <f>IF(AND(G2148&lt;&gt;-1,G2147=-1),MAX($N$50:N2147)+1,"")</f>
        <v/>
      </c>
      <c r="T2148" s="7">
        <f t="shared" si="295"/>
        <v>148.70744372015582</v>
      </c>
      <c r="U2148" s="1">
        <f t="shared" si="296"/>
        <v>287.08236789979526</v>
      </c>
    </row>
    <row r="2149" spans="1:21" x14ac:dyDescent="0.3">
      <c r="A2149" s="2">
        <v>43293</v>
      </c>
      <c r="B2149" s="1">
        <v>5512.36</v>
      </c>
      <c r="C2149" s="2">
        <f t="shared" si="288"/>
        <v>43293</v>
      </c>
      <c r="D2149" s="1">
        <f t="shared" si="289"/>
        <v>5512.36</v>
      </c>
      <c r="E2149" s="4">
        <f t="shared" si="290"/>
        <v>5375.3895999999995</v>
      </c>
      <c r="F2149" s="3">
        <f t="shared" si="291"/>
        <v>1.02548101815727</v>
      </c>
      <c r="G2149" s="18">
        <f t="shared" si="292"/>
        <v>1</v>
      </c>
      <c r="H2149" s="3">
        <f t="shared" si="293"/>
        <v>8.8488125021732866E-3</v>
      </c>
      <c r="I2149" s="3">
        <f t="shared" si="294"/>
        <v>8.8488125021732866E-3</v>
      </c>
      <c r="K2149" s="12" t="str">
        <f>IF(AND(G2149=1,G2148&lt;&gt;1),MAX($K$50:K2148)+1,"")</f>
        <v/>
      </c>
      <c r="L2149" s="13" t="str">
        <f>IF(AND(G2149&lt;&gt;1,G2148=1),MAX($L$50:L2148)+1,"")</f>
        <v/>
      </c>
      <c r="M2149" s="13" t="str">
        <f>IF(AND(G2149=-1,G2148&lt;&gt;-1),MAX($M$50:M2148)+1,"")</f>
        <v/>
      </c>
      <c r="N2149" s="13" t="str">
        <f>IF(AND(G2149&lt;&gt;-1,G2148=-1),MAX($N$50:N2148)+1,"")</f>
        <v/>
      </c>
      <c r="T2149" s="7">
        <f t="shared" si="295"/>
        <v>150.02332800731295</v>
      </c>
      <c r="U2149" s="1">
        <f t="shared" si="296"/>
        <v>289.62270594602046</v>
      </c>
    </row>
    <row r="2150" spans="1:21" x14ac:dyDescent="0.3">
      <c r="A2150" s="2">
        <v>43294</v>
      </c>
      <c r="B2150" s="1">
        <v>5518.33</v>
      </c>
      <c r="C2150" s="2">
        <f t="shared" si="288"/>
        <v>43294</v>
      </c>
      <c r="D2150" s="1">
        <f t="shared" si="289"/>
        <v>5518.33</v>
      </c>
      <c r="E2150" s="4">
        <f t="shared" si="290"/>
        <v>5382.3804</v>
      </c>
      <c r="F2150" s="3">
        <f t="shared" si="291"/>
        <v>1.0252582667698478</v>
      </c>
      <c r="G2150" s="18">
        <f t="shared" si="292"/>
        <v>1</v>
      </c>
      <c r="H2150" s="3">
        <f t="shared" si="293"/>
        <v>1.0830207025667171E-3</v>
      </c>
      <c r="I2150" s="3">
        <f t="shared" si="294"/>
        <v>1.0830207025667171E-3</v>
      </c>
      <c r="K2150" s="12" t="str">
        <f>IF(AND(G2150=1,G2149&lt;&gt;1),MAX($K$50:K2149)+1,"")</f>
        <v/>
      </c>
      <c r="L2150" s="13" t="str">
        <f>IF(AND(G2150&lt;&gt;1,G2149=1),MAX($L$50:L2149)+1,"")</f>
        <v/>
      </c>
      <c r="M2150" s="13" t="str">
        <f>IF(AND(G2150=-1,G2149&lt;&gt;-1),MAX($M$50:M2149)+1,"")</f>
        <v/>
      </c>
      <c r="N2150" s="13" t="str">
        <f>IF(AND(G2150&lt;&gt;-1,G2149=-1),MAX($N$50:N2149)+1,"")</f>
        <v/>
      </c>
      <c r="T2150" s="7">
        <f t="shared" si="295"/>
        <v>150.18580637741283</v>
      </c>
      <c r="U2150" s="1">
        <f t="shared" si="296"/>
        <v>289.93637333249336</v>
      </c>
    </row>
    <row r="2151" spans="1:21" x14ac:dyDescent="0.3">
      <c r="A2151" s="2">
        <v>43297</v>
      </c>
      <c r="B2151" s="1">
        <v>5512.92</v>
      </c>
      <c r="C2151" s="2">
        <f t="shared" si="288"/>
        <v>43297</v>
      </c>
      <c r="D2151" s="1">
        <f t="shared" si="289"/>
        <v>5512.92</v>
      </c>
      <c r="E2151" s="4">
        <f t="shared" si="290"/>
        <v>5389.4847999999984</v>
      </c>
      <c r="F2151" s="3">
        <f t="shared" si="291"/>
        <v>1.0229029683876281</v>
      </c>
      <c r="G2151" s="18">
        <f t="shared" si="292"/>
        <v>1</v>
      </c>
      <c r="H2151" s="3">
        <f t="shared" si="293"/>
        <v>-9.8036906092968668E-4</v>
      </c>
      <c r="I2151" s="3">
        <f t="shared" si="294"/>
        <v>-9.8036906092968668E-4</v>
      </c>
      <c r="K2151" s="12" t="str">
        <f>IF(AND(G2151=1,G2150&lt;&gt;1),MAX($K$50:K2150)+1,"")</f>
        <v/>
      </c>
      <c r="L2151" s="13" t="str">
        <f>IF(AND(G2151&lt;&gt;1,G2150=1),MAX($L$50:L2150)+1,"")</f>
        <v/>
      </c>
      <c r="M2151" s="13" t="str">
        <f>IF(AND(G2151=-1,G2150&lt;&gt;-1),MAX($M$50:M2150)+1,"")</f>
        <v/>
      </c>
      <c r="N2151" s="13" t="str">
        <f>IF(AND(G2151&lt;&gt;-1,G2150=-1),MAX($N$50:N2150)+1,"")</f>
        <v/>
      </c>
      <c r="T2151" s="7">
        <f t="shared" si="295"/>
        <v>150.03856885944964</v>
      </c>
      <c r="U2151" s="1">
        <f t="shared" si="296"/>
        <v>289.65212868244004</v>
      </c>
    </row>
    <row r="2152" spans="1:21" x14ac:dyDescent="0.3">
      <c r="A2152" s="2">
        <v>43298</v>
      </c>
      <c r="B2152" s="1">
        <v>5534.91</v>
      </c>
      <c r="C2152" s="2">
        <f t="shared" si="288"/>
        <v>43298</v>
      </c>
      <c r="D2152" s="1">
        <f t="shared" si="289"/>
        <v>5534.91</v>
      </c>
      <c r="E2152" s="4">
        <f t="shared" si="290"/>
        <v>5395.6887999999981</v>
      </c>
      <c r="F2152" s="3">
        <f t="shared" si="291"/>
        <v>1.0258023034983044</v>
      </c>
      <c r="G2152" s="18">
        <f t="shared" si="292"/>
        <v>1</v>
      </c>
      <c r="H2152" s="3">
        <f t="shared" si="293"/>
        <v>3.9888117367927745E-3</v>
      </c>
      <c r="I2152" s="3">
        <f t="shared" si="294"/>
        <v>3.9888117367927745E-3</v>
      </c>
      <c r="K2152" s="12" t="str">
        <f>IF(AND(G2152=1,G2151&lt;&gt;1),MAX($K$50:K2151)+1,"")</f>
        <v/>
      </c>
      <c r="L2152" s="13" t="str">
        <f>IF(AND(G2152&lt;&gt;1,G2151=1),MAX($L$50:L2151)+1,"")</f>
        <v/>
      </c>
      <c r="M2152" s="13" t="str">
        <f>IF(AND(G2152=-1,G2151&lt;&gt;-1),MAX($M$50:M2151)+1,"")</f>
        <v/>
      </c>
      <c r="N2152" s="13" t="str">
        <f>IF(AND(G2152&lt;&gt;-1,G2151=-1),MAX($N$50:N2151)+1,"")</f>
        <v/>
      </c>
      <c r="T2152" s="7">
        <f t="shared" si="295"/>
        <v>150.6370444638878</v>
      </c>
      <c r="U2152" s="1">
        <f t="shared" si="296"/>
        <v>290.80749649291556</v>
      </c>
    </row>
    <row r="2153" spans="1:21" x14ac:dyDescent="0.3">
      <c r="A2153" s="2">
        <v>43299</v>
      </c>
      <c r="B2153" s="1">
        <v>5546.86</v>
      </c>
      <c r="C2153" s="2">
        <f t="shared" si="288"/>
        <v>43299</v>
      </c>
      <c r="D2153" s="1">
        <f t="shared" si="289"/>
        <v>5546.86</v>
      </c>
      <c r="E2153" s="4">
        <f t="shared" si="290"/>
        <v>5401.7685999999985</v>
      </c>
      <c r="F2153" s="3">
        <f t="shared" si="291"/>
        <v>1.0268599806367125</v>
      </c>
      <c r="G2153" s="18">
        <f t="shared" si="292"/>
        <v>1</v>
      </c>
      <c r="H2153" s="3">
        <f t="shared" si="293"/>
        <v>2.1590233626200828E-3</v>
      </c>
      <c r="I2153" s="3">
        <f t="shared" si="294"/>
        <v>2.1590233626200828E-3</v>
      </c>
      <c r="K2153" s="12" t="str">
        <f>IF(AND(G2153=1,G2152&lt;&gt;1),MAX($K$50:K2152)+1,"")</f>
        <v/>
      </c>
      <c r="L2153" s="13" t="str">
        <f>IF(AND(G2153&lt;&gt;1,G2152=1),MAX($L$50:L2152)+1,"")</f>
        <v/>
      </c>
      <c r="M2153" s="13" t="str">
        <f>IF(AND(G2153=-1,G2152&lt;&gt;-1),MAX($M$50:M2152)+1,"")</f>
        <v/>
      </c>
      <c r="N2153" s="13" t="str">
        <f>IF(AND(G2153&lt;&gt;-1,G2152=-1),MAX($N$50:N2152)+1,"")</f>
        <v/>
      </c>
      <c r="T2153" s="7">
        <f t="shared" si="295"/>
        <v>150.96227336216137</v>
      </c>
      <c r="U2153" s="1">
        <f t="shared" si="296"/>
        <v>291.43535667186882</v>
      </c>
    </row>
    <row r="2154" spans="1:21" x14ac:dyDescent="0.3">
      <c r="A2154" s="2">
        <v>43300</v>
      </c>
      <c r="B2154" s="1">
        <v>5525.51</v>
      </c>
      <c r="C2154" s="2">
        <f t="shared" si="288"/>
        <v>43300</v>
      </c>
      <c r="D2154" s="1">
        <f t="shared" si="289"/>
        <v>5525.51</v>
      </c>
      <c r="E2154" s="4">
        <f t="shared" si="290"/>
        <v>5407.448199999998</v>
      </c>
      <c r="F2154" s="3">
        <f t="shared" si="291"/>
        <v>1.021833181869408</v>
      </c>
      <c r="G2154" s="18">
        <f t="shared" si="292"/>
        <v>1</v>
      </c>
      <c r="H2154" s="3">
        <f t="shared" si="293"/>
        <v>-3.8490244931365103E-3</v>
      </c>
      <c r="I2154" s="3">
        <f t="shared" si="294"/>
        <v>-3.8490244931365103E-3</v>
      </c>
      <c r="K2154" s="12" t="str">
        <f>IF(AND(G2154=1,G2153&lt;&gt;1),MAX($K$50:K2153)+1,"")</f>
        <v/>
      </c>
      <c r="L2154" s="13" t="str">
        <f>IF(AND(G2154&lt;&gt;1,G2153=1),MAX($L$50:L2153)+1,"")</f>
        <v/>
      </c>
      <c r="M2154" s="13" t="str">
        <f>IF(AND(G2154=-1,G2153&lt;&gt;-1),MAX($M$50:M2153)+1,"")</f>
        <v/>
      </c>
      <c r="N2154" s="13" t="str">
        <f>IF(AND(G2154&lt;&gt;-1,G2153=-1),MAX($N$50:N2153)+1,"")</f>
        <v/>
      </c>
      <c r="T2154" s="7">
        <f t="shared" si="295"/>
        <v>150.38121587445085</v>
      </c>
      <c r="U2154" s="1">
        <f t="shared" si="296"/>
        <v>290.31361484587279</v>
      </c>
    </row>
    <row r="2155" spans="1:21" x14ac:dyDescent="0.3">
      <c r="A2155" s="2">
        <v>43301</v>
      </c>
      <c r="B2155" s="1">
        <v>5520.5</v>
      </c>
      <c r="C2155" s="2">
        <f t="shared" si="288"/>
        <v>43301</v>
      </c>
      <c r="D2155" s="1">
        <f t="shared" si="289"/>
        <v>5520.5</v>
      </c>
      <c r="E2155" s="4">
        <f t="shared" si="290"/>
        <v>5412.0001999999986</v>
      </c>
      <c r="F2155" s="3">
        <f t="shared" si="291"/>
        <v>1.0200480036937178</v>
      </c>
      <c r="G2155" s="18">
        <f t="shared" si="292"/>
        <v>1</v>
      </c>
      <c r="H2155" s="3">
        <f t="shared" si="293"/>
        <v>-9.067036345966617E-4</v>
      </c>
      <c r="I2155" s="3">
        <f t="shared" si="294"/>
        <v>-9.067036345966617E-4</v>
      </c>
      <c r="K2155" s="12" t="str">
        <f>IF(AND(G2155=1,G2154&lt;&gt;1),MAX($K$50:K2154)+1,"")</f>
        <v/>
      </c>
      <c r="L2155" s="13" t="str">
        <f>IF(AND(G2155&lt;&gt;1,G2154=1),MAX($L$50:L2154)+1,"")</f>
        <v/>
      </c>
      <c r="M2155" s="13" t="str">
        <f>IF(AND(G2155=-1,G2154&lt;&gt;-1),MAX($M$50:M2154)+1,"")</f>
        <v/>
      </c>
      <c r="N2155" s="13" t="str">
        <f>IF(AND(G2155&lt;&gt;-1,G2154=-1),MAX($N$50:N2154)+1,"")</f>
        <v/>
      </c>
      <c r="T2155" s="7">
        <f t="shared" si="295"/>
        <v>150.24486467944243</v>
      </c>
      <c r="U2155" s="1">
        <f t="shared" si="296"/>
        <v>290.05038643611914</v>
      </c>
    </row>
    <row r="2156" spans="1:21" x14ac:dyDescent="0.3">
      <c r="A2156" s="2">
        <v>43304</v>
      </c>
      <c r="B2156" s="1">
        <v>5530.66</v>
      </c>
      <c r="C2156" s="2">
        <f t="shared" si="288"/>
        <v>43304</v>
      </c>
      <c r="D2156" s="1">
        <f t="shared" si="289"/>
        <v>5530.66</v>
      </c>
      <c r="E2156" s="4">
        <f t="shared" si="290"/>
        <v>5415.7393999999986</v>
      </c>
      <c r="F2156" s="3">
        <f t="shared" si="291"/>
        <v>1.0212197433281227</v>
      </c>
      <c r="G2156" s="18">
        <f t="shared" si="292"/>
        <v>1</v>
      </c>
      <c r="H2156" s="3">
        <f t="shared" si="293"/>
        <v>1.8404130060682977E-3</v>
      </c>
      <c r="I2156" s="3">
        <f t="shared" si="294"/>
        <v>1.8404130060682977E-3</v>
      </c>
      <c r="K2156" s="12" t="str">
        <f>IF(AND(G2156=1,G2155&lt;&gt;1),MAX($K$50:K2155)+1,"")</f>
        <v/>
      </c>
      <c r="L2156" s="13" t="str">
        <f>IF(AND(G2156&lt;&gt;1,G2155=1),MAX($L$50:L2155)+1,"")</f>
        <v/>
      </c>
      <c r="M2156" s="13" t="str">
        <f>IF(AND(G2156=-1,G2155&lt;&gt;-1),MAX($M$50:M2155)+1,"")</f>
        <v/>
      </c>
      <c r="N2156" s="13" t="str">
        <f>IF(AND(G2156&lt;&gt;-1,G2155=-1),MAX($N$50:N2155)+1,"")</f>
        <v/>
      </c>
      <c r="T2156" s="7">
        <f t="shared" si="295"/>
        <v>150.52137728249343</v>
      </c>
      <c r="U2156" s="1">
        <f t="shared" si="296"/>
        <v>290.58419893973127</v>
      </c>
    </row>
    <row r="2157" spans="1:21" x14ac:dyDescent="0.3">
      <c r="A2157" s="2">
        <v>43305</v>
      </c>
      <c r="B2157" s="1">
        <v>5557.37</v>
      </c>
      <c r="C2157" s="2">
        <f t="shared" si="288"/>
        <v>43305</v>
      </c>
      <c r="D2157" s="1">
        <f t="shared" si="289"/>
        <v>5557.37</v>
      </c>
      <c r="E2157" s="4">
        <f t="shared" si="290"/>
        <v>5419.7929999999997</v>
      </c>
      <c r="F2157" s="3">
        <f t="shared" si="291"/>
        <v>1.0253841798017009</v>
      </c>
      <c r="G2157" s="18">
        <f t="shared" si="292"/>
        <v>1</v>
      </c>
      <c r="H2157" s="3">
        <f t="shared" si="293"/>
        <v>4.829441694119696E-3</v>
      </c>
      <c r="I2157" s="3">
        <f t="shared" si="294"/>
        <v>4.829441694119696E-3</v>
      </c>
      <c r="K2157" s="12" t="str">
        <f>IF(AND(G2157=1,G2156&lt;&gt;1),MAX($K$50:K2156)+1,"")</f>
        <v/>
      </c>
      <c r="L2157" s="13" t="str">
        <f>IF(AND(G2157&lt;&gt;1,G2156=1),MAX($L$50:L2156)+1,"")</f>
        <v/>
      </c>
      <c r="M2157" s="13" t="str">
        <f>IF(AND(G2157=-1,G2156&lt;&gt;-1),MAX($M$50:M2156)+1,"")</f>
        <v/>
      </c>
      <c r="N2157" s="13" t="str">
        <f>IF(AND(G2157&lt;&gt;-1,G2156=-1),MAX($N$50:N2156)+1,"")</f>
        <v/>
      </c>
      <c r="T2157" s="7">
        <f t="shared" si="295"/>
        <v>151.24831149779783</v>
      </c>
      <c r="U2157" s="1">
        <f t="shared" si="296"/>
        <v>291.98755838574317</v>
      </c>
    </row>
    <row r="2158" spans="1:21" x14ac:dyDescent="0.3">
      <c r="A2158" s="2">
        <v>43306</v>
      </c>
      <c r="B2158" s="1">
        <v>5607.99</v>
      </c>
      <c r="C2158" s="2">
        <f t="shared" si="288"/>
        <v>43306</v>
      </c>
      <c r="D2158" s="1">
        <f t="shared" si="289"/>
        <v>5607.99</v>
      </c>
      <c r="E2158" s="4">
        <f t="shared" si="290"/>
        <v>5424.7595999999994</v>
      </c>
      <c r="F2158" s="3">
        <f t="shared" si="291"/>
        <v>1.0337766856986621</v>
      </c>
      <c r="G2158" s="18">
        <f t="shared" si="292"/>
        <v>1</v>
      </c>
      <c r="H2158" s="3">
        <f t="shared" si="293"/>
        <v>9.1086251230347859E-3</v>
      </c>
      <c r="I2158" s="3">
        <f t="shared" si="294"/>
        <v>9.1086251230347859E-3</v>
      </c>
      <c r="K2158" s="12" t="str">
        <f>IF(AND(G2158=1,G2157&lt;&gt;1),MAX($K$50:K2157)+1,"")</f>
        <v/>
      </c>
      <c r="L2158" s="13" t="str">
        <f>IF(AND(G2158&lt;&gt;1,G2157=1),MAX($L$50:L2157)+1,"")</f>
        <v/>
      </c>
      <c r="M2158" s="13" t="str">
        <f>IF(AND(G2158=-1,G2157&lt;&gt;-1),MAX($M$50:M2157)+1,"")</f>
        <v/>
      </c>
      <c r="N2158" s="13" t="str">
        <f>IF(AND(G2158&lt;&gt;-1,G2157=-1),MAX($N$50:N2157)+1,"")</f>
        <v/>
      </c>
      <c r="T2158" s="7">
        <f t="shared" si="295"/>
        <v>152.62597566772325</v>
      </c>
      <c r="U2158" s="1">
        <f t="shared" si="296"/>
        <v>294.64716359566916</v>
      </c>
    </row>
    <row r="2159" spans="1:21" x14ac:dyDescent="0.3">
      <c r="A2159" s="2">
        <v>43307</v>
      </c>
      <c r="B2159" s="1">
        <v>5590.99</v>
      </c>
      <c r="C2159" s="2">
        <f t="shared" si="288"/>
        <v>43307</v>
      </c>
      <c r="D2159" s="1">
        <f t="shared" si="289"/>
        <v>5590.99</v>
      </c>
      <c r="E2159" s="4">
        <f t="shared" si="290"/>
        <v>5430.1147999999985</v>
      </c>
      <c r="F2159" s="3">
        <f t="shared" si="291"/>
        <v>1.0296264822983119</v>
      </c>
      <c r="G2159" s="18">
        <f t="shared" si="292"/>
        <v>1</v>
      </c>
      <c r="H2159" s="3">
        <f t="shared" si="293"/>
        <v>-3.0313891429906148E-3</v>
      </c>
      <c r="I2159" s="3">
        <f t="shared" si="294"/>
        <v>-3.0313891429906148E-3</v>
      </c>
      <c r="K2159" s="12" t="str">
        <f>IF(AND(G2159=1,G2158&lt;&gt;1),MAX($K$50:K2158)+1,"")</f>
        <v/>
      </c>
      <c r="L2159" s="13" t="str">
        <f>IF(AND(G2159&lt;&gt;1,G2158=1),MAX($L$50:L2158)+1,"")</f>
        <v/>
      </c>
      <c r="M2159" s="13" t="str">
        <f>IF(AND(G2159=-1,G2158&lt;&gt;-1),MAX($M$50:M2158)+1,"")</f>
        <v/>
      </c>
      <c r="N2159" s="13" t="str">
        <f>IF(AND(G2159&lt;&gt;-1,G2158=-1),MAX($N$50:N2158)+1,"")</f>
        <v/>
      </c>
      <c r="T2159" s="7">
        <f t="shared" si="295"/>
        <v>152.16330694214577</v>
      </c>
      <c r="U2159" s="1">
        <f t="shared" si="296"/>
        <v>293.75397338293226</v>
      </c>
    </row>
    <row r="2160" spans="1:21" x14ac:dyDescent="0.3">
      <c r="A2160" s="2">
        <v>43308</v>
      </c>
      <c r="B2160" s="1">
        <v>5554.31</v>
      </c>
      <c r="C2160" s="2">
        <f t="shared" si="288"/>
        <v>43308</v>
      </c>
      <c r="D2160" s="1">
        <f t="shared" si="289"/>
        <v>5554.31</v>
      </c>
      <c r="E2160" s="4">
        <f t="shared" si="290"/>
        <v>5434.2743999999993</v>
      </c>
      <c r="F2160" s="3">
        <f t="shared" si="291"/>
        <v>1.02208861591531</v>
      </c>
      <c r="G2160" s="18">
        <f t="shared" si="292"/>
        <v>1</v>
      </c>
      <c r="H2160" s="3">
        <f t="shared" si="293"/>
        <v>-6.560555465132234E-3</v>
      </c>
      <c r="I2160" s="3">
        <f t="shared" si="294"/>
        <v>-6.560555465132234E-3</v>
      </c>
      <c r="K2160" s="12" t="str">
        <f>IF(AND(G2160=1,G2159&lt;&gt;1),MAX($K$50:K2159)+1,"")</f>
        <v/>
      </c>
      <c r="L2160" s="13" t="str">
        <f>IF(AND(G2160&lt;&gt;1,G2159=1),MAX($L$50:L2159)+1,"")</f>
        <v/>
      </c>
      <c r="M2160" s="13" t="str">
        <f>IF(AND(G2160=-1,G2159&lt;&gt;-1),MAX($M$50:M2159)+1,"")</f>
        <v/>
      </c>
      <c r="N2160" s="13" t="str">
        <f>IF(AND(G2160&lt;&gt;-1,G2159=-1),MAX($N$50:N2159)+1,"")</f>
        <v/>
      </c>
      <c r="T2160" s="7">
        <f t="shared" si="295"/>
        <v>151.16503112719388</v>
      </c>
      <c r="U2160" s="1">
        <f t="shared" si="296"/>
        <v>291.82678414745055</v>
      </c>
    </row>
    <row r="2161" spans="1:21" x14ac:dyDescent="0.3">
      <c r="A2161" s="2">
        <v>43311</v>
      </c>
      <c r="B2161" s="1">
        <v>5522.81</v>
      </c>
      <c r="C2161" s="2">
        <f t="shared" si="288"/>
        <v>43311</v>
      </c>
      <c r="D2161" s="1">
        <f t="shared" si="289"/>
        <v>5522.81</v>
      </c>
      <c r="E2161" s="4">
        <f t="shared" si="290"/>
        <v>5437.8647999999994</v>
      </c>
      <c r="F2161" s="3">
        <f t="shared" si="291"/>
        <v>1.0156210577357496</v>
      </c>
      <c r="G2161" s="18">
        <f t="shared" si="292"/>
        <v>1</v>
      </c>
      <c r="H2161" s="3">
        <f t="shared" si="293"/>
        <v>-5.6712714990700963E-3</v>
      </c>
      <c r="I2161" s="3">
        <f t="shared" si="294"/>
        <v>-5.6712714990700963E-3</v>
      </c>
      <c r="K2161" s="12" t="str">
        <f>IF(AND(G2161=1,G2160&lt;&gt;1),MAX($K$50:K2160)+1,"")</f>
        <v/>
      </c>
      <c r="L2161" s="13" t="str">
        <f>IF(AND(G2161&lt;&gt;1,G2160=1),MAX($L$50:L2160)+1,"")</f>
        <v/>
      </c>
      <c r="M2161" s="13" t="str">
        <f>IF(AND(G2161=-1,G2160&lt;&gt;-1),MAX($M$50:M2160)+1,"")</f>
        <v/>
      </c>
      <c r="N2161" s="13" t="str">
        <f>IF(AND(G2161&lt;&gt;-1,G2160=-1),MAX($N$50:N2160)+1,"")</f>
        <v/>
      </c>
      <c r="T2161" s="7">
        <f t="shared" si="295"/>
        <v>150.3077331945062</v>
      </c>
      <c r="U2161" s="1">
        <f t="shared" si="296"/>
        <v>290.17175522384986</v>
      </c>
    </row>
    <row r="2162" spans="1:21" x14ac:dyDescent="0.3">
      <c r="A2162" s="2">
        <v>43312</v>
      </c>
      <c r="B2162" s="1">
        <v>5549.96</v>
      </c>
      <c r="C2162" s="2">
        <f t="shared" si="288"/>
        <v>43312</v>
      </c>
      <c r="D2162" s="1">
        <f t="shared" si="289"/>
        <v>5549.96</v>
      </c>
      <c r="E2162" s="4">
        <f t="shared" si="290"/>
        <v>5442.2707999999993</v>
      </c>
      <c r="F2162" s="3">
        <f t="shared" si="291"/>
        <v>1.0197875489767985</v>
      </c>
      <c r="G2162" s="18">
        <f t="shared" si="292"/>
        <v>1</v>
      </c>
      <c r="H2162" s="3">
        <f t="shared" si="293"/>
        <v>4.9159757442316376E-3</v>
      </c>
      <c r="I2162" s="3">
        <f t="shared" si="294"/>
        <v>4.9159757442316376E-3</v>
      </c>
      <c r="K2162" s="12" t="str">
        <f>IF(AND(G2162=1,G2161&lt;&gt;1),MAX($K$50:K2161)+1,"")</f>
        <v/>
      </c>
      <c r="L2162" s="13" t="str">
        <f>IF(AND(G2162&lt;&gt;1,G2161=1),MAX($L$50:L2161)+1,"")</f>
        <v/>
      </c>
      <c r="M2162" s="13" t="str">
        <f>IF(AND(G2162=-1,G2161&lt;&gt;-1),MAX($M$50:M2161)+1,"")</f>
        <v/>
      </c>
      <c r="N2162" s="13" t="str">
        <f>IF(AND(G2162&lt;&gt;-1,G2161=-1),MAX($N$50:N2161)+1,"")</f>
        <v/>
      </c>
      <c r="T2162" s="7">
        <f t="shared" si="295"/>
        <v>151.04664236506082</v>
      </c>
      <c r="U2162" s="1">
        <f t="shared" si="296"/>
        <v>291.59823253419142</v>
      </c>
    </row>
    <row r="2163" spans="1:21" x14ac:dyDescent="0.3">
      <c r="A2163" s="2">
        <v>43313</v>
      </c>
      <c r="B2163" s="1">
        <v>5544.19</v>
      </c>
      <c r="C2163" s="2">
        <f t="shared" si="288"/>
        <v>43313</v>
      </c>
      <c r="D2163" s="1">
        <f t="shared" si="289"/>
        <v>5544.19</v>
      </c>
      <c r="E2163" s="4">
        <f t="shared" si="290"/>
        <v>5445.7707999999984</v>
      </c>
      <c r="F2163" s="3">
        <f t="shared" si="291"/>
        <v>1.018072593139616</v>
      </c>
      <c r="G2163" s="18">
        <f t="shared" si="292"/>
        <v>1</v>
      </c>
      <c r="H2163" s="3">
        <f t="shared" si="293"/>
        <v>-1.0396471325919698E-3</v>
      </c>
      <c r="I2163" s="3">
        <f t="shared" si="294"/>
        <v>-1.0396471325919698E-3</v>
      </c>
      <c r="K2163" s="12" t="str">
        <f>IF(AND(G2163=1,G2162&lt;&gt;1),MAX($K$50:K2162)+1,"")</f>
        <v/>
      </c>
      <c r="L2163" s="13" t="str">
        <f>IF(AND(G2163&lt;&gt;1,G2162=1),MAX($L$50:L2162)+1,"")</f>
        <v/>
      </c>
      <c r="M2163" s="13" t="str">
        <f>IF(AND(G2163=-1,G2162&lt;&gt;-1),MAX($M$50:M2162)+1,"")</f>
        <v/>
      </c>
      <c r="N2163" s="13" t="str">
        <f>IF(AND(G2163&lt;&gt;-1,G2162=-1),MAX($N$50:N2162)+1,"")</f>
        <v/>
      </c>
      <c r="T2163" s="7">
        <f t="shared" si="295"/>
        <v>150.88960715643833</v>
      </c>
      <c r="U2163" s="1">
        <f t="shared" si="296"/>
        <v>291.29507326786836</v>
      </c>
    </row>
    <row r="2164" spans="1:21" x14ac:dyDescent="0.3">
      <c r="A2164" s="2">
        <v>43314</v>
      </c>
      <c r="B2164" s="1">
        <v>5572.08</v>
      </c>
      <c r="C2164" s="2">
        <f t="shared" ref="C2164:C2227" si="297">A2164</f>
        <v>43314</v>
      </c>
      <c r="D2164" s="1">
        <f t="shared" ref="D2164:D2227" si="298">B2164</f>
        <v>5572.08</v>
      </c>
      <c r="E2164" s="4">
        <f t="shared" ref="E2164:E2227" si="299">AVERAGE(B2115:B2164)</f>
        <v>5450.1633999999985</v>
      </c>
      <c r="F2164" s="3">
        <f t="shared" ref="F2164:F2227" si="300">D2164/E2164</f>
        <v>1.0223693476786404</v>
      </c>
      <c r="G2164" s="18">
        <f t="shared" ref="G2164:G2227" si="301">IF(F2164&gt;=$Q$51,1,IF(F2164&lt;=$Q$52,-1,0))</f>
        <v>1</v>
      </c>
      <c r="H2164" s="3">
        <f t="shared" si="293"/>
        <v>5.0304913792638128E-3</v>
      </c>
      <c r="I2164" s="3">
        <f t="shared" si="294"/>
        <v>5.0304913792638128E-3</v>
      </c>
      <c r="K2164" s="12" t="str">
        <f>IF(AND(G2164=1,G2163&lt;&gt;1),MAX($K$50:K2163)+1,"")</f>
        <v/>
      </c>
      <c r="L2164" s="13" t="str">
        <f>IF(AND(G2164&lt;&gt;1,G2163=1),MAX($L$50:L2163)+1,"")</f>
        <v/>
      </c>
      <c r="M2164" s="13" t="str">
        <f>IF(AND(G2164=-1,G2163&lt;&gt;-1),MAX($M$50:M2163)+1,"")</f>
        <v/>
      </c>
      <c r="N2164" s="13" t="str">
        <f>IF(AND(G2164&lt;&gt;-1,G2163=-1),MAX($N$50:N2163)+1,"")</f>
        <v/>
      </c>
      <c r="T2164" s="7">
        <f t="shared" si="295"/>
        <v>151.64865602445929</v>
      </c>
      <c r="U2164" s="1">
        <f t="shared" si="296"/>
        <v>292.76043062276437</v>
      </c>
    </row>
    <row r="2165" spans="1:21" x14ac:dyDescent="0.3">
      <c r="A2165" s="2">
        <v>43315</v>
      </c>
      <c r="B2165" s="1">
        <v>5598.71</v>
      </c>
      <c r="C2165" s="2">
        <f t="shared" si="297"/>
        <v>43315</v>
      </c>
      <c r="D2165" s="1">
        <f t="shared" si="298"/>
        <v>5598.71</v>
      </c>
      <c r="E2165" s="4">
        <f t="shared" si="299"/>
        <v>5454.7377999999981</v>
      </c>
      <c r="F2165" s="3">
        <f t="shared" si="300"/>
        <v>1.0263939725938802</v>
      </c>
      <c r="G2165" s="18">
        <f t="shared" si="301"/>
        <v>1</v>
      </c>
      <c r="H2165" s="3">
        <f t="shared" ref="H2165:H2228" si="302">D2165/D2164-1</f>
        <v>4.7791847927525222E-3</v>
      </c>
      <c r="I2165" s="3">
        <f t="shared" ref="I2165:I2228" si="303">G2164*H2165</f>
        <v>4.7791847927525222E-3</v>
      </c>
      <c r="K2165" s="12" t="str">
        <f>IF(AND(G2165=1,G2164&lt;&gt;1),MAX($K$50:K2164)+1,"")</f>
        <v/>
      </c>
      <c r="L2165" s="13" t="str">
        <f>IF(AND(G2165&lt;&gt;1,G2164=1),MAX($L$50:L2164)+1,"")</f>
        <v/>
      </c>
      <c r="M2165" s="13" t="str">
        <f>IF(AND(G2165=-1,G2164&lt;&gt;-1),MAX($M$50:M2164)+1,"")</f>
        <v/>
      </c>
      <c r="N2165" s="13" t="str">
        <f>IF(AND(G2165&lt;&gt;-1,G2164=-1),MAX($N$50:N2164)+1,"")</f>
        <v/>
      </c>
      <c r="T2165" s="7">
        <f t="shared" ref="T2165:T2228" si="304">T2164*(1+I2165)</f>
        <v>152.37341297517273</v>
      </c>
      <c r="U2165" s="1">
        <f t="shared" ref="U2165:U2228" si="305">U2164*D2165/D2164</f>
        <v>294.15958682071636</v>
      </c>
    </row>
    <row r="2166" spans="1:21" x14ac:dyDescent="0.3">
      <c r="A2166" s="2">
        <v>43318</v>
      </c>
      <c r="B2166" s="1">
        <v>5619.05</v>
      </c>
      <c r="C2166" s="2">
        <f t="shared" si="297"/>
        <v>43318</v>
      </c>
      <c r="D2166" s="1">
        <f t="shared" si="298"/>
        <v>5619.05</v>
      </c>
      <c r="E2166" s="4">
        <f t="shared" si="299"/>
        <v>5459.9323999999988</v>
      </c>
      <c r="F2166" s="3">
        <f t="shared" si="300"/>
        <v>1.0291427783977694</v>
      </c>
      <c r="G2166" s="18">
        <f t="shared" si="301"/>
        <v>1</v>
      </c>
      <c r="H2166" s="3">
        <f t="shared" si="302"/>
        <v>3.6329797399758945E-3</v>
      </c>
      <c r="I2166" s="3">
        <f t="shared" si="303"/>
        <v>3.6329797399758945E-3</v>
      </c>
      <c r="K2166" s="12" t="str">
        <f>IF(AND(G2166=1,G2165&lt;&gt;1),MAX($K$50:K2165)+1,"")</f>
        <v/>
      </c>
      <c r="L2166" s="13" t="str">
        <f>IF(AND(G2166&lt;&gt;1,G2165=1),MAX($L$50:L2165)+1,"")</f>
        <v/>
      </c>
      <c r="M2166" s="13" t="str">
        <f>IF(AND(G2166=-1,G2165&lt;&gt;-1),MAX($M$50:M2165)+1,"")</f>
        <v/>
      </c>
      <c r="N2166" s="13" t="str">
        <f>IF(AND(G2166&lt;&gt;-1,G2165=-1),MAX($N$50:N2165)+1,"")</f>
        <v/>
      </c>
      <c r="T2166" s="7">
        <f t="shared" si="304"/>
        <v>152.9269824974225</v>
      </c>
      <c r="U2166" s="1">
        <f t="shared" si="305"/>
        <v>295.22826263995569</v>
      </c>
    </row>
    <row r="2167" spans="1:21" x14ac:dyDescent="0.3">
      <c r="A2167" s="2">
        <v>43319</v>
      </c>
      <c r="B2167" s="1">
        <v>5634.98</v>
      </c>
      <c r="C2167" s="2">
        <f t="shared" si="297"/>
        <v>43319</v>
      </c>
      <c r="D2167" s="1">
        <f t="shared" si="298"/>
        <v>5634.98</v>
      </c>
      <c r="E2167" s="4">
        <f t="shared" si="299"/>
        <v>5465.6857999999975</v>
      </c>
      <c r="F2167" s="3">
        <f t="shared" si="300"/>
        <v>1.0309740087876991</v>
      </c>
      <c r="G2167" s="18">
        <f t="shared" si="301"/>
        <v>1</v>
      </c>
      <c r="H2167" s="3">
        <f t="shared" si="302"/>
        <v>2.8349987987292824E-3</v>
      </c>
      <c r="I2167" s="3">
        <f t="shared" si="303"/>
        <v>2.8349987987292824E-3</v>
      </c>
      <c r="K2167" s="12" t="str">
        <f>IF(AND(G2167=1,G2166&lt;&gt;1),MAX($K$50:K2166)+1,"")</f>
        <v/>
      </c>
      <c r="L2167" s="13" t="str">
        <f>IF(AND(G2167&lt;&gt;1,G2166=1),MAX($L$50:L2166)+1,"")</f>
        <v/>
      </c>
      <c r="M2167" s="13" t="str">
        <f>IF(AND(G2167=-1,G2166&lt;&gt;-1),MAX($M$50:M2166)+1,"")</f>
        <v/>
      </c>
      <c r="N2167" s="13" t="str">
        <f>IF(AND(G2167&lt;&gt;-1,G2166=-1),MAX($N$50:N2166)+1,"")</f>
        <v/>
      </c>
      <c r="T2167" s="7">
        <f t="shared" si="304"/>
        <v>153.36053030909599</v>
      </c>
      <c r="U2167" s="1">
        <f t="shared" si="305"/>
        <v>296.06523440989088</v>
      </c>
    </row>
    <row r="2168" spans="1:21" x14ac:dyDescent="0.3">
      <c r="A2168" s="2">
        <v>43320</v>
      </c>
      <c r="B2168" s="1">
        <v>5633.67</v>
      </c>
      <c r="C2168" s="2">
        <f t="shared" si="297"/>
        <v>43320</v>
      </c>
      <c r="D2168" s="1">
        <f t="shared" si="298"/>
        <v>5633.67</v>
      </c>
      <c r="E2168" s="4">
        <f t="shared" si="299"/>
        <v>5472.6451999999981</v>
      </c>
      <c r="F2168" s="3">
        <f t="shared" si="300"/>
        <v>1.0294235774685343</v>
      </c>
      <c r="G2168" s="18">
        <f t="shared" si="301"/>
        <v>1</v>
      </c>
      <c r="H2168" s="3">
        <f t="shared" si="302"/>
        <v>-2.3247642405110902E-4</v>
      </c>
      <c r="I2168" s="3">
        <f t="shared" si="303"/>
        <v>-2.3247642405110902E-4</v>
      </c>
      <c r="K2168" s="12" t="str">
        <f>IF(AND(G2168=1,G2167&lt;&gt;1),MAX($K$50:K2167)+1,"")</f>
        <v/>
      </c>
      <c r="L2168" s="13" t="str">
        <f>IF(AND(G2168&lt;&gt;1,G2167=1),MAX($L$50:L2167)+1,"")</f>
        <v/>
      </c>
      <c r="M2168" s="13" t="str">
        <f>IF(AND(G2168=-1,G2167&lt;&gt;-1),MAX($M$50:M2167)+1,"")</f>
        <v/>
      </c>
      <c r="N2168" s="13" t="str">
        <f>IF(AND(G2168&lt;&gt;-1,G2167=-1),MAX($N$50:N2167)+1,"")</f>
        <v/>
      </c>
      <c r="T2168" s="7">
        <f t="shared" si="304"/>
        <v>153.32487760141916</v>
      </c>
      <c r="U2168" s="1">
        <f t="shared" si="305"/>
        <v>295.9964062229094</v>
      </c>
    </row>
    <row r="2169" spans="1:21" x14ac:dyDescent="0.3">
      <c r="A2169" s="2">
        <v>43321</v>
      </c>
      <c r="B2169" s="1">
        <v>5627</v>
      </c>
      <c r="C2169" s="2">
        <f t="shared" si="297"/>
        <v>43321</v>
      </c>
      <c r="D2169" s="1">
        <f t="shared" si="298"/>
        <v>5627</v>
      </c>
      <c r="E2169" s="4">
        <f t="shared" si="299"/>
        <v>5478.1099999999979</v>
      </c>
      <c r="F2169" s="3">
        <f t="shared" si="300"/>
        <v>1.0271790818366193</v>
      </c>
      <c r="G2169" s="18">
        <f t="shared" si="301"/>
        <v>1</v>
      </c>
      <c r="H2169" s="3">
        <f t="shared" si="302"/>
        <v>-1.1839529116899339E-3</v>
      </c>
      <c r="I2169" s="3">
        <f t="shared" si="303"/>
        <v>-1.1839529116899339E-3</v>
      </c>
      <c r="K2169" s="12" t="str">
        <f>IF(AND(G2169=1,G2168&lt;&gt;1),MAX($K$50:K2168)+1,"")</f>
        <v/>
      </c>
      <c r="L2169" s="13" t="str">
        <f>IF(AND(G2169&lt;&gt;1,G2168=1),MAX($L$50:L2168)+1,"")</f>
        <v/>
      </c>
      <c r="M2169" s="13" t="str">
        <f>IF(AND(G2169=-1,G2168&lt;&gt;-1),MAX($M$50:M2168)+1,"")</f>
        <v/>
      </c>
      <c r="N2169" s="13" t="str">
        <f>IF(AND(G2169&lt;&gt;-1,G2168=-1),MAX($N$50:N2168)+1,"")</f>
        <v/>
      </c>
      <c r="T2169" s="7">
        <f t="shared" si="304"/>
        <v>153.14334816614846</v>
      </c>
      <c r="U2169" s="1">
        <f t="shared" si="305"/>
        <v>295.64596041591204</v>
      </c>
    </row>
    <row r="2170" spans="1:21" x14ac:dyDescent="0.3">
      <c r="A2170" s="2">
        <v>43322</v>
      </c>
      <c r="B2170" s="1">
        <v>5588.66</v>
      </c>
      <c r="C2170" s="2">
        <f t="shared" si="297"/>
        <v>43322</v>
      </c>
      <c r="D2170" s="1">
        <f t="shared" si="298"/>
        <v>5588.66</v>
      </c>
      <c r="E2170" s="4">
        <f t="shared" si="299"/>
        <v>5483.5211999999992</v>
      </c>
      <c r="F2170" s="3">
        <f t="shared" si="300"/>
        <v>1.0191735923260405</v>
      </c>
      <c r="G2170" s="18">
        <f t="shared" si="301"/>
        <v>1</v>
      </c>
      <c r="H2170" s="3">
        <f t="shared" si="302"/>
        <v>-6.8135773947041178E-3</v>
      </c>
      <c r="I2170" s="3">
        <f t="shared" si="303"/>
        <v>-6.8135773947041178E-3</v>
      </c>
      <c r="K2170" s="12" t="str">
        <f>IF(AND(G2170=1,G2169&lt;&gt;1),MAX($K$50:K2169)+1,"")</f>
        <v/>
      </c>
      <c r="L2170" s="13" t="str">
        <f>IF(AND(G2170&lt;&gt;1,G2169=1),MAX($L$50:L2169)+1,"")</f>
        <v/>
      </c>
      <c r="M2170" s="13" t="str">
        <f>IF(AND(G2170=-1,G2169&lt;&gt;-1),MAX($M$50:M2169)+1,"")</f>
        <v/>
      </c>
      <c r="N2170" s="13" t="str">
        <f>IF(AND(G2170&lt;&gt;-1,G2169=-1),MAX($N$50:N2169)+1,"")</f>
        <v/>
      </c>
      <c r="T2170" s="7">
        <f t="shared" si="304"/>
        <v>152.09989411093429</v>
      </c>
      <c r="U2170" s="1">
        <f t="shared" si="305"/>
        <v>293.63155378318663</v>
      </c>
    </row>
    <row r="2171" spans="1:21" x14ac:dyDescent="0.3">
      <c r="A2171" s="2">
        <v>43325</v>
      </c>
      <c r="B2171" s="1">
        <v>5566.36</v>
      </c>
      <c r="C2171" s="2">
        <f t="shared" si="297"/>
        <v>43325</v>
      </c>
      <c r="D2171" s="1">
        <f t="shared" si="298"/>
        <v>5566.36</v>
      </c>
      <c r="E2171" s="4">
        <f t="shared" si="299"/>
        <v>5487.3225999999986</v>
      </c>
      <c r="F2171" s="3">
        <f t="shared" si="300"/>
        <v>1.0144036364838476</v>
      </c>
      <c r="G2171" s="18">
        <f t="shared" si="301"/>
        <v>1</v>
      </c>
      <c r="H2171" s="3">
        <f t="shared" si="302"/>
        <v>-3.9902230588370058E-3</v>
      </c>
      <c r="I2171" s="3">
        <f t="shared" si="303"/>
        <v>-3.9902230588370058E-3</v>
      </c>
      <c r="K2171" s="12" t="str">
        <f>IF(AND(G2171=1,G2170&lt;&gt;1),MAX($K$50:K2170)+1,"")</f>
        <v/>
      </c>
      <c r="L2171" s="13" t="str">
        <f>IF(AND(G2171&lt;&gt;1,G2170=1),MAX($L$50:L2170)+1,"")</f>
        <v/>
      </c>
      <c r="M2171" s="13" t="str">
        <f>IF(AND(G2171=-1,G2170&lt;&gt;-1),MAX($M$50:M2170)+1,"")</f>
        <v/>
      </c>
      <c r="N2171" s="13" t="str">
        <f>IF(AND(G2171&lt;&gt;-1,G2170=-1),MAX($N$50:N2170)+1,"")</f>
        <v/>
      </c>
      <c r="T2171" s="7">
        <f t="shared" si="304"/>
        <v>151.49298160620617</v>
      </c>
      <c r="U2171" s="1">
        <f t="shared" si="305"/>
        <v>292.45989838647881</v>
      </c>
    </row>
    <row r="2172" spans="1:21" x14ac:dyDescent="0.3">
      <c r="A2172" s="2">
        <v>43326</v>
      </c>
      <c r="B2172" s="1">
        <v>5602.41</v>
      </c>
      <c r="C2172" s="2">
        <f t="shared" si="297"/>
        <v>43326</v>
      </c>
      <c r="D2172" s="1">
        <f t="shared" si="298"/>
        <v>5602.41</v>
      </c>
      <c r="E2172" s="4">
        <f t="shared" si="299"/>
        <v>5491.3607999999986</v>
      </c>
      <c r="F2172" s="3">
        <f t="shared" si="300"/>
        <v>1.0202225284486863</v>
      </c>
      <c r="G2172" s="18">
        <f t="shared" si="301"/>
        <v>1</v>
      </c>
      <c r="H2172" s="3">
        <f t="shared" si="302"/>
        <v>6.4764046881624626E-3</v>
      </c>
      <c r="I2172" s="3">
        <f t="shared" si="303"/>
        <v>6.4764046881624626E-3</v>
      </c>
      <c r="K2172" s="12" t="str">
        <f>IF(AND(G2172=1,G2171&lt;&gt;1),MAX($K$50:K2171)+1,"")</f>
        <v/>
      </c>
      <c r="L2172" s="13" t="str">
        <f>IF(AND(G2172&lt;&gt;1,G2171=1),MAX($L$50:L2171)+1,"")</f>
        <v/>
      </c>
      <c r="M2172" s="13" t="str">
        <f>IF(AND(G2172=-1,G2171&lt;&gt;-1),MAX($M$50:M2171)+1,"")</f>
        <v/>
      </c>
      <c r="N2172" s="13" t="str">
        <f>IF(AND(G2172&lt;&gt;-1,G2171=-1),MAX($N$50:N2171)+1,"")</f>
        <v/>
      </c>
      <c r="T2172" s="7">
        <f t="shared" si="304"/>
        <v>152.47411146250431</v>
      </c>
      <c r="U2172" s="1">
        <f t="shared" si="305"/>
        <v>294.35398704348853</v>
      </c>
    </row>
    <row r="2173" spans="1:21" x14ac:dyDescent="0.3">
      <c r="A2173" s="2">
        <v>43327</v>
      </c>
      <c r="B2173" s="1">
        <v>5560.85</v>
      </c>
      <c r="C2173" s="2">
        <f t="shared" si="297"/>
        <v>43327</v>
      </c>
      <c r="D2173" s="1">
        <f t="shared" si="298"/>
        <v>5560.85</v>
      </c>
      <c r="E2173" s="4">
        <f t="shared" si="299"/>
        <v>5494.4853999999978</v>
      </c>
      <c r="F2173" s="3">
        <f t="shared" si="300"/>
        <v>1.0120784013731299</v>
      </c>
      <c r="G2173" s="18">
        <f t="shared" si="301"/>
        <v>1</v>
      </c>
      <c r="H2173" s="3">
        <f t="shared" si="302"/>
        <v>-7.4182360805438163E-3</v>
      </c>
      <c r="I2173" s="3">
        <f t="shared" si="303"/>
        <v>-7.4182360805438163E-3</v>
      </c>
      <c r="K2173" s="12" t="str">
        <f>IF(AND(G2173=1,G2172&lt;&gt;1),MAX($K$50:K2172)+1,"")</f>
        <v/>
      </c>
      <c r="L2173" s="13" t="str">
        <f>IF(AND(G2173&lt;&gt;1,G2172=1),MAX($L$50:L2172)+1,"")</f>
        <v/>
      </c>
      <c r="M2173" s="13" t="str">
        <f>IF(AND(G2173=-1,G2172&lt;&gt;-1),MAX($M$50:M2172)+1,"")</f>
        <v/>
      </c>
      <c r="N2173" s="13" t="str">
        <f>IF(AND(G2173&lt;&gt;-1,G2172=-1),MAX($N$50:N2172)+1,"")</f>
        <v/>
      </c>
      <c r="T2173" s="7">
        <f t="shared" si="304"/>
        <v>151.34302250750432</v>
      </c>
      <c r="U2173" s="1">
        <f t="shared" si="305"/>
        <v>292.1703996763506</v>
      </c>
    </row>
    <row r="2174" spans="1:21" x14ac:dyDescent="0.3">
      <c r="A2174" s="2">
        <v>43328</v>
      </c>
      <c r="B2174" s="1">
        <v>5606.56</v>
      </c>
      <c r="C2174" s="2">
        <f t="shared" si="297"/>
        <v>43328</v>
      </c>
      <c r="D2174" s="1">
        <f t="shared" si="298"/>
        <v>5606.56</v>
      </c>
      <c r="E2174" s="4">
        <f t="shared" si="299"/>
        <v>5497.5947999999971</v>
      </c>
      <c r="F2174" s="3">
        <f t="shared" si="300"/>
        <v>1.0198205222400172</v>
      </c>
      <c r="G2174" s="18">
        <f t="shared" si="301"/>
        <v>1</v>
      </c>
      <c r="H2174" s="3">
        <f t="shared" si="302"/>
        <v>8.2199663720474714E-3</v>
      </c>
      <c r="I2174" s="3">
        <f t="shared" si="303"/>
        <v>8.2199663720474714E-3</v>
      </c>
      <c r="K2174" s="12" t="str">
        <f>IF(AND(G2174=1,G2173&lt;&gt;1),MAX($K$50:K2173)+1,"")</f>
        <v/>
      </c>
      <c r="L2174" s="13" t="str">
        <f>IF(AND(G2174&lt;&gt;1,G2173=1),MAX($L$50:L2173)+1,"")</f>
        <v/>
      </c>
      <c r="M2174" s="13" t="str">
        <f>IF(AND(G2174=-1,G2173&lt;&gt;-1),MAX($M$50:M2173)+1,"")</f>
        <v/>
      </c>
      <c r="N2174" s="13" t="str">
        <f>IF(AND(G2174&lt;&gt;-1,G2173=-1),MAX($N$50:N2173)+1,"")</f>
        <v/>
      </c>
      <c r="T2174" s="7">
        <f t="shared" si="304"/>
        <v>152.58705706316002</v>
      </c>
      <c r="U2174" s="1">
        <f t="shared" si="305"/>
        <v>294.57203053659788</v>
      </c>
    </row>
    <row r="2175" spans="1:21" x14ac:dyDescent="0.3">
      <c r="A2175" s="2">
        <v>43329</v>
      </c>
      <c r="B2175" s="1">
        <v>5625.66</v>
      </c>
      <c r="C2175" s="2">
        <f t="shared" si="297"/>
        <v>43329</v>
      </c>
      <c r="D2175" s="1">
        <f t="shared" si="298"/>
        <v>5625.66</v>
      </c>
      <c r="E2175" s="4">
        <f t="shared" si="299"/>
        <v>5501.1443999999983</v>
      </c>
      <c r="F2175" s="3">
        <f t="shared" si="300"/>
        <v>1.0226344903798565</v>
      </c>
      <c r="G2175" s="18">
        <f t="shared" si="301"/>
        <v>1</v>
      </c>
      <c r="H2175" s="3">
        <f t="shared" si="302"/>
        <v>3.406723552410007E-3</v>
      </c>
      <c r="I2175" s="3">
        <f t="shared" si="303"/>
        <v>3.406723552410007E-3</v>
      </c>
      <c r="K2175" s="12" t="str">
        <f>IF(AND(G2175=1,G2174&lt;&gt;1),MAX($K$50:K2174)+1,"")</f>
        <v/>
      </c>
      <c r="L2175" s="13" t="str">
        <f>IF(AND(G2175&lt;&gt;1,G2174=1),MAX($L$50:L2174)+1,"")</f>
        <v/>
      </c>
      <c r="M2175" s="13" t="str">
        <f>IF(AND(G2175=-1,G2174&lt;&gt;-1),MAX($M$50:M2174)+1,"")</f>
        <v/>
      </c>
      <c r="N2175" s="13" t="str">
        <f>IF(AND(G2175&lt;&gt;-1,G2174=-1),MAX($N$50:N2174)+1,"")</f>
        <v/>
      </c>
      <c r="T2175" s="7">
        <f t="shared" si="304"/>
        <v>153.10687898425002</v>
      </c>
      <c r="U2175" s="1">
        <f t="shared" si="305"/>
        <v>295.57555601090814</v>
      </c>
    </row>
    <row r="2176" spans="1:21" x14ac:dyDescent="0.3">
      <c r="A2176" s="2">
        <v>43332</v>
      </c>
      <c r="B2176" s="1">
        <v>5639.53</v>
      </c>
      <c r="C2176" s="2">
        <f t="shared" si="297"/>
        <v>43332</v>
      </c>
      <c r="D2176" s="1">
        <f t="shared" si="298"/>
        <v>5639.53</v>
      </c>
      <c r="E2176" s="4">
        <f t="shared" si="299"/>
        <v>5504.6266000000005</v>
      </c>
      <c r="F2176" s="3">
        <f t="shared" si="300"/>
        <v>1.0245072753890334</v>
      </c>
      <c r="G2176" s="18">
        <f t="shared" si="301"/>
        <v>1</v>
      </c>
      <c r="H2176" s="3">
        <f t="shared" si="302"/>
        <v>2.4654884937944654E-3</v>
      </c>
      <c r="I2176" s="3">
        <f t="shared" si="303"/>
        <v>2.4654884937944654E-3</v>
      </c>
      <c r="K2176" s="12" t="str">
        <f>IF(AND(G2176=1,G2175&lt;&gt;1),MAX($K$50:K2175)+1,"")</f>
        <v/>
      </c>
      <c r="L2176" s="13" t="str">
        <f>IF(AND(G2176&lt;&gt;1,G2175=1),MAX($L$50:L2175)+1,"")</f>
        <v/>
      </c>
      <c r="M2176" s="13" t="str">
        <f>IF(AND(G2176=-1,G2175&lt;&gt;-1),MAX($M$50:M2175)+1,"")</f>
        <v/>
      </c>
      <c r="N2176" s="13" t="str">
        <f>IF(AND(G2176&lt;&gt;-1,G2175=-1),MAX($N$50:N2175)+1,"")</f>
        <v/>
      </c>
      <c r="T2176" s="7">
        <f t="shared" si="304"/>
        <v>153.48436223270647</v>
      </c>
      <c r="U2176" s="1">
        <f t="shared" si="305"/>
        <v>296.30429414329996</v>
      </c>
    </row>
    <row r="2177" spans="1:21" x14ac:dyDescent="0.3">
      <c r="A2177" s="2">
        <v>43333</v>
      </c>
      <c r="B2177" s="1">
        <v>5651.39</v>
      </c>
      <c r="C2177" s="2">
        <f t="shared" si="297"/>
        <v>43333</v>
      </c>
      <c r="D2177" s="1">
        <f t="shared" si="298"/>
        <v>5651.39</v>
      </c>
      <c r="E2177" s="4">
        <f t="shared" si="299"/>
        <v>5508.2285999999995</v>
      </c>
      <c r="F2177" s="3">
        <f t="shared" si="300"/>
        <v>1.0259904608897317</v>
      </c>
      <c r="G2177" s="18">
        <f t="shared" si="301"/>
        <v>1</v>
      </c>
      <c r="H2177" s="3">
        <f t="shared" si="302"/>
        <v>2.1030121304435045E-3</v>
      </c>
      <c r="I2177" s="3">
        <f t="shared" si="303"/>
        <v>2.1030121304435045E-3</v>
      </c>
      <c r="K2177" s="12" t="str">
        <f>IF(AND(G2177=1,G2176&lt;&gt;1),MAX($K$50:K2176)+1,"")</f>
        <v/>
      </c>
      <c r="L2177" s="13" t="str">
        <f>IF(AND(G2177&lt;&gt;1,G2176=1),MAX($L$50:L2176)+1,"")</f>
        <v/>
      </c>
      <c r="M2177" s="13" t="str">
        <f>IF(AND(G2177=-1,G2176&lt;&gt;-1),MAX($M$50:M2176)+1,"")</f>
        <v/>
      </c>
      <c r="N2177" s="13" t="str">
        <f>IF(AND(G2177&lt;&gt;-1,G2176=-1),MAX($N$50:N2176)+1,"")</f>
        <v/>
      </c>
      <c r="T2177" s="7">
        <f t="shared" si="304"/>
        <v>153.80714170831524</v>
      </c>
      <c r="U2177" s="1">
        <f t="shared" si="305"/>
        <v>296.92742566818583</v>
      </c>
    </row>
    <row r="2178" spans="1:21" x14ac:dyDescent="0.3">
      <c r="A2178" s="2">
        <v>43334</v>
      </c>
      <c r="B2178" s="1">
        <v>5649.31</v>
      </c>
      <c r="C2178" s="2">
        <f t="shared" si="297"/>
        <v>43334</v>
      </c>
      <c r="D2178" s="1">
        <f t="shared" si="298"/>
        <v>5649.31</v>
      </c>
      <c r="E2178" s="4">
        <f t="shared" si="299"/>
        <v>5511.5933999999997</v>
      </c>
      <c r="F2178" s="3">
        <f t="shared" si="300"/>
        <v>1.0249867125539414</v>
      </c>
      <c r="G2178" s="18">
        <f t="shared" si="301"/>
        <v>1</v>
      </c>
      <c r="H2178" s="3">
        <f t="shared" si="302"/>
        <v>-3.6805104584891613E-4</v>
      </c>
      <c r="I2178" s="3">
        <f t="shared" si="303"/>
        <v>-3.6805104584891613E-4</v>
      </c>
      <c r="K2178" s="12" t="str">
        <f>IF(AND(G2178=1,G2177&lt;&gt;1),MAX($K$50:K2177)+1,"")</f>
        <v/>
      </c>
      <c r="L2178" s="13" t="str">
        <f>IF(AND(G2178&lt;&gt;1,G2177=1),MAX($L$50:L2177)+1,"")</f>
        <v/>
      </c>
      <c r="M2178" s="13" t="str">
        <f>IF(AND(G2178=-1,G2177&lt;&gt;-1),MAX($M$50:M2177)+1,"")</f>
        <v/>
      </c>
      <c r="N2178" s="13" t="str">
        <f>IF(AND(G2178&lt;&gt;-1,G2177=-1),MAX($N$50:N2177)+1,"")</f>
        <v/>
      </c>
      <c r="T2178" s="7">
        <f t="shared" si="304"/>
        <v>153.75053282895047</v>
      </c>
      <c r="U2178" s="1">
        <f t="shared" si="305"/>
        <v>296.81814121862743</v>
      </c>
    </row>
    <row r="2179" spans="1:21" x14ac:dyDescent="0.3">
      <c r="A2179" s="2">
        <v>43335</v>
      </c>
      <c r="B2179" s="1">
        <v>5640.1</v>
      </c>
      <c r="C2179" s="2">
        <f t="shared" si="297"/>
        <v>43335</v>
      </c>
      <c r="D2179" s="1">
        <f t="shared" si="298"/>
        <v>5640.1</v>
      </c>
      <c r="E2179" s="4">
        <f t="shared" si="299"/>
        <v>5515.2111999999988</v>
      </c>
      <c r="F2179" s="3">
        <f t="shared" si="300"/>
        <v>1.0226444274699764</v>
      </c>
      <c r="G2179" s="18">
        <f t="shared" si="301"/>
        <v>1</v>
      </c>
      <c r="H2179" s="3">
        <f t="shared" si="302"/>
        <v>-1.630287592644053E-3</v>
      </c>
      <c r="I2179" s="3">
        <f t="shared" si="303"/>
        <v>-1.630287592644053E-3</v>
      </c>
      <c r="K2179" s="12" t="str">
        <f>IF(AND(G2179=1,G2178&lt;&gt;1),MAX($K$50:K2178)+1,"")</f>
        <v/>
      </c>
      <c r="L2179" s="13" t="str">
        <f>IF(AND(G2179&lt;&gt;1,G2178=1),MAX($L$50:L2178)+1,"")</f>
        <v/>
      </c>
      <c r="M2179" s="13" t="str">
        <f>IF(AND(G2179=-1,G2178&lt;&gt;-1),MAX($M$50:M2178)+1,"")</f>
        <v/>
      </c>
      <c r="N2179" s="13" t="str">
        <f>IF(AND(G2179&lt;&gt;-1,G2178=-1),MAX($N$50:N2178)+1,"")</f>
        <v/>
      </c>
      <c r="T2179" s="7">
        <f t="shared" si="304"/>
        <v>153.49987524291703</v>
      </c>
      <c r="U2179" s="1">
        <f t="shared" si="305"/>
        <v>296.33424228572704</v>
      </c>
    </row>
    <row r="2180" spans="1:21" x14ac:dyDescent="0.3">
      <c r="A2180" s="2">
        <v>43336</v>
      </c>
      <c r="B2180" s="1">
        <v>5675.12</v>
      </c>
      <c r="C2180" s="2">
        <f t="shared" si="297"/>
        <v>43336</v>
      </c>
      <c r="D2180" s="1">
        <f t="shared" si="298"/>
        <v>5675.12</v>
      </c>
      <c r="E2180" s="4">
        <f t="shared" si="299"/>
        <v>5519.2262000000001</v>
      </c>
      <c r="F2180" s="3">
        <f t="shared" si="300"/>
        <v>1.0282455899343281</v>
      </c>
      <c r="G2180" s="18">
        <f t="shared" si="301"/>
        <v>1</v>
      </c>
      <c r="H2180" s="3">
        <f t="shared" si="302"/>
        <v>6.2091097675571749E-3</v>
      </c>
      <c r="I2180" s="3">
        <f t="shared" si="303"/>
        <v>6.2091097675571749E-3</v>
      </c>
      <c r="K2180" s="12" t="str">
        <f>IF(AND(G2180=1,G2179&lt;&gt;1),MAX($K$50:K2179)+1,"")</f>
        <v/>
      </c>
      <c r="L2180" s="13" t="str">
        <f>IF(AND(G2180&lt;&gt;1,G2179=1),MAX($L$50:L2179)+1,"")</f>
        <v/>
      </c>
      <c r="M2180" s="13" t="str">
        <f>IF(AND(G2180=-1,G2179&lt;&gt;-1),MAX($M$50:M2179)+1,"")</f>
        <v/>
      </c>
      <c r="N2180" s="13" t="str">
        <f>IF(AND(G2180&lt;&gt;-1,G2179=-1),MAX($N$50:N2179)+1,"")</f>
        <v/>
      </c>
      <c r="T2180" s="7">
        <f t="shared" si="304"/>
        <v>154.45297281760662</v>
      </c>
      <c r="U2180" s="1">
        <f t="shared" si="305"/>
        <v>298.17421412396504</v>
      </c>
    </row>
    <row r="2181" spans="1:21" x14ac:dyDescent="0.3">
      <c r="A2181" s="2">
        <v>43339</v>
      </c>
      <c r="B2181" s="1">
        <v>5719.3</v>
      </c>
      <c r="C2181" s="2">
        <f t="shared" si="297"/>
        <v>43339</v>
      </c>
      <c r="D2181" s="1">
        <f t="shared" si="298"/>
        <v>5719.3</v>
      </c>
      <c r="E2181" s="4">
        <f t="shared" si="299"/>
        <v>5524.224799999999</v>
      </c>
      <c r="F2181" s="3">
        <f t="shared" si="300"/>
        <v>1.0353126831478692</v>
      </c>
      <c r="G2181" s="18">
        <f t="shared" si="301"/>
        <v>1</v>
      </c>
      <c r="H2181" s="3">
        <f t="shared" si="302"/>
        <v>7.7848574127068471E-3</v>
      </c>
      <c r="I2181" s="3">
        <f t="shared" si="303"/>
        <v>7.7848574127068471E-3</v>
      </c>
      <c r="K2181" s="12" t="str">
        <f>IF(AND(G2181=1,G2180&lt;&gt;1),MAX($K$50:K2180)+1,"")</f>
        <v/>
      </c>
      <c r="L2181" s="13" t="str">
        <f>IF(AND(G2181&lt;&gt;1,G2180=1),MAX($L$50:L2180)+1,"")</f>
        <v/>
      </c>
      <c r="M2181" s="13" t="str">
        <f>IF(AND(G2181=-1,G2180&lt;&gt;-1),MAX($M$50:M2180)+1,"")</f>
        <v/>
      </c>
      <c r="N2181" s="13" t="str">
        <f>IF(AND(G2181&lt;&gt;-1,G2180=-1),MAX($N$50:N2180)+1,"")</f>
        <v/>
      </c>
      <c r="T2181" s="7">
        <f t="shared" si="304"/>
        <v>155.65536718796037</v>
      </c>
      <c r="U2181" s="1">
        <f t="shared" si="305"/>
        <v>300.49545786506599</v>
      </c>
    </row>
    <row r="2182" spans="1:21" x14ac:dyDescent="0.3">
      <c r="A2182" s="2">
        <v>43340</v>
      </c>
      <c r="B2182" s="1">
        <v>5720.89</v>
      </c>
      <c r="C2182" s="2">
        <f t="shared" si="297"/>
        <v>43340</v>
      </c>
      <c r="D2182" s="1">
        <f t="shared" si="298"/>
        <v>5720.89</v>
      </c>
      <c r="E2182" s="4">
        <f t="shared" si="299"/>
        <v>5529.4859999999999</v>
      </c>
      <c r="F2182" s="3">
        <f t="shared" si="300"/>
        <v>1.0346151522944449</v>
      </c>
      <c r="G2182" s="18">
        <f t="shared" si="301"/>
        <v>1</v>
      </c>
      <c r="H2182" s="3">
        <f t="shared" si="302"/>
        <v>2.7800604969141496E-4</v>
      </c>
      <c r="I2182" s="3">
        <f t="shared" si="303"/>
        <v>2.7800604969141496E-4</v>
      </c>
      <c r="K2182" s="12" t="str">
        <f>IF(AND(G2182=1,G2181&lt;&gt;1),MAX($K$50:K2181)+1,"")</f>
        <v/>
      </c>
      <c r="L2182" s="13" t="str">
        <f>IF(AND(G2182&lt;&gt;1,G2181=1),MAX($L$50:L2181)+1,"")</f>
        <v/>
      </c>
      <c r="M2182" s="13" t="str">
        <f>IF(AND(G2182=-1,G2181&lt;&gt;-1),MAX($M$50:M2181)+1,"")</f>
        <v/>
      </c>
      <c r="N2182" s="13" t="str">
        <f>IF(AND(G2182&lt;&gt;-1,G2181=-1),MAX($N$50:N2181)+1,"")</f>
        <v/>
      </c>
      <c r="T2182" s="7">
        <f t="shared" si="304"/>
        <v>155.69864032170557</v>
      </c>
      <c r="U2182" s="1">
        <f t="shared" si="305"/>
        <v>300.57899742025728</v>
      </c>
    </row>
    <row r="2183" spans="1:21" x14ac:dyDescent="0.3">
      <c r="A2183" s="2">
        <v>43341</v>
      </c>
      <c r="B2183" s="1">
        <v>5754</v>
      </c>
      <c r="C2183" s="2">
        <f t="shared" si="297"/>
        <v>43341</v>
      </c>
      <c r="D2183" s="1">
        <f t="shared" si="298"/>
        <v>5754</v>
      </c>
      <c r="E2183" s="4">
        <f t="shared" si="299"/>
        <v>5535.8433999999997</v>
      </c>
      <c r="F2183" s="3">
        <f t="shared" si="300"/>
        <v>1.0394080150460905</v>
      </c>
      <c r="G2183" s="18">
        <f t="shared" si="301"/>
        <v>1</v>
      </c>
      <c r="H2183" s="3">
        <f t="shared" si="302"/>
        <v>5.7875610263438126E-3</v>
      </c>
      <c r="I2183" s="3">
        <f t="shared" si="303"/>
        <v>5.7875610263438126E-3</v>
      </c>
      <c r="K2183" s="12" t="str">
        <f>IF(AND(G2183=1,G2182&lt;&gt;1),MAX($K$50:K2182)+1,"")</f>
        <v/>
      </c>
      <c r="L2183" s="13" t="str">
        <f>IF(AND(G2183&lt;&gt;1,G2182=1),MAX($L$50:L2182)+1,"")</f>
        <v/>
      </c>
      <c r="M2183" s="13" t="str">
        <f>IF(AND(G2183=-1,G2182&lt;&gt;-1),MAX($M$50:M2182)+1,"")</f>
        <v/>
      </c>
      <c r="N2183" s="13" t="str">
        <f>IF(AND(G2183&lt;&gt;-1,G2182=-1),MAX($N$50:N2182)+1,"")</f>
        <v/>
      </c>
      <c r="T2183" s="7">
        <f t="shared" si="304"/>
        <v>156.5997557042862</v>
      </c>
      <c r="U2183" s="1">
        <f t="shared" si="305"/>
        <v>302.31861671106424</v>
      </c>
    </row>
    <row r="2184" spans="1:21" x14ac:dyDescent="0.3">
      <c r="A2184" s="2">
        <v>43342</v>
      </c>
      <c r="B2184" s="1">
        <v>5729.45</v>
      </c>
      <c r="C2184" s="2">
        <f t="shared" si="297"/>
        <v>43342</v>
      </c>
      <c r="D2184" s="1">
        <f t="shared" si="298"/>
        <v>5729.45</v>
      </c>
      <c r="E2184" s="4">
        <f t="shared" si="299"/>
        <v>5541.5237999999999</v>
      </c>
      <c r="F2184" s="3">
        <f t="shared" si="300"/>
        <v>1.0339123690130141</v>
      </c>
      <c r="G2184" s="18">
        <f t="shared" si="301"/>
        <v>1</v>
      </c>
      <c r="H2184" s="3">
        <f t="shared" si="302"/>
        <v>-4.2665971498088151E-3</v>
      </c>
      <c r="I2184" s="3">
        <f t="shared" si="303"/>
        <v>-4.2665971498088151E-3</v>
      </c>
      <c r="K2184" s="12" t="str">
        <f>IF(AND(G2184=1,G2183&lt;&gt;1),MAX($K$50:K2183)+1,"")</f>
        <v/>
      </c>
      <c r="L2184" s="13" t="str">
        <f>IF(AND(G2184&lt;&gt;1,G2183=1),MAX($L$50:L2183)+1,"")</f>
        <v/>
      </c>
      <c r="M2184" s="13" t="str">
        <f>IF(AND(G2184=-1,G2183&lt;&gt;-1),MAX($M$50:M2183)+1,"")</f>
        <v/>
      </c>
      <c r="N2184" s="13" t="str">
        <f>IF(AND(G2184&lt;&gt;-1,G2183=-1),MAX($N$50:N2183)+1,"")</f>
        <v/>
      </c>
      <c r="T2184" s="7">
        <f t="shared" si="304"/>
        <v>155.93160763293753</v>
      </c>
      <c r="U2184" s="1">
        <f t="shared" si="305"/>
        <v>301.02874496267066</v>
      </c>
    </row>
    <row r="2185" spans="1:21" x14ac:dyDescent="0.3">
      <c r="A2185" s="2">
        <v>43343</v>
      </c>
      <c r="B2185" s="1">
        <v>5730.8</v>
      </c>
      <c r="C2185" s="2">
        <f t="shared" si="297"/>
        <v>43343</v>
      </c>
      <c r="D2185" s="1">
        <f t="shared" si="298"/>
        <v>5730.8</v>
      </c>
      <c r="E2185" s="4">
        <f t="shared" si="299"/>
        <v>5547.9117999999989</v>
      </c>
      <c r="F2185" s="3">
        <f t="shared" si="300"/>
        <v>1.032965232071642</v>
      </c>
      <c r="G2185" s="18">
        <f t="shared" si="301"/>
        <v>1</v>
      </c>
      <c r="H2185" s="3">
        <f t="shared" si="302"/>
        <v>2.3562471092342108E-4</v>
      </c>
      <c r="I2185" s="3">
        <f t="shared" si="303"/>
        <v>2.3562471092342108E-4</v>
      </c>
      <c r="K2185" s="12" t="str">
        <f>IF(AND(G2185=1,G2184&lt;&gt;1),MAX($K$50:K2184)+1,"")</f>
        <v/>
      </c>
      <c r="L2185" s="13" t="str">
        <f>IF(AND(G2185&lt;&gt;1,G2184=1),MAX($L$50:L2184)+1,"")</f>
        <v/>
      </c>
      <c r="M2185" s="13" t="str">
        <f>IF(AND(G2185=-1,G2184&lt;&gt;-1),MAX($M$50:M2184)+1,"")</f>
        <v/>
      </c>
      <c r="N2185" s="13" t="str">
        <f>IF(AND(G2185&lt;&gt;-1,G2184=-1),MAX($N$50:N2184)+1,"")</f>
        <v/>
      </c>
      <c r="T2185" s="7">
        <f t="shared" si="304"/>
        <v>155.96834897290987</v>
      </c>
      <c r="U2185" s="1">
        <f t="shared" si="305"/>
        <v>301.09967477368212</v>
      </c>
    </row>
    <row r="2186" spans="1:21" x14ac:dyDescent="0.3">
      <c r="A2186" s="2">
        <v>43347</v>
      </c>
      <c r="B2186" s="1">
        <v>5721.86</v>
      </c>
      <c r="C2186" s="2">
        <f t="shared" si="297"/>
        <v>43347</v>
      </c>
      <c r="D2186" s="1">
        <f t="shared" si="298"/>
        <v>5721.86</v>
      </c>
      <c r="E2186" s="4">
        <f t="shared" si="299"/>
        <v>5553.9164000000001</v>
      </c>
      <c r="F2186" s="3">
        <f t="shared" si="300"/>
        <v>1.030238769888578</v>
      </c>
      <c r="G2186" s="18">
        <f t="shared" si="301"/>
        <v>1</v>
      </c>
      <c r="H2186" s="3">
        <f t="shared" si="302"/>
        <v>-1.5599916242061695E-3</v>
      </c>
      <c r="I2186" s="3">
        <f t="shared" si="303"/>
        <v>-1.5599916242061695E-3</v>
      </c>
      <c r="K2186" s="12" t="str">
        <f>IF(AND(G2186=1,G2185&lt;&gt;1),MAX($K$50:K2185)+1,"")</f>
        <v/>
      </c>
      <c r="L2186" s="13" t="str">
        <f>IF(AND(G2186&lt;&gt;1,G2185=1),MAX($L$50:L2185)+1,"")</f>
        <v/>
      </c>
      <c r="M2186" s="13" t="str">
        <f>IF(AND(G2186=-1,G2185&lt;&gt;-1),MAX($M$50:M2185)+1,"")</f>
        <v/>
      </c>
      <c r="N2186" s="13" t="str">
        <f>IF(AND(G2186&lt;&gt;-1,G2185=-1),MAX($N$50:N2185)+1,"")</f>
        <v/>
      </c>
      <c r="T2186" s="7">
        <f t="shared" si="304"/>
        <v>155.72503965487087</v>
      </c>
      <c r="U2186" s="1">
        <f t="shared" si="305"/>
        <v>300.62996180298398</v>
      </c>
    </row>
    <row r="2187" spans="1:21" x14ac:dyDescent="0.3">
      <c r="A2187" s="2">
        <v>43348</v>
      </c>
      <c r="B2187" s="1">
        <v>5705.86</v>
      </c>
      <c r="C2187" s="2">
        <f t="shared" si="297"/>
        <v>43348</v>
      </c>
      <c r="D2187" s="1">
        <f t="shared" si="298"/>
        <v>5705.86</v>
      </c>
      <c r="E2187" s="4">
        <f t="shared" si="299"/>
        <v>5561.0889999999999</v>
      </c>
      <c r="F2187" s="3">
        <f t="shared" si="300"/>
        <v>1.0260328507599861</v>
      </c>
      <c r="G2187" s="18">
        <f t="shared" si="301"/>
        <v>1</v>
      </c>
      <c r="H2187" s="3">
        <f t="shared" si="302"/>
        <v>-2.7962935129486333E-3</v>
      </c>
      <c r="I2187" s="3">
        <f t="shared" si="303"/>
        <v>-2.7962935129486333E-3</v>
      </c>
      <c r="K2187" s="12" t="str">
        <f>IF(AND(G2187=1,G2186&lt;&gt;1),MAX($K$50:K2186)+1,"")</f>
        <v/>
      </c>
      <c r="L2187" s="13" t="str">
        <f>IF(AND(G2187&lt;&gt;1,G2186=1),MAX($L$50:L2186)+1,"")</f>
        <v/>
      </c>
      <c r="M2187" s="13" t="str">
        <f>IF(AND(G2187=-1,G2186&lt;&gt;-1),MAX($M$50:M2186)+1,"")</f>
        <v/>
      </c>
      <c r="N2187" s="13" t="str">
        <f>IF(AND(G2187&lt;&gt;-1,G2186=-1),MAX($N$50:N2186)+1,"")</f>
        <v/>
      </c>
      <c r="T2187" s="7">
        <f t="shared" si="304"/>
        <v>155.28958673668029</v>
      </c>
      <c r="U2187" s="1">
        <f t="shared" si="305"/>
        <v>299.78931219099633</v>
      </c>
    </row>
    <row r="2188" spans="1:21" x14ac:dyDescent="0.3">
      <c r="A2188" s="2">
        <v>43349</v>
      </c>
      <c r="B2188" s="1">
        <v>5686.7</v>
      </c>
      <c r="C2188" s="2">
        <f t="shared" si="297"/>
        <v>43349</v>
      </c>
      <c r="D2188" s="1">
        <f t="shared" si="298"/>
        <v>5686.7</v>
      </c>
      <c r="E2188" s="4">
        <f t="shared" si="299"/>
        <v>5567.6428000000005</v>
      </c>
      <c r="F2188" s="3">
        <f t="shared" si="300"/>
        <v>1.0213837712433707</v>
      </c>
      <c r="G2188" s="18">
        <f t="shared" si="301"/>
        <v>1</v>
      </c>
      <c r="H2188" s="3">
        <f t="shared" si="302"/>
        <v>-3.3579512991905869E-3</v>
      </c>
      <c r="I2188" s="3">
        <f t="shared" si="303"/>
        <v>-3.3579512991905869E-3</v>
      </c>
      <c r="K2188" s="12" t="str">
        <f>IF(AND(G2188=1,G2187&lt;&gt;1),MAX($K$50:K2187)+1,"")</f>
        <v/>
      </c>
      <c r="L2188" s="13" t="str">
        <f>IF(AND(G2188&lt;&gt;1,G2187=1),MAX($L$50:L2187)+1,"")</f>
        <v/>
      </c>
      <c r="M2188" s="13" t="str">
        <f>IF(AND(G2188=-1,G2187&lt;&gt;-1),MAX($M$50:M2187)+1,"")</f>
        <v/>
      </c>
      <c r="N2188" s="13" t="str">
        <f>IF(AND(G2188&lt;&gt;-1,G2187=-1),MAX($N$50:N2187)+1,"")</f>
        <v/>
      </c>
      <c r="T2188" s="7">
        <f t="shared" si="304"/>
        <v>154.76813186714708</v>
      </c>
      <c r="U2188" s="1">
        <f t="shared" si="305"/>
        <v>298.7826342806411</v>
      </c>
    </row>
    <row r="2189" spans="1:21" x14ac:dyDescent="0.3">
      <c r="A2189" s="2">
        <v>43350</v>
      </c>
      <c r="B2189" s="1">
        <v>5674.58</v>
      </c>
      <c r="C2189" s="2">
        <f t="shared" si="297"/>
        <v>43350</v>
      </c>
      <c r="D2189" s="1">
        <f t="shared" si="298"/>
        <v>5674.58</v>
      </c>
      <c r="E2189" s="4">
        <f t="shared" si="299"/>
        <v>5574.8766000000005</v>
      </c>
      <c r="F2189" s="3">
        <f t="shared" si="300"/>
        <v>1.0178844138002983</v>
      </c>
      <c r="G2189" s="18">
        <f t="shared" si="301"/>
        <v>1</v>
      </c>
      <c r="H2189" s="3">
        <f t="shared" si="302"/>
        <v>-2.1312887966659089E-3</v>
      </c>
      <c r="I2189" s="3">
        <f t="shared" si="303"/>
        <v>-2.1312887966659089E-3</v>
      </c>
      <c r="K2189" s="12" t="str">
        <f>IF(AND(G2189=1,G2188&lt;&gt;1),MAX($K$50:K2188)+1,"")</f>
        <v/>
      </c>
      <c r="L2189" s="13" t="str">
        <f>IF(AND(G2189&lt;&gt;1,G2188=1),MAX($L$50:L2188)+1,"")</f>
        <v/>
      </c>
      <c r="M2189" s="13" t="str">
        <f>IF(AND(G2189=-1,G2188&lt;&gt;-1),MAX($M$50:M2188)+1,"")</f>
        <v/>
      </c>
      <c r="N2189" s="13" t="str">
        <f>IF(AND(G2189&lt;&gt;-1,G2188=-1),MAX($N$50:N2188)+1,"")</f>
        <v/>
      </c>
      <c r="T2189" s="7">
        <f t="shared" si="304"/>
        <v>154.4382762816177</v>
      </c>
      <c r="U2189" s="1">
        <f t="shared" si="305"/>
        <v>298.14584219956043</v>
      </c>
    </row>
    <row r="2190" spans="1:21" x14ac:dyDescent="0.3">
      <c r="A2190" s="2">
        <v>43353</v>
      </c>
      <c r="B2190" s="1">
        <v>5685.34</v>
      </c>
      <c r="C2190" s="2">
        <f t="shared" si="297"/>
        <v>43353</v>
      </c>
      <c r="D2190" s="1">
        <f t="shared" si="298"/>
        <v>5685.34</v>
      </c>
      <c r="E2190" s="4">
        <f t="shared" si="299"/>
        <v>5581.6546000000008</v>
      </c>
      <c r="F2190" s="3">
        <f t="shared" si="300"/>
        <v>1.0185761046554187</v>
      </c>
      <c r="G2190" s="18">
        <f t="shared" si="301"/>
        <v>1</v>
      </c>
      <c r="H2190" s="3">
        <f t="shared" si="302"/>
        <v>1.8961755759898669E-3</v>
      </c>
      <c r="I2190" s="3">
        <f t="shared" si="303"/>
        <v>1.8961755759898669E-3</v>
      </c>
      <c r="K2190" s="12" t="str">
        <f>IF(AND(G2190=1,G2189&lt;&gt;1),MAX($K$50:K2189)+1,"")</f>
        <v/>
      </c>
      <c r="L2190" s="13" t="str">
        <f>IF(AND(G2190&lt;&gt;1,G2189=1),MAX($L$50:L2189)+1,"")</f>
        <v/>
      </c>
      <c r="M2190" s="13" t="str">
        <f>IF(AND(G2190=-1,G2189&lt;&gt;-1),MAX($M$50:M2189)+1,"")</f>
        <v/>
      </c>
      <c r="N2190" s="13" t="str">
        <f>IF(AND(G2190&lt;&gt;-1,G2189=-1),MAX($N$50:N2189)+1,"")</f>
        <v/>
      </c>
      <c r="T2190" s="7">
        <f t="shared" si="304"/>
        <v>154.73111836910087</v>
      </c>
      <c r="U2190" s="1">
        <f t="shared" si="305"/>
        <v>298.71117906362218</v>
      </c>
    </row>
    <row r="2191" spans="1:21" x14ac:dyDescent="0.3">
      <c r="A2191" s="2">
        <v>43354</v>
      </c>
      <c r="B2191" s="1">
        <v>5706.99</v>
      </c>
      <c r="C2191" s="2">
        <f t="shared" si="297"/>
        <v>43354</v>
      </c>
      <c r="D2191" s="1">
        <f t="shared" si="298"/>
        <v>5706.99</v>
      </c>
      <c r="E2191" s="4">
        <f t="shared" si="299"/>
        <v>5588.7777999999998</v>
      </c>
      <c r="F2191" s="3">
        <f t="shared" si="300"/>
        <v>1.0211517086973827</v>
      </c>
      <c r="G2191" s="18">
        <f t="shared" si="301"/>
        <v>1</v>
      </c>
      <c r="H2191" s="3">
        <f t="shared" si="302"/>
        <v>3.808039624718873E-3</v>
      </c>
      <c r="I2191" s="3">
        <f t="shared" si="303"/>
        <v>3.808039624718873E-3</v>
      </c>
      <c r="K2191" s="12" t="str">
        <f>IF(AND(G2191=1,G2190&lt;&gt;1),MAX($K$50:K2190)+1,"")</f>
        <v/>
      </c>
      <c r="L2191" s="13" t="str">
        <f>IF(AND(G2191&lt;&gt;1,G2190=1),MAX($L$50:L2190)+1,"")</f>
        <v/>
      </c>
      <c r="M2191" s="13" t="str">
        <f>IF(AND(G2191=-1,G2190&lt;&gt;-1),MAX($M$50:M2190)+1,"")</f>
        <v/>
      </c>
      <c r="N2191" s="13" t="str">
        <f>IF(AND(G2191&lt;&gt;-1,G2190=-1),MAX($N$50:N2190)+1,"")</f>
        <v/>
      </c>
      <c r="T2191" s="7">
        <f t="shared" si="304"/>
        <v>155.32034059902747</v>
      </c>
      <c r="U2191" s="1">
        <f t="shared" si="305"/>
        <v>299.84868306984293</v>
      </c>
    </row>
    <row r="2192" spans="1:21" x14ac:dyDescent="0.3">
      <c r="A2192" s="2">
        <v>43355</v>
      </c>
      <c r="B2192" s="1">
        <v>5709.08</v>
      </c>
      <c r="C2192" s="2">
        <f t="shared" si="297"/>
        <v>43355</v>
      </c>
      <c r="D2192" s="1">
        <f t="shared" si="298"/>
        <v>5709.08</v>
      </c>
      <c r="E2192" s="4">
        <f t="shared" si="299"/>
        <v>5595.6096000000007</v>
      </c>
      <c r="F2192" s="3">
        <f t="shared" si="300"/>
        <v>1.0202784697488545</v>
      </c>
      <c r="G2192" s="18">
        <f t="shared" si="301"/>
        <v>1</v>
      </c>
      <c r="H2192" s="3">
        <f t="shared" si="302"/>
        <v>3.6621756828036922E-4</v>
      </c>
      <c r="I2192" s="3">
        <f t="shared" si="303"/>
        <v>3.6621756828036922E-4</v>
      </c>
      <c r="K2192" s="12" t="str">
        <f>IF(AND(G2192=1,G2191&lt;&gt;1),MAX($K$50:K2191)+1,"")</f>
        <v/>
      </c>
      <c r="L2192" s="13" t="str">
        <f>IF(AND(G2192&lt;&gt;1,G2191=1),MAX($L$50:L2191)+1,"")</f>
        <v/>
      </c>
      <c r="M2192" s="13" t="str">
        <f>IF(AND(G2192=-1,G2191&lt;&gt;-1),MAX($M$50:M2191)+1,"")</f>
        <v/>
      </c>
      <c r="N2192" s="13" t="str">
        <f>IF(AND(G2192&lt;&gt;-1,G2191=-1),MAX($N$50:N2191)+1,"")</f>
        <v/>
      </c>
      <c r="T2192" s="7">
        <f t="shared" si="304"/>
        <v>155.37722163646612</v>
      </c>
      <c r="U2192" s="1">
        <f t="shared" si="305"/>
        <v>299.95849292540885</v>
      </c>
    </row>
    <row r="2193" spans="1:21" x14ac:dyDescent="0.3">
      <c r="A2193" s="2">
        <v>43356</v>
      </c>
      <c r="B2193" s="1">
        <v>5740.75</v>
      </c>
      <c r="C2193" s="2">
        <f t="shared" si="297"/>
        <v>43356</v>
      </c>
      <c r="D2193" s="1">
        <f t="shared" si="298"/>
        <v>5740.75</v>
      </c>
      <c r="E2193" s="4">
        <f t="shared" si="299"/>
        <v>5603.6060000000007</v>
      </c>
      <c r="F2193" s="3">
        <f t="shared" si="300"/>
        <v>1.0244742403373825</v>
      </c>
      <c r="G2193" s="18">
        <f t="shared" si="301"/>
        <v>1</v>
      </c>
      <c r="H2193" s="3">
        <f t="shared" si="302"/>
        <v>5.5473035935738046E-3</v>
      </c>
      <c r="I2193" s="3">
        <f t="shared" si="303"/>
        <v>5.5473035935738046E-3</v>
      </c>
      <c r="K2193" s="12" t="str">
        <f>IF(AND(G2193=1,G2192&lt;&gt;1),MAX($K$50:K2192)+1,"")</f>
        <v/>
      </c>
      <c r="L2193" s="13" t="str">
        <f>IF(AND(G2193&lt;&gt;1,G2192=1),MAX($L$50:L2192)+1,"")</f>
        <v/>
      </c>
      <c r="M2193" s="13" t="str">
        <f>IF(AND(G2193=-1,G2192&lt;&gt;-1),MAX($M$50:M2192)+1,"")</f>
        <v/>
      </c>
      <c r="N2193" s="13" t="str">
        <f>IF(AND(G2193&lt;&gt;-1,G2192=-1),MAX($N$50:N2192)+1,"")</f>
        <v/>
      </c>
      <c r="T2193" s="7">
        <f t="shared" si="304"/>
        <v>156.23914625640961</v>
      </c>
      <c r="U2193" s="1">
        <f t="shared" si="305"/>
        <v>301.62245375113696</v>
      </c>
    </row>
    <row r="2194" spans="1:21" x14ac:dyDescent="0.3">
      <c r="A2194" s="2">
        <v>43357</v>
      </c>
      <c r="B2194" s="1">
        <v>5743.19</v>
      </c>
      <c r="C2194" s="2">
        <f t="shared" si="297"/>
        <v>43357</v>
      </c>
      <c r="D2194" s="1">
        <f t="shared" si="298"/>
        <v>5743.19</v>
      </c>
      <c r="E2194" s="4">
        <f t="shared" si="299"/>
        <v>5610.7042000000001</v>
      </c>
      <c r="F2194" s="3">
        <f t="shared" si="300"/>
        <v>1.0236130430828985</v>
      </c>
      <c r="G2194" s="18">
        <f t="shared" si="301"/>
        <v>1</v>
      </c>
      <c r="H2194" s="3">
        <f t="shared" si="302"/>
        <v>4.2503157252959944E-4</v>
      </c>
      <c r="I2194" s="3">
        <f t="shared" si="303"/>
        <v>4.2503157252959944E-4</v>
      </c>
      <c r="K2194" s="12" t="str">
        <f>IF(AND(G2194=1,G2193&lt;&gt;1),MAX($K$50:K2193)+1,"")</f>
        <v/>
      </c>
      <c r="L2194" s="13" t="str">
        <f>IF(AND(G2194&lt;&gt;1,G2193=1),MAX($L$50:L2193)+1,"")</f>
        <v/>
      </c>
      <c r="M2194" s="13" t="str">
        <f>IF(AND(G2194=-1,G2193&lt;&gt;-1),MAX($M$50:M2193)+1,"")</f>
        <v/>
      </c>
      <c r="N2194" s="13" t="str">
        <f>IF(AND(G2194&lt;&gt;-1,G2193=-1),MAX($N$50:N2193)+1,"")</f>
        <v/>
      </c>
      <c r="T2194" s="7">
        <f t="shared" si="304"/>
        <v>156.30555282643365</v>
      </c>
      <c r="U2194" s="1">
        <f t="shared" si="305"/>
        <v>301.75065281696504</v>
      </c>
    </row>
    <row r="2195" spans="1:21" x14ac:dyDescent="0.3">
      <c r="A2195" s="2">
        <v>43360</v>
      </c>
      <c r="B2195" s="1">
        <v>5711.29</v>
      </c>
      <c r="C2195" s="2">
        <f t="shared" si="297"/>
        <v>43360</v>
      </c>
      <c r="D2195" s="1">
        <f t="shared" si="298"/>
        <v>5711.29</v>
      </c>
      <c r="E2195" s="4">
        <f t="shared" si="299"/>
        <v>5616.2427999999991</v>
      </c>
      <c r="F2195" s="3">
        <f t="shared" si="300"/>
        <v>1.0169236273047171</v>
      </c>
      <c r="G2195" s="18">
        <f t="shared" si="301"/>
        <v>1</v>
      </c>
      <c r="H2195" s="3">
        <f t="shared" si="302"/>
        <v>-5.5544044337727527E-3</v>
      </c>
      <c r="I2195" s="3">
        <f t="shared" si="303"/>
        <v>-5.5544044337727527E-3</v>
      </c>
      <c r="K2195" s="12" t="str">
        <f>IF(AND(G2195=1,G2194&lt;&gt;1),MAX($K$50:K2194)+1,"")</f>
        <v/>
      </c>
      <c r="L2195" s="13" t="str">
        <f>IF(AND(G2195&lt;&gt;1,G2194=1),MAX($L$50:L2194)+1,"")</f>
        <v/>
      </c>
      <c r="M2195" s="13" t="str">
        <f>IF(AND(G2195=-1,G2194&lt;&gt;-1),MAX($M$50:M2194)+1,"")</f>
        <v/>
      </c>
      <c r="N2195" s="13" t="str">
        <f>IF(AND(G2195&lt;&gt;-1,G2194=-1),MAX($N$50:N2194)+1,"")</f>
        <v/>
      </c>
      <c r="T2195" s="7">
        <f t="shared" si="304"/>
        <v>155.43736857079122</v>
      </c>
      <c r="U2195" s="1">
        <f t="shared" si="305"/>
        <v>300.07460765306467</v>
      </c>
    </row>
    <row r="2196" spans="1:21" x14ac:dyDescent="0.3">
      <c r="A2196" s="2">
        <v>43361</v>
      </c>
      <c r="B2196" s="1">
        <v>5742.18</v>
      </c>
      <c r="C2196" s="2">
        <f t="shared" si="297"/>
        <v>43361</v>
      </c>
      <c r="D2196" s="1">
        <f t="shared" si="298"/>
        <v>5742.18</v>
      </c>
      <c r="E2196" s="4">
        <f t="shared" si="299"/>
        <v>5621.4085999999988</v>
      </c>
      <c r="F2196" s="3">
        <f t="shared" si="300"/>
        <v>1.0214841881445873</v>
      </c>
      <c r="G2196" s="18">
        <f t="shared" si="301"/>
        <v>1</v>
      </c>
      <c r="H2196" s="3">
        <f t="shared" si="302"/>
        <v>5.4085854509227094E-3</v>
      </c>
      <c r="I2196" s="3">
        <f t="shared" si="303"/>
        <v>5.4085854509227094E-3</v>
      </c>
      <c r="K2196" s="12" t="str">
        <f>IF(AND(G2196=1,G2195&lt;&gt;1),MAX($K$50:K2195)+1,"")</f>
        <v/>
      </c>
      <c r="L2196" s="13" t="str">
        <f>IF(AND(G2196&lt;&gt;1,G2195=1),MAX($L$50:L2195)+1,"")</f>
        <v/>
      </c>
      <c r="M2196" s="13" t="str">
        <f>IF(AND(G2196=-1,G2195&lt;&gt;-1),MAX($M$50:M2195)+1,"")</f>
        <v/>
      </c>
      <c r="N2196" s="13" t="str">
        <f>IF(AND(G2196&lt;&gt;-1,G2195=-1),MAX($N$50:N2195)+1,"")</f>
        <v/>
      </c>
      <c r="T2196" s="7">
        <f t="shared" si="304"/>
        <v>156.2780648609729</v>
      </c>
      <c r="U2196" s="1">
        <f t="shared" si="305"/>
        <v>301.69758681020841</v>
      </c>
    </row>
    <row r="2197" spans="1:21" x14ac:dyDescent="0.3">
      <c r="A2197" s="2">
        <v>43362</v>
      </c>
      <c r="B2197" s="1">
        <v>5749.39</v>
      </c>
      <c r="C2197" s="2">
        <f t="shared" si="297"/>
        <v>43362</v>
      </c>
      <c r="D2197" s="1">
        <f t="shared" si="298"/>
        <v>5749.39</v>
      </c>
      <c r="E2197" s="4">
        <f t="shared" si="299"/>
        <v>5626.335399999999</v>
      </c>
      <c r="F2197" s="3">
        <f t="shared" si="300"/>
        <v>1.0218711810177548</v>
      </c>
      <c r="G2197" s="18">
        <f t="shared" si="301"/>
        <v>1</v>
      </c>
      <c r="H2197" s="3">
        <f t="shared" si="302"/>
        <v>1.2556206876133125E-3</v>
      </c>
      <c r="I2197" s="3">
        <f t="shared" si="303"/>
        <v>1.2556206876133125E-3</v>
      </c>
      <c r="K2197" s="12" t="str">
        <f>IF(AND(G2197=1,G2196&lt;&gt;1),MAX($K$50:K2196)+1,"")</f>
        <v/>
      </c>
      <c r="L2197" s="13" t="str">
        <f>IF(AND(G2197&lt;&gt;1,G2196=1),MAX($L$50:L2196)+1,"")</f>
        <v/>
      </c>
      <c r="M2197" s="13" t="str">
        <f>IF(AND(G2197=-1,G2196&lt;&gt;-1),MAX($M$50:M2196)+1,"")</f>
        <v/>
      </c>
      <c r="N2197" s="13" t="str">
        <f>IF(AND(G2197&lt;&gt;-1,G2196=-1),MAX($N$50:N2196)+1,"")</f>
        <v/>
      </c>
      <c r="T2197" s="7">
        <f t="shared" si="304"/>
        <v>156.47429083223253</v>
      </c>
      <c r="U2197" s="1">
        <f t="shared" si="305"/>
        <v>302.07640454161037</v>
      </c>
    </row>
    <row r="2198" spans="1:21" x14ac:dyDescent="0.3">
      <c r="A2198" s="2">
        <v>43363</v>
      </c>
      <c r="B2198" s="1">
        <v>5794.72</v>
      </c>
      <c r="C2198" s="2">
        <f t="shared" si="297"/>
        <v>43363</v>
      </c>
      <c r="D2198" s="1">
        <f t="shared" si="298"/>
        <v>5794.72</v>
      </c>
      <c r="E2198" s="4">
        <f t="shared" si="299"/>
        <v>5632.9495999999999</v>
      </c>
      <c r="F2198" s="3">
        <f t="shared" si="300"/>
        <v>1.0287185953163864</v>
      </c>
      <c r="G2198" s="18">
        <f t="shared" si="301"/>
        <v>1</v>
      </c>
      <c r="H2198" s="3">
        <f t="shared" si="302"/>
        <v>7.8843146838185607E-3</v>
      </c>
      <c r="I2198" s="3">
        <f t="shared" si="303"/>
        <v>7.8843146838185607E-3</v>
      </c>
      <c r="K2198" s="12" t="str">
        <f>IF(AND(G2198=1,G2197&lt;&gt;1),MAX($K$50:K2197)+1,"")</f>
        <v/>
      </c>
      <c r="L2198" s="13" t="str">
        <f>IF(AND(G2198&lt;&gt;1,G2197=1),MAX($L$50:L2197)+1,"")</f>
        <v/>
      </c>
      <c r="M2198" s="13" t="str">
        <f>IF(AND(G2198=-1,G2197&lt;&gt;-1),MAX($M$50:M2197)+1,"")</f>
        <v/>
      </c>
      <c r="N2198" s="13" t="str">
        <f>IF(AND(G2198&lt;&gt;-1,G2197=-1),MAX($N$50:N2197)+1,"")</f>
        <v/>
      </c>
      <c r="T2198" s="7">
        <f t="shared" si="304"/>
        <v>157.70798338108119</v>
      </c>
      <c r="U2198" s="1">
        <f t="shared" si="305"/>
        <v>304.45806997357295</v>
      </c>
    </row>
    <row r="2199" spans="1:21" x14ac:dyDescent="0.3">
      <c r="A2199" s="2">
        <v>43364</v>
      </c>
      <c r="B2199" s="1">
        <v>5792.72</v>
      </c>
      <c r="C2199" s="2">
        <f t="shared" si="297"/>
        <v>43364</v>
      </c>
      <c r="D2199" s="1">
        <f t="shared" si="298"/>
        <v>5792.72</v>
      </c>
      <c r="E2199" s="4">
        <f t="shared" si="299"/>
        <v>5638.5567999999994</v>
      </c>
      <c r="F2199" s="3">
        <f t="shared" si="300"/>
        <v>1.0273408968763071</v>
      </c>
      <c r="G2199" s="18">
        <f t="shared" si="301"/>
        <v>1</v>
      </c>
      <c r="H2199" s="3">
        <f t="shared" si="302"/>
        <v>-3.4514178424494002E-4</v>
      </c>
      <c r="I2199" s="3">
        <f t="shared" si="303"/>
        <v>-3.4514178424494002E-4</v>
      </c>
      <c r="K2199" s="12" t="str">
        <f>IF(AND(G2199=1,G2198&lt;&gt;1),MAX($K$50:K2198)+1,"")</f>
        <v/>
      </c>
      <c r="L2199" s="13" t="str">
        <f>IF(AND(G2199&lt;&gt;1,G2198=1),MAX($L$50:L2198)+1,"")</f>
        <v/>
      </c>
      <c r="M2199" s="13" t="str">
        <f>IF(AND(G2199=-1,G2198&lt;&gt;-1),MAX($M$50:M2198)+1,"")</f>
        <v/>
      </c>
      <c r="N2199" s="13" t="str">
        <f>IF(AND(G2199&lt;&gt;-1,G2198=-1),MAX($N$50:N2198)+1,"")</f>
        <v/>
      </c>
      <c r="T2199" s="7">
        <f t="shared" si="304"/>
        <v>157.65355176630737</v>
      </c>
      <c r="U2199" s="1">
        <f t="shared" si="305"/>
        <v>304.35298877207447</v>
      </c>
    </row>
    <row r="2200" spans="1:21" x14ac:dyDescent="0.3">
      <c r="A2200" s="2">
        <v>43367</v>
      </c>
      <c r="B2200" s="1">
        <v>5772.36</v>
      </c>
      <c r="C2200" s="2">
        <f t="shared" si="297"/>
        <v>43367</v>
      </c>
      <c r="D2200" s="1">
        <f t="shared" si="298"/>
        <v>5772.36</v>
      </c>
      <c r="E2200" s="4">
        <f t="shared" si="299"/>
        <v>5643.6373999999987</v>
      </c>
      <c r="F2200" s="3">
        <f t="shared" si="300"/>
        <v>1.0228084461981914</v>
      </c>
      <c r="G2200" s="18">
        <f t="shared" si="301"/>
        <v>1</v>
      </c>
      <c r="H2200" s="3">
        <f t="shared" si="302"/>
        <v>-3.5147564529272035E-3</v>
      </c>
      <c r="I2200" s="3">
        <f t="shared" si="303"/>
        <v>-3.5147564529272035E-3</v>
      </c>
      <c r="K2200" s="12" t="str">
        <f>IF(AND(G2200=1,G2199&lt;&gt;1),MAX($K$50:K2199)+1,"")</f>
        <v/>
      </c>
      <c r="L2200" s="13" t="str">
        <f>IF(AND(G2200&lt;&gt;1,G2199=1),MAX($L$50:L2199)+1,"")</f>
        <v/>
      </c>
      <c r="M2200" s="13" t="str">
        <f>IF(AND(G2200=-1,G2199&lt;&gt;-1),MAX($M$50:M2199)+1,"")</f>
        <v/>
      </c>
      <c r="N2200" s="13" t="str">
        <f>IF(AND(G2200&lt;&gt;-1,G2199=-1),MAX($N$50:N2199)+1,"")</f>
        <v/>
      </c>
      <c r="T2200" s="7">
        <f t="shared" si="304"/>
        <v>157.09943792790986</v>
      </c>
      <c r="U2200" s="1">
        <f t="shared" si="305"/>
        <v>303.28326214082011</v>
      </c>
    </row>
    <row r="2201" spans="1:21" x14ac:dyDescent="0.3">
      <c r="A2201" s="2">
        <v>43368</v>
      </c>
      <c r="B2201" s="1">
        <v>5765.25</v>
      </c>
      <c r="C2201" s="2">
        <f t="shared" si="297"/>
        <v>43368</v>
      </c>
      <c r="D2201" s="1">
        <f t="shared" si="298"/>
        <v>5765.25</v>
      </c>
      <c r="E2201" s="4">
        <f t="shared" si="299"/>
        <v>5648.6839999999975</v>
      </c>
      <c r="F2201" s="3">
        <f t="shared" si="300"/>
        <v>1.0206359569768821</v>
      </c>
      <c r="G2201" s="18">
        <f t="shared" si="301"/>
        <v>1</v>
      </c>
      <c r="H2201" s="3">
        <f t="shared" si="302"/>
        <v>-1.2317319086126988E-3</v>
      </c>
      <c r="I2201" s="3">
        <f t="shared" si="303"/>
        <v>-1.2317319086126988E-3</v>
      </c>
      <c r="K2201" s="12" t="str">
        <f>IF(AND(G2201=1,G2200&lt;&gt;1),MAX($K$50:K2200)+1,"")</f>
        <v/>
      </c>
      <c r="L2201" s="13" t="str">
        <f>IF(AND(G2201&lt;&gt;1,G2200=1),MAX($L$50:L2200)+1,"")</f>
        <v/>
      </c>
      <c r="M2201" s="13" t="str">
        <f>IF(AND(G2201=-1,G2200&lt;&gt;-1),MAX($M$50:M2200)+1,"")</f>
        <v/>
      </c>
      <c r="N2201" s="13" t="str">
        <f>IF(AND(G2201&lt;&gt;-1,G2200=-1),MAX($N$50:N2200)+1,"")</f>
        <v/>
      </c>
      <c r="T2201" s="7">
        <f t="shared" si="304"/>
        <v>156.90593353738893</v>
      </c>
      <c r="U2201" s="1">
        <f t="shared" si="305"/>
        <v>302.90969846949315</v>
      </c>
    </row>
    <row r="2202" spans="1:21" x14ac:dyDescent="0.3">
      <c r="A2202" s="2">
        <v>43369</v>
      </c>
      <c r="B2202" s="1">
        <v>5746.27</v>
      </c>
      <c r="C2202" s="2">
        <f t="shared" si="297"/>
        <v>43369</v>
      </c>
      <c r="D2202" s="1">
        <f t="shared" si="298"/>
        <v>5746.27</v>
      </c>
      <c r="E2202" s="4">
        <f t="shared" si="299"/>
        <v>5652.9111999999996</v>
      </c>
      <c r="F2202" s="3">
        <f t="shared" si="300"/>
        <v>1.0165151718640124</v>
      </c>
      <c r="G2202" s="18">
        <f t="shared" si="301"/>
        <v>1</v>
      </c>
      <c r="H2202" s="3">
        <f t="shared" si="302"/>
        <v>-3.2921382420536549E-3</v>
      </c>
      <c r="I2202" s="3">
        <f t="shared" si="303"/>
        <v>-3.2921382420536549E-3</v>
      </c>
      <c r="K2202" s="12" t="str">
        <f>IF(AND(G2202=1,G2201&lt;&gt;1),MAX($K$50:K2201)+1,"")</f>
        <v/>
      </c>
      <c r="L2202" s="13" t="str">
        <f>IF(AND(G2202&lt;&gt;1,G2201=1),MAX($L$50:L2201)+1,"")</f>
        <v/>
      </c>
      <c r="M2202" s="13" t="str">
        <f>IF(AND(G2202=-1,G2201&lt;&gt;-1),MAX($M$50:M2201)+1,"")</f>
        <v/>
      </c>
      <c r="N2202" s="13" t="str">
        <f>IF(AND(G2202&lt;&gt;-1,G2201=-1),MAX($N$50:N2201)+1,"")</f>
        <v/>
      </c>
      <c r="T2202" s="7">
        <f t="shared" si="304"/>
        <v>156.38937751318537</v>
      </c>
      <c r="U2202" s="1">
        <f t="shared" si="305"/>
        <v>301.9124778672728</v>
      </c>
    </row>
    <row r="2203" spans="1:21" x14ac:dyDescent="0.3">
      <c r="A2203" s="2">
        <v>43370</v>
      </c>
      <c r="B2203" s="1">
        <v>5763.22</v>
      </c>
      <c r="C2203" s="2">
        <f t="shared" si="297"/>
        <v>43370</v>
      </c>
      <c r="D2203" s="1">
        <f t="shared" si="298"/>
        <v>5763.22</v>
      </c>
      <c r="E2203" s="4">
        <f t="shared" si="299"/>
        <v>5657.2383999999993</v>
      </c>
      <c r="F2203" s="3">
        <f t="shared" si="300"/>
        <v>1.0187338048189734</v>
      </c>
      <c r="G2203" s="18">
        <f t="shared" si="301"/>
        <v>1</v>
      </c>
      <c r="H2203" s="3">
        <f t="shared" si="302"/>
        <v>2.9497395701907347E-3</v>
      </c>
      <c r="I2203" s="3">
        <f t="shared" si="303"/>
        <v>2.9497395701907347E-3</v>
      </c>
      <c r="K2203" s="12" t="str">
        <f>IF(AND(G2203=1,G2202&lt;&gt;1),MAX($K$50:K2202)+1,"")</f>
        <v/>
      </c>
      <c r="L2203" s="13" t="str">
        <f>IF(AND(G2203&lt;&gt;1,G2202=1),MAX($L$50:L2202)+1,"")</f>
        <v/>
      </c>
      <c r="M2203" s="13" t="str">
        <f>IF(AND(G2203=-1,G2202&lt;&gt;-1),MAX($M$50:M2202)+1,"")</f>
        <v/>
      </c>
      <c r="N2203" s="13" t="str">
        <f>IF(AND(G2203&lt;&gt;-1,G2202=-1),MAX($N$50:N2202)+1,"")</f>
        <v/>
      </c>
      <c r="T2203" s="7">
        <f t="shared" si="304"/>
        <v>156.85068544839351</v>
      </c>
      <c r="U2203" s="1">
        <f t="shared" si="305"/>
        <v>302.80304104997219</v>
      </c>
    </row>
    <row r="2204" spans="1:21" x14ac:dyDescent="0.3">
      <c r="A2204" s="2">
        <v>43371</v>
      </c>
      <c r="B2204" s="1">
        <v>5763.42</v>
      </c>
      <c r="C2204" s="2">
        <f t="shared" si="297"/>
        <v>43371</v>
      </c>
      <c r="D2204" s="1">
        <f t="shared" si="298"/>
        <v>5763.42</v>
      </c>
      <c r="E2204" s="4">
        <f t="shared" si="299"/>
        <v>5661.9965999999977</v>
      </c>
      <c r="F2204" s="3">
        <f t="shared" si="300"/>
        <v>1.0179130096969684</v>
      </c>
      <c r="G2204" s="18">
        <f t="shared" si="301"/>
        <v>1</v>
      </c>
      <c r="H2204" s="3">
        <f t="shared" si="302"/>
        <v>3.4702822380605625E-5</v>
      </c>
      <c r="I2204" s="3">
        <f t="shared" si="303"/>
        <v>3.4702822380605625E-5</v>
      </c>
      <c r="K2204" s="12" t="str">
        <f>IF(AND(G2204=1,G2203&lt;&gt;1),MAX($K$50:K2203)+1,"")</f>
        <v/>
      </c>
      <c r="L2204" s="13" t="str">
        <f>IF(AND(G2204&lt;&gt;1,G2203=1),MAX($L$50:L2203)+1,"")</f>
        <v/>
      </c>
      <c r="M2204" s="13" t="str">
        <f>IF(AND(G2204=-1,G2203&lt;&gt;-1),MAX($M$50:M2203)+1,"")</f>
        <v/>
      </c>
      <c r="N2204" s="13" t="str">
        <f>IF(AND(G2204&lt;&gt;-1,G2203=-1),MAX($N$50:N2203)+1,"")</f>
        <v/>
      </c>
      <c r="T2204" s="7">
        <f t="shared" si="304"/>
        <v>156.85612860987089</v>
      </c>
      <c r="U2204" s="1">
        <f t="shared" si="305"/>
        <v>302.81354917012203</v>
      </c>
    </row>
    <row r="2205" spans="1:21" x14ac:dyDescent="0.3">
      <c r="A2205" s="2">
        <v>43374</v>
      </c>
      <c r="B2205" s="1">
        <v>5784.45</v>
      </c>
      <c r="C2205" s="2">
        <f t="shared" si="297"/>
        <v>43374</v>
      </c>
      <c r="D2205" s="1">
        <f t="shared" si="298"/>
        <v>5784.45</v>
      </c>
      <c r="E2205" s="4">
        <f t="shared" si="299"/>
        <v>5667.2755999999981</v>
      </c>
      <c r="F2205" s="3">
        <f t="shared" si="300"/>
        <v>1.0206756135170136</v>
      </c>
      <c r="G2205" s="18">
        <f t="shared" si="301"/>
        <v>1</v>
      </c>
      <c r="H2205" s="3">
        <f t="shared" si="302"/>
        <v>3.6488751470480363E-3</v>
      </c>
      <c r="I2205" s="3">
        <f t="shared" si="303"/>
        <v>3.6488751470480363E-3</v>
      </c>
      <c r="K2205" s="12" t="str">
        <f>IF(AND(G2205=1,G2204&lt;&gt;1),MAX($K$50:K2204)+1,"")</f>
        <v/>
      </c>
      <c r="L2205" s="13" t="str">
        <f>IF(AND(G2205&lt;&gt;1,G2204=1),MAX($L$50:L2204)+1,"")</f>
        <v/>
      </c>
      <c r="M2205" s="13" t="str">
        <f>IF(AND(G2205=-1,G2204&lt;&gt;-1),MAX($M$50:M2204)+1,"")</f>
        <v/>
      </c>
      <c r="N2205" s="13" t="str">
        <f>IF(AND(G2205&lt;&gt;-1,G2204=-1),MAX($N$50:N2204)+1,"")</f>
        <v/>
      </c>
      <c r="T2205" s="7">
        <f t="shared" si="304"/>
        <v>157.42847703921763</v>
      </c>
      <c r="U2205" s="1">
        <f t="shared" si="305"/>
        <v>303.91847800387831</v>
      </c>
    </row>
    <row r="2206" spans="1:21" x14ac:dyDescent="0.3">
      <c r="A2206" s="2">
        <v>43375</v>
      </c>
      <c r="B2206" s="1">
        <v>5782.37</v>
      </c>
      <c r="C2206" s="2">
        <f t="shared" si="297"/>
        <v>43375</v>
      </c>
      <c r="D2206" s="1">
        <f t="shared" si="298"/>
        <v>5782.37</v>
      </c>
      <c r="E2206" s="4">
        <f t="shared" si="299"/>
        <v>5672.3097999999991</v>
      </c>
      <c r="F2206" s="3">
        <f t="shared" si="300"/>
        <v>1.0194030657493356</v>
      </c>
      <c r="G2206" s="18">
        <f t="shared" si="301"/>
        <v>1</v>
      </c>
      <c r="H2206" s="3">
        <f t="shared" si="302"/>
        <v>-3.5958474876607305E-4</v>
      </c>
      <c r="I2206" s="3">
        <f t="shared" si="303"/>
        <v>-3.5958474876607305E-4</v>
      </c>
      <c r="K2206" s="12" t="str">
        <f>IF(AND(G2206=1,G2205&lt;&gt;1),MAX($K$50:K2205)+1,"")</f>
        <v/>
      </c>
      <c r="L2206" s="13" t="str">
        <f>IF(AND(G2206&lt;&gt;1,G2205=1),MAX($L$50:L2205)+1,"")</f>
        <v/>
      </c>
      <c r="M2206" s="13" t="str">
        <f>IF(AND(G2206=-1,G2205&lt;&gt;-1),MAX($M$50:M2205)+1,"")</f>
        <v/>
      </c>
      <c r="N2206" s="13" t="str">
        <f>IF(AND(G2206&lt;&gt;-1,G2205=-1),MAX($N$50:N2205)+1,"")</f>
        <v/>
      </c>
      <c r="T2206" s="7">
        <f t="shared" si="304"/>
        <v>157.37186815985285</v>
      </c>
      <c r="U2206" s="1">
        <f t="shared" si="305"/>
        <v>303.8091935543199</v>
      </c>
    </row>
    <row r="2207" spans="1:21" x14ac:dyDescent="0.3">
      <c r="A2207" s="2">
        <v>43376</v>
      </c>
      <c r="B2207" s="1">
        <v>5786.48</v>
      </c>
      <c r="C2207" s="2">
        <f t="shared" si="297"/>
        <v>43376</v>
      </c>
      <c r="D2207" s="1">
        <f t="shared" si="298"/>
        <v>5786.48</v>
      </c>
      <c r="E2207" s="4">
        <f t="shared" si="299"/>
        <v>5676.8919999999998</v>
      </c>
      <c r="F2207" s="3">
        <f t="shared" si="300"/>
        <v>1.0193042249174371</v>
      </c>
      <c r="G2207" s="18">
        <f t="shared" si="301"/>
        <v>1</v>
      </c>
      <c r="H2207" s="3">
        <f t="shared" si="302"/>
        <v>7.1078121946532846E-4</v>
      </c>
      <c r="I2207" s="3">
        <f t="shared" si="303"/>
        <v>7.1078121946532846E-4</v>
      </c>
      <c r="K2207" s="12" t="str">
        <f>IF(AND(G2207=1,G2206&lt;&gt;1),MAX($K$50:K2206)+1,"")</f>
        <v/>
      </c>
      <c r="L2207" s="13" t="str">
        <f>IF(AND(G2207&lt;&gt;1,G2206=1),MAX($L$50:L2206)+1,"")</f>
        <v/>
      </c>
      <c r="M2207" s="13" t="str">
        <f>IF(AND(G2207=-1,G2206&lt;&gt;-1),MAX($M$50:M2206)+1,"")</f>
        <v/>
      </c>
      <c r="N2207" s="13" t="str">
        <f>IF(AND(G2207&lt;&gt;-1,G2206=-1),MAX($N$50:N2206)+1,"")</f>
        <v/>
      </c>
      <c r="T2207" s="7">
        <f t="shared" si="304"/>
        <v>157.48372512821305</v>
      </c>
      <c r="U2207" s="1">
        <f t="shared" si="305"/>
        <v>304.02513542339921</v>
      </c>
    </row>
    <row r="2208" spans="1:21" x14ac:dyDescent="0.3">
      <c r="A2208" s="2">
        <v>43377</v>
      </c>
      <c r="B2208" s="1">
        <v>5740.56</v>
      </c>
      <c r="C2208" s="2">
        <f t="shared" si="297"/>
        <v>43377</v>
      </c>
      <c r="D2208" s="1">
        <f t="shared" si="298"/>
        <v>5740.56</v>
      </c>
      <c r="E2208" s="4">
        <f t="shared" si="299"/>
        <v>5679.5433999999987</v>
      </c>
      <c r="F2208" s="3">
        <f t="shared" si="300"/>
        <v>1.0107432227738593</v>
      </c>
      <c r="G2208" s="18">
        <f t="shared" si="301"/>
        <v>1</v>
      </c>
      <c r="H2208" s="3">
        <f t="shared" si="302"/>
        <v>-7.9357398625761189E-3</v>
      </c>
      <c r="I2208" s="3">
        <f t="shared" si="303"/>
        <v>-7.9357398625761189E-3</v>
      </c>
      <c r="K2208" s="12" t="str">
        <f>IF(AND(G2208=1,G2207&lt;&gt;1),MAX($K$50:K2207)+1,"")</f>
        <v/>
      </c>
      <c r="L2208" s="13" t="str">
        <f>IF(AND(G2208&lt;&gt;1,G2207=1),MAX($L$50:L2207)+1,"")</f>
        <v/>
      </c>
      <c r="M2208" s="13" t="str">
        <f>IF(AND(G2208=-1,G2207&lt;&gt;-1),MAX($M$50:M2207)+1,"")</f>
        <v/>
      </c>
      <c r="N2208" s="13" t="str">
        <f>IF(AND(G2208&lt;&gt;-1,G2207=-1),MAX($N$50:N2207)+1,"")</f>
        <v/>
      </c>
      <c r="T2208" s="7">
        <f t="shared" si="304"/>
        <v>156.23397525300612</v>
      </c>
      <c r="U2208" s="1">
        <f t="shared" si="305"/>
        <v>301.61247103699463</v>
      </c>
    </row>
    <row r="2209" spans="1:21" x14ac:dyDescent="0.3">
      <c r="A2209" s="2">
        <v>43378</v>
      </c>
      <c r="B2209" s="1">
        <v>5708.9</v>
      </c>
      <c r="C2209" s="2">
        <f t="shared" si="297"/>
        <v>43378</v>
      </c>
      <c r="D2209" s="1">
        <f t="shared" si="298"/>
        <v>5708.9</v>
      </c>
      <c r="E2209" s="4">
        <f t="shared" si="299"/>
        <v>5681.9016000000001</v>
      </c>
      <c r="F2209" s="3">
        <f t="shared" si="300"/>
        <v>1.0047516486381953</v>
      </c>
      <c r="G2209" s="18">
        <f t="shared" si="301"/>
        <v>1</v>
      </c>
      <c r="H2209" s="3">
        <f t="shared" si="302"/>
        <v>-5.5151413799351401E-3</v>
      </c>
      <c r="I2209" s="3">
        <f t="shared" si="303"/>
        <v>-5.5151413799351401E-3</v>
      </c>
      <c r="K2209" s="12" t="str">
        <f>IF(AND(G2209=1,G2208&lt;&gt;1),MAX($K$50:K2208)+1,"")</f>
        <v/>
      </c>
      <c r="L2209" s="13" t="str">
        <f>IF(AND(G2209&lt;&gt;1,G2208=1),MAX($L$50:L2208)+1,"")</f>
        <v/>
      </c>
      <c r="M2209" s="13" t="str">
        <f>IF(AND(G2209=-1,G2208&lt;&gt;-1),MAX($M$50:M2208)+1,"")</f>
        <v/>
      </c>
      <c r="N2209" s="13" t="str">
        <f>IF(AND(G2209&lt;&gt;-1,G2208=-1),MAX($N$50:N2208)+1,"")</f>
        <v/>
      </c>
      <c r="T2209" s="7">
        <f t="shared" si="304"/>
        <v>155.3723227911365</v>
      </c>
      <c r="U2209" s="1">
        <f t="shared" si="305"/>
        <v>299.94903561727403</v>
      </c>
    </row>
    <row r="2210" spans="1:21" x14ac:dyDescent="0.3">
      <c r="A2210" s="2">
        <v>43381</v>
      </c>
      <c r="B2210" s="1">
        <v>5706.66</v>
      </c>
      <c r="C2210" s="2">
        <f t="shared" si="297"/>
        <v>43381</v>
      </c>
      <c r="D2210" s="1">
        <f t="shared" si="298"/>
        <v>5706.66</v>
      </c>
      <c r="E2210" s="4">
        <f t="shared" si="299"/>
        <v>5684.9485999999988</v>
      </c>
      <c r="F2210" s="3">
        <f t="shared" si="300"/>
        <v>1.0038191022518657</v>
      </c>
      <c r="G2210" s="18">
        <f t="shared" si="301"/>
        <v>1</v>
      </c>
      <c r="H2210" s="3">
        <f t="shared" si="302"/>
        <v>-3.9236980854451264E-4</v>
      </c>
      <c r="I2210" s="3">
        <f t="shared" si="303"/>
        <v>-3.9236980854451264E-4</v>
      </c>
      <c r="K2210" s="12" t="str">
        <f>IF(AND(G2210=1,G2209&lt;&gt;1),MAX($K$50:K2209)+1,"")</f>
        <v/>
      </c>
      <c r="L2210" s="13" t="str">
        <f>IF(AND(G2210&lt;&gt;1,G2209=1),MAX($L$50:L2209)+1,"")</f>
        <v/>
      </c>
      <c r="M2210" s="13" t="str">
        <f>IF(AND(G2210=-1,G2209&lt;&gt;-1),MAX($M$50:M2209)+1,"")</f>
        <v/>
      </c>
      <c r="N2210" s="13" t="str">
        <f>IF(AND(G2210&lt;&gt;-1,G2209=-1),MAX($N$50:N2209)+1,"")</f>
        <v/>
      </c>
      <c r="T2210" s="7">
        <f t="shared" si="304"/>
        <v>155.31135938258981</v>
      </c>
      <c r="U2210" s="1">
        <f t="shared" si="305"/>
        <v>299.83134467159579</v>
      </c>
    </row>
    <row r="2211" spans="1:21" x14ac:dyDescent="0.3">
      <c r="A2211" s="2">
        <v>43382</v>
      </c>
      <c r="B2211" s="1">
        <v>5700.23</v>
      </c>
      <c r="C2211" s="2">
        <f t="shared" si="297"/>
        <v>43382</v>
      </c>
      <c r="D2211" s="1">
        <f t="shared" si="298"/>
        <v>5700.23</v>
      </c>
      <c r="E2211" s="4">
        <f t="shared" si="299"/>
        <v>5688.4969999999994</v>
      </c>
      <c r="F2211" s="3">
        <f t="shared" si="300"/>
        <v>1.002062583490859</v>
      </c>
      <c r="G2211" s="18">
        <f t="shared" si="301"/>
        <v>1</v>
      </c>
      <c r="H2211" s="3">
        <f t="shared" si="302"/>
        <v>-1.1267536527496125E-3</v>
      </c>
      <c r="I2211" s="3">
        <f t="shared" si="303"/>
        <v>-1.1267536527496125E-3</v>
      </c>
      <c r="K2211" s="12" t="str">
        <f>IF(AND(G2211=1,G2210&lt;&gt;1),MAX($K$50:K2210)+1,"")</f>
        <v/>
      </c>
      <c r="L2211" s="13" t="str">
        <f>IF(AND(G2211&lt;&gt;1,G2210=1),MAX($L$50:L2210)+1,"")</f>
        <v/>
      </c>
      <c r="M2211" s="13" t="str">
        <f>IF(AND(G2211=-1,G2210&lt;&gt;-1),MAX($M$50:M2210)+1,"")</f>
        <v/>
      </c>
      <c r="N2211" s="13" t="str">
        <f>IF(AND(G2211&lt;&gt;-1,G2210=-1),MAX($N$50:N2210)+1,"")</f>
        <v/>
      </c>
      <c r="T2211" s="7">
        <f t="shared" si="304"/>
        <v>155.13636174109197</v>
      </c>
      <c r="U2211" s="1">
        <f t="shared" si="305"/>
        <v>299.4935086087782</v>
      </c>
    </row>
    <row r="2212" spans="1:21" x14ac:dyDescent="0.3">
      <c r="A2212" s="2">
        <v>43383</v>
      </c>
      <c r="B2212" s="1">
        <v>5512.94</v>
      </c>
      <c r="C2212" s="2">
        <f t="shared" si="297"/>
        <v>43383</v>
      </c>
      <c r="D2212" s="1">
        <f t="shared" si="298"/>
        <v>5512.94</v>
      </c>
      <c r="E2212" s="4">
        <f t="shared" si="299"/>
        <v>5687.7565999999988</v>
      </c>
      <c r="F2212" s="3">
        <f t="shared" si="300"/>
        <v>0.96926440206671305</v>
      </c>
      <c r="G2212" s="18">
        <f t="shared" si="301"/>
        <v>1</v>
      </c>
      <c r="H2212" s="3">
        <f t="shared" si="302"/>
        <v>-3.2856568945463627E-2</v>
      </c>
      <c r="I2212" s="3">
        <f t="shared" si="303"/>
        <v>-3.2856568945463627E-2</v>
      </c>
      <c r="K2212" s="12" t="str">
        <f>IF(AND(G2212=1,G2211&lt;&gt;1),MAX($K$50:K2211)+1,"")</f>
        <v/>
      </c>
      <c r="L2212" s="13" t="str">
        <f>IF(AND(G2212&lt;&gt;1,G2211=1),MAX($L$50:L2211)+1,"")</f>
        <v/>
      </c>
      <c r="M2212" s="13" t="str">
        <f>IF(AND(G2212=-1,G2211&lt;&gt;-1),MAX($M$50:M2211)+1,"")</f>
        <v/>
      </c>
      <c r="N2212" s="13" t="str">
        <f>IF(AND(G2212&lt;&gt;-1,G2211=-1),MAX($N$50:N2211)+1,"")</f>
        <v/>
      </c>
      <c r="T2212" s="7">
        <f t="shared" si="304"/>
        <v>150.03911317559741</v>
      </c>
      <c r="U2212" s="1">
        <f t="shared" si="305"/>
        <v>289.65317949445512</v>
      </c>
    </row>
    <row r="2213" spans="1:21" x14ac:dyDescent="0.3">
      <c r="A2213" s="2">
        <v>43384</v>
      </c>
      <c r="B2213" s="1">
        <v>5399.54</v>
      </c>
      <c r="C2213" s="2">
        <f t="shared" si="297"/>
        <v>43384</v>
      </c>
      <c r="D2213" s="1">
        <f t="shared" si="298"/>
        <v>5399.54</v>
      </c>
      <c r="E2213" s="4">
        <f t="shared" si="299"/>
        <v>5684.8635999999988</v>
      </c>
      <c r="F2213" s="3">
        <f t="shared" si="300"/>
        <v>0.9498099479466845</v>
      </c>
      <c r="G2213" s="18">
        <f t="shared" si="301"/>
        <v>-1</v>
      </c>
      <c r="H2213" s="3">
        <f t="shared" si="302"/>
        <v>-2.056978671997145E-2</v>
      </c>
      <c r="I2213" s="3">
        <f t="shared" si="303"/>
        <v>-2.056978671997145E-2</v>
      </c>
      <c r="K2213" s="12" t="str">
        <f>IF(AND(G2213=1,G2212&lt;&gt;1),MAX($K$50:K2212)+1,"")</f>
        <v/>
      </c>
      <c r="L2213" s="13">
        <f>IF(AND(G2213&lt;&gt;1,G2212=1),MAX($L$50:L2212)+1,"")</f>
        <v>21</v>
      </c>
      <c r="M2213" s="13">
        <f>IF(AND(G2213=-1,G2212&lt;&gt;-1),MAX($M$50:M2212)+1,"")</f>
        <v>21</v>
      </c>
      <c r="N2213" s="13" t="str">
        <f>IF(AND(G2213&lt;&gt;-1,G2212=-1),MAX($N$50:N2212)+1,"")</f>
        <v/>
      </c>
      <c r="T2213" s="7">
        <f t="shared" si="304"/>
        <v>146.95284061792171</v>
      </c>
      <c r="U2213" s="1">
        <f t="shared" si="305"/>
        <v>283.6950753694926</v>
      </c>
    </row>
    <row r="2214" spans="1:21" x14ac:dyDescent="0.3">
      <c r="A2214" s="2">
        <v>43385</v>
      </c>
      <c r="B2214" s="1">
        <v>5476.83</v>
      </c>
      <c r="C2214" s="2">
        <f t="shared" si="297"/>
        <v>43385</v>
      </c>
      <c r="D2214" s="1">
        <f t="shared" si="298"/>
        <v>5476.83</v>
      </c>
      <c r="E2214" s="4">
        <f t="shared" si="299"/>
        <v>5682.9585999999999</v>
      </c>
      <c r="F2214" s="3">
        <f t="shared" si="300"/>
        <v>0.96372864655392698</v>
      </c>
      <c r="G2214" s="18">
        <f t="shared" si="301"/>
        <v>1</v>
      </c>
      <c r="H2214" s="3">
        <f t="shared" si="302"/>
        <v>1.4314182319234536E-2</v>
      </c>
      <c r="I2214" s="3">
        <f t="shared" si="303"/>
        <v>-1.4314182319234536E-2</v>
      </c>
      <c r="K2214" s="12">
        <f>IF(AND(G2214=1,G2213&lt;&gt;1),MAX($K$50:K2213)+1,"")</f>
        <v>22</v>
      </c>
      <c r="L2214" s="13" t="str">
        <f>IF(AND(G2214&lt;&gt;1,G2213=1),MAX($L$50:L2213)+1,"")</f>
        <v/>
      </c>
      <c r="M2214" s="13" t="str">
        <f>IF(AND(G2214=-1,G2213&lt;&gt;-1),MAX($M$50:M2213)+1,"")</f>
        <v/>
      </c>
      <c r="N2214" s="13">
        <f>IF(AND(G2214&lt;&gt;-1,G2213=-1),MAX($N$50:N2213)+1,"")</f>
        <v>21</v>
      </c>
      <c r="T2214" s="7">
        <f t="shared" si="304"/>
        <v>144.84933086498737</v>
      </c>
      <c r="U2214" s="1">
        <f t="shared" si="305"/>
        <v>287.75593840140056</v>
      </c>
    </row>
    <row r="2215" spans="1:21" x14ac:dyDescent="0.3">
      <c r="A2215" s="2">
        <v>43388</v>
      </c>
      <c r="B2215" s="1">
        <v>5444.61</v>
      </c>
      <c r="C2215" s="2">
        <f t="shared" si="297"/>
        <v>43388</v>
      </c>
      <c r="D2215" s="1">
        <f t="shared" si="298"/>
        <v>5444.61</v>
      </c>
      <c r="E2215" s="4">
        <f t="shared" si="299"/>
        <v>5679.8765999999996</v>
      </c>
      <c r="F2215" s="3">
        <f t="shared" si="300"/>
        <v>0.95857892405620226</v>
      </c>
      <c r="G2215" s="18">
        <f t="shared" si="301"/>
        <v>1</v>
      </c>
      <c r="H2215" s="3">
        <f t="shared" si="302"/>
        <v>-5.8829651458964793E-3</v>
      </c>
      <c r="I2215" s="3">
        <f t="shared" si="303"/>
        <v>-5.8829651458964793E-3</v>
      </c>
      <c r="K2215" s="12" t="str">
        <f>IF(AND(G2215=1,G2214&lt;&gt;1),MAX($K$50:K2214)+1,"")</f>
        <v/>
      </c>
      <c r="L2215" s="13" t="str">
        <f>IF(AND(G2215&lt;&gt;1,G2214=1),MAX($L$50:L2214)+1,"")</f>
        <v/>
      </c>
      <c r="M2215" s="13" t="str">
        <f>IF(AND(G2215=-1,G2214&lt;&gt;-1),MAX($M$50:M2214)+1,"")</f>
        <v/>
      </c>
      <c r="N2215" s="13" t="str">
        <f>IF(AND(G2215&lt;&gt;-1,G2214=-1),MAX($N$50:N2214)+1,"")</f>
        <v/>
      </c>
      <c r="T2215" s="7">
        <f t="shared" si="304"/>
        <v>143.99718730010221</v>
      </c>
      <c r="U2215" s="1">
        <f t="shared" si="305"/>
        <v>286.06308024526038</v>
      </c>
    </row>
    <row r="2216" spans="1:21" x14ac:dyDescent="0.3">
      <c r="A2216" s="2">
        <v>43389</v>
      </c>
      <c r="B2216" s="1">
        <v>5561.8</v>
      </c>
      <c r="C2216" s="2">
        <f t="shared" si="297"/>
        <v>43389</v>
      </c>
      <c r="D2216" s="1">
        <f t="shared" si="298"/>
        <v>5561.8</v>
      </c>
      <c r="E2216" s="4">
        <f t="shared" si="299"/>
        <v>5678.7316000000001</v>
      </c>
      <c r="F2216" s="3">
        <f t="shared" si="300"/>
        <v>0.97940885249797682</v>
      </c>
      <c r="G2216" s="18">
        <f t="shared" si="301"/>
        <v>1</v>
      </c>
      <c r="H2216" s="3">
        <f t="shared" si="302"/>
        <v>2.1524039371047854E-2</v>
      </c>
      <c r="I2216" s="3">
        <f t="shared" si="303"/>
        <v>2.1524039371047854E-2</v>
      </c>
      <c r="K2216" s="12" t="str">
        <f>IF(AND(G2216=1,G2215&lt;&gt;1),MAX($K$50:K2215)+1,"")</f>
        <v/>
      </c>
      <c r="L2216" s="13" t="str">
        <f>IF(AND(G2216&lt;&gt;1,G2215=1),MAX($L$50:L2215)+1,"")</f>
        <v/>
      </c>
      <c r="M2216" s="13" t="str">
        <f>IF(AND(G2216=-1,G2215&lt;&gt;-1),MAX($M$50:M2215)+1,"")</f>
        <v/>
      </c>
      <c r="N2216" s="13" t="str">
        <f>IF(AND(G2216&lt;&gt;-1,G2215=-1),MAX($N$50:N2215)+1,"")</f>
        <v/>
      </c>
      <c r="T2216" s="7">
        <f t="shared" si="304"/>
        <v>147.09658842886975</v>
      </c>
      <c r="U2216" s="1">
        <f t="shared" si="305"/>
        <v>292.22031324706256</v>
      </c>
    </row>
    <row r="2217" spans="1:21" x14ac:dyDescent="0.3">
      <c r="A2217" s="2">
        <v>43390</v>
      </c>
      <c r="B2217" s="1">
        <v>5560.62</v>
      </c>
      <c r="C2217" s="2">
        <f t="shared" si="297"/>
        <v>43390</v>
      </c>
      <c r="D2217" s="1">
        <f t="shared" si="298"/>
        <v>5560.62</v>
      </c>
      <c r="E2217" s="4">
        <f t="shared" si="299"/>
        <v>5677.2443999999996</v>
      </c>
      <c r="F2217" s="3">
        <f t="shared" si="300"/>
        <v>0.97945756923904848</v>
      </c>
      <c r="G2217" s="18">
        <f t="shared" si="301"/>
        <v>1</v>
      </c>
      <c r="H2217" s="3">
        <f t="shared" si="302"/>
        <v>-2.1216153043979169E-4</v>
      </c>
      <c r="I2217" s="3">
        <f t="shared" si="303"/>
        <v>-2.1216153043979169E-4</v>
      </c>
      <c r="K2217" s="12" t="str">
        <f>IF(AND(G2217=1,G2216&lt;&gt;1),MAX($K$50:K2216)+1,"")</f>
        <v/>
      </c>
      <c r="L2217" s="13" t="str">
        <f>IF(AND(G2217&lt;&gt;1,G2216=1),MAX($L$50:L2216)+1,"")</f>
        <v/>
      </c>
      <c r="M2217" s="13" t="str">
        <f>IF(AND(G2217=-1,G2216&lt;&gt;-1),MAX($M$50:M2216)+1,"")</f>
        <v/>
      </c>
      <c r="N2217" s="13" t="str">
        <f>IF(AND(G2217&lt;&gt;-1,G2216=-1),MAX($N$50:N2216)+1,"")</f>
        <v/>
      </c>
      <c r="T2217" s="7">
        <f t="shared" si="304"/>
        <v>147.06538019154621</v>
      </c>
      <c r="U2217" s="1">
        <f t="shared" si="305"/>
        <v>292.15831533817845</v>
      </c>
    </row>
    <row r="2218" spans="1:21" x14ac:dyDescent="0.3">
      <c r="A2218" s="2">
        <v>43391</v>
      </c>
      <c r="B2218" s="1">
        <v>5481.13</v>
      </c>
      <c r="C2218" s="2">
        <f t="shared" si="297"/>
        <v>43391</v>
      </c>
      <c r="D2218" s="1">
        <f t="shared" si="298"/>
        <v>5481.13</v>
      </c>
      <c r="E2218" s="4">
        <f t="shared" si="299"/>
        <v>5674.1935999999996</v>
      </c>
      <c r="F2218" s="3">
        <f t="shared" si="300"/>
        <v>0.96597514755224434</v>
      </c>
      <c r="G2218" s="18">
        <f t="shared" si="301"/>
        <v>1</v>
      </c>
      <c r="H2218" s="3">
        <f t="shared" si="302"/>
        <v>-1.4295168524373181E-2</v>
      </c>
      <c r="I2218" s="3">
        <f t="shared" si="303"/>
        <v>-1.4295168524373181E-2</v>
      </c>
      <c r="K2218" s="12" t="str">
        <f>IF(AND(G2218=1,G2217&lt;&gt;1),MAX($K$50:K2217)+1,"")</f>
        <v/>
      </c>
      <c r="L2218" s="13" t="str">
        <f>IF(AND(G2218&lt;&gt;1,G2217=1),MAX($L$50:L2217)+1,"")</f>
        <v/>
      </c>
      <c r="M2218" s="13" t="str">
        <f>IF(AND(G2218=-1,G2217&lt;&gt;-1),MAX($M$50:M2217)+1,"")</f>
        <v/>
      </c>
      <c r="N2218" s="13" t="str">
        <f>IF(AND(G2218&lt;&gt;-1,G2217=-1),MAX($N$50:N2217)+1,"")</f>
        <v/>
      </c>
      <c r="T2218" s="7">
        <f t="shared" si="304"/>
        <v>144.96305579760704</v>
      </c>
      <c r="U2218" s="1">
        <f t="shared" si="305"/>
        <v>287.98186298462224</v>
      </c>
    </row>
    <row r="2219" spans="1:21" x14ac:dyDescent="0.3">
      <c r="A2219" s="2">
        <v>43392</v>
      </c>
      <c r="B2219" s="1">
        <v>5479.3</v>
      </c>
      <c r="C2219" s="2">
        <f t="shared" si="297"/>
        <v>43392</v>
      </c>
      <c r="D2219" s="1">
        <f t="shared" si="298"/>
        <v>5479.3</v>
      </c>
      <c r="E2219" s="4">
        <f t="shared" si="299"/>
        <v>5671.2395999999999</v>
      </c>
      <c r="F2219" s="3">
        <f t="shared" si="300"/>
        <v>0.96615561790053806</v>
      </c>
      <c r="G2219" s="18">
        <f t="shared" si="301"/>
        <v>1</v>
      </c>
      <c r="H2219" s="3">
        <f t="shared" si="302"/>
        <v>-3.3387275981411335E-4</v>
      </c>
      <c r="I2219" s="3">
        <f t="shared" si="303"/>
        <v>-3.3387275981411335E-4</v>
      </c>
      <c r="K2219" s="12" t="str">
        <f>IF(AND(G2219=1,G2218&lt;&gt;1),MAX($K$50:K2218)+1,"")</f>
        <v/>
      </c>
      <c r="L2219" s="13" t="str">
        <f>IF(AND(G2219&lt;&gt;1,G2218=1),MAX($L$50:L2218)+1,"")</f>
        <v/>
      </c>
      <c r="M2219" s="13" t="str">
        <f>IF(AND(G2219=-1,G2218&lt;&gt;-1),MAX($M$50:M2218)+1,"")</f>
        <v/>
      </c>
      <c r="N2219" s="13" t="str">
        <f>IF(AND(G2219&lt;&gt;-1,G2218=-1),MAX($N$50:N2218)+1,"")</f>
        <v/>
      </c>
      <c r="T2219" s="7">
        <f t="shared" si="304"/>
        <v>144.9146565820968</v>
      </c>
      <c r="U2219" s="1">
        <f t="shared" si="305"/>
        <v>287.88571368525118</v>
      </c>
    </row>
    <row r="2220" spans="1:21" x14ac:dyDescent="0.3">
      <c r="A2220" s="2">
        <v>43395</v>
      </c>
      <c r="B2220" s="1">
        <v>5455.88</v>
      </c>
      <c r="C2220" s="2">
        <f t="shared" si="297"/>
        <v>43395</v>
      </c>
      <c r="D2220" s="1">
        <f t="shared" si="298"/>
        <v>5455.88</v>
      </c>
      <c r="E2220" s="4">
        <f t="shared" si="299"/>
        <v>5668.5839999999998</v>
      </c>
      <c r="F2220" s="3">
        <f t="shared" si="300"/>
        <v>0.96247669612023046</v>
      </c>
      <c r="G2220" s="18">
        <f t="shared" si="301"/>
        <v>1</v>
      </c>
      <c r="H2220" s="3">
        <f t="shared" si="302"/>
        <v>-4.2742686109539241E-3</v>
      </c>
      <c r="I2220" s="3">
        <f t="shared" si="303"/>
        <v>-4.2742686109539241E-3</v>
      </c>
      <c r="K2220" s="12" t="str">
        <f>IF(AND(G2220=1,G2219&lt;&gt;1),MAX($K$50:K2219)+1,"")</f>
        <v/>
      </c>
      <c r="L2220" s="13" t="str">
        <f>IF(AND(G2220&lt;&gt;1,G2219=1),MAX($L$50:L2219)+1,"")</f>
        <v/>
      </c>
      <c r="M2220" s="13" t="str">
        <f>IF(AND(G2220=-1,G2219&lt;&gt;-1),MAX($M$50:M2219)+1,"")</f>
        <v/>
      </c>
      <c r="N2220" s="13" t="str">
        <f>IF(AND(G2220&lt;&gt;-1,G2219=-1),MAX($N$50:N2219)+1,"")</f>
        <v/>
      </c>
      <c r="T2220" s="7">
        <f t="shared" si="304"/>
        <v>144.29525241420077</v>
      </c>
      <c r="U2220" s="1">
        <f t="shared" si="305"/>
        <v>286.6552128157042</v>
      </c>
    </row>
    <row r="2221" spans="1:21" x14ac:dyDescent="0.3">
      <c r="A2221" s="2">
        <v>43396</v>
      </c>
      <c r="B2221" s="1">
        <v>5426.08</v>
      </c>
      <c r="C2221" s="2">
        <f t="shared" si="297"/>
        <v>43396</v>
      </c>
      <c r="D2221" s="1">
        <f t="shared" si="298"/>
        <v>5426.08</v>
      </c>
      <c r="E2221" s="4">
        <f t="shared" si="299"/>
        <v>5665.7783999999992</v>
      </c>
      <c r="F2221" s="3">
        <f t="shared" si="300"/>
        <v>0.9576936507082594</v>
      </c>
      <c r="G2221" s="18">
        <f t="shared" si="301"/>
        <v>1</v>
      </c>
      <c r="H2221" s="3">
        <f t="shared" si="302"/>
        <v>-5.4619969647426991E-3</v>
      </c>
      <c r="I2221" s="3">
        <f t="shared" si="303"/>
        <v>-5.4619969647426991E-3</v>
      </c>
      <c r="K2221" s="12" t="str">
        <f>IF(AND(G2221=1,G2220&lt;&gt;1),MAX($K$50:K2220)+1,"")</f>
        <v/>
      </c>
      <c r="L2221" s="13" t="str">
        <f>IF(AND(G2221&lt;&gt;1,G2220=1),MAX($L$50:L2220)+1,"")</f>
        <v/>
      </c>
      <c r="M2221" s="13" t="str">
        <f>IF(AND(G2221=-1,G2220&lt;&gt;-1),MAX($M$50:M2220)+1,"")</f>
        <v/>
      </c>
      <c r="N2221" s="13" t="str">
        <f>IF(AND(G2221&lt;&gt;-1,G2220=-1),MAX($N$50:N2220)+1,"")</f>
        <v/>
      </c>
      <c r="T2221" s="7">
        <f t="shared" si="304"/>
        <v>143.50711218348764</v>
      </c>
      <c r="U2221" s="1">
        <f t="shared" si="305"/>
        <v>285.08950291337715</v>
      </c>
    </row>
    <row r="2222" spans="1:21" x14ac:dyDescent="0.3">
      <c r="A2222" s="2">
        <v>43397</v>
      </c>
      <c r="B2222" s="1">
        <v>5258.61</v>
      </c>
      <c r="C2222" s="2">
        <f t="shared" si="297"/>
        <v>43397</v>
      </c>
      <c r="D2222" s="1">
        <f t="shared" si="298"/>
        <v>5258.61</v>
      </c>
      <c r="E2222" s="4">
        <f t="shared" si="299"/>
        <v>5658.9023999999999</v>
      </c>
      <c r="F2222" s="3">
        <f t="shared" si="300"/>
        <v>0.92926324369899005</v>
      </c>
      <c r="G2222" s="18">
        <f t="shared" si="301"/>
        <v>-1</v>
      </c>
      <c r="H2222" s="3">
        <f t="shared" si="302"/>
        <v>-3.0863901748591993E-2</v>
      </c>
      <c r="I2222" s="3">
        <f t="shared" si="303"/>
        <v>-3.0863901748591993E-2</v>
      </c>
      <c r="K2222" s="12" t="str">
        <f>IF(AND(G2222=1,G2221&lt;&gt;1),MAX($K$50:K2221)+1,"")</f>
        <v/>
      </c>
      <c r="L2222" s="13">
        <f>IF(AND(G2222&lt;&gt;1,G2221=1),MAX($L$50:L2221)+1,"")</f>
        <v>22</v>
      </c>
      <c r="M2222" s="13">
        <f>IF(AND(G2222=-1,G2221&lt;&gt;-1),MAX($M$50:M2221)+1,"")</f>
        <v>22</v>
      </c>
      <c r="N2222" s="13" t="str">
        <f>IF(AND(G2222&lt;&gt;-1,G2221=-1),MAX($N$50:N2221)+1,"")</f>
        <v/>
      </c>
      <c r="T2222" s="7">
        <f t="shared" si="304"/>
        <v>139.0779227728323</v>
      </c>
      <c r="U2222" s="1">
        <f t="shared" si="305"/>
        <v>276.29052850590375</v>
      </c>
    </row>
    <row r="2223" spans="1:21" x14ac:dyDescent="0.3">
      <c r="A2223" s="2">
        <v>43398</v>
      </c>
      <c r="B2223" s="1">
        <v>5356.54</v>
      </c>
      <c r="C2223" s="2">
        <f t="shared" si="297"/>
        <v>43398</v>
      </c>
      <c r="D2223" s="1">
        <f t="shared" si="298"/>
        <v>5356.54</v>
      </c>
      <c r="E2223" s="4">
        <f t="shared" si="299"/>
        <v>5654.8161999999984</v>
      </c>
      <c r="F2223" s="3">
        <f t="shared" si="300"/>
        <v>0.94725271530487609</v>
      </c>
      <c r="G2223" s="18">
        <f t="shared" si="301"/>
        <v>-1</v>
      </c>
      <c r="H2223" s="3">
        <f t="shared" si="302"/>
        <v>1.8622791954527873E-2</v>
      </c>
      <c r="I2223" s="3">
        <f t="shared" si="303"/>
        <v>-1.8622791954527873E-2</v>
      </c>
      <c r="K2223" s="12" t="str">
        <f>IF(AND(G2223=1,G2222&lt;&gt;1),MAX($K$50:K2222)+1,"")</f>
        <v/>
      </c>
      <c r="L2223" s="13" t="str">
        <f>IF(AND(G2223&lt;&gt;1,G2222=1),MAX($L$50:L2222)+1,"")</f>
        <v/>
      </c>
      <c r="M2223" s="13" t="str">
        <f>IF(AND(G2223=-1,G2222&lt;&gt;-1),MAX($M$50:M2222)+1,"")</f>
        <v/>
      </c>
      <c r="N2223" s="13" t="str">
        <f>IF(AND(G2223&lt;&gt;-1,G2222=-1),MAX($N$50:N2222)+1,"")</f>
        <v/>
      </c>
      <c r="T2223" s="7">
        <f t="shared" si="304"/>
        <v>136.48790355156595</v>
      </c>
      <c r="U2223" s="1">
        <f t="shared" si="305"/>
        <v>281.43582953727577</v>
      </c>
    </row>
    <row r="2224" spans="1:21" x14ac:dyDescent="0.3">
      <c r="A2224" s="2">
        <v>43399</v>
      </c>
      <c r="B2224" s="1">
        <v>5263.74</v>
      </c>
      <c r="C2224" s="2">
        <f t="shared" si="297"/>
        <v>43399</v>
      </c>
      <c r="D2224" s="1">
        <f t="shared" si="298"/>
        <v>5263.74</v>
      </c>
      <c r="E2224" s="4">
        <f t="shared" si="299"/>
        <v>5647.9597999999987</v>
      </c>
      <c r="F2224" s="3">
        <f t="shared" si="300"/>
        <v>0.93197193082004604</v>
      </c>
      <c r="G2224" s="18">
        <f t="shared" si="301"/>
        <v>-1</v>
      </c>
      <c r="H2224" s="3">
        <f t="shared" si="302"/>
        <v>-1.7324616263483583E-2</v>
      </c>
      <c r="I2224" s="3">
        <f t="shared" si="303"/>
        <v>1.7324616263483583E-2</v>
      </c>
      <c r="K2224" s="12" t="str">
        <f>IF(AND(G2224=1,G2223&lt;&gt;1),MAX($K$50:K2223)+1,"")</f>
        <v/>
      </c>
      <c r="L2224" s="13" t="str">
        <f>IF(AND(G2224&lt;&gt;1,G2223=1),MAX($L$50:L2223)+1,"")</f>
        <v/>
      </c>
      <c r="M2224" s="13" t="str">
        <f>IF(AND(G2224=-1,G2223&lt;&gt;-1),MAX($M$50:M2223)+1,"")</f>
        <v/>
      </c>
      <c r="N2224" s="13" t="str">
        <f>IF(AND(G2224&lt;&gt;-1,G2223=-1),MAX($N$50:N2223)+1,"")</f>
        <v/>
      </c>
      <c r="T2224" s="7">
        <f t="shared" si="304"/>
        <v>138.85250410520419</v>
      </c>
      <c r="U2224" s="1">
        <f t="shared" si="305"/>
        <v>276.56006178774726</v>
      </c>
    </row>
    <row r="2225" spans="1:21" x14ac:dyDescent="0.3">
      <c r="A2225" s="2">
        <v>43402</v>
      </c>
      <c r="B2225" s="1">
        <v>5229.28</v>
      </c>
      <c r="C2225" s="2">
        <f t="shared" si="297"/>
        <v>43402</v>
      </c>
      <c r="D2225" s="1">
        <f t="shared" si="298"/>
        <v>5229.28</v>
      </c>
      <c r="E2225" s="4">
        <f t="shared" si="299"/>
        <v>5640.0321999999987</v>
      </c>
      <c r="F2225" s="3">
        <f t="shared" si="300"/>
        <v>0.92717201153567896</v>
      </c>
      <c r="G2225" s="18">
        <f t="shared" si="301"/>
        <v>-1</v>
      </c>
      <c r="H2225" s="3">
        <f t="shared" si="302"/>
        <v>-6.5466759376413552E-3</v>
      </c>
      <c r="I2225" s="3">
        <f t="shared" si="303"/>
        <v>6.5466759376413552E-3</v>
      </c>
      <c r="K2225" s="12" t="str">
        <f>IF(AND(G2225=1,G2224&lt;&gt;1),MAX($K$50:K2224)+1,"")</f>
        <v/>
      </c>
      <c r="L2225" s="13" t="str">
        <f>IF(AND(G2225&lt;&gt;1,G2224=1),MAX($L$50:L2224)+1,"")</f>
        <v/>
      </c>
      <c r="M2225" s="13" t="str">
        <f>IF(AND(G2225=-1,G2224&lt;&gt;-1),MAX($M$50:M2224)+1,"")</f>
        <v/>
      </c>
      <c r="N2225" s="13" t="str">
        <f>IF(AND(G2225&lt;&gt;-1,G2224=-1),MAX($N$50:N2224)+1,"")</f>
        <v/>
      </c>
      <c r="T2225" s="7">
        <f t="shared" si="304"/>
        <v>139.76152645271097</v>
      </c>
      <c r="U2225" s="1">
        <f t="shared" si="305"/>
        <v>274.74951268592883</v>
      </c>
    </row>
    <row r="2226" spans="1:21" x14ac:dyDescent="0.3">
      <c r="A2226" s="2">
        <v>43403</v>
      </c>
      <c r="B2226" s="1">
        <v>5311.67</v>
      </c>
      <c r="C2226" s="2">
        <f t="shared" si="297"/>
        <v>43403</v>
      </c>
      <c r="D2226" s="1">
        <f t="shared" si="298"/>
        <v>5311.67</v>
      </c>
      <c r="E2226" s="4">
        <f t="shared" si="299"/>
        <v>5633.4749999999985</v>
      </c>
      <c r="F2226" s="3">
        <f t="shared" si="300"/>
        <v>0.94287628861404393</v>
      </c>
      <c r="G2226" s="18">
        <f t="shared" si="301"/>
        <v>-1</v>
      </c>
      <c r="H2226" s="3">
        <f t="shared" si="302"/>
        <v>1.5755515099593165E-2</v>
      </c>
      <c r="I2226" s="3">
        <f t="shared" si="303"/>
        <v>-1.5755515099593165E-2</v>
      </c>
      <c r="K2226" s="12" t="str">
        <f>IF(AND(G2226=1,G2225&lt;&gt;1),MAX($K$50:K2225)+1,"")</f>
        <v/>
      </c>
      <c r="L2226" s="13" t="str">
        <f>IF(AND(G2226&lt;&gt;1,G2225=1),MAX($L$50:L2225)+1,"")</f>
        <v/>
      </c>
      <c r="M2226" s="13" t="str">
        <f>IF(AND(G2226=-1,G2225&lt;&gt;-1),MAX($M$50:M2225)+1,"")</f>
        <v/>
      </c>
      <c r="N2226" s="13" t="str">
        <f>IF(AND(G2226&lt;&gt;-1,G2225=-1),MAX($N$50:N2225)+1,"")</f>
        <v/>
      </c>
      <c r="T2226" s="7">
        <f t="shared" si="304"/>
        <v>137.5595116123431</v>
      </c>
      <c r="U2226" s="1">
        <f t="shared" si="305"/>
        <v>279.07833278165782</v>
      </c>
    </row>
    <row r="2227" spans="1:21" x14ac:dyDescent="0.3">
      <c r="A2227" s="2">
        <v>43404</v>
      </c>
      <c r="B2227" s="1">
        <v>5369.49</v>
      </c>
      <c r="C2227" s="2">
        <f t="shared" si="297"/>
        <v>43404</v>
      </c>
      <c r="D2227" s="1">
        <f t="shared" si="298"/>
        <v>5369.49</v>
      </c>
      <c r="E2227" s="4">
        <f t="shared" si="299"/>
        <v>5627.8369999999995</v>
      </c>
      <c r="F2227" s="3">
        <f t="shared" si="300"/>
        <v>0.95409479698861221</v>
      </c>
      <c r="G2227" s="18">
        <f t="shared" si="301"/>
        <v>1</v>
      </c>
      <c r="H2227" s="3">
        <f t="shared" si="302"/>
        <v>1.0885465399770533E-2</v>
      </c>
      <c r="I2227" s="3">
        <f t="shared" si="303"/>
        <v>-1.0885465399770533E-2</v>
      </c>
      <c r="K2227" s="12">
        <f>IF(AND(G2227=1,G2226&lt;&gt;1),MAX($K$50:K2226)+1,"")</f>
        <v>23</v>
      </c>
      <c r="L2227" s="13" t="str">
        <f>IF(AND(G2227&lt;&gt;1,G2226=1),MAX($L$50:L2226)+1,"")</f>
        <v/>
      </c>
      <c r="M2227" s="13" t="str">
        <f>IF(AND(G2227=-1,G2226&lt;&gt;-1),MAX($M$50:M2226)+1,"")</f>
        <v/>
      </c>
      <c r="N2227" s="13">
        <f>IF(AND(G2227&lt;&gt;-1,G2226=-1),MAX($N$50:N2226)+1,"")</f>
        <v>22</v>
      </c>
      <c r="T2227" s="7">
        <f t="shared" si="304"/>
        <v>136.06211230827762</v>
      </c>
      <c r="U2227" s="1">
        <f t="shared" si="305"/>
        <v>282.1162303169782</v>
      </c>
    </row>
    <row r="2228" spans="1:21" x14ac:dyDescent="0.3">
      <c r="A2228" s="2">
        <v>43405</v>
      </c>
      <c r="B2228" s="1">
        <v>5426.33</v>
      </c>
      <c r="C2228" s="2">
        <f t="shared" ref="C2228:C2291" si="306">A2228</f>
        <v>43405</v>
      </c>
      <c r="D2228" s="1">
        <f t="shared" ref="D2228:D2291" si="307">B2228</f>
        <v>5426.33</v>
      </c>
      <c r="E2228" s="4">
        <f t="shared" ref="E2228:E2291" si="308">AVERAGE(B2179:B2228)</f>
        <v>5623.3774000000003</v>
      </c>
      <c r="F2228" s="3">
        <f t="shared" ref="F2228:F2291" si="309">D2228/E2228</f>
        <v>0.96495924317652937</v>
      </c>
      <c r="G2228" s="18">
        <f t="shared" ref="G2228:G2291" si="310">IF(F2228&gt;=$Q$51,1,IF(F2228&lt;=$Q$52,-1,0))</f>
        <v>1</v>
      </c>
      <c r="H2228" s="3">
        <f t="shared" si="302"/>
        <v>1.0585735330543633E-2</v>
      </c>
      <c r="I2228" s="3">
        <f t="shared" si="303"/>
        <v>1.0585735330543633E-2</v>
      </c>
      <c r="K2228" s="12" t="str">
        <f>IF(AND(G2228=1,G2227&lt;&gt;1),MAX($K$50:K2227)+1,"")</f>
        <v/>
      </c>
      <c r="L2228" s="13" t="str">
        <f>IF(AND(G2228&lt;&gt;1,G2227=1),MAX($L$50:L2227)+1,"")</f>
        <v/>
      </c>
      <c r="M2228" s="13" t="str">
        <f>IF(AND(G2228=-1,G2227&lt;&gt;-1),MAX($M$50:M2227)+1,"")</f>
        <v/>
      </c>
      <c r="N2228" s="13" t="str">
        <f>IF(AND(G2228&lt;&gt;-1,G2227=-1),MAX($N$50:N2227)+1,"")</f>
        <v/>
      </c>
      <c r="T2228" s="7">
        <f t="shared" si="304"/>
        <v>137.50242981768776</v>
      </c>
      <c r="U2228" s="1">
        <f t="shared" si="305"/>
        <v>285.10263806356437</v>
      </c>
    </row>
    <row r="2229" spans="1:21" x14ac:dyDescent="0.3">
      <c r="A2229" s="2">
        <v>43406</v>
      </c>
      <c r="B2229" s="1">
        <v>5392.53</v>
      </c>
      <c r="C2229" s="2">
        <f t="shared" si="306"/>
        <v>43406</v>
      </c>
      <c r="D2229" s="1">
        <f t="shared" si="307"/>
        <v>5392.53</v>
      </c>
      <c r="E2229" s="4">
        <f t="shared" si="308"/>
        <v>5618.4259999999995</v>
      </c>
      <c r="F2229" s="3">
        <f t="shared" si="309"/>
        <v>0.95979372158679321</v>
      </c>
      <c r="G2229" s="18">
        <f t="shared" si="310"/>
        <v>1</v>
      </c>
      <c r="H2229" s="3">
        <f t="shared" ref="H2229:H2292" si="311">D2229/D2228-1</f>
        <v>-6.2288876644067681E-3</v>
      </c>
      <c r="I2229" s="3">
        <f t="shared" ref="I2229:I2292" si="312">G2228*H2229</f>
        <v>-6.2288876644067681E-3</v>
      </c>
      <c r="K2229" s="12" t="str">
        <f>IF(AND(G2229=1,G2228&lt;&gt;1),MAX($K$50:K2228)+1,"")</f>
        <v/>
      </c>
      <c r="L2229" s="13" t="str">
        <f>IF(AND(G2229&lt;&gt;1,G2228=1),MAX($L$50:L2228)+1,"")</f>
        <v/>
      </c>
      <c r="M2229" s="13" t="str">
        <f>IF(AND(G2229=-1,G2228&lt;&gt;-1),MAX($M$50:M2228)+1,"")</f>
        <v/>
      </c>
      <c r="N2229" s="13" t="str">
        <f>IF(AND(G2229&lt;&gt;-1,G2228=-1),MAX($N$50:N2228)+1,"")</f>
        <v/>
      </c>
      <c r="T2229" s="7">
        <f t="shared" ref="T2229:T2292" si="313">T2228*(1+I2229)</f>
        <v>136.6459426287704</v>
      </c>
      <c r="U2229" s="1">
        <f t="shared" ref="U2229:U2292" si="314">U2228*D2229/D2228</f>
        <v>283.32676575824041</v>
      </c>
    </row>
    <row r="2230" spans="1:21" x14ac:dyDescent="0.3">
      <c r="A2230" s="2">
        <v>43409</v>
      </c>
      <c r="B2230" s="1">
        <v>5422.88</v>
      </c>
      <c r="C2230" s="2">
        <f t="shared" si="306"/>
        <v>43409</v>
      </c>
      <c r="D2230" s="1">
        <f t="shared" si="307"/>
        <v>5422.88</v>
      </c>
      <c r="E2230" s="4">
        <f t="shared" si="308"/>
        <v>5613.3811999999998</v>
      </c>
      <c r="F2230" s="3">
        <f t="shared" si="309"/>
        <v>0.96606302098279029</v>
      </c>
      <c r="G2230" s="18">
        <f t="shared" si="310"/>
        <v>1</v>
      </c>
      <c r="H2230" s="3">
        <f t="shared" si="311"/>
        <v>5.6281559861512953E-3</v>
      </c>
      <c r="I2230" s="3">
        <f t="shared" si="312"/>
        <v>5.6281559861512953E-3</v>
      </c>
      <c r="K2230" s="12" t="str">
        <f>IF(AND(G2230=1,G2229&lt;&gt;1),MAX($K$50:K2229)+1,"")</f>
        <v/>
      </c>
      <c r="L2230" s="13" t="str">
        <f>IF(AND(G2230&lt;&gt;1,G2229=1),MAX($L$50:L2229)+1,"")</f>
        <v/>
      </c>
      <c r="M2230" s="13" t="str">
        <f>IF(AND(G2230=-1,G2229&lt;&gt;-1),MAX($M$50:M2229)+1,"")</f>
        <v/>
      </c>
      <c r="N2230" s="13" t="str">
        <f>IF(AND(G2230&lt;&gt;-1,G2229=-1),MAX($N$50:N2229)+1,"")</f>
        <v/>
      </c>
      <c r="T2230" s="7">
        <f t="shared" si="313"/>
        <v>137.41500730875981</v>
      </c>
      <c r="U2230" s="1">
        <f t="shared" si="314"/>
        <v>284.92137299097953</v>
      </c>
    </row>
    <row r="2231" spans="1:21" x14ac:dyDescent="0.3">
      <c r="A2231" s="2">
        <v>43410</v>
      </c>
      <c r="B2231" s="1">
        <v>5457.25</v>
      </c>
      <c r="C2231" s="2">
        <f t="shared" si="306"/>
        <v>43410</v>
      </c>
      <c r="D2231" s="1">
        <f t="shared" si="307"/>
        <v>5457.25</v>
      </c>
      <c r="E2231" s="4">
        <f t="shared" si="308"/>
        <v>5608.1401999999998</v>
      </c>
      <c r="F2231" s="3">
        <f t="shared" si="309"/>
        <v>0.97309443155504571</v>
      </c>
      <c r="G2231" s="18">
        <f t="shared" si="310"/>
        <v>1</v>
      </c>
      <c r="H2231" s="3">
        <f t="shared" si="311"/>
        <v>6.3379606408402456E-3</v>
      </c>
      <c r="I2231" s="3">
        <f t="shared" si="312"/>
        <v>6.3379606408402456E-3</v>
      </c>
      <c r="K2231" s="12" t="str">
        <f>IF(AND(G2231=1,G2230&lt;&gt;1),MAX($K$50:K2230)+1,"")</f>
        <v/>
      </c>
      <c r="L2231" s="13" t="str">
        <f>IF(AND(G2231&lt;&gt;1,G2230=1),MAX($L$50:L2230)+1,"")</f>
        <v/>
      </c>
      <c r="M2231" s="13" t="str">
        <f>IF(AND(G2231=-1,G2230&lt;&gt;-1),MAX($M$50:M2230)+1,"")</f>
        <v/>
      </c>
      <c r="N2231" s="13" t="str">
        <f>IF(AND(G2231&lt;&gt;-1,G2230=-1),MAX($N$50:N2230)+1,"")</f>
        <v/>
      </c>
      <c r="T2231" s="7">
        <f t="shared" si="313"/>
        <v>138.28593821654351</v>
      </c>
      <c r="U2231" s="1">
        <f t="shared" si="314"/>
        <v>286.72719343873052</v>
      </c>
    </row>
    <row r="2232" spans="1:21" x14ac:dyDescent="0.3">
      <c r="A2232" s="2">
        <v>43411</v>
      </c>
      <c r="B2232" s="1">
        <v>5573.06</v>
      </c>
      <c r="C2232" s="2">
        <f t="shared" si="306"/>
        <v>43411</v>
      </c>
      <c r="D2232" s="1">
        <f t="shared" si="307"/>
        <v>5573.06</v>
      </c>
      <c r="E2232" s="4">
        <f t="shared" si="308"/>
        <v>5605.1835999999985</v>
      </c>
      <c r="F2232" s="3">
        <f t="shared" si="309"/>
        <v>0.99426894776470875</v>
      </c>
      <c r="G2232" s="18">
        <f t="shared" si="310"/>
        <v>1</v>
      </c>
      <c r="H2232" s="3">
        <f t="shared" si="311"/>
        <v>2.1221311099913098E-2</v>
      </c>
      <c r="I2232" s="3">
        <f t="shared" si="312"/>
        <v>2.1221311099913098E-2</v>
      </c>
      <c r="K2232" s="12" t="str">
        <f>IF(AND(G2232=1,G2231&lt;&gt;1),MAX($K$50:K2231)+1,"")</f>
        <v/>
      </c>
      <c r="L2232" s="13" t="str">
        <f>IF(AND(G2232&lt;&gt;1,G2231=1),MAX($L$50:L2231)+1,"")</f>
        <v/>
      </c>
      <c r="M2232" s="13" t="str">
        <f>IF(AND(G2232=-1,G2231&lt;&gt;-1),MAX($M$50:M2231)+1,"")</f>
        <v/>
      </c>
      <c r="N2232" s="13" t="str">
        <f>IF(AND(G2232&lt;&gt;-1,G2231=-1),MAX($N$50:N2231)+1,"")</f>
        <v/>
      </c>
      <c r="T2232" s="7">
        <f t="shared" si="313"/>
        <v>141.22054713218014</v>
      </c>
      <c r="U2232" s="1">
        <f t="shared" si="314"/>
        <v>292.81192041149876</v>
      </c>
    </row>
    <row r="2233" spans="1:21" x14ac:dyDescent="0.3">
      <c r="A2233" s="2">
        <v>43412</v>
      </c>
      <c r="B2233" s="1">
        <v>5562</v>
      </c>
      <c r="C2233" s="2">
        <f t="shared" si="306"/>
        <v>43412</v>
      </c>
      <c r="D2233" s="1">
        <f t="shared" si="307"/>
        <v>5562</v>
      </c>
      <c r="E2233" s="4">
        <f t="shared" si="308"/>
        <v>5601.3435999999983</v>
      </c>
      <c r="F2233" s="3">
        <f t="shared" si="309"/>
        <v>0.99297604239097237</v>
      </c>
      <c r="G2233" s="18">
        <f t="shared" si="310"/>
        <v>1</v>
      </c>
      <c r="H2233" s="3">
        <f t="shared" si="311"/>
        <v>-1.9845470890319516E-3</v>
      </c>
      <c r="I2233" s="3">
        <f t="shared" si="312"/>
        <v>-1.9845470890319516E-3</v>
      </c>
      <c r="K2233" s="12" t="str">
        <f>IF(AND(G2233=1,G2232&lt;&gt;1),MAX($K$50:K2232)+1,"")</f>
        <v/>
      </c>
      <c r="L2233" s="13" t="str">
        <f>IF(AND(G2233&lt;&gt;1,G2232=1),MAX($L$50:L2232)+1,"")</f>
        <v/>
      </c>
      <c r="M2233" s="13" t="str">
        <f>IF(AND(G2233=-1,G2232&lt;&gt;-1),MAX($M$50:M2232)+1,"")</f>
        <v/>
      </c>
      <c r="N2233" s="13" t="str">
        <f>IF(AND(G2233&lt;&gt;-1,G2232=-1),MAX($N$50:N2232)+1,"")</f>
        <v/>
      </c>
      <c r="T2233" s="7">
        <f t="shared" si="313"/>
        <v>140.94028830645749</v>
      </c>
      <c r="U2233" s="1">
        <f t="shared" si="314"/>
        <v>292.23082136721223</v>
      </c>
    </row>
    <row r="2234" spans="1:21" x14ac:dyDescent="0.3">
      <c r="A2234" s="2">
        <v>43413</v>
      </c>
      <c r="B2234" s="1">
        <v>5511.79</v>
      </c>
      <c r="C2234" s="2">
        <f t="shared" si="306"/>
        <v>43413</v>
      </c>
      <c r="D2234" s="1">
        <f t="shared" si="307"/>
        <v>5511.79</v>
      </c>
      <c r="E2234" s="4">
        <f t="shared" si="308"/>
        <v>5596.9903999999979</v>
      </c>
      <c r="F2234" s="3">
        <f t="shared" si="309"/>
        <v>0.9847774618302011</v>
      </c>
      <c r="G2234" s="18">
        <f t="shared" si="310"/>
        <v>1</v>
      </c>
      <c r="H2234" s="3">
        <f t="shared" si="311"/>
        <v>-9.0273282991729653E-3</v>
      </c>
      <c r="I2234" s="3">
        <f t="shared" si="312"/>
        <v>-9.0273282991729653E-3</v>
      </c>
      <c r="K2234" s="12" t="str">
        <f>IF(AND(G2234=1,G2233&lt;&gt;1),MAX($K$50:K2233)+1,"")</f>
        <v/>
      </c>
      <c r="L2234" s="13" t="str">
        <f>IF(AND(G2234&lt;&gt;1,G2233=1),MAX($L$50:L2233)+1,"")</f>
        <v/>
      </c>
      <c r="M2234" s="13" t="str">
        <f>IF(AND(G2234=-1,G2233&lt;&gt;-1),MAX($M$50:M2233)+1,"")</f>
        <v/>
      </c>
      <c r="N2234" s="13" t="str">
        <f>IF(AND(G2234&lt;&gt;-1,G2233=-1),MAX($N$50:N2233)+1,"")</f>
        <v/>
      </c>
      <c r="T2234" s="7">
        <f t="shared" si="313"/>
        <v>139.667974053335</v>
      </c>
      <c r="U2234" s="1">
        <f t="shared" si="314"/>
        <v>289.59275780359343</v>
      </c>
    </row>
    <row r="2235" spans="1:21" x14ac:dyDescent="0.3">
      <c r="A2235" s="2">
        <v>43416</v>
      </c>
      <c r="B2235" s="1">
        <v>5403.19</v>
      </c>
      <c r="C2235" s="2">
        <f t="shared" si="306"/>
        <v>43416</v>
      </c>
      <c r="D2235" s="1">
        <f t="shared" si="307"/>
        <v>5403.19</v>
      </c>
      <c r="E2235" s="4">
        <f t="shared" si="308"/>
        <v>5590.4381999999987</v>
      </c>
      <c r="F2235" s="3">
        <f t="shared" si="309"/>
        <v>0.96650563098971398</v>
      </c>
      <c r="G2235" s="18">
        <f t="shared" si="310"/>
        <v>1</v>
      </c>
      <c r="H2235" s="3">
        <f t="shared" si="311"/>
        <v>-1.9703218010845958E-2</v>
      </c>
      <c r="I2235" s="3">
        <f t="shared" si="312"/>
        <v>-1.9703218010845958E-2</v>
      </c>
      <c r="K2235" s="12" t="str">
        <f>IF(AND(G2235=1,G2234&lt;&gt;1),MAX($K$50:K2234)+1,"")</f>
        <v/>
      </c>
      <c r="L2235" s="13" t="str">
        <f>IF(AND(G2235&lt;&gt;1,G2234=1),MAX($L$50:L2234)+1,"")</f>
        <v/>
      </c>
      <c r="M2235" s="13" t="str">
        <f>IF(AND(G2235=-1,G2234&lt;&gt;-1),MAX($M$50:M2234)+1,"")</f>
        <v/>
      </c>
      <c r="N2235" s="13" t="str">
        <f>IF(AND(G2235&lt;&gt;-1,G2234=-1),MAX($N$50:N2234)+1,"")</f>
        <v/>
      </c>
      <c r="T2235" s="7">
        <f t="shared" si="313"/>
        <v>136.91606551142897</v>
      </c>
      <c r="U2235" s="1">
        <f t="shared" si="314"/>
        <v>283.88684856222716</v>
      </c>
    </row>
    <row r="2236" spans="1:21" x14ac:dyDescent="0.3">
      <c r="A2236" s="2">
        <v>43417</v>
      </c>
      <c r="B2236" s="1">
        <v>5395.37</v>
      </c>
      <c r="C2236" s="2">
        <f t="shared" si="306"/>
        <v>43417</v>
      </c>
      <c r="D2236" s="1">
        <f t="shared" si="307"/>
        <v>5395.37</v>
      </c>
      <c r="E2236" s="4">
        <f t="shared" si="308"/>
        <v>5583.9083999999984</v>
      </c>
      <c r="F2236" s="3">
        <f t="shared" si="309"/>
        <v>0.96623540601060032</v>
      </c>
      <c r="G2236" s="18">
        <f t="shared" si="310"/>
        <v>1</v>
      </c>
      <c r="H2236" s="3">
        <f t="shared" si="311"/>
        <v>-1.4472931731069894E-3</v>
      </c>
      <c r="I2236" s="3">
        <f t="shared" si="312"/>
        <v>-1.4472931731069894E-3</v>
      </c>
      <c r="K2236" s="12" t="str">
        <f>IF(AND(G2236=1,G2235&lt;&gt;1),MAX($K$50:K2235)+1,"")</f>
        <v/>
      </c>
      <c r="L2236" s="13" t="str">
        <f>IF(AND(G2236&lt;&gt;1,G2235=1),MAX($L$50:L2235)+1,"")</f>
        <v/>
      </c>
      <c r="M2236" s="13" t="str">
        <f>IF(AND(G2236=-1,G2235&lt;&gt;-1),MAX($M$50:M2235)+1,"")</f>
        <v/>
      </c>
      <c r="N2236" s="13" t="str">
        <f>IF(AND(G2236&lt;&gt;-1,G2235=-1),MAX($N$50:N2235)+1,"")</f>
        <v/>
      </c>
      <c r="T2236" s="7">
        <f t="shared" si="313"/>
        <v>136.71790782452561</v>
      </c>
      <c r="U2236" s="1">
        <f t="shared" si="314"/>
        <v>283.47598106436817</v>
      </c>
    </row>
    <row r="2237" spans="1:21" x14ac:dyDescent="0.3">
      <c r="A2237" s="2">
        <v>43418</v>
      </c>
      <c r="B2237" s="1">
        <v>5355.94</v>
      </c>
      <c r="C2237" s="2">
        <f t="shared" si="306"/>
        <v>43418</v>
      </c>
      <c r="D2237" s="1">
        <f t="shared" si="307"/>
        <v>5355.94</v>
      </c>
      <c r="E2237" s="4">
        <f t="shared" si="308"/>
        <v>5576.9099999999989</v>
      </c>
      <c r="F2237" s="3">
        <f t="shared" si="309"/>
        <v>0.96037770019598678</v>
      </c>
      <c r="G2237" s="18">
        <f t="shared" si="310"/>
        <v>1</v>
      </c>
      <c r="H2237" s="3">
        <f t="shared" si="311"/>
        <v>-7.3081178862618446E-3</v>
      </c>
      <c r="I2237" s="3">
        <f t="shared" si="312"/>
        <v>-7.3081178862618446E-3</v>
      </c>
      <c r="K2237" s="12" t="str">
        <f>IF(AND(G2237=1,G2236&lt;&gt;1),MAX($K$50:K2236)+1,"")</f>
        <v/>
      </c>
      <c r="L2237" s="13" t="str">
        <f>IF(AND(G2237&lt;&gt;1,G2236=1),MAX($L$50:L2236)+1,"")</f>
        <v/>
      </c>
      <c r="M2237" s="13" t="str">
        <f>IF(AND(G2237=-1,G2236&lt;&gt;-1),MAX($M$50:M2236)+1,"")</f>
        <v/>
      </c>
      <c r="N2237" s="13" t="str">
        <f>IF(AND(G2237&lt;&gt;-1,G2236=-1),MAX($N$50:N2236)+1,"")</f>
        <v/>
      </c>
      <c r="T2237" s="7">
        <f t="shared" si="313"/>
        <v>135.71875723698091</v>
      </c>
      <c r="U2237" s="1">
        <f t="shared" si="314"/>
        <v>281.40430517682609</v>
      </c>
    </row>
    <row r="2238" spans="1:21" x14ac:dyDescent="0.3">
      <c r="A2238" s="2">
        <v>43419</v>
      </c>
      <c r="B2238" s="1">
        <v>5414.43</v>
      </c>
      <c r="C2238" s="2">
        <f t="shared" si="306"/>
        <v>43419</v>
      </c>
      <c r="D2238" s="1">
        <f t="shared" si="307"/>
        <v>5414.43</v>
      </c>
      <c r="E2238" s="4">
        <f t="shared" si="308"/>
        <v>5571.4645999999984</v>
      </c>
      <c r="F2238" s="3">
        <f t="shared" si="309"/>
        <v>0.97181448483043431</v>
      </c>
      <c r="G2238" s="18">
        <f t="shared" si="310"/>
        <v>1</v>
      </c>
      <c r="H2238" s="3">
        <f t="shared" si="311"/>
        <v>1.0920585368768165E-2</v>
      </c>
      <c r="I2238" s="3">
        <f t="shared" si="312"/>
        <v>1.0920585368768165E-2</v>
      </c>
      <c r="K2238" s="12" t="str">
        <f>IF(AND(G2238=1,G2237&lt;&gt;1),MAX($K$50:K2237)+1,"")</f>
        <v/>
      </c>
      <c r="L2238" s="13" t="str">
        <f>IF(AND(G2238&lt;&gt;1,G2237=1),MAX($L$50:L2237)+1,"")</f>
        <v/>
      </c>
      <c r="M2238" s="13" t="str">
        <f>IF(AND(G2238=-1,G2237&lt;&gt;-1),MAX($M$50:M2237)+1,"")</f>
        <v/>
      </c>
      <c r="N2238" s="13" t="str">
        <f>IF(AND(G2238&lt;&gt;-1,G2237=-1),MAX($N$50:N2237)+1,"")</f>
        <v/>
      </c>
      <c r="T2238" s="7">
        <f t="shared" si="313"/>
        <v>137.20088551153049</v>
      </c>
      <c r="U2238" s="1">
        <f t="shared" si="314"/>
        <v>284.47740491464856</v>
      </c>
    </row>
    <row r="2239" spans="1:21" x14ac:dyDescent="0.3">
      <c r="A2239" s="2">
        <v>43420</v>
      </c>
      <c r="B2239" s="1">
        <v>5426.86</v>
      </c>
      <c r="C2239" s="2">
        <f t="shared" si="306"/>
        <v>43420</v>
      </c>
      <c r="D2239" s="1">
        <f t="shared" si="307"/>
        <v>5426.86</v>
      </c>
      <c r="E2239" s="4">
        <f t="shared" si="308"/>
        <v>5566.5101999999979</v>
      </c>
      <c r="F2239" s="3">
        <f t="shared" si="309"/>
        <v>0.97491243256861393</v>
      </c>
      <c r="G2239" s="18">
        <f t="shared" si="310"/>
        <v>1</v>
      </c>
      <c r="H2239" s="3">
        <f t="shared" si="311"/>
        <v>2.2957171853730252E-3</v>
      </c>
      <c r="I2239" s="3">
        <f t="shared" si="312"/>
        <v>2.2957171853730252E-3</v>
      </c>
      <c r="K2239" s="12" t="str">
        <f>IF(AND(G2239=1,G2238&lt;&gt;1),MAX($K$50:K2238)+1,"")</f>
        <v/>
      </c>
      <c r="L2239" s="13" t="str">
        <f>IF(AND(G2239&lt;&gt;1,G2238=1),MAX($L$50:L2238)+1,"")</f>
        <v/>
      </c>
      <c r="M2239" s="13" t="str">
        <f>IF(AND(G2239=-1,G2238&lt;&gt;-1),MAX($M$50:M2238)+1,"")</f>
        <v/>
      </c>
      <c r="N2239" s="13" t="str">
        <f>IF(AND(G2239&lt;&gt;-1,G2238=-1),MAX($N$50:N2238)+1,"")</f>
        <v/>
      </c>
      <c r="T2239" s="7">
        <f t="shared" si="313"/>
        <v>137.51585994224772</v>
      </c>
      <c r="U2239" s="1">
        <f t="shared" si="314"/>
        <v>285.13048458196141</v>
      </c>
    </row>
    <row r="2240" spans="1:21" x14ac:dyDescent="0.3">
      <c r="A2240" s="2">
        <v>43423</v>
      </c>
      <c r="B2240" s="1">
        <v>5336.7</v>
      </c>
      <c r="C2240" s="2">
        <f t="shared" si="306"/>
        <v>43423</v>
      </c>
      <c r="D2240" s="1">
        <f t="shared" si="307"/>
        <v>5336.7</v>
      </c>
      <c r="E2240" s="4">
        <f t="shared" si="308"/>
        <v>5559.5373999999983</v>
      </c>
      <c r="F2240" s="3">
        <f t="shared" si="309"/>
        <v>0.95991799605485184</v>
      </c>
      <c r="G2240" s="18">
        <f t="shared" si="310"/>
        <v>1</v>
      </c>
      <c r="H2240" s="3">
        <f t="shared" si="311"/>
        <v>-1.6613658727146041E-2</v>
      </c>
      <c r="I2240" s="3">
        <f t="shared" si="312"/>
        <v>-1.6613658727146041E-2</v>
      </c>
      <c r="K2240" s="12" t="str">
        <f>IF(AND(G2240=1,G2239&lt;&gt;1),MAX($K$50:K2239)+1,"")</f>
        <v/>
      </c>
      <c r="L2240" s="13" t="str">
        <f>IF(AND(G2240&lt;&gt;1,G2239=1),MAX($L$50:L2239)+1,"")</f>
        <v/>
      </c>
      <c r="M2240" s="13" t="str">
        <f>IF(AND(G2240=-1,G2239&lt;&gt;-1),MAX($M$50:M2239)+1,"")</f>
        <v/>
      </c>
      <c r="N2240" s="13" t="str">
        <f>IF(AND(G2240&lt;&gt;-1,G2239=-1),MAX($N$50:N2239)+1,"")</f>
        <v/>
      </c>
      <c r="T2240" s="7">
        <f t="shared" si="313"/>
        <v>135.23121837559719</v>
      </c>
      <c r="U2240" s="1">
        <f t="shared" si="314"/>
        <v>280.39342401841088</v>
      </c>
    </row>
    <row r="2241" spans="1:21" x14ac:dyDescent="0.3">
      <c r="A2241" s="2">
        <v>43424</v>
      </c>
      <c r="B2241" s="1">
        <v>5240.2299999999996</v>
      </c>
      <c r="C2241" s="2">
        <f t="shared" si="306"/>
        <v>43424</v>
      </c>
      <c r="D2241" s="1">
        <f t="shared" si="307"/>
        <v>5240.2299999999996</v>
      </c>
      <c r="E2241" s="4">
        <f t="shared" si="308"/>
        <v>5550.2021999999988</v>
      </c>
      <c r="F2241" s="3">
        <f t="shared" si="309"/>
        <v>0.94415118786122798</v>
      </c>
      <c r="G2241" s="18">
        <f t="shared" si="310"/>
        <v>-1</v>
      </c>
      <c r="H2241" s="3">
        <f t="shared" si="311"/>
        <v>-1.8076714074240718E-2</v>
      </c>
      <c r="I2241" s="3">
        <f t="shared" si="312"/>
        <v>-1.8076714074240718E-2</v>
      </c>
      <c r="K2241" s="12" t="str">
        <f>IF(AND(G2241=1,G2240&lt;&gt;1),MAX($K$50:K2240)+1,"")</f>
        <v/>
      </c>
      <c r="L2241" s="13">
        <f>IF(AND(G2241&lt;&gt;1,G2240=1),MAX($L$50:L2240)+1,"")</f>
        <v>23</v>
      </c>
      <c r="M2241" s="13">
        <f>IF(AND(G2241=-1,G2240&lt;&gt;-1),MAX($M$50:M2240)+1,"")</f>
        <v>23</v>
      </c>
      <c r="N2241" s="13" t="str">
        <f>IF(AND(G2241&lt;&gt;-1,G2240=-1),MAX($N$50:N2240)+1,"")</f>
        <v/>
      </c>
      <c r="T2241" s="7">
        <f t="shared" si="313"/>
        <v>132.78668230711031</v>
      </c>
      <c r="U2241" s="1">
        <f t="shared" si="314"/>
        <v>275.32483226413274</v>
      </c>
    </row>
    <row r="2242" spans="1:21" x14ac:dyDescent="0.3">
      <c r="A2242" s="2">
        <v>43425</v>
      </c>
      <c r="B2242" s="1">
        <v>5256.61</v>
      </c>
      <c r="C2242" s="2">
        <f t="shared" si="306"/>
        <v>43425</v>
      </c>
      <c r="D2242" s="1">
        <f t="shared" si="307"/>
        <v>5256.61</v>
      </c>
      <c r="E2242" s="4">
        <f t="shared" si="308"/>
        <v>5541.1527999999971</v>
      </c>
      <c r="F2242" s="3">
        <f t="shared" si="309"/>
        <v>0.94864916917649378</v>
      </c>
      <c r="G2242" s="18">
        <f t="shared" si="310"/>
        <v>-1</v>
      </c>
      <c r="H2242" s="3">
        <f t="shared" si="311"/>
        <v>3.1258169965822091E-3</v>
      </c>
      <c r="I2242" s="3">
        <f t="shared" si="312"/>
        <v>-3.1258169965822091E-3</v>
      </c>
      <c r="K2242" s="12" t="str">
        <f>IF(AND(G2242=1,G2241&lt;&gt;1),MAX($K$50:K2241)+1,"")</f>
        <v/>
      </c>
      <c r="L2242" s="13" t="str">
        <f>IF(AND(G2242&lt;&gt;1,G2241=1),MAX($L$50:L2241)+1,"")</f>
        <v/>
      </c>
      <c r="M2242" s="13" t="str">
        <f>IF(AND(G2242=-1,G2241&lt;&gt;-1),MAX($M$50:M2241)+1,"")</f>
        <v/>
      </c>
      <c r="N2242" s="13" t="str">
        <f>IF(AND(G2242&lt;&gt;-1,G2241=-1),MAX($N$50:N2241)+1,"")</f>
        <v/>
      </c>
      <c r="T2242" s="7">
        <f t="shared" si="313"/>
        <v>132.37161543863499</v>
      </c>
      <c r="U2242" s="1">
        <f t="shared" si="314"/>
        <v>276.1854473044051</v>
      </c>
    </row>
    <row r="2243" spans="1:21" x14ac:dyDescent="0.3">
      <c r="A2243" s="2">
        <v>43427</v>
      </c>
      <c r="B2243" s="1">
        <v>5222.43</v>
      </c>
      <c r="C2243" s="2">
        <f t="shared" si="306"/>
        <v>43427</v>
      </c>
      <c r="D2243" s="1">
        <f t="shared" si="307"/>
        <v>5222.43</v>
      </c>
      <c r="E2243" s="4">
        <f t="shared" si="308"/>
        <v>5530.7863999999981</v>
      </c>
      <c r="F2243" s="3">
        <f t="shared" si="309"/>
        <v>0.94424727738536463</v>
      </c>
      <c r="G2243" s="18">
        <f t="shared" si="310"/>
        <v>-1</v>
      </c>
      <c r="H2243" s="3">
        <f t="shared" si="311"/>
        <v>-6.5022894983648438E-3</v>
      </c>
      <c r="I2243" s="3">
        <f t="shared" si="312"/>
        <v>6.5022894983648438E-3</v>
      </c>
      <c r="K2243" s="12" t="str">
        <f>IF(AND(G2243=1,G2242&lt;&gt;1),MAX($K$50:K2242)+1,"")</f>
        <v/>
      </c>
      <c r="L2243" s="13" t="str">
        <f>IF(AND(G2243&lt;&gt;1,G2242=1),MAX($L$50:L2242)+1,"")</f>
        <v/>
      </c>
      <c r="M2243" s="13" t="str">
        <f>IF(AND(G2243=-1,G2242&lt;&gt;-1),MAX($M$50:M2242)+1,"")</f>
        <v/>
      </c>
      <c r="N2243" s="13" t="str">
        <f>IF(AND(G2243&lt;&gt;-1,G2242=-1),MAX($N$50:N2242)+1,"")</f>
        <v/>
      </c>
      <c r="T2243" s="7">
        <f t="shared" si="313"/>
        <v>133.23233400358322</v>
      </c>
      <c r="U2243" s="1">
        <f t="shared" si="314"/>
        <v>274.38960957079649</v>
      </c>
    </row>
    <row r="2244" spans="1:21" x14ac:dyDescent="0.3">
      <c r="A2244" s="2">
        <v>43430</v>
      </c>
      <c r="B2244" s="1">
        <v>5304.17</v>
      </c>
      <c r="C2244" s="2">
        <f t="shared" si="306"/>
        <v>43430</v>
      </c>
      <c r="D2244" s="1">
        <f t="shared" si="307"/>
        <v>5304.17</v>
      </c>
      <c r="E2244" s="4">
        <f t="shared" si="308"/>
        <v>5522.0059999999985</v>
      </c>
      <c r="F2244" s="3">
        <f t="shared" si="309"/>
        <v>0.96055129241076553</v>
      </c>
      <c r="G2244" s="18">
        <f t="shared" si="310"/>
        <v>1</v>
      </c>
      <c r="H2244" s="3">
        <f t="shared" si="311"/>
        <v>1.565171768697704E-2</v>
      </c>
      <c r="I2244" s="3">
        <f t="shared" si="312"/>
        <v>-1.565171768697704E-2</v>
      </c>
      <c r="K2244" s="12">
        <f>IF(AND(G2244=1,G2243&lt;&gt;1),MAX($K$50:K2243)+1,"")</f>
        <v>24</v>
      </c>
      <c r="L2244" s="13" t="str">
        <f>IF(AND(G2244&lt;&gt;1,G2243=1),MAX($L$50:L2243)+1,"")</f>
        <v/>
      </c>
      <c r="M2244" s="13" t="str">
        <f>IF(AND(G2244=-1,G2243&lt;&gt;-1),MAX($M$50:M2243)+1,"")</f>
        <v/>
      </c>
      <c r="N2244" s="13">
        <f>IF(AND(G2244&lt;&gt;-1,G2243=-1),MAX($N$50:N2243)+1,"")</f>
        <v>23</v>
      </c>
      <c r="T2244" s="7">
        <f t="shared" si="313"/>
        <v>131.14701912498211</v>
      </c>
      <c r="U2244" s="1">
        <f t="shared" si="314"/>
        <v>278.68427827603847</v>
      </c>
    </row>
    <row r="2245" spans="1:21" x14ac:dyDescent="0.3">
      <c r="A2245" s="2">
        <v>43431</v>
      </c>
      <c r="B2245" s="1">
        <v>5321.52</v>
      </c>
      <c r="C2245" s="2">
        <f t="shared" si="306"/>
        <v>43431</v>
      </c>
      <c r="D2245" s="1">
        <f t="shared" si="307"/>
        <v>5321.52</v>
      </c>
      <c r="E2245" s="4">
        <f t="shared" si="308"/>
        <v>5514.2105999999994</v>
      </c>
      <c r="F2245" s="3">
        <f t="shared" si="309"/>
        <v>0.96505563280444906</v>
      </c>
      <c r="G2245" s="18">
        <f t="shared" si="310"/>
        <v>1</v>
      </c>
      <c r="H2245" s="3">
        <f t="shared" si="311"/>
        <v>3.271011298657589E-3</v>
      </c>
      <c r="I2245" s="3">
        <f t="shared" si="312"/>
        <v>3.271011298657589E-3</v>
      </c>
      <c r="K2245" s="12" t="str">
        <f>IF(AND(G2245=1,G2244&lt;&gt;1),MAX($K$50:K2244)+1,"")</f>
        <v/>
      </c>
      <c r="L2245" s="13" t="str">
        <f>IF(AND(G2245&lt;&gt;1,G2244=1),MAX($L$50:L2244)+1,"")</f>
        <v/>
      </c>
      <c r="M2245" s="13" t="str">
        <f>IF(AND(G2245=-1,G2244&lt;&gt;-1),MAX($M$50:M2244)+1,"")</f>
        <v/>
      </c>
      <c r="N2245" s="13" t="str">
        <f>IF(AND(G2245&lt;&gt;-1,G2244=-1),MAX($N$50:N2244)+1,"")</f>
        <v/>
      </c>
      <c r="T2245" s="7">
        <f t="shared" si="313"/>
        <v>131.57600250632518</v>
      </c>
      <c r="U2245" s="1">
        <f t="shared" si="314"/>
        <v>279.59585769903759</v>
      </c>
    </row>
    <row r="2246" spans="1:21" x14ac:dyDescent="0.3">
      <c r="A2246" s="2">
        <v>43432</v>
      </c>
      <c r="B2246" s="1">
        <v>5444.12</v>
      </c>
      <c r="C2246" s="2">
        <f t="shared" si="306"/>
        <v>43432</v>
      </c>
      <c r="D2246" s="1">
        <f t="shared" si="307"/>
        <v>5444.12</v>
      </c>
      <c r="E2246" s="4">
        <f t="shared" si="308"/>
        <v>5508.2493999999997</v>
      </c>
      <c r="F2246" s="3">
        <f t="shared" si="309"/>
        <v>0.98835757146363057</v>
      </c>
      <c r="G2246" s="18">
        <f t="shared" si="310"/>
        <v>1</v>
      </c>
      <c r="H2246" s="3">
        <f t="shared" si="311"/>
        <v>2.303853034471337E-2</v>
      </c>
      <c r="I2246" s="3">
        <f t="shared" si="312"/>
        <v>2.303853034471337E-2</v>
      </c>
      <c r="K2246" s="12" t="str">
        <f>IF(AND(G2246=1,G2245&lt;&gt;1),MAX($K$50:K2245)+1,"")</f>
        <v/>
      </c>
      <c r="L2246" s="13" t="str">
        <f>IF(AND(G2246&lt;&gt;1,G2245=1),MAX($L$50:L2245)+1,"")</f>
        <v/>
      </c>
      <c r="M2246" s="13" t="str">
        <f>IF(AND(G2246=-1,G2245&lt;&gt;-1),MAX($M$50:M2245)+1,"")</f>
        <v/>
      </c>
      <c r="N2246" s="13" t="str">
        <f>IF(AND(G2246&lt;&gt;-1,G2245=-1),MAX($N$50:N2245)+1,"")</f>
        <v/>
      </c>
      <c r="T2246" s="7">
        <f t="shared" si="313"/>
        <v>134.60732023270324</v>
      </c>
      <c r="U2246" s="1">
        <f t="shared" si="314"/>
        <v>286.03733535089304</v>
      </c>
    </row>
    <row r="2247" spans="1:21" x14ac:dyDescent="0.3">
      <c r="A2247" s="2">
        <v>43433</v>
      </c>
      <c r="B2247" s="1">
        <v>5433.49</v>
      </c>
      <c r="C2247" s="2">
        <f t="shared" si="306"/>
        <v>43433</v>
      </c>
      <c r="D2247" s="1">
        <f t="shared" si="307"/>
        <v>5433.49</v>
      </c>
      <c r="E2247" s="4">
        <f t="shared" si="308"/>
        <v>5501.9313999999986</v>
      </c>
      <c r="F2247" s="3">
        <f t="shared" si="309"/>
        <v>0.98756047739890052</v>
      </c>
      <c r="G2247" s="18">
        <f t="shared" si="310"/>
        <v>1</v>
      </c>
      <c r="H2247" s="3">
        <f t="shared" si="311"/>
        <v>-1.9525653365466411E-3</v>
      </c>
      <c r="I2247" s="3">
        <f t="shared" si="312"/>
        <v>-1.9525653365466411E-3</v>
      </c>
      <c r="K2247" s="12" t="str">
        <f>IF(AND(G2247=1,G2246&lt;&gt;1),MAX($K$50:K2246)+1,"")</f>
        <v/>
      </c>
      <c r="L2247" s="13" t="str">
        <f>IF(AND(G2247&lt;&gt;1,G2246=1),MAX($L$50:L2246)+1,"")</f>
        <v/>
      </c>
      <c r="M2247" s="13" t="str">
        <f>IF(AND(G2247=-1,G2246&lt;&gt;-1),MAX($M$50:M2246)+1,"")</f>
        <v/>
      </c>
      <c r="N2247" s="13" t="str">
        <f>IF(AND(G2247&lt;&gt;-1,G2246=-1),MAX($N$50:N2246)+1,"")</f>
        <v/>
      </c>
      <c r="T2247" s="7">
        <f t="shared" si="313"/>
        <v>134.34449064517145</v>
      </c>
      <c r="U2247" s="1">
        <f t="shared" si="314"/>
        <v>285.47882876492878</v>
      </c>
    </row>
    <row r="2248" spans="1:21" x14ac:dyDescent="0.3">
      <c r="A2248" s="2">
        <v>43434</v>
      </c>
      <c r="B2248" s="1">
        <v>5478.91</v>
      </c>
      <c r="C2248" s="2">
        <f t="shared" si="306"/>
        <v>43434</v>
      </c>
      <c r="D2248" s="1">
        <f t="shared" si="307"/>
        <v>5478.91</v>
      </c>
      <c r="E2248" s="4">
        <f t="shared" si="308"/>
        <v>5495.6151999999993</v>
      </c>
      <c r="F2248" s="3">
        <f t="shared" si="309"/>
        <v>0.99696026752382527</v>
      </c>
      <c r="G2248" s="18">
        <f t="shared" si="310"/>
        <v>1</v>
      </c>
      <c r="H2248" s="3">
        <f t="shared" si="311"/>
        <v>8.3592681683410941E-3</v>
      </c>
      <c r="I2248" s="3">
        <f t="shared" si="312"/>
        <v>8.3592681683410941E-3</v>
      </c>
      <c r="K2248" s="12" t="str">
        <f>IF(AND(G2248=1,G2247&lt;&gt;1),MAX($K$50:K2247)+1,"")</f>
        <v/>
      </c>
      <c r="L2248" s="13" t="str">
        <f>IF(AND(G2248&lt;&gt;1,G2247=1),MAX($L$50:L2247)+1,"")</f>
        <v/>
      </c>
      <c r="M2248" s="13" t="str">
        <f>IF(AND(G2248=-1,G2247&lt;&gt;-1),MAX($M$50:M2247)+1,"")</f>
        <v/>
      </c>
      <c r="N2248" s="13" t="str">
        <f>IF(AND(G2248&lt;&gt;-1,G2247=-1),MAX($N$50:N2247)+1,"")</f>
        <v/>
      </c>
      <c r="T2248" s="7">
        <f t="shared" si="313"/>
        <v>135.46751226941362</v>
      </c>
      <c r="U2248" s="1">
        <f t="shared" si="314"/>
        <v>287.86522285095873</v>
      </c>
    </row>
    <row r="2249" spans="1:21" x14ac:dyDescent="0.3">
      <c r="A2249" s="2">
        <v>43437</v>
      </c>
      <c r="B2249" s="1">
        <v>5538.86</v>
      </c>
      <c r="C2249" s="2">
        <f t="shared" si="306"/>
        <v>43437</v>
      </c>
      <c r="D2249" s="1">
        <f t="shared" si="307"/>
        <v>5538.86</v>
      </c>
      <c r="E2249" s="4">
        <f t="shared" si="308"/>
        <v>5490.5379999999996</v>
      </c>
      <c r="F2249" s="3">
        <f t="shared" si="309"/>
        <v>1.0088009590317015</v>
      </c>
      <c r="G2249" s="18">
        <f t="shared" si="310"/>
        <v>1</v>
      </c>
      <c r="H2249" s="3">
        <f t="shared" si="311"/>
        <v>1.0941957433139082E-2</v>
      </c>
      <c r="I2249" s="3">
        <f t="shared" si="312"/>
        <v>1.0941957433139082E-2</v>
      </c>
      <c r="K2249" s="12" t="str">
        <f>IF(AND(G2249=1,G2248&lt;&gt;1),MAX($K$50:K2248)+1,"")</f>
        <v/>
      </c>
      <c r="L2249" s="13" t="str">
        <f>IF(AND(G2249&lt;&gt;1,G2248=1),MAX($L$50:L2248)+1,"")</f>
        <v/>
      </c>
      <c r="M2249" s="13" t="str">
        <f>IF(AND(G2249=-1,G2248&lt;&gt;-1),MAX($M$50:M2248)+1,"")</f>
        <v/>
      </c>
      <c r="N2249" s="13" t="str">
        <f>IF(AND(G2249&lt;&gt;-1,G2248=-1),MAX($N$50:N2248)+1,"")</f>
        <v/>
      </c>
      <c r="T2249" s="7">
        <f t="shared" si="313"/>
        <v>136.9497920222388</v>
      </c>
      <c r="U2249" s="1">
        <f t="shared" si="314"/>
        <v>291.01503186587502</v>
      </c>
    </row>
    <row r="2250" spans="1:21" x14ac:dyDescent="0.3">
      <c r="A2250" s="2">
        <v>43438</v>
      </c>
      <c r="B2250" s="1">
        <v>5359.91</v>
      </c>
      <c r="C2250" s="2">
        <f t="shared" si="306"/>
        <v>43438</v>
      </c>
      <c r="D2250" s="1">
        <f t="shared" si="307"/>
        <v>5359.91</v>
      </c>
      <c r="E2250" s="4">
        <f t="shared" si="308"/>
        <v>5482.2889999999979</v>
      </c>
      <c r="F2250" s="3">
        <f t="shared" si="309"/>
        <v>0.97767738986397867</v>
      </c>
      <c r="G2250" s="18">
        <f t="shared" si="310"/>
        <v>1</v>
      </c>
      <c r="H2250" s="3">
        <f t="shared" si="311"/>
        <v>-3.2308092278916622E-2</v>
      </c>
      <c r="I2250" s="3">
        <f t="shared" si="312"/>
        <v>-3.2308092278916622E-2</v>
      </c>
      <c r="K2250" s="12" t="str">
        <f>IF(AND(G2250=1,G2249&lt;&gt;1),MAX($K$50:K2249)+1,"")</f>
        <v/>
      </c>
      <c r="L2250" s="13" t="str">
        <f>IF(AND(G2250&lt;&gt;1,G2249=1),MAX($L$50:L2249)+1,"")</f>
        <v/>
      </c>
      <c r="M2250" s="13" t="str">
        <f>IF(AND(G2250=-1,G2249&lt;&gt;-1),MAX($M$50:M2249)+1,"")</f>
        <v/>
      </c>
      <c r="N2250" s="13" t="str">
        <f>IF(AND(G2250&lt;&gt;-1,G2249=-1),MAX($N$50:N2249)+1,"")</f>
        <v/>
      </c>
      <c r="T2250" s="7">
        <f t="shared" si="313"/>
        <v>132.52520550400587</v>
      </c>
      <c r="U2250" s="1">
        <f t="shared" si="314"/>
        <v>281.61289136180051</v>
      </c>
    </row>
    <row r="2251" spans="1:21" x14ac:dyDescent="0.3">
      <c r="A2251" s="2">
        <v>43440</v>
      </c>
      <c r="B2251" s="1">
        <v>5353.43</v>
      </c>
      <c r="C2251" s="2">
        <f t="shared" si="306"/>
        <v>43440</v>
      </c>
      <c r="D2251" s="1">
        <f t="shared" si="307"/>
        <v>5353.43</v>
      </c>
      <c r="E2251" s="4">
        <f t="shared" si="308"/>
        <v>5474.0525999999991</v>
      </c>
      <c r="F2251" s="3">
        <f t="shared" si="309"/>
        <v>0.9779646618667861</v>
      </c>
      <c r="G2251" s="18">
        <f t="shared" si="310"/>
        <v>1</v>
      </c>
      <c r="H2251" s="3">
        <f t="shared" si="311"/>
        <v>-1.2089755238426925E-3</v>
      </c>
      <c r="I2251" s="3">
        <f t="shared" si="312"/>
        <v>-1.2089755238426925E-3</v>
      </c>
      <c r="K2251" s="12" t="str">
        <f>IF(AND(G2251=1,G2250&lt;&gt;1),MAX($K$50:K2250)+1,"")</f>
        <v/>
      </c>
      <c r="L2251" s="13" t="str">
        <f>IF(AND(G2251&lt;&gt;1,G2250=1),MAX($L$50:L2250)+1,"")</f>
        <v/>
      </c>
      <c r="M2251" s="13" t="str">
        <f>IF(AND(G2251=-1,G2250&lt;&gt;-1),MAX($M$50:M2250)+1,"")</f>
        <v/>
      </c>
      <c r="N2251" s="13" t="str">
        <f>IF(AND(G2251&lt;&gt;-1,G2250=-1),MAX($N$50:N2250)+1,"")</f>
        <v/>
      </c>
      <c r="T2251" s="7">
        <f t="shared" si="313"/>
        <v>132.36498577425931</v>
      </c>
      <c r="U2251" s="1">
        <f t="shared" si="314"/>
        <v>281.27242826894553</v>
      </c>
    </row>
    <row r="2252" spans="1:21" x14ac:dyDescent="0.3">
      <c r="A2252" s="2">
        <v>43441</v>
      </c>
      <c r="B2252" s="1">
        <v>5229.4399999999996</v>
      </c>
      <c r="C2252" s="2">
        <f t="shared" si="306"/>
        <v>43441</v>
      </c>
      <c r="D2252" s="1">
        <f t="shared" si="307"/>
        <v>5229.4399999999996</v>
      </c>
      <c r="E2252" s="4">
        <f t="shared" si="308"/>
        <v>5463.7159999999985</v>
      </c>
      <c r="F2252" s="3">
        <f t="shared" si="309"/>
        <v>0.95712149020922777</v>
      </c>
      <c r="G2252" s="18">
        <f t="shared" si="310"/>
        <v>1</v>
      </c>
      <c r="H2252" s="3">
        <f t="shared" si="311"/>
        <v>-2.3160852014503019E-2</v>
      </c>
      <c r="I2252" s="3">
        <f t="shared" si="312"/>
        <v>-2.3160852014503019E-2</v>
      </c>
      <c r="K2252" s="12" t="str">
        <f>IF(AND(G2252=1,G2251&lt;&gt;1),MAX($K$50:K2251)+1,"")</f>
        <v/>
      </c>
      <c r="L2252" s="13" t="str">
        <f>IF(AND(G2252&lt;&gt;1,G2251=1),MAX($L$50:L2251)+1,"")</f>
        <v/>
      </c>
      <c r="M2252" s="13" t="str">
        <f>IF(AND(G2252=-1,G2251&lt;&gt;-1),MAX($M$50:M2251)+1,"")</f>
        <v/>
      </c>
      <c r="N2252" s="13" t="str">
        <f>IF(AND(G2252&lt;&gt;-1,G2251=-1),MAX($N$50:N2251)+1,"")</f>
        <v/>
      </c>
      <c r="T2252" s="7">
        <f t="shared" si="313"/>
        <v>129.29929992683989</v>
      </c>
      <c r="U2252" s="1">
        <f t="shared" si="314"/>
        <v>274.75791918204857</v>
      </c>
    </row>
    <row r="2253" spans="1:21" x14ac:dyDescent="0.3">
      <c r="A2253" s="2">
        <v>43444</v>
      </c>
      <c r="B2253" s="1">
        <v>5238.7</v>
      </c>
      <c r="C2253" s="2">
        <f t="shared" si="306"/>
        <v>43444</v>
      </c>
      <c r="D2253" s="1">
        <f t="shared" si="307"/>
        <v>5238.7</v>
      </c>
      <c r="E2253" s="4">
        <f t="shared" si="308"/>
        <v>5453.2255999999998</v>
      </c>
      <c r="F2253" s="3">
        <f t="shared" si="309"/>
        <v>0.9606607876263179</v>
      </c>
      <c r="G2253" s="18">
        <f t="shared" si="310"/>
        <v>1</v>
      </c>
      <c r="H2253" s="3">
        <f t="shared" si="311"/>
        <v>1.7707440949701336E-3</v>
      </c>
      <c r="I2253" s="3">
        <f t="shared" si="312"/>
        <v>1.7707440949701336E-3</v>
      </c>
      <c r="K2253" s="12" t="str">
        <f>IF(AND(G2253=1,G2252&lt;&gt;1),MAX($K$50:K2252)+1,"")</f>
        <v/>
      </c>
      <c r="L2253" s="13" t="str">
        <f>IF(AND(G2253&lt;&gt;1,G2252=1),MAX($L$50:L2252)+1,"")</f>
        <v/>
      </c>
      <c r="M2253" s="13" t="str">
        <f>IF(AND(G2253=-1,G2252&lt;&gt;-1),MAX($M$50:M2252)+1,"")</f>
        <v/>
      </c>
      <c r="N2253" s="13" t="str">
        <f>IF(AND(G2253&lt;&gt;-1,G2252=-1),MAX($N$50:N2252)+1,"")</f>
        <v/>
      </c>
      <c r="T2253" s="7">
        <f t="shared" si="313"/>
        <v>129.52825589866913</v>
      </c>
      <c r="U2253" s="1">
        <f t="shared" si="314"/>
        <v>275.2444451449864</v>
      </c>
    </row>
    <row r="2254" spans="1:21" x14ac:dyDescent="0.3">
      <c r="A2254" s="2">
        <v>43445</v>
      </c>
      <c r="B2254" s="1">
        <v>5237.1000000000004</v>
      </c>
      <c r="C2254" s="2">
        <f t="shared" si="306"/>
        <v>43445</v>
      </c>
      <c r="D2254" s="1">
        <f t="shared" si="307"/>
        <v>5237.1000000000004</v>
      </c>
      <c r="E2254" s="4">
        <f t="shared" si="308"/>
        <v>5442.6991999999991</v>
      </c>
      <c r="F2254" s="3">
        <f t="shared" si="309"/>
        <v>0.96222477259077654</v>
      </c>
      <c r="G2254" s="18">
        <f t="shared" si="310"/>
        <v>1</v>
      </c>
      <c r="H2254" s="3">
        <f t="shared" si="311"/>
        <v>-3.0541928340988012E-4</v>
      </c>
      <c r="I2254" s="3">
        <f t="shared" si="312"/>
        <v>-3.0541928340988012E-4</v>
      </c>
      <c r="K2254" s="12" t="str">
        <f>IF(AND(G2254=1,G2253&lt;&gt;1),MAX($K$50:K2253)+1,"")</f>
        <v/>
      </c>
      <c r="L2254" s="13" t="str">
        <f>IF(AND(G2254&lt;&gt;1,G2253=1),MAX($L$50:L2253)+1,"")</f>
        <v/>
      </c>
      <c r="M2254" s="13" t="str">
        <f>IF(AND(G2254=-1,G2253&lt;&gt;-1),MAX($M$50:M2253)+1,"")</f>
        <v/>
      </c>
      <c r="N2254" s="13" t="str">
        <f>IF(AND(G2254&lt;&gt;-1,G2253=-1),MAX($N$50:N2253)+1,"")</f>
        <v/>
      </c>
      <c r="T2254" s="7">
        <f t="shared" si="313"/>
        <v>129.48869547157122</v>
      </c>
      <c r="U2254" s="1">
        <f t="shared" si="314"/>
        <v>275.16038018378765</v>
      </c>
    </row>
    <row r="2255" spans="1:21" x14ac:dyDescent="0.3">
      <c r="A2255" s="2">
        <v>43446</v>
      </c>
      <c r="B2255" s="1">
        <v>5265.53</v>
      </c>
      <c r="C2255" s="2">
        <f t="shared" si="306"/>
        <v>43446</v>
      </c>
      <c r="D2255" s="1">
        <f t="shared" si="307"/>
        <v>5265.53</v>
      </c>
      <c r="E2255" s="4">
        <f t="shared" si="308"/>
        <v>5432.3208000000004</v>
      </c>
      <c r="F2255" s="3">
        <f t="shared" si="309"/>
        <v>0.96929658498813243</v>
      </c>
      <c r="G2255" s="18">
        <f t="shared" si="310"/>
        <v>1</v>
      </c>
      <c r="H2255" s="3">
        <f t="shared" si="311"/>
        <v>5.4285768841533244E-3</v>
      </c>
      <c r="I2255" s="3">
        <f t="shared" si="312"/>
        <v>5.4285768841533244E-3</v>
      </c>
      <c r="K2255" s="12" t="str">
        <f>IF(AND(G2255=1,G2254&lt;&gt;1),MAX($K$50:K2254)+1,"")</f>
        <v/>
      </c>
      <c r="L2255" s="13" t="str">
        <f>IF(AND(G2255&lt;&gt;1,G2254=1),MAX($L$50:L2254)+1,"")</f>
        <v/>
      </c>
      <c r="M2255" s="13" t="str">
        <f>IF(AND(G2255=-1,G2254&lt;&gt;-1),MAX($M$50:M2254)+1,"")</f>
        <v/>
      </c>
      <c r="N2255" s="13" t="str">
        <f>IF(AND(G2255&lt;&gt;-1,G2254=-1),MAX($N$50:N2254)+1,"")</f>
        <v/>
      </c>
      <c r="T2255" s="7">
        <f t="shared" si="313"/>
        <v>130.19163481056736</v>
      </c>
      <c r="U2255" s="1">
        <f t="shared" si="314"/>
        <v>276.65410946308816</v>
      </c>
    </row>
    <row r="2256" spans="1:21" x14ac:dyDescent="0.3">
      <c r="A2256" s="2">
        <v>43447</v>
      </c>
      <c r="B2256" s="1">
        <v>5265.46</v>
      </c>
      <c r="C2256" s="2">
        <f t="shared" si="306"/>
        <v>43447</v>
      </c>
      <c r="D2256" s="1">
        <f t="shared" si="307"/>
        <v>5265.46</v>
      </c>
      <c r="E2256" s="4">
        <f t="shared" si="308"/>
        <v>5421.9826000000012</v>
      </c>
      <c r="F2256" s="3">
        <f t="shared" si="309"/>
        <v>0.97113185128996893</v>
      </c>
      <c r="G2256" s="18">
        <f t="shared" si="310"/>
        <v>1</v>
      </c>
      <c r="H2256" s="3">
        <f t="shared" si="311"/>
        <v>-1.3294008390341006E-5</v>
      </c>
      <c r="I2256" s="3">
        <f t="shared" si="312"/>
        <v>-1.3294008390341006E-5</v>
      </c>
      <c r="K2256" s="12" t="str">
        <f>IF(AND(G2256=1,G2255&lt;&gt;1),MAX($K$50:K2255)+1,"")</f>
        <v/>
      </c>
      <c r="L2256" s="13" t="str">
        <f>IF(AND(G2256&lt;&gt;1,G2255=1),MAX($L$50:L2255)+1,"")</f>
        <v/>
      </c>
      <c r="M2256" s="13" t="str">
        <f>IF(AND(G2256=-1,G2255&lt;&gt;-1),MAX($M$50:M2255)+1,"")</f>
        <v/>
      </c>
      <c r="N2256" s="13" t="str">
        <f>IF(AND(G2256&lt;&gt;-1,G2255=-1),MAX($N$50:N2255)+1,"")</f>
        <v/>
      </c>
      <c r="T2256" s="7">
        <f t="shared" si="313"/>
        <v>130.18990404188185</v>
      </c>
      <c r="U2256" s="1">
        <f t="shared" si="314"/>
        <v>276.65043162103569</v>
      </c>
    </row>
    <row r="2257" spans="1:21" x14ac:dyDescent="0.3">
      <c r="A2257" s="2">
        <v>43448</v>
      </c>
      <c r="B2257" s="1">
        <v>5165.6000000000004</v>
      </c>
      <c r="C2257" s="2">
        <f t="shared" si="306"/>
        <v>43448</v>
      </c>
      <c r="D2257" s="1">
        <f t="shared" si="307"/>
        <v>5165.6000000000004</v>
      </c>
      <c r="E2257" s="4">
        <f t="shared" si="308"/>
        <v>5409.5649999999996</v>
      </c>
      <c r="F2257" s="3">
        <f t="shared" si="309"/>
        <v>0.95490117966971477</v>
      </c>
      <c r="G2257" s="18">
        <f t="shared" si="310"/>
        <v>1</v>
      </c>
      <c r="H2257" s="3">
        <f t="shared" si="311"/>
        <v>-1.8965104663220211E-2</v>
      </c>
      <c r="I2257" s="3">
        <f t="shared" si="312"/>
        <v>-1.8965104663220211E-2</v>
      </c>
      <c r="K2257" s="12" t="str">
        <f>IF(AND(G2257=1,G2256&lt;&gt;1),MAX($K$50:K2256)+1,"")</f>
        <v/>
      </c>
      <c r="L2257" s="13" t="str">
        <f>IF(AND(G2257&lt;&gt;1,G2256=1),MAX($L$50:L2256)+1,"")</f>
        <v/>
      </c>
      <c r="M2257" s="13" t="str">
        <f>IF(AND(G2257=-1,G2256&lt;&gt;-1),MAX($M$50:M2256)+1,"")</f>
        <v/>
      </c>
      <c r="N2257" s="13" t="str">
        <f>IF(AND(G2257&lt;&gt;-1,G2256=-1),MAX($N$50:N2256)+1,"")</f>
        <v/>
      </c>
      <c r="T2257" s="7">
        <f t="shared" si="313"/>
        <v>127.72083888563296</v>
      </c>
      <c r="U2257" s="1">
        <f t="shared" si="314"/>
        <v>271.40372723021773</v>
      </c>
    </row>
    <row r="2258" spans="1:21" x14ac:dyDescent="0.3">
      <c r="A2258" s="2">
        <v>43451</v>
      </c>
      <c r="B2258" s="1">
        <v>5058.58</v>
      </c>
      <c r="C2258" s="2">
        <f t="shared" si="306"/>
        <v>43451</v>
      </c>
      <c r="D2258" s="1">
        <f t="shared" si="307"/>
        <v>5058.58</v>
      </c>
      <c r="E2258" s="4">
        <f t="shared" si="308"/>
        <v>5395.9254000000001</v>
      </c>
      <c r="F2258" s="3">
        <f t="shared" si="309"/>
        <v>0.93748145591486487</v>
      </c>
      <c r="G2258" s="18">
        <f t="shared" si="310"/>
        <v>-1</v>
      </c>
      <c r="H2258" s="3">
        <f t="shared" si="311"/>
        <v>-2.0717825615611085E-2</v>
      </c>
      <c r="I2258" s="3">
        <f t="shared" si="312"/>
        <v>-2.0717825615611085E-2</v>
      </c>
      <c r="K2258" s="12" t="str">
        <f>IF(AND(G2258=1,G2257&lt;&gt;1),MAX($K$50:K2257)+1,"")</f>
        <v/>
      </c>
      <c r="L2258" s="13">
        <f>IF(AND(G2258&lt;&gt;1,G2257=1),MAX($L$50:L2257)+1,"")</f>
        <v>24</v>
      </c>
      <c r="M2258" s="13">
        <f>IF(AND(G2258=-1,G2257&lt;&gt;-1),MAX($M$50:M2257)+1,"")</f>
        <v>24</v>
      </c>
      <c r="N2258" s="13" t="str">
        <f>IF(AND(G2258&lt;&gt;-1,G2257=-1),MAX($N$50:N2257)+1,"")</f>
        <v/>
      </c>
      <c r="T2258" s="7">
        <f t="shared" si="313"/>
        <v>125.07474081812086</v>
      </c>
      <c r="U2258" s="1">
        <f t="shared" si="314"/>
        <v>265.78083213803518</v>
      </c>
    </row>
    <row r="2259" spans="1:21" x14ac:dyDescent="0.3">
      <c r="A2259" s="2">
        <v>43452</v>
      </c>
      <c r="B2259" s="1">
        <v>5059.34</v>
      </c>
      <c r="C2259" s="2">
        <f t="shared" si="306"/>
        <v>43452</v>
      </c>
      <c r="D2259" s="1">
        <f t="shared" si="307"/>
        <v>5059.34</v>
      </c>
      <c r="E2259" s="4">
        <f t="shared" si="308"/>
        <v>5382.9342000000006</v>
      </c>
      <c r="F2259" s="3">
        <f t="shared" si="309"/>
        <v>0.93988516523200294</v>
      </c>
      <c r="G2259" s="18">
        <f t="shared" si="310"/>
        <v>-1</v>
      </c>
      <c r="H2259" s="3">
        <f t="shared" si="311"/>
        <v>1.50239790613238E-4</v>
      </c>
      <c r="I2259" s="3">
        <f t="shared" si="312"/>
        <v>-1.50239790613238E-4</v>
      </c>
      <c r="K2259" s="12" t="str">
        <f>IF(AND(G2259=1,G2258&lt;&gt;1),MAX($K$50:K2258)+1,"")</f>
        <v/>
      </c>
      <c r="L2259" s="13" t="str">
        <f>IF(AND(G2259&lt;&gt;1,G2258=1),MAX($L$50:L2258)+1,"")</f>
        <v/>
      </c>
      <c r="M2259" s="13" t="str">
        <f>IF(AND(G2259=-1,G2258&lt;&gt;-1),MAX($M$50:M2258)+1,"")</f>
        <v/>
      </c>
      <c r="N2259" s="13" t="str">
        <f>IF(AND(G2259&lt;&gt;-1,G2258=-1),MAX($N$50:N2258)+1,"")</f>
        <v/>
      </c>
      <c r="T2259" s="7">
        <f t="shared" si="313"/>
        <v>125.05594961524933</v>
      </c>
      <c r="U2259" s="1">
        <f t="shared" si="314"/>
        <v>265.82076299460459</v>
      </c>
    </row>
    <row r="2260" spans="1:21" x14ac:dyDescent="0.3">
      <c r="A2260" s="2">
        <v>43453</v>
      </c>
      <c r="B2260" s="1">
        <v>4981.92</v>
      </c>
      <c r="C2260" s="2">
        <f t="shared" si="306"/>
        <v>43453</v>
      </c>
      <c r="D2260" s="1">
        <f t="shared" si="307"/>
        <v>4981.92</v>
      </c>
      <c r="E2260" s="4">
        <f t="shared" si="308"/>
        <v>5368.4393999999993</v>
      </c>
      <c r="F2260" s="3">
        <f t="shared" si="309"/>
        <v>0.92800153430063881</v>
      </c>
      <c r="G2260" s="18">
        <f t="shared" si="310"/>
        <v>-1</v>
      </c>
      <c r="H2260" s="3">
        <f t="shared" si="311"/>
        <v>-1.5302391220989309E-2</v>
      </c>
      <c r="I2260" s="3">
        <f t="shared" si="312"/>
        <v>1.5302391220989309E-2</v>
      </c>
      <c r="K2260" s="12" t="str">
        <f>IF(AND(G2260=1,G2259&lt;&gt;1),MAX($K$50:K2259)+1,"")</f>
        <v/>
      </c>
      <c r="L2260" s="13" t="str">
        <f>IF(AND(G2260&lt;&gt;1,G2259=1),MAX($L$50:L2259)+1,"")</f>
        <v/>
      </c>
      <c r="M2260" s="13" t="str">
        <f>IF(AND(G2260=-1,G2259&lt;&gt;-1),MAX($M$50:M2259)+1,"")</f>
        <v/>
      </c>
      <c r="N2260" s="13" t="str">
        <f>IF(AND(G2260&lt;&gt;-1,G2259=-1),MAX($N$50:N2259)+1,"")</f>
        <v/>
      </c>
      <c r="T2260" s="7">
        <f t="shared" si="313"/>
        <v>126.96960468077421</v>
      </c>
      <c r="U2260" s="1">
        <f t="shared" si="314"/>
        <v>261.75306968459927</v>
      </c>
    </row>
    <row r="2261" spans="1:21" x14ac:dyDescent="0.3">
      <c r="A2261" s="2">
        <v>43454</v>
      </c>
      <c r="B2261" s="1">
        <v>4903.46</v>
      </c>
      <c r="C2261" s="2">
        <f t="shared" si="306"/>
        <v>43454</v>
      </c>
      <c r="D2261" s="1">
        <f t="shared" si="307"/>
        <v>4903.46</v>
      </c>
      <c r="E2261" s="4">
        <f t="shared" si="308"/>
        <v>5352.503999999999</v>
      </c>
      <c r="F2261" s="3">
        <f t="shared" si="309"/>
        <v>0.91610580767431482</v>
      </c>
      <c r="G2261" s="18">
        <f t="shared" si="310"/>
        <v>-1</v>
      </c>
      <c r="H2261" s="3">
        <f t="shared" si="311"/>
        <v>-1.5748948196679158E-2</v>
      </c>
      <c r="I2261" s="3">
        <f t="shared" si="312"/>
        <v>1.5748948196679158E-2</v>
      </c>
      <c r="K2261" s="12" t="str">
        <f>IF(AND(G2261=1,G2260&lt;&gt;1),MAX($K$50:K2260)+1,"")</f>
        <v/>
      </c>
      <c r="L2261" s="13" t="str">
        <f>IF(AND(G2261&lt;&gt;1,G2260=1),MAX($L$50:L2260)+1,"")</f>
        <v/>
      </c>
      <c r="M2261" s="13" t="str">
        <f>IF(AND(G2261=-1,G2260&lt;&gt;-1),MAX($M$50:M2260)+1,"")</f>
        <v/>
      </c>
      <c r="N2261" s="13" t="str">
        <f>IF(AND(G2261&lt;&gt;-1,G2260=-1),MAX($N$50:N2260)+1,"")</f>
        <v/>
      </c>
      <c r="T2261" s="7">
        <f t="shared" si="313"/>
        <v>128.96924240744457</v>
      </c>
      <c r="U2261" s="1">
        <f t="shared" si="314"/>
        <v>257.63073414981477</v>
      </c>
    </row>
    <row r="2262" spans="1:21" x14ac:dyDescent="0.3">
      <c r="A2262" s="2">
        <v>43455</v>
      </c>
      <c r="B2262" s="1">
        <v>4802.51</v>
      </c>
      <c r="C2262" s="2">
        <f t="shared" si="306"/>
        <v>43455</v>
      </c>
      <c r="D2262" s="1">
        <f t="shared" si="307"/>
        <v>4802.51</v>
      </c>
      <c r="E2262" s="4">
        <f t="shared" si="308"/>
        <v>5338.2953999999991</v>
      </c>
      <c r="F2262" s="3">
        <f t="shared" si="309"/>
        <v>0.89963361712804446</v>
      </c>
      <c r="G2262" s="18">
        <f t="shared" si="310"/>
        <v>-1</v>
      </c>
      <c r="H2262" s="3">
        <f t="shared" si="311"/>
        <v>-2.0587503517924044E-2</v>
      </c>
      <c r="I2262" s="3">
        <f t="shared" si="312"/>
        <v>2.0587503517924044E-2</v>
      </c>
      <c r="K2262" s="12" t="str">
        <f>IF(AND(G2262=1,G2261&lt;&gt;1),MAX($K$50:K2261)+1,"")</f>
        <v/>
      </c>
      <c r="L2262" s="13" t="str">
        <f>IF(AND(G2262&lt;&gt;1,G2261=1),MAX($L$50:L2261)+1,"")</f>
        <v/>
      </c>
      <c r="M2262" s="13" t="str">
        <f>IF(AND(G2262=-1,G2261&lt;&gt;-1),MAX($M$50:M2261)+1,"")</f>
        <v/>
      </c>
      <c r="N2262" s="13" t="str">
        <f>IF(AND(G2262&lt;&gt;-1,G2261=-1),MAX($N$50:N2261)+1,"")</f>
        <v/>
      </c>
      <c r="T2262" s="7">
        <f t="shared" si="313"/>
        <v>131.62439713921185</v>
      </c>
      <c r="U2262" s="1">
        <f t="shared" si="314"/>
        <v>252.3267605041801</v>
      </c>
    </row>
    <row r="2263" spans="1:21" x14ac:dyDescent="0.3">
      <c r="A2263" s="2">
        <v>43458</v>
      </c>
      <c r="B2263" s="1">
        <v>4672.66</v>
      </c>
      <c r="C2263" s="2">
        <f t="shared" si="306"/>
        <v>43458</v>
      </c>
      <c r="D2263" s="1">
        <f t="shared" si="307"/>
        <v>4672.66</v>
      </c>
      <c r="E2263" s="4">
        <f t="shared" si="308"/>
        <v>5323.7577999999994</v>
      </c>
      <c r="F2263" s="3">
        <f t="shared" si="309"/>
        <v>0.87769958280220794</v>
      </c>
      <c r="G2263" s="18">
        <f t="shared" si="310"/>
        <v>-1</v>
      </c>
      <c r="H2263" s="3">
        <f t="shared" si="311"/>
        <v>-2.7037944741395759E-2</v>
      </c>
      <c r="I2263" s="3">
        <f t="shared" si="312"/>
        <v>2.7037944741395759E-2</v>
      </c>
      <c r="K2263" s="12" t="str">
        <f>IF(AND(G2263=1,G2262&lt;&gt;1),MAX($K$50:K2262)+1,"")</f>
        <v/>
      </c>
      <c r="L2263" s="13" t="str">
        <f>IF(AND(G2263&lt;&gt;1,G2262=1),MAX($L$50:L2262)+1,"")</f>
        <v/>
      </c>
      <c r="M2263" s="13" t="str">
        <f>IF(AND(G2263=-1,G2262&lt;&gt;-1),MAX($M$50:M2262)+1,"")</f>
        <v/>
      </c>
      <c r="N2263" s="13" t="str">
        <f>IF(AND(G2263&lt;&gt;-1,G2262=-1),MAX($N$50:N2262)+1,"")</f>
        <v/>
      </c>
      <c r="T2263" s="7">
        <f t="shared" si="313"/>
        <v>135.18325031568139</v>
      </c>
      <c r="U2263" s="1">
        <f t="shared" si="314"/>
        <v>245.50436349689267</v>
      </c>
    </row>
    <row r="2264" spans="1:21" x14ac:dyDescent="0.3">
      <c r="A2264" s="2">
        <v>43460</v>
      </c>
      <c r="B2264" s="1">
        <v>4904.49</v>
      </c>
      <c r="C2264" s="2">
        <f t="shared" si="306"/>
        <v>43460</v>
      </c>
      <c r="D2264" s="1">
        <f t="shared" si="307"/>
        <v>4904.49</v>
      </c>
      <c r="E2264" s="4">
        <f t="shared" si="308"/>
        <v>5312.3109999999997</v>
      </c>
      <c r="F2264" s="3">
        <f t="shared" si="309"/>
        <v>0.92323096294625828</v>
      </c>
      <c r="G2264" s="18">
        <f t="shared" si="310"/>
        <v>-1</v>
      </c>
      <c r="H2264" s="3">
        <f t="shared" si="311"/>
        <v>4.9614138413665909E-2</v>
      </c>
      <c r="I2264" s="3">
        <f t="shared" si="312"/>
        <v>-4.9614138413665909E-2</v>
      </c>
      <c r="K2264" s="12" t="str">
        <f>IF(AND(G2264=1,G2263&lt;&gt;1),MAX($K$50:K2263)+1,"")</f>
        <v/>
      </c>
      <c r="L2264" s="13" t="str">
        <f>IF(AND(G2264&lt;&gt;1,G2263=1),MAX($L$50:L2263)+1,"")</f>
        <v/>
      </c>
      <c r="M2264" s="13" t="str">
        <f>IF(AND(G2264=-1,G2263&lt;&gt;-1),MAX($M$50:M2263)+1,"")</f>
        <v/>
      </c>
      <c r="N2264" s="13" t="str">
        <f>IF(AND(G2264&lt;&gt;-1,G2263=-1),MAX($N$50:N2263)+1,"")</f>
        <v/>
      </c>
      <c r="T2264" s="7">
        <f t="shared" si="313"/>
        <v>128.47624982330993</v>
      </c>
      <c r="U2264" s="1">
        <f t="shared" si="314"/>
        <v>257.68485096858643</v>
      </c>
    </row>
    <row r="2265" spans="1:21" x14ac:dyDescent="0.3">
      <c r="A2265" s="2">
        <v>43461</v>
      </c>
      <c r="B2265" s="1">
        <v>4946.9399999999996</v>
      </c>
      <c r="C2265" s="2">
        <f t="shared" si="306"/>
        <v>43461</v>
      </c>
      <c r="D2265" s="1">
        <f t="shared" si="307"/>
        <v>4946.9399999999996</v>
      </c>
      <c r="E2265" s="4">
        <f t="shared" si="308"/>
        <v>5302.3575999999994</v>
      </c>
      <c r="F2265" s="3">
        <f t="shared" si="309"/>
        <v>0.9329698924870703</v>
      </c>
      <c r="G2265" s="18">
        <f t="shared" si="310"/>
        <v>-1</v>
      </c>
      <c r="H2265" s="3">
        <f t="shared" si="311"/>
        <v>8.6553341937694039E-3</v>
      </c>
      <c r="I2265" s="3">
        <f t="shared" si="312"/>
        <v>-8.6553341937694039E-3</v>
      </c>
      <c r="K2265" s="12" t="str">
        <f>IF(AND(G2265=1,G2264&lt;&gt;1),MAX($K$50:K2264)+1,"")</f>
        <v/>
      </c>
      <c r="L2265" s="13" t="str">
        <f>IF(AND(G2265&lt;&gt;1,G2264=1),MAX($L$50:L2264)+1,"")</f>
        <v/>
      </c>
      <c r="M2265" s="13" t="str">
        <f>IF(AND(G2265=-1,G2264&lt;&gt;-1),MAX($M$50:M2264)+1,"")</f>
        <v/>
      </c>
      <c r="N2265" s="13" t="str">
        <f>IF(AND(G2265&lt;&gt;-1,G2264=-1),MAX($N$50:N2264)+1,"")</f>
        <v/>
      </c>
      <c r="T2265" s="7">
        <f t="shared" si="313"/>
        <v>127.36424494512697</v>
      </c>
      <c r="U2265" s="1">
        <f t="shared" si="314"/>
        <v>259.9151994703912</v>
      </c>
    </row>
    <row r="2266" spans="1:21" x14ac:dyDescent="0.3">
      <c r="A2266" s="2">
        <v>43462</v>
      </c>
      <c r="B2266" s="1">
        <v>4941.6099999999997</v>
      </c>
      <c r="C2266" s="2">
        <f t="shared" si="306"/>
        <v>43462</v>
      </c>
      <c r="D2266" s="1">
        <f t="shared" si="307"/>
        <v>4941.6099999999997</v>
      </c>
      <c r="E2266" s="4">
        <f t="shared" si="308"/>
        <v>5289.9537999999993</v>
      </c>
      <c r="F2266" s="3">
        <f t="shared" si="309"/>
        <v>0.93414993529811174</v>
      </c>
      <c r="G2266" s="18">
        <f t="shared" si="310"/>
        <v>-1</v>
      </c>
      <c r="H2266" s="3">
        <f t="shared" si="311"/>
        <v>-1.077433726707766E-3</v>
      </c>
      <c r="I2266" s="3">
        <f t="shared" si="312"/>
        <v>1.077433726707766E-3</v>
      </c>
      <c r="K2266" s="12" t="str">
        <f>IF(AND(G2266=1,G2265&lt;&gt;1),MAX($K$50:K2265)+1,"")</f>
        <v/>
      </c>
      <c r="L2266" s="13" t="str">
        <f>IF(AND(G2266&lt;&gt;1,G2265=1),MAX($L$50:L2265)+1,"")</f>
        <v/>
      </c>
      <c r="M2266" s="13" t="str">
        <f>IF(AND(G2266=-1,G2265&lt;&gt;-1),MAX($M$50:M2265)+1,"")</f>
        <v/>
      </c>
      <c r="N2266" s="13" t="str">
        <f>IF(AND(G2266&lt;&gt;-1,G2265=-1),MAX($N$50:N2265)+1,"")</f>
        <v/>
      </c>
      <c r="T2266" s="7">
        <f t="shared" si="313"/>
        <v>127.50147147820753</v>
      </c>
      <c r="U2266" s="1">
        <f t="shared" si="314"/>
        <v>259.6351580683978</v>
      </c>
    </row>
    <row r="2267" spans="1:21" x14ac:dyDescent="0.3">
      <c r="A2267" s="2">
        <v>43465</v>
      </c>
      <c r="B2267" s="1">
        <v>4984.22</v>
      </c>
      <c r="C2267" s="2">
        <f t="shared" si="306"/>
        <v>43465</v>
      </c>
      <c r="D2267" s="1">
        <f t="shared" si="307"/>
        <v>4984.22</v>
      </c>
      <c r="E2267" s="4">
        <f t="shared" si="308"/>
        <v>5278.4257999999982</v>
      </c>
      <c r="F2267" s="3">
        <f t="shared" si="309"/>
        <v>0.94426258677350394</v>
      </c>
      <c r="G2267" s="18">
        <f t="shared" si="310"/>
        <v>-1</v>
      </c>
      <c r="H2267" s="3">
        <f t="shared" si="311"/>
        <v>8.6226958420434485E-3</v>
      </c>
      <c r="I2267" s="3">
        <f t="shared" si="312"/>
        <v>-8.6226958420434485E-3</v>
      </c>
      <c r="K2267" s="12" t="str">
        <f>IF(AND(G2267=1,G2266&lt;&gt;1),MAX($K$50:K2266)+1,"")</f>
        <v/>
      </c>
      <c r="L2267" s="13" t="str">
        <f>IF(AND(G2267&lt;&gt;1,G2266=1),MAX($L$50:L2266)+1,"")</f>
        <v/>
      </c>
      <c r="M2267" s="13" t="str">
        <f>IF(AND(G2267=-1,G2266&lt;&gt;-1),MAX($M$50:M2266)+1,"")</f>
        <v/>
      </c>
      <c r="N2267" s="13" t="str">
        <f>IF(AND(G2267&lt;&gt;-1,G2266=-1),MAX($N$50:N2266)+1,"")</f>
        <v/>
      </c>
      <c r="T2267" s="7">
        <f t="shared" si="313"/>
        <v>126.40206507023797</v>
      </c>
      <c r="U2267" s="1">
        <f t="shared" si="314"/>
        <v>261.87391306632247</v>
      </c>
    </row>
    <row r="2268" spans="1:21" x14ac:dyDescent="0.3">
      <c r="A2268" s="2">
        <v>43467</v>
      </c>
      <c r="B2268" s="1">
        <v>4990.5600000000004</v>
      </c>
      <c r="C2268" s="2">
        <f t="shared" si="306"/>
        <v>43467</v>
      </c>
      <c r="D2268" s="1">
        <f t="shared" si="307"/>
        <v>4990.5600000000004</v>
      </c>
      <c r="E2268" s="4">
        <f t="shared" si="308"/>
        <v>5268.6143999999995</v>
      </c>
      <c r="F2268" s="3">
        <f t="shared" si="309"/>
        <v>0.94722437838684892</v>
      </c>
      <c r="G2268" s="18">
        <f t="shared" si="310"/>
        <v>-1</v>
      </c>
      <c r="H2268" s="3">
        <f t="shared" si="311"/>
        <v>1.272014477691652E-3</v>
      </c>
      <c r="I2268" s="3">
        <f t="shared" si="312"/>
        <v>-1.272014477691652E-3</v>
      </c>
      <c r="K2268" s="12" t="str">
        <f>IF(AND(G2268=1,G2267&lt;&gt;1),MAX($K$50:K2267)+1,"")</f>
        <v/>
      </c>
      <c r="L2268" s="13" t="str">
        <f>IF(AND(G2268&lt;&gt;1,G2267=1),MAX($L$50:L2267)+1,"")</f>
        <v/>
      </c>
      <c r="M2268" s="13" t="str">
        <f>IF(AND(G2268=-1,G2267&lt;&gt;-1),MAX($M$50:M2267)+1,"")</f>
        <v/>
      </c>
      <c r="N2268" s="13" t="str">
        <f>IF(AND(G2268&lt;&gt;-1,G2267=-1),MAX($N$50:N2267)+1,"")</f>
        <v/>
      </c>
      <c r="T2268" s="7">
        <f t="shared" si="313"/>
        <v>126.2412798134585</v>
      </c>
      <c r="U2268" s="1">
        <f t="shared" si="314"/>
        <v>262.20702047507257</v>
      </c>
    </row>
    <row r="2269" spans="1:21" x14ac:dyDescent="0.3">
      <c r="A2269" s="2">
        <v>43468</v>
      </c>
      <c r="B2269" s="1">
        <v>4868.3</v>
      </c>
      <c r="C2269" s="2">
        <f t="shared" si="306"/>
        <v>43468</v>
      </c>
      <c r="D2269" s="1">
        <f t="shared" si="307"/>
        <v>4868.3</v>
      </c>
      <c r="E2269" s="4">
        <f t="shared" si="308"/>
        <v>5256.3943999999992</v>
      </c>
      <c r="F2269" s="3">
        <f t="shared" si="309"/>
        <v>0.92616718410627652</v>
      </c>
      <c r="G2269" s="18">
        <f t="shared" si="310"/>
        <v>-1</v>
      </c>
      <c r="H2269" s="3">
        <f t="shared" si="311"/>
        <v>-2.4498252701099732E-2</v>
      </c>
      <c r="I2269" s="3">
        <f t="shared" si="312"/>
        <v>2.4498252701099732E-2</v>
      </c>
      <c r="K2269" s="12" t="str">
        <f>IF(AND(G2269=1,G2268&lt;&gt;1),MAX($K$50:K2268)+1,"")</f>
        <v/>
      </c>
      <c r="L2269" s="13" t="str">
        <f>IF(AND(G2269&lt;&gt;1,G2268=1),MAX($L$50:L2268)+1,"")</f>
        <v/>
      </c>
      <c r="M2269" s="13" t="str">
        <f>IF(AND(G2269=-1,G2268&lt;&gt;-1),MAX($M$50:M2268)+1,"")</f>
        <v/>
      </c>
      <c r="N2269" s="13" t="str">
        <f>IF(AND(G2269&lt;&gt;-1,G2268=-1),MAX($N$50:N2268)+1,"")</f>
        <v/>
      </c>
      <c r="T2269" s="7">
        <f t="shared" si="313"/>
        <v>129.33397058763885</v>
      </c>
      <c r="U2269" s="1">
        <f t="shared" si="314"/>
        <v>255.78340662747181</v>
      </c>
    </row>
    <row r="2270" spans="1:21" x14ac:dyDescent="0.3">
      <c r="A2270" s="2">
        <v>43469</v>
      </c>
      <c r="B2270" s="1">
        <v>5035.45</v>
      </c>
      <c r="C2270" s="2">
        <f t="shared" si="306"/>
        <v>43469</v>
      </c>
      <c r="D2270" s="1">
        <f t="shared" si="307"/>
        <v>5035.45</v>
      </c>
      <c r="E2270" s="4">
        <f t="shared" si="308"/>
        <v>5247.9857999999986</v>
      </c>
      <c r="F2270" s="3">
        <f t="shared" si="309"/>
        <v>0.95950145291932787</v>
      </c>
      <c r="G2270" s="18">
        <f t="shared" si="310"/>
        <v>1</v>
      </c>
      <c r="H2270" s="3">
        <f t="shared" si="311"/>
        <v>3.4334367232914831E-2</v>
      </c>
      <c r="I2270" s="3">
        <f t="shared" si="312"/>
        <v>-3.4334367232914831E-2</v>
      </c>
      <c r="K2270" s="12">
        <f>IF(AND(G2270=1,G2269&lt;&gt;1),MAX($K$50:K2269)+1,"")</f>
        <v>25</v>
      </c>
      <c r="L2270" s="13" t="str">
        <f>IF(AND(G2270&lt;&gt;1,G2269=1),MAX($L$50:L2269)+1,"")</f>
        <v/>
      </c>
      <c r="M2270" s="13" t="str">
        <f>IF(AND(G2270=-1,G2269&lt;&gt;-1),MAX($M$50:M2269)+1,"")</f>
        <v/>
      </c>
      <c r="N2270" s="13">
        <f>IF(AND(G2270&lt;&gt;-1,G2269=-1),MAX($N$50:N2269)+1,"")</f>
        <v>24</v>
      </c>
      <c r="T2270" s="7">
        <f t="shared" si="313"/>
        <v>124.89337054579185</v>
      </c>
      <c r="U2270" s="1">
        <f t="shared" si="314"/>
        <v>264.56556804270542</v>
      </c>
    </row>
    <row r="2271" spans="1:21" x14ac:dyDescent="0.3">
      <c r="A2271" s="2">
        <v>43472</v>
      </c>
      <c r="B2271" s="1">
        <v>5070.76</v>
      </c>
      <c r="C2271" s="2">
        <f t="shared" si="306"/>
        <v>43472</v>
      </c>
      <c r="D2271" s="1">
        <f t="shared" si="307"/>
        <v>5070.76</v>
      </c>
      <c r="E2271" s="4">
        <f t="shared" si="308"/>
        <v>5240.8793999999989</v>
      </c>
      <c r="F2271" s="3">
        <f t="shared" si="309"/>
        <v>0.96753991324433097</v>
      </c>
      <c r="G2271" s="18">
        <f t="shared" si="310"/>
        <v>1</v>
      </c>
      <c r="H2271" s="3">
        <f t="shared" si="311"/>
        <v>7.012282914138801E-3</v>
      </c>
      <c r="I2271" s="3">
        <f t="shared" si="312"/>
        <v>7.012282914138801E-3</v>
      </c>
      <c r="K2271" s="12" t="str">
        <f>IF(AND(G2271=1,G2270&lt;&gt;1),MAX($K$50:K2270)+1,"")</f>
        <v/>
      </c>
      <c r="L2271" s="13" t="str">
        <f>IF(AND(G2271&lt;&gt;1,G2270=1),MAX($L$50:L2270)+1,"")</f>
        <v/>
      </c>
      <c r="M2271" s="13" t="str">
        <f>IF(AND(G2271=-1,G2270&lt;&gt;-1),MAX($M$50:M2270)+1,"")</f>
        <v/>
      </c>
      <c r="N2271" s="13" t="str">
        <f>IF(AND(G2271&lt;&gt;-1,G2270=-1),MAX($N$50:N2270)+1,"")</f>
        <v/>
      </c>
      <c r="T2271" s="7">
        <f t="shared" si="313"/>
        <v>125.76915819415932</v>
      </c>
      <c r="U2271" s="1">
        <f t="shared" si="314"/>
        <v>266.42077665516075</v>
      </c>
    </row>
    <row r="2272" spans="1:21" x14ac:dyDescent="0.3">
      <c r="A2272" s="2">
        <v>43473</v>
      </c>
      <c r="B2272" s="1">
        <v>5120.04</v>
      </c>
      <c r="C2272" s="2">
        <f t="shared" si="306"/>
        <v>43473</v>
      </c>
      <c r="D2272" s="1">
        <f t="shared" si="307"/>
        <v>5120.04</v>
      </c>
      <c r="E2272" s="4">
        <f t="shared" si="308"/>
        <v>5238.1079999999993</v>
      </c>
      <c r="F2272" s="3">
        <f t="shared" si="309"/>
        <v>0.97745980037066826</v>
      </c>
      <c r="G2272" s="18">
        <f t="shared" si="310"/>
        <v>1</v>
      </c>
      <c r="H2272" s="3">
        <f t="shared" si="311"/>
        <v>9.7184642933207943E-3</v>
      </c>
      <c r="I2272" s="3">
        <f t="shared" si="312"/>
        <v>9.7184642933207943E-3</v>
      </c>
      <c r="K2272" s="12" t="str">
        <f>IF(AND(G2272=1,G2271&lt;&gt;1),MAX($K$50:K2271)+1,"")</f>
        <v/>
      </c>
      <c r="L2272" s="13" t="str">
        <f>IF(AND(G2272&lt;&gt;1,G2271=1),MAX($L$50:L2271)+1,"")</f>
        <v/>
      </c>
      <c r="M2272" s="13" t="str">
        <f>IF(AND(G2272=-1,G2271&lt;&gt;-1),MAX($M$50:M2271)+1,"")</f>
        <v/>
      </c>
      <c r="N2272" s="13" t="str">
        <f>IF(AND(G2272&lt;&gt;-1,G2271=-1),MAX($N$50:N2271)+1,"")</f>
        <v/>
      </c>
      <c r="T2272" s="7">
        <f t="shared" si="313"/>
        <v>126.99144126727028</v>
      </c>
      <c r="U2272" s="1">
        <f t="shared" si="314"/>
        <v>269.00997746008272</v>
      </c>
    </row>
    <row r="2273" spans="1:21" x14ac:dyDescent="0.3">
      <c r="A2273" s="2">
        <v>43474</v>
      </c>
      <c r="B2273" s="1">
        <v>5142.66</v>
      </c>
      <c r="C2273" s="2">
        <f t="shared" si="306"/>
        <v>43474</v>
      </c>
      <c r="D2273" s="1">
        <f t="shared" si="307"/>
        <v>5142.66</v>
      </c>
      <c r="E2273" s="4">
        <f t="shared" si="308"/>
        <v>5233.8303999999998</v>
      </c>
      <c r="F2273" s="3">
        <f t="shared" si="309"/>
        <v>0.98258055897264074</v>
      </c>
      <c r="G2273" s="18">
        <f t="shared" si="310"/>
        <v>1</v>
      </c>
      <c r="H2273" s="3">
        <f t="shared" si="311"/>
        <v>4.4179342348886763E-3</v>
      </c>
      <c r="I2273" s="3">
        <f t="shared" si="312"/>
        <v>4.4179342348886763E-3</v>
      </c>
      <c r="K2273" s="12" t="str">
        <f>IF(AND(G2273=1,G2272&lt;&gt;1),MAX($K$50:K2272)+1,"")</f>
        <v/>
      </c>
      <c r="L2273" s="13" t="str">
        <f>IF(AND(G2273&lt;&gt;1,G2272=1),MAX($L$50:L2272)+1,"")</f>
        <v/>
      </c>
      <c r="M2273" s="13" t="str">
        <f>IF(AND(G2273=-1,G2272&lt;&gt;-1),MAX($M$50:M2272)+1,"")</f>
        <v/>
      </c>
      <c r="N2273" s="13" t="str">
        <f>IF(AND(G2273&lt;&gt;-1,G2272=-1),MAX($N$50:N2272)+1,"")</f>
        <v/>
      </c>
      <c r="T2273" s="7">
        <f t="shared" si="313"/>
        <v>127.5524811031828</v>
      </c>
      <c r="U2273" s="1">
        <f t="shared" si="314"/>
        <v>270.19844584903024</v>
      </c>
    </row>
    <row r="2274" spans="1:21" x14ac:dyDescent="0.3">
      <c r="A2274" s="2">
        <v>43475</v>
      </c>
      <c r="B2274" s="1">
        <v>5165.8900000000003</v>
      </c>
      <c r="C2274" s="2">
        <f t="shared" si="306"/>
        <v>43475</v>
      </c>
      <c r="D2274" s="1">
        <f t="shared" si="307"/>
        <v>5165.8900000000003</v>
      </c>
      <c r="E2274" s="4">
        <f t="shared" si="308"/>
        <v>5231.8734000000004</v>
      </c>
      <c r="F2274" s="3">
        <f t="shared" si="309"/>
        <v>0.98738818871267031</v>
      </c>
      <c r="G2274" s="18">
        <f t="shared" si="310"/>
        <v>1</v>
      </c>
      <c r="H2274" s="3">
        <f t="shared" si="311"/>
        <v>4.5171176006191249E-3</v>
      </c>
      <c r="I2274" s="3">
        <f t="shared" si="312"/>
        <v>4.5171176006191249E-3</v>
      </c>
      <c r="K2274" s="12" t="str">
        <f>IF(AND(G2274=1,G2273&lt;&gt;1),MAX($K$50:K2273)+1,"")</f>
        <v/>
      </c>
      <c r="L2274" s="13" t="str">
        <f>IF(AND(G2274&lt;&gt;1,G2273=1),MAX($L$50:L2273)+1,"")</f>
        <v/>
      </c>
      <c r="M2274" s="13" t="str">
        <f>IF(AND(G2274=-1,G2273&lt;&gt;-1),MAX($M$50:M2273)+1,"")</f>
        <v/>
      </c>
      <c r="N2274" s="13" t="str">
        <f>IF(AND(G2274&lt;&gt;-1,G2273=-1),MAX($N$50:N2273)+1,"")</f>
        <v/>
      </c>
      <c r="T2274" s="7">
        <f t="shared" si="313"/>
        <v>128.12865066057662</v>
      </c>
      <c r="U2274" s="1">
        <f t="shared" si="314"/>
        <v>271.41896400443483</v>
      </c>
    </row>
    <row r="2275" spans="1:21" x14ac:dyDescent="0.3">
      <c r="A2275" s="2">
        <v>43476</v>
      </c>
      <c r="B2275" s="1">
        <v>5165.1499999999996</v>
      </c>
      <c r="C2275" s="2">
        <f t="shared" si="306"/>
        <v>43476</v>
      </c>
      <c r="D2275" s="1">
        <f t="shared" si="307"/>
        <v>5165.1499999999996</v>
      </c>
      <c r="E2275" s="4">
        <f t="shared" si="308"/>
        <v>5230.5908000000009</v>
      </c>
      <c r="F2275" s="3">
        <f t="shared" si="309"/>
        <v>0.98748883204551174</v>
      </c>
      <c r="G2275" s="18">
        <f t="shared" si="310"/>
        <v>1</v>
      </c>
      <c r="H2275" s="3">
        <f t="shared" si="311"/>
        <v>-1.4324733976156523E-4</v>
      </c>
      <c r="I2275" s="3">
        <f t="shared" si="312"/>
        <v>-1.4324733976156523E-4</v>
      </c>
      <c r="K2275" s="12" t="str">
        <f>IF(AND(G2275=1,G2274&lt;&gt;1),MAX($K$50:K2274)+1,"")</f>
        <v/>
      </c>
      <c r="L2275" s="13" t="str">
        <f>IF(AND(G2275&lt;&gt;1,G2274=1),MAX($L$50:L2274)+1,"")</f>
        <v/>
      </c>
      <c r="M2275" s="13" t="str">
        <f>IF(AND(G2275=-1,G2274&lt;&gt;-1),MAX($M$50:M2274)+1,"")</f>
        <v/>
      </c>
      <c r="N2275" s="13" t="str">
        <f>IF(AND(G2275&lt;&gt;-1,G2274=-1),MAX($N$50:N2274)+1,"")</f>
        <v/>
      </c>
      <c r="T2275" s="7">
        <f t="shared" si="313"/>
        <v>128.11029657222227</v>
      </c>
      <c r="U2275" s="1">
        <f t="shared" si="314"/>
        <v>271.38008395988038</v>
      </c>
    </row>
    <row r="2276" spans="1:21" x14ac:dyDescent="0.3">
      <c r="A2276" s="2">
        <v>43479</v>
      </c>
      <c r="B2276" s="1">
        <v>5138.58</v>
      </c>
      <c r="C2276" s="2">
        <f t="shared" si="306"/>
        <v>43479</v>
      </c>
      <c r="D2276" s="1">
        <f t="shared" si="307"/>
        <v>5138.58</v>
      </c>
      <c r="E2276" s="4">
        <f t="shared" si="308"/>
        <v>5227.1289999999999</v>
      </c>
      <c r="F2276" s="3">
        <f t="shared" si="309"/>
        <v>0.98305972552045306</v>
      </c>
      <c r="G2276" s="18">
        <f t="shared" si="310"/>
        <v>1</v>
      </c>
      <c r="H2276" s="3">
        <f t="shared" si="311"/>
        <v>-5.1440906846847989E-3</v>
      </c>
      <c r="I2276" s="3">
        <f t="shared" si="312"/>
        <v>-5.1440906846847989E-3</v>
      </c>
      <c r="K2276" s="12" t="str">
        <f>IF(AND(G2276=1,G2275&lt;&gt;1),MAX($K$50:K2275)+1,"")</f>
        <v/>
      </c>
      <c r="L2276" s="13" t="str">
        <f>IF(AND(G2276&lt;&gt;1,G2275=1),MAX($L$50:L2275)+1,"")</f>
        <v/>
      </c>
      <c r="M2276" s="13" t="str">
        <f>IF(AND(G2276=-1,G2275&lt;&gt;-1),MAX($M$50:M2275)+1,"")</f>
        <v/>
      </c>
      <c r="N2276" s="13" t="str">
        <f>IF(AND(G2276&lt;&gt;-1,G2275=-1),MAX($N$50:N2275)+1,"")</f>
        <v/>
      </c>
      <c r="T2276" s="7">
        <f t="shared" si="313"/>
        <v>127.4512855890129</v>
      </c>
      <c r="U2276" s="1">
        <f t="shared" si="314"/>
        <v>269.98408019797336</v>
      </c>
    </row>
    <row r="2277" spans="1:21" x14ac:dyDescent="0.3">
      <c r="A2277" s="2">
        <v>43480</v>
      </c>
      <c r="B2277" s="1">
        <v>5193.78</v>
      </c>
      <c r="C2277" s="2">
        <f t="shared" si="306"/>
        <v>43480</v>
      </c>
      <c r="D2277" s="1">
        <f t="shared" si="307"/>
        <v>5193.78</v>
      </c>
      <c r="E2277" s="4">
        <f t="shared" si="308"/>
        <v>5223.6148000000003</v>
      </c>
      <c r="F2277" s="3">
        <f t="shared" si="309"/>
        <v>0.99428847624828676</v>
      </c>
      <c r="G2277" s="18">
        <f t="shared" si="310"/>
        <v>1</v>
      </c>
      <c r="H2277" s="3">
        <f t="shared" si="311"/>
        <v>1.0742267318986976E-2</v>
      </c>
      <c r="I2277" s="3">
        <f t="shared" si="312"/>
        <v>1.0742267318986976E-2</v>
      </c>
      <c r="K2277" s="12" t="str">
        <f>IF(AND(G2277=1,G2276&lt;&gt;1),MAX($K$50:K2276)+1,"")</f>
        <v/>
      </c>
      <c r="L2277" s="13" t="str">
        <f>IF(AND(G2277&lt;&gt;1,G2276=1),MAX($L$50:L2276)+1,"")</f>
        <v/>
      </c>
      <c r="M2277" s="13" t="str">
        <f>IF(AND(G2277=-1,G2276&lt;&gt;-1),MAX($M$50:M2276)+1,"")</f>
        <v/>
      </c>
      <c r="N2277" s="13" t="str">
        <f>IF(AND(G2277&lt;&gt;-1,G2276=-1),MAX($N$50:N2276)+1,"")</f>
        <v/>
      </c>
      <c r="T2277" s="7">
        <f t="shared" si="313"/>
        <v>128.82040136895861</v>
      </c>
      <c r="U2277" s="1">
        <f t="shared" si="314"/>
        <v>272.88432135933078</v>
      </c>
    </row>
    <row r="2278" spans="1:21" x14ac:dyDescent="0.3">
      <c r="A2278" s="2">
        <v>43481</v>
      </c>
      <c r="B2278" s="1">
        <v>5205.45</v>
      </c>
      <c r="C2278" s="2">
        <f t="shared" si="306"/>
        <v>43481</v>
      </c>
      <c r="D2278" s="1">
        <f t="shared" si="307"/>
        <v>5205.45</v>
      </c>
      <c r="E2278" s="4">
        <f t="shared" si="308"/>
        <v>5219.1972000000005</v>
      </c>
      <c r="F2278" s="3">
        <f t="shared" si="309"/>
        <v>0.99736603169544913</v>
      </c>
      <c r="G2278" s="18">
        <f t="shared" si="310"/>
        <v>1</v>
      </c>
      <c r="H2278" s="3">
        <f t="shared" si="311"/>
        <v>2.2469184293520961E-3</v>
      </c>
      <c r="I2278" s="3">
        <f t="shared" si="312"/>
        <v>2.2469184293520961E-3</v>
      </c>
      <c r="K2278" s="12" t="str">
        <f>IF(AND(G2278=1,G2277&lt;&gt;1),MAX($K$50:K2277)+1,"")</f>
        <v/>
      </c>
      <c r="L2278" s="13" t="str">
        <f>IF(AND(G2278&lt;&gt;1,G2277=1),MAX($L$50:L2277)+1,"")</f>
        <v/>
      </c>
      <c r="M2278" s="13" t="str">
        <f>IF(AND(G2278=-1,G2277&lt;&gt;-1),MAX($M$50:M2277)+1,"")</f>
        <v/>
      </c>
      <c r="N2278" s="13" t="str">
        <f>IF(AND(G2278&lt;&gt;-1,G2277=-1),MAX($N$50:N2277)+1,"")</f>
        <v/>
      </c>
      <c r="T2278" s="7">
        <f t="shared" si="313"/>
        <v>129.10985030287105</v>
      </c>
      <c r="U2278" s="1">
        <f t="shared" si="314"/>
        <v>273.49747017007428</v>
      </c>
    </row>
    <row r="2279" spans="1:21" x14ac:dyDescent="0.3">
      <c r="A2279" s="2">
        <v>43482</v>
      </c>
      <c r="B2279" s="1">
        <v>5245.48</v>
      </c>
      <c r="C2279" s="2">
        <f t="shared" si="306"/>
        <v>43482</v>
      </c>
      <c r="D2279" s="1">
        <f t="shared" si="307"/>
        <v>5245.48</v>
      </c>
      <c r="E2279" s="4">
        <f t="shared" si="308"/>
        <v>5216.2562000000007</v>
      </c>
      <c r="F2279" s="3">
        <f t="shared" si="309"/>
        <v>1.0056024472110858</v>
      </c>
      <c r="G2279" s="18">
        <f t="shared" si="310"/>
        <v>1</v>
      </c>
      <c r="H2279" s="3">
        <f t="shared" si="311"/>
        <v>7.6900171935183614E-3</v>
      </c>
      <c r="I2279" s="3">
        <f t="shared" si="312"/>
        <v>7.6900171935183614E-3</v>
      </c>
      <c r="K2279" s="12" t="str">
        <f>IF(AND(G2279=1,G2278&lt;&gt;1),MAX($K$50:K2278)+1,"")</f>
        <v/>
      </c>
      <c r="L2279" s="13" t="str">
        <f>IF(AND(G2279&lt;&gt;1,G2278=1),MAX($L$50:L2278)+1,"")</f>
        <v/>
      </c>
      <c r="M2279" s="13" t="str">
        <f>IF(AND(G2279=-1,G2278&lt;&gt;-1),MAX($M$50:M2278)+1,"")</f>
        <v/>
      </c>
      <c r="N2279" s="13" t="str">
        <f>IF(AND(G2279&lt;&gt;-1,G2278=-1),MAX($N$50:N2278)+1,"")</f>
        <v/>
      </c>
      <c r="T2279" s="7">
        <f t="shared" si="313"/>
        <v>130.1027072715527</v>
      </c>
      <c r="U2279" s="1">
        <f t="shared" si="314"/>
        <v>275.60067041806593</v>
      </c>
    </row>
    <row r="2280" spans="1:21" x14ac:dyDescent="0.3">
      <c r="A2280" s="2">
        <v>43483</v>
      </c>
      <c r="B2280" s="1">
        <v>5314.78</v>
      </c>
      <c r="C2280" s="2">
        <f t="shared" si="306"/>
        <v>43483</v>
      </c>
      <c r="D2280" s="1">
        <f t="shared" si="307"/>
        <v>5314.78</v>
      </c>
      <c r="E2280" s="4">
        <f t="shared" si="308"/>
        <v>5214.0942000000014</v>
      </c>
      <c r="F2280" s="3">
        <f t="shared" si="309"/>
        <v>1.0193103147235043</v>
      </c>
      <c r="G2280" s="18">
        <f t="shared" si="310"/>
        <v>1</v>
      </c>
      <c r="H2280" s="3">
        <f t="shared" si="311"/>
        <v>1.3211374364214601E-2</v>
      </c>
      <c r="I2280" s="3">
        <f t="shared" si="312"/>
        <v>1.3211374364214601E-2</v>
      </c>
      <c r="K2280" s="12" t="str">
        <f>IF(AND(G2280=1,G2279&lt;&gt;1),MAX($K$50:K2279)+1,"")</f>
        <v/>
      </c>
      <c r="L2280" s="13" t="str">
        <f>IF(AND(G2280&lt;&gt;1,G2279=1),MAX($L$50:L2279)+1,"")</f>
        <v/>
      </c>
      <c r="M2280" s="13" t="str">
        <f>IF(AND(G2280=-1,G2279&lt;&gt;-1),MAX($M$50:M2279)+1,"")</f>
        <v/>
      </c>
      <c r="N2280" s="13" t="str">
        <f>IF(AND(G2280&lt;&gt;-1,G2279=-1),MAX($N$50:N2279)+1,"")</f>
        <v/>
      </c>
      <c r="T2280" s="7">
        <f t="shared" si="313"/>
        <v>131.821542843115</v>
      </c>
      <c r="U2280" s="1">
        <f t="shared" si="314"/>
        <v>279.24173404998754</v>
      </c>
    </row>
    <row r="2281" spans="1:21" x14ac:dyDescent="0.3">
      <c r="A2281" s="2">
        <v>43487</v>
      </c>
      <c r="B2281" s="1">
        <v>5239.75</v>
      </c>
      <c r="C2281" s="2">
        <f t="shared" si="306"/>
        <v>43487</v>
      </c>
      <c r="D2281" s="1">
        <f t="shared" si="307"/>
        <v>5239.75</v>
      </c>
      <c r="E2281" s="4">
        <f t="shared" si="308"/>
        <v>5209.744200000001</v>
      </c>
      <c r="F2281" s="3">
        <f t="shared" si="309"/>
        <v>1.0057595534153094</v>
      </c>
      <c r="G2281" s="18">
        <f t="shared" si="310"/>
        <v>1</v>
      </c>
      <c r="H2281" s="3">
        <f t="shared" si="311"/>
        <v>-1.4117235332412603E-2</v>
      </c>
      <c r="I2281" s="3">
        <f t="shared" si="312"/>
        <v>-1.4117235332412603E-2</v>
      </c>
      <c r="K2281" s="12" t="str">
        <f>IF(AND(G2281=1,G2280&lt;&gt;1),MAX($K$50:K2280)+1,"")</f>
        <v/>
      </c>
      <c r="L2281" s="13" t="str">
        <f>IF(AND(G2281&lt;&gt;1,G2280=1),MAX($L$50:L2280)+1,"")</f>
        <v/>
      </c>
      <c r="M2281" s="13" t="str">
        <f>IF(AND(G2281=-1,G2280&lt;&gt;-1),MAX($M$50:M2280)+1,"")</f>
        <v/>
      </c>
      <c r="N2281" s="13" t="str">
        <f>IF(AND(G2281&lt;&gt;-1,G2280=-1),MAX($N$50:N2280)+1,"")</f>
        <v/>
      </c>
      <c r="T2281" s="7">
        <f t="shared" si="313"/>
        <v>129.96058710091702</v>
      </c>
      <c r="U2281" s="1">
        <f t="shared" si="314"/>
        <v>275.29961277577291</v>
      </c>
    </row>
    <row r="2282" spans="1:21" x14ac:dyDescent="0.3">
      <c r="A2282" s="2">
        <v>43488</v>
      </c>
      <c r="B2282" s="1">
        <v>5251.29</v>
      </c>
      <c r="C2282" s="2">
        <f t="shared" si="306"/>
        <v>43488</v>
      </c>
      <c r="D2282" s="1">
        <f t="shared" si="307"/>
        <v>5251.29</v>
      </c>
      <c r="E2282" s="4">
        <f t="shared" si="308"/>
        <v>5203.3088000000007</v>
      </c>
      <c r="F2282" s="3">
        <f t="shared" si="309"/>
        <v>1.0092212862707666</v>
      </c>
      <c r="G2282" s="18">
        <f t="shared" si="310"/>
        <v>1</v>
      </c>
      <c r="H2282" s="3">
        <f t="shared" si="311"/>
        <v>2.2023951524403618E-3</v>
      </c>
      <c r="I2282" s="3">
        <f t="shared" si="312"/>
        <v>2.2023951524403618E-3</v>
      </c>
      <c r="K2282" s="12" t="str">
        <f>IF(AND(G2282=1,G2281&lt;&gt;1),MAX($K$50:K2281)+1,"")</f>
        <v/>
      </c>
      <c r="L2282" s="13" t="str">
        <f>IF(AND(G2282&lt;&gt;1,G2281=1),MAX($L$50:L2281)+1,"")</f>
        <v/>
      </c>
      <c r="M2282" s="13" t="str">
        <f>IF(AND(G2282=-1,G2281&lt;&gt;-1),MAX($M$50:M2281)+1,"")</f>
        <v/>
      </c>
      <c r="N2282" s="13" t="str">
        <f>IF(AND(G2282&lt;&gt;-1,G2281=-1),MAX($N$50:N2281)+1,"")</f>
        <v/>
      </c>
      <c r="T2282" s="7">
        <f t="shared" si="313"/>
        <v>130.24681166795639</v>
      </c>
      <c r="U2282" s="1">
        <f t="shared" si="314"/>
        <v>275.90593130841904</v>
      </c>
    </row>
    <row r="2283" spans="1:21" x14ac:dyDescent="0.3">
      <c r="A2283" s="2">
        <v>43489</v>
      </c>
      <c r="B2283" s="1">
        <v>5258.69</v>
      </c>
      <c r="C2283" s="2">
        <f t="shared" si="306"/>
        <v>43489</v>
      </c>
      <c r="D2283" s="1">
        <f t="shared" si="307"/>
        <v>5258.69</v>
      </c>
      <c r="E2283" s="4">
        <f t="shared" si="308"/>
        <v>5197.2426000000005</v>
      </c>
      <c r="F2283" s="3">
        <f t="shared" si="309"/>
        <v>1.0118230771063099</v>
      </c>
      <c r="G2283" s="18">
        <f t="shared" si="310"/>
        <v>1</v>
      </c>
      <c r="H2283" s="3">
        <f t="shared" si="311"/>
        <v>1.4091775544675667E-3</v>
      </c>
      <c r="I2283" s="3">
        <f t="shared" si="312"/>
        <v>1.4091775544675667E-3</v>
      </c>
      <c r="K2283" s="12" t="str">
        <f>IF(AND(G2283=1,G2282&lt;&gt;1),MAX($K$50:K2282)+1,"")</f>
        <v/>
      </c>
      <c r="L2283" s="13" t="str">
        <f>IF(AND(G2283&lt;&gt;1,G2282=1),MAX($L$50:L2282)+1,"")</f>
        <v/>
      </c>
      <c r="M2283" s="13" t="str">
        <f>IF(AND(G2283=-1,G2282&lt;&gt;-1),MAX($M$50:M2282)+1,"")</f>
        <v/>
      </c>
      <c r="N2283" s="13" t="str">
        <f>IF(AND(G2283&lt;&gt;-1,G2282=-1),MAX($N$50:N2282)+1,"")</f>
        <v/>
      </c>
      <c r="T2283" s="7">
        <f t="shared" si="313"/>
        <v>130.43035255149985</v>
      </c>
      <c r="U2283" s="1">
        <f t="shared" si="314"/>
        <v>276.29473175396333</v>
      </c>
    </row>
    <row r="2284" spans="1:21" x14ac:dyDescent="0.3">
      <c r="A2284" s="2">
        <v>43490</v>
      </c>
      <c r="B2284" s="1">
        <v>5303.51</v>
      </c>
      <c r="C2284" s="2">
        <f t="shared" si="306"/>
        <v>43490</v>
      </c>
      <c r="D2284" s="1">
        <f t="shared" si="307"/>
        <v>5303.51</v>
      </c>
      <c r="E2284" s="4">
        <f t="shared" si="308"/>
        <v>5193.077000000002</v>
      </c>
      <c r="F2284" s="3">
        <f t="shared" si="309"/>
        <v>1.0212654270291002</v>
      </c>
      <c r="G2284" s="18">
        <f t="shared" si="310"/>
        <v>1</v>
      </c>
      <c r="H2284" s="3">
        <f t="shared" si="311"/>
        <v>8.5230352045853053E-3</v>
      </c>
      <c r="I2284" s="3">
        <f t="shared" si="312"/>
        <v>8.5230352045853053E-3</v>
      </c>
      <c r="K2284" s="12" t="str">
        <f>IF(AND(G2284=1,G2283&lt;&gt;1),MAX($K$50:K2283)+1,"")</f>
        <v/>
      </c>
      <c r="L2284" s="13" t="str">
        <f>IF(AND(G2284&lt;&gt;1,G2283=1),MAX($L$50:L2283)+1,"")</f>
        <v/>
      </c>
      <c r="M2284" s="13" t="str">
        <f>IF(AND(G2284=-1,G2283&lt;&gt;-1),MAX($M$50:M2283)+1,"")</f>
        <v/>
      </c>
      <c r="N2284" s="13" t="str">
        <f>IF(AND(G2284&lt;&gt;-1,G2283=-1),MAX($N$50:N2283)+1,"")</f>
        <v/>
      </c>
      <c r="T2284" s="7">
        <f t="shared" si="313"/>
        <v>131.54201503804276</v>
      </c>
      <c r="U2284" s="1">
        <f t="shared" si="314"/>
        <v>278.64960147954383</v>
      </c>
    </row>
    <row r="2285" spans="1:21" x14ac:dyDescent="0.3">
      <c r="A2285" s="2">
        <v>43493</v>
      </c>
      <c r="B2285" s="1">
        <v>5261.88</v>
      </c>
      <c r="C2285" s="2">
        <f t="shared" si="306"/>
        <v>43493</v>
      </c>
      <c r="D2285" s="1">
        <f t="shared" si="307"/>
        <v>5261.88</v>
      </c>
      <c r="E2285" s="4">
        <f t="shared" si="308"/>
        <v>5190.2508000000016</v>
      </c>
      <c r="F2285" s="3">
        <f t="shared" si="309"/>
        <v>1.0138007203813733</v>
      </c>
      <c r="G2285" s="18">
        <f t="shared" si="310"/>
        <v>1</v>
      </c>
      <c r="H2285" s="3">
        <f t="shared" si="311"/>
        <v>-7.8495185264099154E-3</v>
      </c>
      <c r="I2285" s="3">
        <f t="shared" si="312"/>
        <v>-7.8495185264099154E-3</v>
      </c>
      <c r="K2285" s="12" t="str">
        <f>IF(AND(G2285=1,G2284&lt;&gt;1),MAX($K$50:K2284)+1,"")</f>
        <v/>
      </c>
      <c r="L2285" s="13" t="str">
        <f>IF(AND(G2285&lt;&gt;1,G2284=1),MAX($L$50:L2284)+1,"")</f>
        <v/>
      </c>
      <c r="M2285" s="13" t="str">
        <f>IF(AND(G2285=-1,G2284&lt;&gt;-1),MAX($M$50:M2284)+1,"")</f>
        <v/>
      </c>
      <c r="N2285" s="13" t="str">
        <f>IF(AND(G2285&lt;&gt;-1,G2284=-1),MAX($N$50:N2284)+1,"")</f>
        <v/>
      </c>
      <c r="T2285" s="7">
        <f t="shared" si="313"/>
        <v>130.50947355400035</v>
      </c>
      <c r="U2285" s="1">
        <f t="shared" si="314"/>
        <v>276.46233627035343</v>
      </c>
    </row>
    <row r="2286" spans="1:21" x14ac:dyDescent="0.3">
      <c r="A2286" s="2">
        <v>43494</v>
      </c>
      <c r="B2286" s="1">
        <v>5254.31</v>
      </c>
      <c r="C2286" s="2">
        <f t="shared" si="306"/>
        <v>43494</v>
      </c>
      <c r="D2286" s="1">
        <f t="shared" si="307"/>
        <v>5254.31</v>
      </c>
      <c r="E2286" s="4">
        <f t="shared" si="308"/>
        <v>5187.4296000000013</v>
      </c>
      <c r="F2286" s="3">
        <f t="shared" si="309"/>
        <v>1.0128927821979501</v>
      </c>
      <c r="G2286" s="18">
        <f t="shared" si="310"/>
        <v>1</v>
      </c>
      <c r="H2286" s="3">
        <f t="shared" si="311"/>
        <v>-1.4386493040510206E-3</v>
      </c>
      <c r="I2286" s="3">
        <f t="shared" si="312"/>
        <v>-1.4386493040510206E-3</v>
      </c>
      <c r="K2286" s="12" t="str">
        <f>IF(AND(G2286=1,G2285&lt;&gt;1),MAX($K$50:K2285)+1,"")</f>
        <v/>
      </c>
      <c r="L2286" s="13" t="str">
        <f>IF(AND(G2286&lt;&gt;1,G2285=1),MAX($L$50:L2285)+1,"")</f>
        <v/>
      </c>
      <c r="M2286" s="13" t="str">
        <f>IF(AND(G2286=-1,G2285&lt;&gt;-1),MAX($M$50:M2285)+1,"")</f>
        <v/>
      </c>
      <c r="N2286" s="13" t="str">
        <f>IF(AND(G2286&lt;&gt;-1,G2285=-1),MAX($N$50:N2285)+1,"")</f>
        <v/>
      </c>
      <c r="T2286" s="7">
        <f t="shared" si="313"/>
        <v>130.32171619069982</v>
      </c>
      <c r="U2286" s="1">
        <f t="shared" si="314"/>
        <v>276.06460392268178</v>
      </c>
    </row>
    <row r="2287" spans="1:21" x14ac:dyDescent="0.3">
      <c r="A2287" s="2">
        <v>43495</v>
      </c>
      <c r="B2287" s="1">
        <v>5336.6</v>
      </c>
      <c r="C2287" s="2">
        <f t="shared" si="306"/>
        <v>43495</v>
      </c>
      <c r="D2287" s="1">
        <f t="shared" si="307"/>
        <v>5336.6</v>
      </c>
      <c r="E2287" s="4">
        <f t="shared" si="308"/>
        <v>5187.0428000000011</v>
      </c>
      <c r="F2287" s="3">
        <f t="shared" si="309"/>
        <v>1.0288328447954969</v>
      </c>
      <c r="G2287" s="18">
        <f t="shared" si="310"/>
        <v>1</v>
      </c>
      <c r="H2287" s="3">
        <f t="shared" si="311"/>
        <v>1.5661428427329094E-2</v>
      </c>
      <c r="I2287" s="3">
        <f t="shared" si="312"/>
        <v>1.5661428427329094E-2</v>
      </c>
      <c r="K2287" s="12" t="str">
        <f>IF(AND(G2287=1,G2286&lt;&gt;1),MAX($K$50:K2286)+1,"")</f>
        <v/>
      </c>
      <c r="L2287" s="13" t="str">
        <f>IF(AND(G2287&lt;&gt;1,G2286=1),MAX($L$50:L2286)+1,"")</f>
        <v/>
      </c>
      <c r="M2287" s="13" t="str">
        <f>IF(AND(G2287=-1,G2286&lt;&gt;-1),MAX($M$50:M2286)+1,"")</f>
        <v/>
      </c>
      <c r="N2287" s="13" t="str">
        <f>IF(AND(G2287&lt;&gt;-1,G2286=-1),MAX($N$50:N2286)+1,"")</f>
        <v/>
      </c>
      <c r="T2287" s="7">
        <f t="shared" si="313"/>
        <v>132.36274042134716</v>
      </c>
      <c r="U2287" s="1">
        <f t="shared" si="314"/>
        <v>280.38816995833582</v>
      </c>
    </row>
    <row r="2288" spans="1:21" x14ac:dyDescent="0.3">
      <c r="A2288" s="2">
        <v>43496</v>
      </c>
      <c r="B2288" s="1">
        <v>5383.63</v>
      </c>
      <c r="C2288" s="2">
        <f t="shared" si="306"/>
        <v>43496</v>
      </c>
      <c r="D2288" s="1">
        <f t="shared" si="307"/>
        <v>5383.63</v>
      </c>
      <c r="E2288" s="4">
        <f t="shared" si="308"/>
        <v>5186.426800000002</v>
      </c>
      <c r="F2288" s="3">
        <f t="shared" si="309"/>
        <v>1.0380229409581174</v>
      </c>
      <c r="G2288" s="18">
        <f t="shared" si="310"/>
        <v>1</v>
      </c>
      <c r="H2288" s="3">
        <f t="shared" si="311"/>
        <v>8.8127272045870342E-3</v>
      </c>
      <c r="I2288" s="3">
        <f t="shared" si="312"/>
        <v>8.8127272045870342E-3</v>
      </c>
      <c r="K2288" s="12" t="str">
        <f>IF(AND(G2288=1,G2287&lt;&gt;1),MAX($K$50:K2287)+1,"")</f>
        <v/>
      </c>
      <c r="L2288" s="13" t="str">
        <f>IF(AND(G2288&lt;&gt;1,G2287=1),MAX($L$50:L2287)+1,"")</f>
        <v/>
      </c>
      <c r="M2288" s="13" t="str">
        <f>IF(AND(G2288=-1,G2287&lt;&gt;-1),MAX($M$50:M2287)+1,"")</f>
        <v/>
      </c>
      <c r="N2288" s="13" t="str">
        <f>IF(AND(G2288&lt;&gt;-1,G2287=-1),MAX($N$50:N2287)+1,"")</f>
        <v/>
      </c>
      <c r="T2288" s="7">
        <f t="shared" si="313"/>
        <v>133.52921714473206</v>
      </c>
      <c r="U2288" s="1">
        <f t="shared" si="314"/>
        <v>282.85915441157204</v>
      </c>
    </row>
    <row r="2289" spans="1:21" x14ac:dyDescent="0.3">
      <c r="A2289" s="2">
        <v>43497</v>
      </c>
      <c r="B2289" s="1">
        <v>5389.19</v>
      </c>
      <c r="C2289" s="2">
        <f t="shared" si="306"/>
        <v>43497</v>
      </c>
      <c r="D2289" s="1">
        <f t="shared" si="307"/>
        <v>5389.19</v>
      </c>
      <c r="E2289" s="4">
        <f t="shared" si="308"/>
        <v>5185.6734000000015</v>
      </c>
      <c r="F2289" s="3">
        <f t="shared" si="309"/>
        <v>1.0392459347709784</v>
      </c>
      <c r="G2289" s="18">
        <f t="shared" si="310"/>
        <v>1</v>
      </c>
      <c r="H2289" s="3">
        <f t="shared" si="311"/>
        <v>1.0327604237287957E-3</v>
      </c>
      <c r="I2289" s="3">
        <f t="shared" si="312"/>
        <v>1.0327604237287957E-3</v>
      </c>
      <c r="K2289" s="12" t="str">
        <f>IF(AND(G2289=1,G2288&lt;&gt;1),MAX($K$50:K2288)+1,"")</f>
        <v/>
      </c>
      <c r="L2289" s="13" t="str">
        <f>IF(AND(G2289&lt;&gt;1,G2288=1),MAX($L$50:L2288)+1,"")</f>
        <v/>
      </c>
      <c r="M2289" s="13" t="str">
        <f>IF(AND(G2289=-1,G2288&lt;&gt;-1),MAX($M$50:M2288)+1,"")</f>
        <v/>
      </c>
      <c r="N2289" s="13" t="str">
        <f>IF(AND(G2289&lt;&gt;-1,G2288=-1),MAX($N$50:N2288)+1,"")</f>
        <v/>
      </c>
      <c r="T2289" s="7">
        <f t="shared" si="313"/>
        <v>133.66712083561063</v>
      </c>
      <c r="U2289" s="1">
        <f t="shared" si="314"/>
        <v>283.15128015173775</v>
      </c>
    </row>
    <row r="2290" spans="1:21" x14ac:dyDescent="0.3">
      <c r="A2290" s="2">
        <v>43500</v>
      </c>
      <c r="B2290" s="1">
        <v>5425.8</v>
      </c>
      <c r="C2290" s="2">
        <f t="shared" si="306"/>
        <v>43500</v>
      </c>
      <c r="D2290" s="1">
        <f t="shared" si="307"/>
        <v>5425.8</v>
      </c>
      <c r="E2290" s="4">
        <f t="shared" si="308"/>
        <v>5187.4554000000016</v>
      </c>
      <c r="F2290" s="3">
        <f t="shared" si="309"/>
        <v>1.0459463420157789</v>
      </c>
      <c r="G2290" s="18">
        <f t="shared" si="310"/>
        <v>1</v>
      </c>
      <c r="H2290" s="3">
        <f t="shared" si="311"/>
        <v>6.7932286670169262E-3</v>
      </c>
      <c r="I2290" s="3">
        <f t="shared" si="312"/>
        <v>6.7932286670169262E-3</v>
      </c>
      <c r="K2290" s="12" t="str">
        <f>IF(AND(G2290=1,G2289&lt;&gt;1),MAX($K$50:K2289)+1,"")</f>
        <v/>
      </c>
      <c r="L2290" s="13" t="str">
        <f>IF(AND(G2290&lt;&gt;1,G2289=1),MAX($L$50:L2289)+1,"")</f>
        <v/>
      </c>
      <c r="M2290" s="13" t="str">
        <f>IF(AND(G2290=-1,G2289&lt;&gt;-1),MAX($M$50:M2289)+1,"")</f>
        <v/>
      </c>
      <c r="N2290" s="13" t="str">
        <f>IF(AND(G2290&lt;&gt;-1,G2289=-1),MAX($N$50:N2289)+1,"")</f>
        <v/>
      </c>
      <c r="T2290" s="7">
        <f t="shared" si="313"/>
        <v>134.57515215270871</v>
      </c>
      <c r="U2290" s="1">
        <f t="shared" si="314"/>
        <v>285.07479154516705</v>
      </c>
    </row>
    <row r="2291" spans="1:21" x14ac:dyDescent="0.3">
      <c r="A2291" s="2">
        <v>43501</v>
      </c>
      <c r="B2291" s="1">
        <v>5451.4</v>
      </c>
      <c r="C2291" s="2">
        <f t="shared" si="306"/>
        <v>43501</v>
      </c>
      <c r="D2291" s="1">
        <f t="shared" si="307"/>
        <v>5451.4</v>
      </c>
      <c r="E2291" s="4">
        <f t="shared" si="308"/>
        <v>5191.6788000000015</v>
      </c>
      <c r="F2291" s="3">
        <f t="shared" si="309"/>
        <v>1.0500264384614852</v>
      </c>
      <c r="G2291" s="18">
        <f t="shared" si="310"/>
        <v>1</v>
      </c>
      <c r="H2291" s="3">
        <f t="shared" si="311"/>
        <v>4.718198238047755E-3</v>
      </c>
      <c r="I2291" s="3">
        <f t="shared" si="312"/>
        <v>4.718198238047755E-3</v>
      </c>
      <c r="K2291" s="12" t="str">
        <f>IF(AND(G2291=1,G2290&lt;&gt;1),MAX($K$50:K2290)+1,"")</f>
        <v/>
      </c>
      <c r="L2291" s="13" t="str">
        <f>IF(AND(G2291&lt;&gt;1,G2290=1),MAX($L$50:L2290)+1,"")</f>
        <v/>
      </c>
      <c r="M2291" s="13" t="str">
        <f>IF(AND(G2291=-1,G2290&lt;&gt;-1),MAX($M$50:M2290)+1,"")</f>
        <v/>
      </c>
      <c r="N2291" s="13" t="str">
        <f>IF(AND(G2291&lt;&gt;-1,G2290=-1),MAX($N$50:N2290)+1,"")</f>
        <v/>
      </c>
      <c r="T2291" s="7">
        <f t="shared" si="313"/>
        <v>135.21010439848064</v>
      </c>
      <c r="U2291" s="1">
        <f t="shared" si="314"/>
        <v>286.41983092434725</v>
      </c>
    </row>
    <row r="2292" spans="1:21" x14ac:dyDescent="0.3">
      <c r="A2292" s="2">
        <v>43502</v>
      </c>
      <c r="B2292" s="1">
        <v>5439.8</v>
      </c>
      <c r="C2292" s="2">
        <f t="shared" ref="C2292:C2355" si="315">A2292</f>
        <v>43502</v>
      </c>
      <c r="D2292" s="1">
        <f t="shared" ref="D2292:D2355" si="316">B2292</f>
        <v>5439.8</v>
      </c>
      <c r="E2292" s="4">
        <f t="shared" ref="E2292:E2355" si="317">AVERAGE(B2243:B2292)</f>
        <v>5195.3426000000009</v>
      </c>
      <c r="F2292" s="3">
        <f t="shared" ref="F2292:F2355" si="318">D2292/E2292</f>
        <v>1.0470531818248134</v>
      </c>
      <c r="G2292" s="18">
        <f t="shared" ref="G2292:G2355" si="319">IF(F2292&gt;=$Q$51,1,IF(F2292&lt;=$Q$52,-1,0))</f>
        <v>1</v>
      </c>
      <c r="H2292" s="3">
        <f t="shared" si="311"/>
        <v>-2.1278937520635699E-3</v>
      </c>
      <c r="I2292" s="3">
        <f t="shared" si="312"/>
        <v>-2.1278937520635699E-3</v>
      </c>
      <c r="K2292" s="12" t="str">
        <f>IF(AND(G2292=1,G2291&lt;&gt;1),MAX($K$50:K2291)+1,"")</f>
        <v/>
      </c>
      <c r="L2292" s="13" t="str">
        <f>IF(AND(G2292&lt;&gt;1,G2291=1),MAX($L$50:L2291)+1,"")</f>
        <v/>
      </c>
      <c r="M2292" s="13" t="str">
        <f>IF(AND(G2292=-1,G2291&lt;&gt;-1),MAX($M$50:M2291)+1,"")</f>
        <v/>
      </c>
      <c r="N2292" s="13" t="str">
        <f>IF(AND(G2292&lt;&gt;-1,G2291=-1),MAX($N$50:N2291)+1,"")</f>
        <v/>
      </c>
      <c r="T2292" s="7">
        <f t="shared" si="313"/>
        <v>134.92239166211525</v>
      </c>
      <c r="U2292" s="1">
        <f t="shared" si="314"/>
        <v>285.81035995565622</v>
      </c>
    </row>
    <row r="2293" spans="1:21" x14ac:dyDescent="0.3">
      <c r="A2293" s="2">
        <v>43503</v>
      </c>
      <c r="B2293" s="1">
        <v>5389.69</v>
      </c>
      <c r="C2293" s="2">
        <f t="shared" si="315"/>
        <v>43503</v>
      </c>
      <c r="D2293" s="1">
        <f t="shared" si="316"/>
        <v>5389.69</v>
      </c>
      <c r="E2293" s="4">
        <f t="shared" si="317"/>
        <v>5198.6878000000015</v>
      </c>
      <c r="F2293" s="3">
        <f t="shared" si="318"/>
        <v>1.0367404636223776</v>
      </c>
      <c r="G2293" s="18">
        <f t="shared" si="319"/>
        <v>1</v>
      </c>
      <c r="H2293" s="3">
        <f t="shared" ref="H2293:H2356" si="320">D2293/D2292-1</f>
        <v>-9.2117357255782073E-3</v>
      </c>
      <c r="I2293" s="3">
        <f t="shared" ref="I2293:I2356" si="321">G2292*H2293</f>
        <v>-9.2117357255782073E-3</v>
      </c>
      <c r="K2293" s="12" t="str">
        <f>IF(AND(G2293=1,G2292&lt;&gt;1),MAX($K$50:K2292)+1,"")</f>
        <v/>
      </c>
      <c r="L2293" s="13" t="str">
        <f>IF(AND(G2293&lt;&gt;1,G2292=1),MAX($L$50:L2292)+1,"")</f>
        <v/>
      </c>
      <c r="M2293" s="13" t="str">
        <f>IF(AND(G2293=-1,G2292&lt;&gt;-1),MAX($M$50:M2292)+1,"")</f>
        <v/>
      </c>
      <c r="N2293" s="13" t="str">
        <f>IF(AND(G2293&lt;&gt;-1,G2292=-1),MAX($N$50:N2292)+1,"")</f>
        <v/>
      </c>
      <c r="T2293" s="7">
        <f t="shared" ref="T2293:T2356" si="322">T2292*(1+I2293)</f>
        <v>133.67952224666089</v>
      </c>
      <c r="U2293" s="1">
        <f t="shared" ref="U2293:U2356" si="323">U2292*D2293/D2292</f>
        <v>283.17755045211231</v>
      </c>
    </row>
    <row r="2294" spans="1:21" x14ac:dyDescent="0.3">
      <c r="A2294" s="2">
        <v>43504</v>
      </c>
      <c r="B2294" s="1">
        <v>5395.12</v>
      </c>
      <c r="C2294" s="2">
        <f t="shared" si="315"/>
        <v>43504</v>
      </c>
      <c r="D2294" s="1">
        <f t="shared" si="316"/>
        <v>5395.12</v>
      </c>
      <c r="E2294" s="4">
        <f t="shared" si="317"/>
        <v>5200.506800000001</v>
      </c>
      <c r="F2294" s="3">
        <f t="shared" si="318"/>
        <v>1.0374219681820238</v>
      </c>
      <c r="G2294" s="18">
        <f t="shared" si="319"/>
        <v>1</v>
      </c>
      <c r="H2294" s="3">
        <f t="shared" si="320"/>
        <v>1.0074790943450651E-3</v>
      </c>
      <c r="I2294" s="3">
        <f t="shared" si="321"/>
        <v>1.0074790943450651E-3</v>
      </c>
      <c r="K2294" s="12" t="str">
        <f>IF(AND(G2294=1,G2293&lt;&gt;1),MAX($K$50:K2293)+1,"")</f>
        <v/>
      </c>
      <c r="L2294" s="13" t="str">
        <f>IF(AND(G2294&lt;&gt;1,G2293=1),MAX($L$50:L2293)+1,"")</f>
        <v/>
      </c>
      <c r="M2294" s="13" t="str">
        <f>IF(AND(G2294=-1,G2293&lt;&gt;-1),MAX($M$50:M2293)+1,"")</f>
        <v/>
      </c>
      <c r="N2294" s="13" t="str">
        <f>IF(AND(G2294&lt;&gt;-1,G2293=-1),MAX($N$50:N2293)+1,"")</f>
        <v/>
      </c>
      <c r="T2294" s="7">
        <f t="shared" si="322"/>
        <v>133.81420157066646</v>
      </c>
      <c r="U2294" s="1">
        <f t="shared" si="323"/>
        <v>283.46284591418066</v>
      </c>
    </row>
    <row r="2295" spans="1:21" x14ac:dyDescent="0.3">
      <c r="A2295" s="2">
        <v>43507</v>
      </c>
      <c r="B2295" s="1">
        <v>5399</v>
      </c>
      <c r="C2295" s="2">
        <f t="shared" si="315"/>
        <v>43507</v>
      </c>
      <c r="D2295" s="1">
        <f t="shared" si="316"/>
        <v>5399</v>
      </c>
      <c r="E2295" s="4">
        <f t="shared" si="317"/>
        <v>5202.0564000000004</v>
      </c>
      <c r="F2295" s="3">
        <f t="shared" si="318"/>
        <v>1.0378587975324527</v>
      </c>
      <c r="G2295" s="18">
        <f t="shared" si="319"/>
        <v>1</v>
      </c>
      <c r="H2295" s="3">
        <f t="shared" si="320"/>
        <v>7.1916843369557171E-4</v>
      </c>
      <c r="I2295" s="3">
        <f t="shared" si="321"/>
        <v>7.1916843369557171E-4</v>
      </c>
      <c r="K2295" s="12" t="str">
        <f>IF(AND(G2295=1,G2294&lt;&gt;1),MAX($K$50:K2294)+1,"")</f>
        <v/>
      </c>
      <c r="L2295" s="13" t="str">
        <f>IF(AND(G2295&lt;&gt;1,G2294=1),MAX($L$50:L2294)+1,"")</f>
        <v/>
      </c>
      <c r="M2295" s="13" t="str">
        <f>IF(AND(G2295=-1,G2294&lt;&gt;-1),MAX($M$50:M2294)+1,"")</f>
        <v/>
      </c>
      <c r="N2295" s="13" t="str">
        <f>IF(AND(G2295&lt;&gt;-1,G2294=-1),MAX($N$50:N2294)+1,"")</f>
        <v/>
      </c>
      <c r="T2295" s="7">
        <f t="shared" si="322"/>
        <v>133.91043652041625</v>
      </c>
      <c r="U2295" s="1">
        <f t="shared" si="323"/>
        <v>283.66670344508771</v>
      </c>
    </row>
    <row r="2296" spans="1:21" x14ac:dyDescent="0.3">
      <c r="A2296" s="2">
        <v>43508</v>
      </c>
      <c r="B2296" s="1">
        <v>5468.98</v>
      </c>
      <c r="C2296" s="2">
        <f t="shared" si="315"/>
        <v>43508</v>
      </c>
      <c r="D2296" s="1">
        <f t="shared" si="316"/>
        <v>5468.98</v>
      </c>
      <c r="E2296" s="4">
        <f t="shared" si="317"/>
        <v>5202.5536000000002</v>
      </c>
      <c r="F2296" s="3">
        <f t="shared" si="318"/>
        <v>1.0512106977619604</v>
      </c>
      <c r="G2296" s="18">
        <f t="shared" si="319"/>
        <v>1</v>
      </c>
      <c r="H2296" s="3">
        <f t="shared" si="320"/>
        <v>1.2961659566586237E-2</v>
      </c>
      <c r="I2296" s="3">
        <f t="shared" si="321"/>
        <v>1.2961659566586237E-2</v>
      </c>
      <c r="K2296" s="12" t="str">
        <f>IF(AND(G2296=1,G2295&lt;&gt;1),MAX($K$50:K2295)+1,"")</f>
        <v/>
      </c>
      <c r="L2296" s="13" t="str">
        <f>IF(AND(G2296&lt;&gt;1,G2295=1),MAX($L$50:L2295)+1,"")</f>
        <v/>
      </c>
      <c r="M2296" s="13" t="str">
        <f>IF(AND(G2296=-1,G2295&lt;&gt;-1),MAX($M$50:M2295)+1,"")</f>
        <v/>
      </c>
      <c r="N2296" s="13" t="str">
        <f>IF(AND(G2296&lt;&gt;-1,G2295=-1),MAX($N$50:N2295)+1,"")</f>
        <v/>
      </c>
      <c r="T2296" s="7">
        <f t="shared" si="322"/>
        <v>135.64613801100685</v>
      </c>
      <c r="U2296" s="1">
        <f t="shared" si="323"/>
        <v>287.34349468551875</v>
      </c>
    </row>
    <row r="2297" spans="1:21" x14ac:dyDescent="0.3">
      <c r="A2297" s="2">
        <v>43509</v>
      </c>
      <c r="B2297" s="1">
        <v>5485.97</v>
      </c>
      <c r="C2297" s="2">
        <f t="shared" si="315"/>
        <v>43509</v>
      </c>
      <c r="D2297" s="1">
        <f t="shared" si="316"/>
        <v>5485.97</v>
      </c>
      <c r="E2297" s="4">
        <f t="shared" si="317"/>
        <v>5203.6032000000005</v>
      </c>
      <c r="F2297" s="3">
        <f t="shared" si="318"/>
        <v>1.0542637071174066</v>
      </c>
      <c r="G2297" s="18">
        <f t="shared" si="319"/>
        <v>1</v>
      </c>
      <c r="H2297" s="3">
        <f t="shared" si="320"/>
        <v>3.1066122019098863E-3</v>
      </c>
      <c r="I2297" s="3">
        <f t="shared" si="321"/>
        <v>3.1066122019098863E-3</v>
      </c>
      <c r="K2297" s="12" t="str">
        <f>IF(AND(G2297=1,G2296&lt;&gt;1),MAX($K$50:K2296)+1,"")</f>
        <v/>
      </c>
      <c r="L2297" s="13" t="str">
        <f>IF(AND(G2297&lt;&gt;1,G2296=1),MAX($L$50:L2296)+1,"")</f>
        <v/>
      </c>
      <c r="M2297" s="13" t="str">
        <f>IF(AND(G2297=-1,G2296&lt;&gt;-1),MAX($M$50:M2296)+1,"")</f>
        <v/>
      </c>
      <c r="N2297" s="13" t="str">
        <f>IF(AND(G2297&lt;&gt;-1,G2296=-1),MAX($N$50:N2296)+1,"")</f>
        <v/>
      </c>
      <c r="T2297" s="7">
        <f t="shared" si="322"/>
        <v>136.0675379584938</v>
      </c>
      <c r="U2297" s="1">
        <f t="shared" si="323"/>
        <v>288.23615949224819</v>
      </c>
    </row>
    <row r="2298" spans="1:21" x14ac:dyDescent="0.3">
      <c r="A2298" s="2">
        <v>43510</v>
      </c>
      <c r="B2298" s="1">
        <v>5473.33</v>
      </c>
      <c r="C2298" s="2">
        <f t="shared" si="315"/>
        <v>43510</v>
      </c>
      <c r="D2298" s="1">
        <f t="shared" si="316"/>
        <v>5473.33</v>
      </c>
      <c r="E2298" s="4">
        <f t="shared" si="317"/>
        <v>5203.4916000000003</v>
      </c>
      <c r="F2298" s="3">
        <f t="shared" si="318"/>
        <v>1.0518571798982053</v>
      </c>
      <c r="G2298" s="18">
        <f t="shared" si="319"/>
        <v>1</v>
      </c>
      <c r="H2298" s="3">
        <f t="shared" si="320"/>
        <v>-2.3040592639042012E-3</v>
      </c>
      <c r="I2298" s="3">
        <f t="shared" si="321"/>
        <v>-2.3040592639042012E-3</v>
      </c>
      <c r="K2298" s="12" t="str">
        <f>IF(AND(G2298=1,G2297&lt;&gt;1),MAX($K$50:K2297)+1,"")</f>
        <v/>
      </c>
      <c r="L2298" s="13" t="str">
        <f>IF(AND(G2298&lt;&gt;1,G2297=1),MAX($L$50:L2297)+1,"")</f>
        <v/>
      </c>
      <c r="M2298" s="13" t="str">
        <f>IF(AND(G2298=-1,G2297&lt;&gt;-1),MAX($M$50:M2297)+1,"")</f>
        <v/>
      </c>
      <c r="N2298" s="13" t="str">
        <f>IF(AND(G2298&lt;&gt;-1,G2297=-1),MAX($N$50:N2297)+1,"")</f>
        <v/>
      </c>
      <c r="T2298" s="7">
        <f t="shared" si="322"/>
        <v>135.75403028714391</v>
      </c>
      <c r="U2298" s="1">
        <f t="shared" si="323"/>
        <v>287.57204629877793</v>
      </c>
    </row>
    <row r="2299" spans="1:21" x14ac:dyDescent="0.3">
      <c r="A2299" s="2">
        <v>43511</v>
      </c>
      <c r="B2299" s="1">
        <v>5533.27</v>
      </c>
      <c r="C2299" s="2">
        <f t="shared" si="315"/>
        <v>43511</v>
      </c>
      <c r="D2299" s="1">
        <f t="shared" si="316"/>
        <v>5533.27</v>
      </c>
      <c r="E2299" s="4">
        <f t="shared" si="317"/>
        <v>5203.3797999999997</v>
      </c>
      <c r="F2299" s="3">
        <f t="shared" si="318"/>
        <v>1.0633992160249384</v>
      </c>
      <c r="G2299" s="18">
        <f t="shared" si="319"/>
        <v>1</v>
      </c>
      <c r="H2299" s="3">
        <f t="shared" si="320"/>
        <v>1.0951285597616156E-2</v>
      </c>
      <c r="I2299" s="3">
        <f t="shared" si="321"/>
        <v>1.0951285597616156E-2</v>
      </c>
      <c r="K2299" s="12" t="str">
        <f>IF(AND(G2299=1,G2298&lt;&gt;1),MAX($K$50:K2298)+1,"")</f>
        <v/>
      </c>
      <c r="L2299" s="13" t="str">
        <f>IF(AND(G2299&lt;&gt;1,G2298=1),MAX($L$50:L2298)+1,"")</f>
        <v/>
      </c>
      <c r="M2299" s="13" t="str">
        <f>IF(AND(G2299=-1,G2298&lt;&gt;-1),MAX($M$50:M2298)+1,"")</f>
        <v/>
      </c>
      <c r="N2299" s="13" t="str">
        <f>IF(AND(G2299&lt;&gt;-1,G2298=-1),MAX($N$50:N2298)+1,"")</f>
        <v/>
      </c>
      <c r="T2299" s="7">
        <f t="shared" si="322"/>
        <v>137.24071144384584</v>
      </c>
      <c r="U2299" s="1">
        <f t="shared" si="323"/>
        <v>290.72132990768677</v>
      </c>
    </row>
    <row r="2300" spans="1:21" x14ac:dyDescent="0.3">
      <c r="A2300" s="2">
        <v>43515</v>
      </c>
      <c r="B2300" s="1">
        <v>5541.98</v>
      </c>
      <c r="C2300" s="2">
        <f t="shared" si="315"/>
        <v>43515</v>
      </c>
      <c r="D2300" s="1">
        <f t="shared" si="316"/>
        <v>5541.98</v>
      </c>
      <c r="E2300" s="4">
        <f t="shared" si="317"/>
        <v>5207.0212000000001</v>
      </c>
      <c r="F2300" s="3">
        <f t="shared" si="318"/>
        <v>1.0643282958018299</v>
      </c>
      <c r="G2300" s="18">
        <f t="shared" si="319"/>
        <v>1</v>
      </c>
      <c r="H2300" s="3">
        <f t="shared" si="320"/>
        <v>1.574114402514093E-3</v>
      </c>
      <c r="I2300" s="3">
        <f t="shared" si="321"/>
        <v>1.574114402514093E-3</v>
      </c>
      <c r="K2300" s="12" t="str">
        <f>IF(AND(G2300=1,G2299&lt;&gt;1),MAX($K$50:K2299)+1,"")</f>
        <v/>
      </c>
      <c r="L2300" s="13" t="str">
        <f>IF(AND(G2300&lt;&gt;1,G2299=1),MAX($L$50:L2299)+1,"")</f>
        <v/>
      </c>
      <c r="M2300" s="13" t="str">
        <f>IF(AND(G2300=-1,G2299&lt;&gt;-1),MAX($M$50:M2299)+1,"")</f>
        <v/>
      </c>
      <c r="N2300" s="13" t="str">
        <f>IF(AND(G2300&lt;&gt;-1,G2299=-1),MAX($N$50:N2299)+1,"")</f>
        <v/>
      </c>
      <c r="T2300" s="7">
        <f t="shared" si="322"/>
        <v>137.45674402434088</v>
      </c>
      <c r="U2300" s="1">
        <f t="shared" si="323"/>
        <v>291.17895854021253</v>
      </c>
    </row>
    <row r="2301" spans="1:21" x14ac:dyDescent="0.3">
      <c r="A2301" s="2">
        <v>43516</v>
      </c>
      <c r="B2301" s="1">
        <v>5552.9</v>
      </c>
      <c r="C2301" s="2">
        <f t="shared" si="315"/>
        <v>43516</v>
      </c>
      <c r="D2301" s="1">
        <f t="shared" si="316"/>
        <v>5552.9</v>
      </c>
      <c r="E2301" s="4">
        <f t="shared" si="317"/>
        <v>5211.0106000000005</v>
      </c>
      <c r="F2301" s="3">
        <f t="shared" si="318"/>
        <v>1.0656090394442872</v>
      </c>
      <c r="G2301" s="18">
        <f t="shared" si="319"/>
        <v>1</v>
      </c>
      <c r="H2301" s="3">
        <f t="shared" si="320"/>
        <v>1.9704149058639153E-3</v>
      </c>
      <c r="I2301" s="3">
        <f t="shared" si="321"/>
        <v>1.9704149058639153E-3</v>
      </c>
      <c r="K2301" s="12" t="str">
        <f>IF(AND(G2301=1,G2300&lt;&gt;1),MAX($K$50:K2300)+1,"")</f>
        <v/>
      </c>
      <c r="L2301" s="13" t="str">
        <f>IF(AND(G2301&lt;&gt;1,G2300=1),MAX($L$50:L2300)+1,"")</f>
        <v/>
      </c>
      <c r="M2301" s="13" t="str">
        <f>IF(AND(G2301=-1,G2300&lt;&gt;-1),MAX($M$50:M2300)+1,"")</f>
        <v/>
      </c>
      <c r="N2301" s="13" t="str">
        <f>IF(AND(G2301&lt;&gt;-1,G2300=-1),MAX($N$50:N2300)+1,"")</f>
        <v/>
      </c>
      <c r="T2301" s="7">
        <f t="shared" si="322"/>
        <v>137.72759084167797</v>
      </c>
      <c r="U2301" s="1">
        <f t="shared" si="323"/>
        <v>291.75270190039413</v>
      </c>
    </row>
    <row r="2302" spans="1:21" x14ac:dyDescent="0.3">
      <c r="A2302" s="2">
        <v>43517</v>
      </c>
      <c r="B2302" s="1">
        <v>5533.8</v>
      </c>
      <c r="C2302" s="2">
        <f t="shared" si="315"/>
        <v>43517</v>
      </c>
      <c r="D2302" s="1">
        <f t="shared" si="316"/>
        <v>5533.8</v>
      </c>
      <c r="E2302" s="4">
        <f t="shared" si="317"/>
        <v>5217.0977999999996</v>
      </c>
      <c r="F2302" s="3">
        <f t="shared" si="318"/>
        <v>1.0607046699412077</v>
      </c>
      <c r="G2302" s="18">
        <f t="shared" si="319"/>
        <v>1</v>
      </c>
      <c r="H2302" s="3">
        <f t="shared" si="320"/>
        <v>-3.439644149903609E-3</v>
      </c>
      <c r="I2302" s="3">
        <f t="shared" si="321"/>
        <v>-3.439644149903609E-3</v>
      </c>
      <c r="K2302" s="12" t="str">
        <f>IF(AND(G2302=1,G2301&lt;&gt;1),MAX($K$50:K2301)+1,"")</f>
        <v/>
      </c>
      <c r="L2302" s="13" t="str">
        <f>IF(AND(G2302&lt;&gt;1,G2301=1),MAX($L$50:L2301)+1,"")</f>
        <v/>
      </c>
      <c r="M2302" s="13" t="str">
        <f>IF(AND(G2302=-1,G2301&lt;&gt;-1),MAX($M$50:M2301)+1,"")</f>
        <v/>
      </c>
      <c r="N2302" s="13" t="str">
        <f>IF(AND(G2302&lt;&gt;-1,G2301=-1),MAX($N$50:N2301)+1,"")</f>
        <v/>
      </c>
      <c r="T2302" s="7">
        <f t="shared" si="322"/>
        <v>137.25385693955906</v>
      </c>
      <c r="U2302" s="1">
        <f t="shared" si="323"/>
        <v>290.74917642608386</v>
      </c>
    </row>
    <row r="2303" spans="1:21" x14ac:dyDescent="0.3">
      <c r="A2303" s="2">
        <v>43518</v>
      </c>
      <c r="B2303" s="1">
        <v>5569.45</v>
      </c>
      <c r="C2303" s="2">
        <f t="shared" si="315"/>
        <v>43518</v>
      </c>
      <c r="D2303" s="1">
        <f t="shared" si="316"/>
        <v>5569.45</v>
      </c>
      <c r="E2303" s="4">
        <f t="shared" si="317"/>
        <v>5223.7127999999993</v>
      </c>
      <c r="F2303" s="3">
        <f t="shared" si="318"/>
        <v>1.0661861042590244</v>
      </c>
      <c r="G2303" s="18">
        <f t="shared" si="319"/>
        <v>1</v>
      </c>
      <c r="H2303" s="3">
        <f t="shared" si="320"/>
        <v>6.4422277639235581E-3</v>
      </c>
      <c r="I2303" s="3">
        <f t="shared" si="321"/>
        <v>6.4422277639235581E-3</v>
      </c>
      <c r="K2303" s="12" t="str">
        <f>IF(AND(G2303=1,G2302&lt;&gt;1),MAX($K$50:K2302)+1,"")</f>
        <v/>
      </c>
      <c r="L2303" s="13" t="str">
        <f>IF(AND(G2303&lt;&gt;1,G2302=1),MAX($L$50:L2302)+1,"")</f>
        <v/>
      </c>
      <c r="M2303" s="13" t="str">
        <f>IF(AND(G2303=-1,G2302&lt;&gt;-1),MAX($M$50:M2302)+1,"")</f>
        <v/>
      </c>
      <c r="N2303" s="13" t="str">
        <f>IF(AND(G2303&lt;&gt;-1,G2302=-1),MAX($N$50:N2302)+1,"")</f>
        <v/>
      </c>
      <c r="T2303" s="7">
        <f t="shared" si="322"/>
        <v>138.13807754744067</v>
      </c>
      <c r="U2303" s="1">
        <f t="shared" si="323"/>
        <v>292.62224884279385</v>
      </c>
    </row>
    <row r="2304" spans="1:21" x14ac:dyDescent="0.3">
      <c r="A2304" s="2">
        <v>43521</v>
      </c>
      <c r="B2304" s="1">
        <v>5577.09</v>
      </c>
      <c r="C2304" s="2">
        <f t="shared" si="315"/>
        <v>43521</v>
      </c>
      <c r="D2304" s="1">
        <f t="shared" si="316"/>
        <v>5577.09</v>
      </c>
      <c r="E2304" s="4">
        <f t="shared" si="317"/>
        <v>5230.5125999999991</v>
      </c>
      <c r="F2304" s="3">
        <f t="shared" si="318"/>
        <v>1.0662606949842739</v>
      </c>
      <c r="G2304" s="18">
        <f t="shared" si="319"/>
        <v>1</v>
      </c>
      <c r="H2304" s="3">
        <f t="shared" si="320"/>
        <v>1.3717692052177544E-3</v>
      </c>
      <c r="I2304" s="3">
        <f t="shared" si="321"/>
        <v>1.3717692052177544E-3</v>
      </c>
      <c r="K2304" s="12" t="str">
        <f>IF(AND(G2304=1,G2303&lt;&gt;1),MAX($K$50:K2303)+1,"")</f>
        <v/>
      </c>
      <c r="L2304" s="13" t="str">
        <f>IF(AND(G2304&lt;&gt;1,G2303=1),MAX($L$50:L2303)+1,"")</f>
        <v/>
      </c>
      <c r="M2304" s="13" t="str">
        <f>IF(AND(G2304=-1,G2303&lt;&gt;-1),MAX($M$50:M2303)+1,"")</f>
        <v/>
      </c>
      <c r="N2304" s="13" t="str">
        <f>IF(AND(G2304&lt;&gt;-1,G2303=-1),MAX($N$50:N2303)+1,"")</f>
        <v/>
      </c>
      <c r="T2304" s="7">
        <f t="shared" si="322"/>
        <v>138.32757110828823</v>
      </c>
      <c r="U2304" s="1">
        <f t="shared" si="323"/>
        <v>293.02365903251797</v>
      </c>
    </row>
    <row r="2305" spans="1:21" x14ac:dyDescent="0.3">
      <c r="A2305" s="2">
        <v>43522</v>
      </c>
      <c r="B2305" s="1">
        <v>5572.74</v>
      </c>
      <c r="C2305" s="2">
        <f t="shared" si="315"/>
        <v>43522</v>
      </c>
      <c r="D2305" s="1">
        <f t="shared" si="316"/>
        <v>5572.74</v>
      </c>
      <c r="E2305" s="4">
        <f t="shared" si="317"/>
        <v>5236.6567999999997</v>
      </c>
      <c r="F2305" s="3">
        <f t="shared" si="318"/>
        <v>1.0641789624250342</v>
      </c>
      <c r="G2305" s="18">
        <f t="shared" si="319"/>
        <v>1</v>
      </c>
      <c r="H2305" s="3">
        <f t="shared" si="320"/>
        <v>-7.7997665449192066E-4</v>
      </c>
      <c r="I2305" s="3">
        <f t="shared" si="321"/>
        <v>-7.7997665449192066E-4</v>
      </c>
      <c r="K2305" s="12" t="str">
        <f>IF(AND(G2305=1,G2304&lt;&gt;1),MAX($K$50:K2304)+1,"")</f>
        <v/>
      </c>
      <c r="L2305" s="13" t="str">
        <f>IF(AND(G2305&lt;&gt;1,G2304=1),MAX($L$50:L2304)+1,"")</f>
        <v/>
      </c>
      <c r="M2305" s="13" t="str">
        <f>IF(AND(G2305=-1,G2304&lt;&gt;-1),MAX($M$50:M2304)+1,"")</f>
        <v/>
      </c>
      <c r="N2305" s="13" t="str">
        <f>IF(AND(G2305&lt;&gt;-1,G2304=-1),MAX($N$50:N2304)+1,"")</f>
        <v/>
      </c>
      <c r="T2305" s="7">
        <f t="shared" si="322"/>
        <v>138.2196788321512</v>
      </c>
      <c r="U2305" s="1">
        <f t="shared" si="323"/>
        <v>292.79510741925878</v>
      </c>
    </row>
    <row r="2306" spans="1:21" x14ac:dyDescent="0.3">
      <c r="A2306" s="2">
        <v>43523</v>
      </c>
      <c r="B2306" s="1">
        <v>5570.57</v>
      </c>
      <c r="C2306" s="2">
        <f t="shared" si="315"/>
        <v>43523</v>
      </c>
      <c r="D2306" s="1">
        <f t="shared" si="316"/>
        <v>5570.57</v>
      </c>
      <c r="E2306" s="4">
        <f t="shared" si="317"/>
        <v>5242.759</v>
      </c>
      <c r="F2306" s="3">
        <f t="shared" si="318"/>
        <v>1.0625264293094532</v>
      </c>
      <c r="G2306" s="18">
        <f t="shared" si="319"/>
        <v>1</v>
      </c>
      <c r="H2306" s="3">
        <f t="shared" si="320"/>
        <v>-3.8939552177208459E-4</v>
      </c>
      <c r="I2306" s="3">
        <f t="shared" si="321"/>
        <v>-3.8939552177208459E-4</v>
      </c>
      <c r="K2306" s="12" t="str">
        <f>IF(AND(G2306=1,G2305&lt;&gt;1),MAX($K$50:K2305)+1,"")</f>
        <v/>
      </c>
      <c r="L2306" s="13" t="str">
        <f>IF(AND(G2306&lt;&gt;1,G2305=1),MAX($L$50:L2305)+1,"")</f>
        <v/>
      </c>
      <c r="M2306" s="13" t="str">
        <f>IF(AND(G2306=-1,G2305&lt;&gt;-1),MAX($M$50:M2305)+1,"")</f>
        <v/>
      </c>
      <c r="N2306" s="13" t="str">
        <f>IF(AND(G2306&lt;&gt;-1,G2305=-1),MAX($N$50:N2305)+1,"")</f>
        <v/>
      </c>
      <c r="T2306" s="7">
        <f t="shared" si="322"/>
        <v>138.16585670819319</v>
      </c>
      <c r="U2306" s="1">
        <f t="shared" si="323"/>
        <v>292.68109431563295</v>
      </c>
    </row>
    <row r="2307" spans="1:21" x14ac:dyDescent="0.3">
      <c r="A2307" s="2">
        <v>43524</v>
      </c>
      <c r="B2307" s="1">
        <v>5556.49</v>
      </c>
      <c r="C2307" s="2">
        <f t="shared" si="315"/>
        <v>43524</v>
      </c>
      <c r="D2307" s="1">
        <f t="shared" si="316"/>
        <v>5556.49</v>
      </c>
      <c r="E2307" s="4">
        <f t="shared" si="317"/>
        <v>5250.5767999999989</v>
      </c>
      <c r="F2307" s="3">
        <f t="shared" si="318"/>
        <v>1.0582627798149722</v>
      </c>
      <c r="G2307" s="18">
        <f t="shared" si="319"/>
        <v>1</v>
      </c>
      <c r="H2307" s="3">
        <f t="shared" si="320"/>
        <v>-2.5275689920420952E-3</v>
      </c>
      <c r="I2307" s="3">
        <f t="shared" si="321"/>
        <v>-2.5275689920420952E-3</v>
      </c>
      <c r="K2307" s="12" t="str">
        <f>IF(AND(G2307=1,G2306&lt;&gt;1),MAX($K$50:K2306)+1,"")</f>
        <v/>
      </c>
      <c r="L2307" s="13" t="str">
        <f>IF(AND(G2307&lt;&gt;1,G2306=1),MAX($L$50:L2306)+1,"")</f>
        <v/>
      </c>
      <c r="M2307" s="13" t="str">
        <f>IF(AND(G2307=-1,G2306&lt;&gt;-1),MAX($M$50:M2306)+1,"")</f>
        <v/>
      </c>
      <c r="N2307" s="13" t="str">
        <f>IF(AND(G2307&lt;&gt;-1,G2306=-1),MAX($N$50:N2306)+1,"")</f>
        <v/>
      </c>
      <c r="T2307" s="7">
        <f t="shared" si="322"/>
        <v>137.81663297301864</v>
      </c>
      <c r="U2307" s="1">
        <f t="shared" si="323"/>
        <v>291.94132265708379</v>
      </c>
    </row>
    <row r="2308" spans="1:21" x14ac:dyDescent="0.3">
      <c r="A2308" s="2">
        <v>43525</v>
      </c>
      <c r="B2308" s="1">
        <v>5595.11</v>
      </c>
      <c r="C2308" s="2">
        <f t="shared" si="315"/>
        <v>43525</v>
      </c>
      <c r="D2308" s="1">
        <f t="shared" si="316"/>
        <v>5595.11</v>
      </c>
      <c r="E2308" s="4">
        <f t="shared" si="317"/>
        <v>5261.3073999999988</v>
      </c>
      <c r="F2308" s="3">
        <f t="shared" si="318"/>
        <v>1.0634448008112967</v>
      </c>
      <c r="G2308" s="18">
        <f t="shared" si="319"/>
        <v>1</v>
      </c>
      <c r="H2308" s="3">
        <f t="shared" si="320"/>
        <v>6.9504309375163498E-3</v>
      </c>
      <c r="I2308" s="3">
        <f t="shared" si="321"/>
        <v>6.9504309375163498E-3</v>
      </c>
      <c r="K2308" s="12" t="str">
        <f>IF(AND(G2308=1,G2307&lt;&gt;1),MAX($K$50:K2307)+1,"")</f>
        <v/>
      </c>
      <c r="L2308" s="13" t="str">
        <f>IF(AND(G2308&lt;&gt;1,G2307=1),MAX($L$50:L2307)+1,"")</f>
        <v/>
      </c>
      <c r="M2308" s="13" t="str">
        <f>IF(AND(G2308=-1,G2307&lt;&gt;-1),MAX($M$50:M2307)+1,"")</f>
        <v/>
      </c>
      <c r="N2308" s="13" t="str">
        <f>IF(AND(G2308&lt;&gt;-1,G2307=-1),MAX($N$50:N2307)+1,"")</f>
        <v/>
      </c>
      <c r="T2308" s="7">
        <f t="shared" si="322"/>
        <v>138.77451796253865</v>
      </c>
      <c r="U2308" s="1">
        <f t="shared" si="323"/>
        <v>293.97044065801902</v>
      </c>
    </row>
    <row r="2309" spans="1:21" x14ac:dyDescent="0.3">
      <c r="A2309" s="2">
        <v>43528</v>
      </c>
      <c r="B2309" s="1">
        <v>5573.53</v>
      </c>
      <c r="C2309" s="2">
        <f t="shared" si="315"/>
        <v>43528</v>
      </c>
      <c r="D2309" s="1">
        <f t="shared" si="316"/>
        <v>5573.53</v>
      </c>
      <c r="E2309" s="4">
        <f t="shared" si="317"/>
        <v>5271.5911999999989</v>
      </c>
      <c r="F2309" s="3">
        <f t="shared" si="318"/>
        <v>1.0572765961063144</v>
      </c>
      <c r="G2309" s="18">
        <f t="shared" si="319"/>
        <v>1</v>
      </c>
      <c r="H2309" s="3">
        <f t="shared" si="320"/>
        <v>-3.8569393631224802E-3</v>
      </c>
      <c r="I2309" s="3">
        <f t="shared" si="321"/>
        <v>-3.8569393631224802E-3</v>
      </c>
      <c r="K2309" s="12" t="str">
        <f>IF(AND(G2309=1,G2308&lt;&gt;1),MAX($K$50:K2308)+1,"")</f>
        <v/>
      </c>
      <c r="L2309" s="13" t="str">
        <f>IF(AND(G2309&lt;&gt;1,G2308=1),MAX($L$50:L2308)+1,"")</f>
        <v/>
      </c>
      <c r="M2309" s="13" t="str">
        <f>IF(AND(G2309=-1,G2308&lt;&gt;-1),MAX($M$50:M2308)+1,"")</f>
        <v/>
      </c>
      <c r="N2309" s="13" t="str">
        <f>IF(AND(G2309&lt;&gt;-1,G2308=-1),MAX($N$50:N2308)+1,"")</f>
        <v/>
      </c>
      <c r="T2309" s="7">
        <f t="shared" si="322"/>
        <v>138.23927306161059</v>
      </c>
      <c r="U2309" s="1">
        <f t="shared" si="323"/>
        <v>292.83661449385067</v>
      </c>
    </row>
    <row r="2310" spans="1:21" x14ac:dyDescent="0.3">
      <c r="A2310" s="2">
        <v>43529</v>
      </c>
      <c r="B2310" s="1">
        <v>5567.4</v>
      </c>
      <c r="C2310" s="2">
        <f t="shared" si="315"/>
        <v>43529</v>
      </c>
      <c r="D2310" s="1">
        <f t="shared" si="316"/>
        <v>5567.4</v>
      </c>
      <c r="E2310" s="4">
        <f t="shared" si="317"/>
        <v>5283.3007999999982</v>
      </c>
      <c r="F2310" s="3">
        <f t="shared" si="318"/>
        <v>1.0537730503627583</v>
      </c>
      <c r="G2310" s="18">
        <f t="shared" si="319"/>
        <v>1</v>
      </c>
      <c r="H2310" s="3">
        <f t="shared" si="320"/>
        <v>-1.0998415725761435E-3</v>
      </c>
      <c r="I2310" s="3">
        <f t="shared" si="321"/>
        <v>-1.0998415725761435E-3</v>
      </c>
      <c r="K2310" s="12" t="str">
        <f>IF(AND(G2310=1,G2309&lt;&gt;1),MAX($K$50:K2309)+1,"")</f>
        <v/>
      </c>
      <c r="L2310" s="13" t="str">
        <f>IF(AND(G2310&lt;&gt;1,G2309=1),MAX($L$50:L2309)+1,"")</f>
        <v/>
      </c>
      <c r="M2310" s="13" t="str">
        <f>IF(AND(G2310=-1,G2309&lt;&gt;-1),MAX($M$50:M2309)+1,"")</f>
        <v/>
      </c>
      <c r="N2310" s="13" t="str">
        <f>IF(AND(G2310&lt;&gt;-1,G2309=-1),MAX($N$50:N2309)+1,"")</f>
        <v/>
      </c>
      <c r="T2310" s="7">
        <f t="shared" si="322"/>
        <v>138.08723176213473</v>
      </c>
      <c r="U2310" s="1">
        <f t="shared" si="323"/>
        <v>292.51454061125793</v>
      </c>
    </row>
    <row r="2311" spans="1:21" x14ac:dyDescent="0.3">
      <c r="A2311" s="2">
        <v>43530</v>
      </c>
      <c r="B2311" s="1">
        <v>5531.34</v>
      </c>
      <c r="C2311" s="2">
        <f t="shared" si="315"/>
        <v>43530</v>
      </c>
      <c r="D2311" s="1">
        <f t="shared" si="316"/>
        <v>5531.34</v>
      </c>
      <c r="E2311" s="4">
        <f t="shared" si="317"/>
        <v>5295.8583999999983</v>
      </c>
      <c r="F2311" s="3">
        <f t="shared" si="318"/>
        <v>1.044465237212536</v>
      </c>
      <c r="G2311" s="18">
        <f t="shared" si="319"/>
        <v>1</v>
      </c>
      <c r="H2311" s="3">
        <f t="shared" si="320"/>
        <v>-6.4769910550704912E-3</v>
      </c>
      <c r="I2311" s="3">
        <f t="shared" si="321"/>
        <v>-6.4769910550704912E-3</v>
      </c>
      <c r="K2311" s="12" t="str">
        <f>IF(AND(G2311=1,G2310&lt;&gt;1),MAX($K$50:K2310)+1,"")</f>
        <v/>
      </c>
      <c r="L2311" s="13" t="str">
        <f>IF(AND(G2311&lt;&gt;1,G2310=1),MAX($L$50:L2310)+1,"")</f>
        <v/>
      </c>
      <c r="M2311" s="13" t="str">
        <f>IF(AND(G2311=-1,G2310&lt;&gt;-1),MAX($M$50:M2310)+1,"")</f>
        <v/>
      </c>
      <c r="N2311" s="13" t="str">
        <f>IF(AND(G2311&lt;&gt;-1,G2310=-1),MAX($N$50:N2310)+1,"")</f>
        <v/>
      </c>
      <c r="T2311" s="7">
        <f t="shared" si="322"/>
        <v>137.19284199719195</v>
      </c>
      <c r="U2311" s="1">
        <f t="shared" si="323"/>
        <v>290.61992654824076</v>
      </c>
    </row>
    <row r="2312" spans="1:21" x14ac:dyDescent="0.3">
      <c r="A2312" s="2">
        <v>43531</v>
      </c>
      <c r="B2312" s="1">
        <v>5487.56</v>
      </c>
      <c r="C2312" s="2">
        <f t="shared" si="315"/>
        <v>43531</v>
      </c>
      <c r="D2312" s="1">
        <f t="shared" si="316"/>
        <v>5487.56</v>
      </c>
      <c r="E2312" s="4">
        <f t="shared" si="317"/>
        <v>5309.5593999999983</v>
      </c>
      <c r="F2312" s="3">
        <f t="shared" si="318"/>
        <v>1.0335245519618825</v>
      </c>
      <c r="G2312" s="18">
        <f t="shared" si="319"/>
        <v>1</v>
      </c>
      <c r="H2312" s="3">
        <f t="shared" si="320"/>
        <v>-7.9148994637826542E-3</v>
      </c>
      <c r="I2312" s="3">
        <f t="shared" si="321"/>
        <v>-7.9148994637826542E-3</v>
      </c>
      <c r="K2312" s="12" t="str">
        <f>IF(AND(G2312=1,G2311&lt;&gt;1),MAX($K$50:K2311)+1,"")</f>
        <v/>
      </c>
      <c r="L2312" s="13" t="str">
        <f>IF(AND(G2312&lt;&gt;1,G2311=1),MAX($L$50:L2311)+1,"")</f>
        <v/>
      </c>
      <c r="M2312" s="13" t="str">
        <f>IF(AND(G2312=-1,G2311&lt;&gt;-1),MAX($M$50:M2311)+1,"")</f>
        <v/>
      </c>
      <c r="N2312" s="13" t="str">
        <f>IF(AND(G2312&lt;&gt;-1,G2311=-1),MAX($N$50:N2311)+1,"")</f>
        <v/>
      </c>
      <c r="T2312" s="7">
        <f t="shared" si="322"/>
        <v>136.10697444563357</v>
      </c>
      <c r="U2312" s="1">
        <f t="shared" si="323"/>
        <v>288.31969904743949</v>
      </c>
    </row>
    <row r="2313" spans="1:21" x14ac:dyDescent="0.3">
      <c r="A2313" s="2">
        <v>43532</v>
      </c>
      <c r="B2313" s="1">
        <v>5476.39</v>
      </c>
      <c r="C2313" s="2">
        <f t="shared" si="315"/>
        <v>43532</v>
      </c>
      <c r="D2313" s="1">
        <f t="shared" si="316"/>
        <v>5476.39</v>
      </c>
      <c r="E2313" s="4">
        <f t="shared" si="317"/>
        <v>5325.6339999999982</v>
      </c>
      <c r="F2313" s="3">
        <f t="shared" si="318"/>
        <v>1.0283076155815443</v>
      </c>
      <c r="G2313" s="18">
        <f t="shared" si="319"/>
        <v>1</v>
      </c>
      <c r="H2313" s="3">
        <f t="shared" si="320"/>
        <v>-2.0355130513379782E-3</v>
      </c>
      <c r="I2313" s="3">
        <f t="shared" si="321"/>
        <v>-2.0355130513379782E-3</v>
      </c>
      <c r="K2313" s="12" t="str">
        <f>IF(AND(G2313=1,G2312&lt;&gt;1),MAX($K$50:K2312)+1,"")</f>
        <v/>
      </c>
      <c r="L2313" s="13" t="str">
        <f>IF(AND(G2313&lt;&gt;1,G2312=1),MAX($L$50:L2312)+1,"")</f>
        <v/>
      </c>
      <c r="M2313" s="13" t="str">
        <f>IF(AND(G2313=-1,G2312&lt;&gt;-1),MAX($M$50:M2312)+1,"")</f>
        <v/>
      </c>
      <c r="N2313" s="13" t="str">
        <f>IF(AND(G2313&lt;&gt;-1,G2312=-1),MAX($N$50:N2312)+1,"")</f>
        <v/>
      </c>
      <c r="T2313" s="7">
        <f t="shared" si="322"/>
        <v>135.82992692277136</v>
      </c>
      <c r="U2313" s="1">
        <f t="shared" si="323"/>
        <v>287.73282053707061</v>
      </c>
    </row>
    <row r="2314" spans="1:21" x14ac:dyDescent="0.3">
      <c r="A2314" s="2">
        <v>43535</v>
      </c>
      <c r="B2314" s="1">
        <v>5556.77</v>
      </c>
      <c r="C2314" s="2">
        <f t="shared" si="315"/>
        <v>43535</v>
      </c>
      <c r="D2314" s="1">
        <f t="shared" si="316"/>
        <v>5556.77</v>
      </c>
      <c r="E2314" s="4">
        <f t="shared" si="317"/>
        <v>5338.6795999999995</v>
      </c>
      <c r="F2314" s="3">
        <f t="shared" si="318"/>
        <v>1.0408509999363889</v>
      </c>
      <c r="G2314" s="18">
        <f t="shared" si="319"/>
        <v>1</v>
      </c>
      <c r="H2314" s="3">
        <f t="shared" si="320"/>
        <v>1.467755218309863E-2</v>
      </c>
      <c r="I2314" s="3">
        <f t="shared" si="321"/>
        <v>1.467755218309863E-2</v>
      </c>
      <c r="K2314" s="12" t="str">
        <f>IF(AND(G2314=1,G2313&lt;&gt;1),MAX($K$50:K2313)+1,"")</f>
        <v/>
      </c>
      <c r="L2314" s="13" t="str">
        <f>IF(AND(G2314&lt;&gt;1,G2313=1),MAX($L$50:L2313)+1,"")</f>
        <v/>
      </c>
      <c r="M2314" s="13" t="str">
        <f>IF(AND(G2314=-1,G2313&lt;&gt;-1),MAX($M$50:M2313)+1,"")</f>
        <v/>
      </c>
      <c r="N2314" s="13" t="str">
        <f>IF(AND(G2314&lt;&gt;-1,G2313=-1),MAX($N$50:N2313)+1,"")</f>
        <v/>
      </c>
      <c r="T2314" s="7">
        <f t="shared" si="322"/>
        <v>137.82357776320683</v>
      </c>
      <c r="U2314" s="1">
        <f t="shared" si="323"/>
        <v>291.95603402529366</v>
      </c>
    </row>
    <row r="2315" spans="1:21" x14ac:dyDescent="0.3">
      <c r="A2315" s="2">
        <v>43536</v>
      </c>
      <c r="B2315" s="1">
        <v>5573.44</v>
      </c>
      <c r="C2315" s="2">
        <f t="shared" si="315"/>
        <v>43536</v>
      </c>
      <c r="D2315" s="1">
        <f t="shared" si="316"/>
        <v>5573.44</v>
      </c>
      <c r="E2315" s="4">
        <f t="shared" si="317"/>
        <v>5351.2095999999983</v>
      </c>
      <c r="F2315" s="3">
        <f t="shared" si="318"/>
        <v>1.0415290030874518</v>
      </c>
      <c r="G2315" s="18">
        <f t="shared" si="319"/>
        <v>1</v>
      </c>
      <c r="H2315" s="3">
        <f t="shared" si="320"/>
        <v>2.9999442121950715E-3</v>
      </c>
      <c r="I2315" s="3">
        <f t="shared" si="321"/>
        <v>2.9999442121950715E-3</v>
      </c>
      <c r="K2315" s="12" t="str">
        <f>IF(AND(G2315=1,G2314&lt;&gt;1),MAX($K$50:K2314)+1,"")</f>
        <v/>
      </c>
      <c r="L2315" s="13" t="str">
        <f>IF(AND(G2315&lt;&gt;1,G2314=1),MAX($L$50:L2314)+1,"")</f>
        <v/>
      </c>
      <c r="M2315" s="13" t="str">
        <f>IF(AND(G2315=-1,G2314&lt;&gt;-1),MAX($M$50:M2314)+1,"")</f>
        <v/>
      </c>
      <c r="N2315" s="13" t="str">
        <f>IF(AND(G2315&lt;&gt;-1,G2314=-1),MAX($N$50:N2314)+1,"")</f>
        <v/>
      </c>
      <c r="T2315" s="7">
        <f t="shared" si="322"/>
        <v>138.23704080762158</v>
      </c>
      <c r="U2315" s="1">
        <f t="shared" si="323"/>
        <v>292.83188583978324</v>
      </c>
    </row>
    <row r="2316" spans="1:21" x14ac:dyDescent="0.3">
      <c r="A2316" s="2">
        <v>43537</v>
      </c>
      <c r="B2316" s="1">
        <v>5612.56</v>
      </c>
      <c r="C2316" s="2">
        <f t="shared" si="315"/>
        <v>43537</v>
      </c>
      <c r="D2316" s="1">
        <f t="shared" si="316"/>
        <v>5612.56</v>
      </c>
      <c r="E2316" s="4">
        <f t="shared" si="317"/>
        <v>5364.6285999999991</v>
      </c>
      <c r="F2316" s="3">
        <f t="shared" si="318"/>
        <v>1.0462159486679099</v>
      </c>
      <c r="G2316" s="18">
        <f t="shared" si="319"/>
        <v>1</v>
      </c>
      <c r="H2316" s="3">
        <f t="shared" si="320"/>
        <v>7.0190044209681446E-3</v>
      </c>
      <c r="I2316" s="3">
        <f t="shared" si="321"/>
        <v>7.0190044209681446E-3</v>
      </c>
      <c r="K2316" s="12" t="str">
        <f>IF(AND(G2316=1,G2315&lt;&gt;1),MAX($K$50:K2315)+1,"")</f>
        <v/>
      </c>
      <c r="L2316" s="13" t="str">
        <f>IF(AND(G2316&lt;&gt;1,G2315=1),MAX($L$50:L2315)+1,"")</f>
        <v/>
      </c>
      <c r="M2316" s="13" t="str">
        <f>IF(AND(G2316=-1,G2315&lt;&gt;-1),MAX($M$50:M2315)+1,"")</f>
        <v/>
      </c>
      <c r="N2316" s="13" t="str">
        <f>IF(AND(G2316&lt;&gt;-1,G2315=-1),MAX($N$50:N2315)+1,"")</f>
        <v/>
      </c>
      <c r="T2316" s="7">
        <f t="shared" si="322"/>
        <v>139.20732720819183</v>
      </c>
      <c r="U2316" s="1">
        <f t="shared" si="323"/>
        <v>294.88727414109314</v>
      </c>
    </row>
    <row r="2317" spans="1:21" x14ac:dyDescent="0.3">
      <c r="A2317" s="2">
        <v>43538</v>
      </c>
      <c r="B2317" s="1">
        <v>5609.59</v>
      </c>
      <c r="C2317" s="2">
        <f t="shared" si="315"/>
        <v>43538</v>
      </c>
      <c r="D2317" s="1">
        <f t="shared" si="316"/>
        <v>5609.59</v>
      </c>
      <c r="E2317" s="4">
        <f t="shared" si="317"/>
        <v>5377.1359999999995</v>
      </c>
      <c r="F2317" s="3">
        <f t="shared" si="318"/>
        <v>1.0432300763826692</v>
      </c>
      <c r="G2317" s="18">
        <f t="shared" si="319"/>
        <v>1</v>
      </c>
      <c r="H2317" s="3">
        <f t="shared" si="320"/>
        <v>-5.2917028949361899E-4</v>
      </c>
      <c r="I2317" s="3">
        <f t="shared" si="321"/>
        <v>-5.2917028949361899E-4</v>
      </c>
      <c r="K2317" s="12" t="str">
        <f>IF(AND(G2317=1,G2316&lt;&gt;1),MAX($K$50:K2316)+1,"")</f>
        <v/>
      </c>
      <c r="L2317" s="13" t="str">
        <f>IF(AND(G2317&lt;&gt;1,G2316=1),MAX($L$50:L2316)+1,"")</f>
        <v/>
      </c>
      <c r="M2317" s="13" t="str">
        <f>IF(AND(G2317=-1,G2316&lt;&gt;-1),MAX($M$50:M2316)+1,"")</f>
        <v/>
      </c>
      <c r="N2317" s="13" t="str">
        <f>IF(AND(G2317&lt;&gt;-1,G2316=-1),MAX($N$50:N2316)+1,"")</f>
        <v/>
      </c>
      <c r="T2317" s="7">
        <f t="shared" si="322"/>
        <v>139.13366282655343</v>
      </c>
      <c r="U2317" s="1">
        <f t="shared" si="323"/>
        <v>294.7312285568679</v>
      </c>
    </row>
    <row r="2318" spans="1:21" x14ac:dyDescent="0.3">
      <c r="A2318" s="2">
        <v>43539</v>
      </c>
      <c r="B2318" s="1">
        <v>5637.77</v>
      </c>
      <c r="C2318" s="2">
        <f t="shared" si="315"/>
        <v>43539</v>
      </c>
      <c r="D2318" s="1">
        <f t="shared" si="316"/>
        <v>5637.77</v>
      </c>
      <c r="E2318" s="4">
        <f t="shared" si="317"/>
        <v>5390.0802000000003</v>
      </c>
      <c r="F2318" s="3">
        <f t="shared" si="318"/>
        <v>1.0459528969531846</v>
      </c>
      <c r="G2318" s="18">
        <f t="shared" si="319"/>
        <v>1</v>
      </c>
      <c r="H2318" s="3">
        <f t="shared" si="320"/>
        <v>5.0235400448161993E-3</v>
      </c>
      <c r="I2318" s="3">
        <f t="shared" si="321"/>
        <v>5.0235400448161993E-3</v>
      </c>
      <c r="K2318" s="12" t="str">
        <f>IF(AND(G2318=1,G2317&lt;&gt;1),MAX($K$50:K2317)+1,"")</f>
        <v/>
      </c>
      <c r="L2318" s="13" t="str">
        <f>IF(AND(G2318&lt;&gt;1,G2317=1),MAX($L$50:L2317)+1,"")</f>
        <v/>
      </c>
      <c r="M2318" s="13" t="str">
        <f>IF(AND(G2318=-1,G2317&lt;&gt;-1),MAX($M$50:M2317)+1,"")</f>
        <v/>
      </c>
      <c r="N2318" s="13" t="str">
        <f>IF(AND(G2318&lt;&gt;-1,G2317=-1),MAX($N$50:N2317)+1,"")</f>
        <v/>
      </c>
      <c r="T2318" s="7">
        <f t="shared" si="322"/>
        <v>139.83260635334457</v>
      </c>
      <c r="U2318" s="1">
        <f t="shared" si="323"/>
        <v>296.21182268598119</v>
      </c>
    </row>
    <row r="2319" spans="1:21" x14ac:dyDescent="0.3">
      <c r="A2319" s="2">
        <v>43542</v>
      </c>
      <c r="B2319" s="1">
        <v>5658.73</v>
      </c>
      <c r="C2319" s="2">
        <f t="shared" si="315"/>
        <v>43542</v>
      </c>
      <c r="D2319" s="1">
        <f t="shared" si="316"/>
        <v>5658.73</v>
      </c>
      <c r="E2319" s="4">
        <f t="shared" si="317"/>
        <v>5405.8887999999988</v>
      </c>
      <c r="F2319" s="3">
        <f t="shared" si="318"/>
        <v>1.0467714393237244</v>
      </c>
      <c r="G2319" s="18">
        <f t="shared" si="319"/>
        <v>1</v>
      </c>
      <c r="H2319" s="3">
        <f t="shared" si="320"/>
        <v>3.7177820308382792E-3</v>
      </c>
      <c r="I2319" s="3">
        <f t="shared" si="321"/>
        <v>3.7177820308382792E-3</v>
      </c>
      <c r="K2319" s="12" t="str">
        <f>IF(AND(G2319=1,G2318&lt;&gt;1),MAX($K$50:K2318)+1,"")</f>
        <v/>
      </c>
      <c r="L2319" s="13" t="str">
        <f>IF(AND(G2319&lt;&gt;1,G2318=1),MAX($L$50:L2318)+1,"")</f>
        <v/>
      </c>
      <c r="M2319" s="13" t="str">
        <f>IF(AND(G2319=-1,G2318&lt;&gt;-1),MAX($M$50:M2318)+1,"")</f>
        <v/>
      </c>
      <c r="N2319" s="13" t="str">
        <f>IF(AND(G2319&lt;&gt;-1,G2318=-1),MAX($N$50:N2318)+1,"")</f>
        <v/>
      </c>
      <c r="T2319" s="7">
        <f t="shared" si="322"/>
        <v>140.35247350457033</v>
      </c>
      <c r="U2319" s="1">
        <f t="shared" si="323"/>
        <v>297.313073677685</v>
      </c>
    </row>
    <row r="2320" spans="1:21" x14ac:dyDescent="0.3">
      <c r="A2320" s="2">
        <v>43543</v>
      </c>
      <c r="B2320" s="1">
        <v>5658.15</v>
      </c>
      <c r="C2320" s="2">
        <f t="shared" si="315"/>
        <v>43543</v>
      </c>
      <c r="D2320" s="1">
        <f t="shared" si="316"/>
        <v>5658.15</v>
      </c>
      <c r="E2320" s="4">
        <f t="shared" si="317"/>
        <v>5418.3427999999994</v>
      </c>
      <c r="F2320" s="3">
        <f t="shared" si="318"/>
        <v>1.0442584031412705</v>
      </c>
      <c r="G2320" s="18">
        <f t="shared" si="319"/>
        <v>1</v>
      </c>
      <c r="H2320" s="3">
        <f t="shared" si="320"/>
        <v>-1.0249649656368653E-4</v>
      </c>
      <c r="I2320" s="3">
        <f t="shared" si="321"/>
        <v>-1.0249649656368653E-4</v>
      </c>
      <c r="K2320" s="12" t="str">
        <f>IF(AND(G2320=1,G2319&lt;&gt;1),MAX($K$50:K2319)+1,"")</f>
        <v/>
      </c>
      <c r="L2320" s="13" t="str">
        <f>IF(AND(G2320&lt;&gt;1,G2319=1),MAX($L$50:L2319)+1,"")</f>
        <v/>
      </c>
      <c r="M2320" s="13" t="str">
        <f>IF(AND(G2320=-1,G2319&lt;&gt;-1),MAX($M$50:M2319)+1,"")</f>
        <v/>
      </c>
      <c r="N2320" s="13" t="str">
        <f>IF(AND(G2320&lt;&gt;-1,G2319=-1),MAX($N$50:N2319)+1,"")</f>
        <v/>
      </c>
      <c r="T2320" s="7">
        <f t="shared" si="322"/>
        <v>140.33808786775205</v>
      </c>
      <c r="U2320" s="1">
        <f t="shared" si="323"/>
        <v>297.28260012925045</v>
      </c>
    </row>
    <row r="2321" spans="1:21" x14ac:dyDescent="0.3">
      <c r="A2321" s="2">
        <v>43544</v>
      </c>
      <c r="B2321" s="1">
        <v>5641.74</v>
      </c>
      <c r="C2321" s="2">
        <f t="shared" si="315"/>
        <v>43544</v>
      </c>
      <c r="D2321" s="1">
        <f t="shared" si="316"/>
        <v>5641.74</v>
      </c>
      <c r="E2321" s="4">
        <f t="shared" si="317"/>
        <v>5429.7623999999987</v>
      </c>
      <c r="F2321" s="3">
        <f t="shared" si="318"/>
        <v>1.0390399403112005</v>
      </c>
      <c r="G2321" s="18">
        <f t="shared" si="319"/>
        <v>1</v>
      </c>
      <c r="H2321" s="3">
        <f t="shared" si="320"/>
        <v>-2.9002412449298243E-3</v>
      </c>
      <c r="I2321" s="3">
        <f t="shared" si="321"/>
        <v>-2.9002412449298243E-3</v>
      </c>
      <c r="K2321" s="12" t="str">
        <f>IF(AND(G2321=1,G2320&lt;&gt;1),MAX($K$50:K2320)+1,"")</f>
        <v/>
      </c>
      <c r="L2321" s="13" t="str">
        <f>IF(AND(G2321&lt;&gt;1,G2320=1),MAX($L$50:L2320)+1,"")</f>
        <v/>
      </c>
      <c r="M2321" s="13" t="str">
        <f>IF(AND(G2321=-1,G2320&lt;&gt;-1),MAX($M$50:M2320)+1,"")</f>
        <v/>
      </c>
      <c r="N2321" s="13" t="str">
        <f>IF(AND(G2321&lt;&gt;-1,G2320=-1),MAX($N$50:N2320)+1,"")</f>
        <v/>
      </c>
      <c r="T2321" s="7">
        <f t="shared" si="322"/>
        <v>139.93107355708341</v>
      </c>
      <c r="U2321" s="1">
        <f t="shared" si="323"/>
        <v>296.42040887095561</v>
      </c>
    </row>
    <row r="2322" spans="1:21" x14ac:dyDescent="0.3">
      <c r="A2322" s="2">
        <v>43545</v>
      </c>
      <c r="B2322" s="1">
        <v>5703.28</v>
      </c>
      <c r="C2322" s="2">
        <f t="shared" si="315"/>
        <v>43545</v>
      </c>
      <c r="D2322" s="1">
        <f t="shared" si="316"/>
        <v>5703.28</v>
      </c>
      <c r="E2322" s="4">
        <f t="shared" si="317"/>
        <v>5441.4272000000001</v>
      </c>
      <c r="F2322" s="3">
        <f t="shared" si="318"/>
        <v>1.0481220809128899</v>
      </c>
      <c r="G2322" s="18">
        <f t="shared" si="319"/>
        <v>1</v>
      </c>
      <c r="H2322" s="3">
        <f t="shared" si="320"/>
        <v>1.0907982289152018E-2</v>
      </c>
      <c r="I2322" s="3">
        <f t="shared" si="321"/>
        <v>1.0907982289152018E-2</v>
      </c>
      <c r="K2322" s="12" t="str">
        <f>IF(AND(G2322=1,G2321&lt;&gt;1),MAX($K$50:K2321)+1,"")</f>
        <v/>
      </c>
      <c r="L2322" s="13" t="str">
        <f>IF(AND(G2322&lt;&gt;1,G2321=1),MAX($L$50:L2321)+1,"")</f>
        <v/>
      </c>
      <c r="M2322" s="13" t="str">
        <f>IF(AND(G2322=-1,G2321&lt;&gt;-1),MAX($M$50:M2321)+1,"")</f>
        <v/>
      </c>
      <c r="N2322" s="13" t="str">
        <f>IF(AND(G2322&lt;&gt;-1,G2321=-1),MAX($N$50:N2321)+1,"")</f>
        <v/>
      </c>
      <c r="T2322" s="7">
        <f t="shared" si="322"/>
        <v>141.4574392291461</v>
      </c>
      <c r="U2322" s="1">
        <f t="shared" si="323"/>
        <v>299.65375744106319</v>
      </c>
    </row>
    <row r="2323" spans="1:21" x14ac:dyDescent="0.3">
      <c r="A2323" s="2">
        <v>43546</v>
      </c>
      <c r="B2323" s="1">
        <v>5595.5</v>
      </c>
      <c r="C2323" s="2">
        <f t="shared" si="315"/>
        <v>43546</v>
      </c>
      <c r="D2323" s="1">
        <f t="shared" si="316"/>
        <v>5595.5</v>
      </c>
      <c r="E2323" s="4">
        <f t="shared" si="317"/>
        <v>5450.4839999999995</v>
      </c>
      <c r="F2323" s="3">
        <f t="shared" si="318"/>
        <v>1.0266060775520121</v>
      </c>
      <c r="G2323" s="18">
        <f t="shared" si="319"/>
        <v>1</v>
      </c>
      <c r="H2323" s="3">
        <f t="shared" si="320"/>
        <v>-1.8897897350296677E-2</v>
      </c>
      <c r="I2323" s="3">
        <f t="shared" si="321"/>
        <v>-1.8897897350296677E-2</v>
      </c>
      <c r="K2323" s="12" t="str">
        <f>IF(AND(G2323=1,G2322&lt;&gt;1),MAX($K$50:K2322)+1,"")</f>
        <v/>
      </c>
      <c r="L2323" s="13" t="str">
        <f>IF(AND(G2323&lt;&gt;1,G2322=1),MAX($L$50:L2322)+1,"")</f>
        <v/>
      </c>
      <c r="M2323" s="13" t="str">
        <f>IF(AND(G2323=-1,G2322&lt;&gt;-1),MAX($M$50:M2322)+1,"")</f>
        <v/>
      </c>
      <c r="N2323" s="13" t="str">
        <f>IF(AND(G2323&lt;&gt;-1,G2322=-1),MAX($N$50:N2322)+1,"")</f>
        <v/>
      </c>
      <c r="T2323" s="7">
        <f t="shared" si="322"/>
        <v>138.78419106315786</v>
      </c>
      <c r="U2323" s="1">
        <f t="shared" si="323"/>
        <v>293.99093149231129</v>
      </c>
    </row>
    <row r="2324" spans="1:21" x14ac:dyDescent="0.3">
      <c r="A2324" s="2">
        <v>43549</v>
      </c>
      <c r="B2324" s="1">
        <v>5591.23</v>
      </c>
      <c r="C2324" s="2">
        <f t="shared" si="315"/>
        <v>43549</v>
      </c>
      <c r="D2324" s="1">
        <f t="shared" si="316"/>
        <v>5591.23</v>
      </c>
      <c r="E2324" s="4">
        <f t="shared" si="317"/>
        <v>5458.9907999999987</v>
      </c>
      <c r="F2324" s="3">
        <f t="shared" si="318"/>
        <v>1.0242241111672143</v>
      </c>
      <c r="G2324" s="18">
        <f t="shared" si="319"/>
        <v>1</v>
      </c>
      <c r="H2324" s="3">
        <f t="shared" si="320"/>
        <v>-7.6311321597721804E-4</v>
      </c>
      <c r="I2324" s="3">
        <f t="shared" si="321"/>
        <v>-7.6311321597721804E-4</v>
      </c>
      <c r="K2324" s="12" t="str">
        <f>IF(AND(G2324=1,G2323&lt;&gt;1),MAX($K$50:K2323)+1,"")</f>
        <v/>
      </c>
      <c r="L2324" s="13" t="str">
        <f>IF(AND(G2324&lt;&gt;1,G2323=1),MAX($L$50:L2323)+1,"")</f>
        <v/>
      </c>
      <c r="M2324" s="13" t="str">
        <f>IF(AND(G2324=-1,G2323&lt;&gt;-1),MAX($M$50:M2323)+1,"")</f>
        <v/>
      </c>
      <c r="N2324" s="13" t="str">
        <f>IF(AND(G2324&lt;&gt;-1,G2323=-1),MAX($N$50:N2323)+1,"")</f>
        <v/>
      </c>
      <c r="T2324" s="7">
        <f t="shared" si="322"/>
        <v>138.67828301278885</v>
      </c>
      <c r="U2324" s="1">
        <f t="shared" si="323"/>
        <v>293.76658312711209</v>
      </c>
    </row>
    <row r="2325" spans="1:21" x14ac:dyDescent="0.3">
      <c r="A2325" s="2">
        <v>43550</v>
      </c>
      <c r="B2325" s="1">
        <v>5631.39</v>
      </c>
      <c r="C2325" s="2">
        <f t="shared" si="315"/>
        <v>43550</v>
      </c>
      <c r="D2325" s="1">
        <f t="shared" si="316"/>
        <v>5631.39</v>
      </c>
      <c r="E2325" s="4">
        <f t="shared" si="317"/>
        <v>5468.3155999999981</v>
      </c>
      <c r="F2325" s="3">
        <f t="shared" si="318"/>
        <v>1.0298216876875217</v>
      </c>
      <c r="G2325" s="18">
        <f t="shared" si="319"/>
        <v>1</v>
      </c>
      <c r="H2325" s="3">
        <f t="shared" si="320"/>
        <v>7.1826771569047931E-3</v>
      </c>
      <c r="I2325" s="3">
        <f t="shared" si="321"/>
        <v>7.1826771569047931E-3</v>
      </c>
      <c r="K2325" s="12" t="str">
        <f>IF(AND(G2325=1,G2324&lt;&gt;1),MAX($K$50:K2324)+1,"")</f>
        <v/>
      </c>
      <c r="L2325" s="13" t="str">
        <f>IF(AND(G2325&lt;&gt;1,G2324=1),MAX($L$50:L2324)+1,"")</f>
        <v/>
      </c>
      <c r="M2325" s="13" t="str">
        <f>IF(AND(G2325=-1,G2324&lt;&gt;-1),MAX($M$50:M2324)+1,"")</f>
        <v/>
      </c>
      <c r="N2325" s="13" t="str">
        <f>IF(AND(G2325&lt;&gt;-1,G2324=-1),MAX($N$50:N2324)+1,"")</f>
        <v/>
      </c>
      <c r="T2325" s="7">
        <f t="shared" si="322"/>
        <v>139.6743643483436</v>
      </c>
      <c r="U2325" s="1">
        <f t="shared" si="323"/>
        <v>295.87661365320116</v>
      </c>
    </row>
    <row r="2326" spans="1:21" x14ac:dyDescent="0.3">
      <c r="A2326" s="2">
        <v>43551</v>
      </c>
      <c r="B2326" s="1">
        <v>5605.32</v>
      </c>
      <c r="C2326" s="2">
        <f t="shared" si="315"/>
        <v>43551</v>
      </c>
      <c r="D2326" s="1">
        <f t="shared" si="316"/>
        <v>5605.32</v>
      </c>
      <c r="E2326" s="4">
        <f t="shared" si="317"/>
        <v>5477.6503999999995</v>
      </c>
      <c r="F2326" s="3">
        <f t="shared" si="318"/>
        <v>1.023307365508394</v>
      </c>
      <c r="G2326" s="18">
        <f t="shared" si="319"/>
        <v>1</v>
      </c>
      <c r="H2326" s="3">
        <f t="shared" si="320"/>
        <v>-4.6294076595655431E-3</v>
      </c>
      <c r="I2326" s="3">
        <f t="shared" si="321"/>
        <v>-4.6294076595655431E-3</v>
      </c>
      <c r="K2326" s="12" t="str">
        <f>IF(AND(G2326=1,G2325&lt;&gt;1),MAX($K$50:K2325)+1,"")</f>
        <v/>
      </c>
      <c r="L2326" s="13" t="str">
        <f>IF(AND(G2326&lt;&gt;1,G2325=1),MAX($L$50:L2325)+1,"")</f>
        <v/>
      </c>
      <c r="M2326" s="13" t="str">
        <f>IF(AND(G2326=-1,G2325&lt;&gt;-1),MAX($M$50:M2325)+1,"")</f>
        <v/>
      </c>
      <c r="N2326" s="13" t="str">
        <f>IF(AND(G2326&lt;&gt;-1,G2325=-1),MAX($N$50:N2325)+1,"")</f>
        <v/>
      </c>
      <c r="T2326" s="7">
        <f t="shared" si="322"/>
        <v>139.02775477618442</v>
      </c>
      <c r="U2326" s="1">
        <f t="shared" si="323"/>
        <v>294.50688019166876</v>
      </c>
    </row>
    <row r="2327" spans="1:21" x14ac:dyDescent="0.3">
      <c r="A2327" s="2">
        <v>43552</v>
      </c>
      <c r="B2327" s="1">
        <v>5626.32</v>
      </c>
      <c r="C2327" s="2">
        <f t="shared" si="315"/>
        <v>43552</v>
      </c>
      <c r="D2327" s="1">
        <f t="shared" si="316"/>
        <v>5626.32</v>
      </c>
      <c r="E2327" s="4">
        <f t="shared" si="317"/>
        <v>5486.301199999999</v>
      </c>
      <c r="F2327" s="3">
        <f t="shared" si="318"/>
        <v>1.0255215298788189</v>
      </c>
      <c r="G2327" s="18">
        <f t="shared" si="319"/>
        <v>1</v>
      </c>
      <c r="H2327" s="3">
        <f t="shared" si="320"/>
        <v>3.7464408811629379E-3</v>
      </c>
      <c r="I2327" s="3">
        <f t="shared" si="321"/>
        <v>3.7464408811629379E-3</v>
      </c>
      <c r="K2327" s="12" t="str">
        <f>IF(AND(G2327=1,G2326&lt;&gt;1),MAX($K$50:K2326)+1,"")</f>
        <v/>
      </c>
      <c r="L2327" s="13" t="str">
        <f>IF(AND(G2327&lt;&gt;1,G2326=1),MAX($L$50:L2326)+1,"")</f>
        <v/>
      </c>
      <c r="M2327" s="13" t="str">
        <f>IF(AND(G2327=-1,G2326&lt;&gt;-1),MAX($M$50:M2326)+1,"")</f>
        <v/>
      </c>
      <c r="N2327" s="13" t="str">
        <f>IF(AND(G2327&lt;&gt;-1,G2326=-1),MAX($N$50:N2326)+1,"")</f>
        <v/>
      </c>
      <c r="T2327" s="7">
        <f t="shared" si="322"/>
        <v>139.54861404029421</v>
      </c>
      <c r="U2327" s="1">
        <f t="shared" si="323"/>
        <v>295.61023280740261</v>
      </c>
    </row>
    <row r="2328" spans="1:21" x14ac:dyDescent="0.3">
      <c r="A2328" s="2">
        <v>43553</v>
      </c>
      <c r="B2328" s="1">
        <v>5664.46</v>
      </c>
      <c r="C2328" s="2">
        <f t="shared" si="315"/>
        <v>43553</v>
      </c>
      <c r="D2328" s="1">
        <f t="shared" si="316"/>
        <v>5664.46</v>
      </c>
      <c r="E2328" s="4">
        <f t="shared" si="317"/>
        <v>5495.4814000000006</v>
      </c>
      <c r="F2328" s="3">
        <f t="shared" si="318"/>
        <v>1.0307486437857836</v>
      </c>
      <c r="G2328" s="18">
        <f t="shared" si="319"/>
        <v>1</v>
      </c>
      <c r="H2328" s="3">
        <f t="shared" si="320"/>
        <v>6.7788536734492144E-3</v>
      </c>
      <c r="I2328" s="3">
        <f t="shared" si="321"/>
        <v>6.7788536734492144E-3</v>
      </c>
      <c r="K2328" s="12" t="str">
        <f>IF(AND(G2328=1,G2327&lt;&gt;1),MAX($K$50:K2327)+1,"")</f>
        <v/>
      </c>
      <c r="L2328" s="13" t="str">
        <f>IF(AND(G2328&lt;&gt;1,G2327=1),MAX($L$50:L2327)+1,"")</f>
        <v/>
      </c>
      <c r="M2328" s="13" t="str">
        <f>IF(AND(G2328=-1,G2327&lt;&gt;-1),MAX($M$50:M2327)+1,"")</f>
        <v/>
      </c>
      <c r="N2328" s="13" t="str">
        <f>IF(AND(G2328&lt;&gt;-1,G2327=-1),MAX($N$50:N2327)+1,"")</f>
        <v/>
      </c>
      <c r="T2328" s="7">
        <f t="shared" si="322"/>
        <v>140.494593675206</v>
      </c>
      <c r="U2328" s="1">
        <f t="shared" si="323"/>
        <v>297.61413131997824</v>
      </c>
    </row>
    <row r="2329" spans="1:21" x14ac:dyDescent="0.3">
      <c r="A2329" s="2">
        <v>43556</v>
      </c>
      <c r="B2329" s="1">
        <v>5730.04</v>
      </c>
      <c r="C2329" s="2">
        <f t="shared" si="315"/>
        <v>43556</v>
      </c>
      <c r="D2329" s="1">
        <f t="shared" si="316"/>
        <v>5730.04</v>
      </c>
      <c r="E2329" s="4">
        <f t="shared" si="317"/>
        <v>5505.172599999999</v>
      </c>
      <c r="F2329" s="3">
        <f t="shared" si="318"/>
        <v>1.0408465667361639</v>
      </c>
      <c r="G2329" s="18">
        <f t="shared" si="319"/>
        <v>1</v>
      </c>
      <c r="H2329" s="3">
        <f t="shared" si="320"/>
        <v>1.1577449571539056E-2</v>
      </c>
      <c r="I2329" s="3">
        <f t="shared" si="321"/>
        <v>1.1577449571539056E-2</v>
      </c>
      <c r="K2329" s="12" t="str">
        <f>IF(AND(G2329=1,G2328&lt;&gt;1),MAX($K$50:K2328)+1,"")</f>
        <v/>
      </c>
      <c r="L2329" s="13" t="str">
        <f>IF(AND(G2329&lt;&gt;1,G2328=1),MAX($L$50:L2328)+1,"")</f>
        <v/>
      </c>
      <c r="M2329" s="13" t="str">
        <f>IF(AND(G2329=-1,G2328&lt;&gt;-1),MAX($M$50:M2328)+1,"")</f>
        <v/>
      </c>
      <c r="N2329" s="13" t="str">
        <f>IF(AND(G2329&lt;&gt;-1,G2328=-1),MAX($N$50:N2328)+1,"")</f>
        <v/>
      </c>
      <c r="T2329" s="7">
        <f t="shared" si="322"/>
        <v>142.12116274855458</v>
      </c>
      <c r="U2329" s="1">
        <f t="shared" si="323"/>
        <v>301.05974391711271</v>
      </c>
    </row>
    <row r="2330" spans="1:21" x14ac:dyDescent="0.3">
      <c r="A2330" s="2">
        <v>43557</v>
      </c>
      <c r="B2330" s="1">
        <v>5730.35</v>
      </c>
      <c r="C2330" s="2">
        <f t="shared" si="315"/>
        <v>43557</v>
      </c>
      <c r="D2330" s="1">
        <f t="shared" si="316"/>
        <v>5730.35</v>
      </c>
      <c r="E2330" s="4">
        <f t="shared" si="317"/>
        <v>5513.4839999999995</v>
      </c>
      <c r="F2330" s="3">
        <f t="shared" si="318"/>
        <v>1.0393337497669353</v>
      </c>
      <c r="G2330" s="18">
        <f t="shared" si="319"/>
        <v>1</v>
      </c>
      <c r="H2330" s="3">
        <f t="shared" si="320"/>
        <v>5.4100843973170498E-5</v>
      </c>
      <c r="I2330" s="3">
        <f t="shared" si="321"/>
        <v>5.4100843973170498E-5</v>
      </c>
      <c r="K2330" s="12" t="str">
        <f>IF(AND(G2330=1,G2329&lt;&gt;1),MAX($K$50:K2329)+1,"")</f>
        <v/>
      </c>
      <c r="L2330" s="13" t="str">
        <f>IF(AND(G2330&lt;&gt;1,G2329=1),MAX($L$50:L2329)+1,"")</f>
        <v/>
      </c>
      <c r="M2330" s="13" t="str">
        <f>IF(AND(G2330=-1,G2329&lt;&gt;-1),MAX($M$50:M2329)+1,"")</f>
        <v/>
      </c>
      <c r="N2330" s="13" t="str">
        <f>IF(AND(G2330&lt;&gt;-1,G2329=-1),MAX($N$50:N2329)+1,"")</f>
        <v/>
      </c>
      <c r="T2330" s="7">
        <f t="shared" si="322"/>
        <v>142.12885162340572</v>
      </c>
      <c r="U2330" s="1">
        <f t="shared" si="323"/>
        <v>301.07603150334501</v>
      </c>
    </row>
    <row r="2331" spans="1:21" x14ac:dyDescent="0.3">
      <c r="A2331" s="2">
        <v>43558</v>
      </c>
      <c r="B2331" s="1">
        <v>5742.67</v>
      </c>
      <c r="C2331" s="2">
        <f t="shared" si="315"/>
        <v>43558</v>
      </c>
      <c r="D2331" s="1">
        <f t="shared" si="316"/>
        <v>5742.67</v>
      </c>
      <c r="E2331" s="4">
        <f t="shared" si="317"/>
        <v>5523.5423999999985</v>
      </c>
      <c r="F2331" s="3">
        <f t="shared" si="318"/>
        <v>1.0396715701865531</v>
      </c>
      <c r="G2331" s="18">
        <f t="shared" si="319"/>
        <v>1</v>
      </c>
      <c r="H2331" s="3">
        <f t="shared" si="320"/>
        <v>2.149955936373793E-3</v>
      </c>
      <c r="I2331" s="3">
        <f t="shared" si="321"/>
        <v>2.149955936373793E-3</v>
      </c>
      <c r="K2331" s="12" t="str">
        <f>IF(AND(G2331=1,G2330&lt;&gt;1),MAX($K$50:K2330)+1,"")</f>
        <v/>
      </c>
      <c r="L2331" s="13" t="str">
        <f>IF(AND(G2331&lt;&gt;1,G2330=1),MAX($L$50:L2330)+1,"")</f>
        <v/>
      </c>
      <c r="M2331" s="13" t="str">
        <f>IF(AND(G2331=-1,G2330&lt;&gt;-1),MAX($M$50:M2330)+1,"")</f>
        <v/>
      </c>
      <c r="N2331" s="13" t="str">
        <f>IF(AND(G2331&lt;&gt;-1,G2330=-1),MAX($N$50:N2330)+1,"")</f>
        <v/>
      </c>
      <c r="T2331" s="7">
        <f t="shared" si="322"/>
        <v>142.43442239168346</v>
      </c>
      <c r="U2331" s="1">
        <f t="shared" si="323"/>
        <v>301.72333170457546</v>
      </c>
    </row>
    <row r="2332" spans="1:21" x14ac:dyDescent="0.3">
      <c r="A2332" s="2">
        <v>43559</v>
      </c>
      <c r="B2332" s="1">
        <v>5755.96</v>
      </c>
      <c r="C2332" s="2">
        <f t="shared" si="315"/>
        <v>43559</v>
      </c>
      <c r="D2332" s="1">
        <f t="shared" si="316"/>
        <v>5755.96</v>
      </c>
      <c r="E2332" s="4">
        <f t="shared" si="317"/>
        <v>5533.6358</v>
      </c>
      <c r="F2332" s="3">
        <f t="shared" si="318"/>
        <v>1.0401768761146153</v>
      </c>
      <c r="G2332" s="18">
        <f t="shared" si="319"/>
        <v>1</v>
      </c>
      <c r="H2332" s="3">
        <f t="shared" si="320"/>
        <v>2.3142545192393893E-3</v>
      </c>
      <c r="I2332" s="3">
        <f t="shared" si="321"/>
        <v>2.3142545192393893E-3</v>
      </c>
      <c r="K2332" s="12" t="str">
        <f>IF(AND(G2332=1,G2331&lt;&gt;1),MAX($K$50:K2331)+1,"")</f>
        <v/>
      </c>
      <c r="L2332" s="13" t="str">
        <f>IF(AND(G2332&lt;&gt;1,G2331=1),MAX($L$50:L2331)+1,"")</f>
        <v/>
      </c>
      <c r="M2332" s="13" t="str">
        <f>IF(AND(G2332=-1,G2331&lt;&gt;-1),MAX($M$50:M2331)+1,"")</f>
        <v/>
      </c>
      <c r="N2332" s="13" t="str">
        <f>IF(AND(G2332&lt;&gt;-1,G2331=-1),MAX($N$50:N2331)+1,"")</f>
        <v/>
      </c>
      <c r="T2332" s="7">
        <f t="shared" si="322"/>
        <v>142.76405189739867</v>
      </c>
      <c r="U2332" s="1">
        <f t="shared" si="323"/>
        <v>302.42159628853273</v>
      </c>
    </row>
    <row r="2333" spans="1:21" x14ac:dyDescent="0.3">
      <c r="A2333" s="2">
        <v>43560</v>
      </c>
      <c r="B2333" s="1">
        <v>5782.7</v>
      </c>
      <c r="C2333" s="2">
        <f t="shared" si="315"/>
        <v>43560</v>
      </c>
      <c r="D2333" s="1">
        <f t="shared" si="316"/>
        <v>5782.7</v>
      </c>
      <c r="E2333" s="4">
        <f t="shared" si="317"/>
        <v>5544.1160000000009</v>
      </c>
      <c r="F2333" s="3">
        <f t="shared" si="318"/>
        <v>1.0430337316174478</v>
      </c>
      <c r="G2333" s="18">
        <f t="shared" si="319"/>
        <v>1</v>
      </c>
      <c r="H2333" s="3">
        <f t="shared" si="320"/>
        <v>4.6456194970083686E-3</v>
      </c>
      <c r="I2333" s="3">
        <f t="shared" si="321"/>
        <v>4.6456194970083686E-3</v>
      </c>
      <c r="K2333" s="12" t="str">
        <f>IF(AND(G2333=1,G2332&lt;&gt;1),MAX($K$50:K2332)+1,"")</f>
        <v/>
      </c>
      <c r="L2333" s="13" t="str">
        <f>IF(AND(G2333&lt;&gt;1,G2332=1),MAX($L$50:L2332)+1,"")</f>
        <v/>
      </c>
      <c r="M2333" s="13" t="str">
        <f>IF(AND(G2333=-1,G2332&lt;&gt;-1),MAX($M$50:M2332)+1,"")</f>
        <v/>
      </c>
      <c r="N2333" s="13" t="str">
        <f>IF(AND(G2333&lt;&gt;-1,G2332=-1),MAX($N$50:N2332)+1,"")</f>
        <v/>
      </c>
      <c r="T2333" s="7">
        <f t="shared" si="322"/>
        <v>143.42727936036513</v>
      </c>
      <c r="U2333" s="1">
        <f t="shared" si="323"/>
        <v>303.82653195256711</v>
      </c>
    </row>
    <row r="2334" spans="1:21" x14ac:dyDescent="0.3">
      <c r="A2334" s="2">
        <v>43563</v>
      </c>
      <c r="B2334" s="1">
        <v>5788.86</v>
      </c>
      <c r="C2334" s="2">
        <f t="shared" si="315"/>
        <v>43563</v>
      </c>
      <c r="D2334" s="1">
        <f t="shared" si="316"/>
        <v>5788.86</v>
      </c>
      <c r="E2334" s="4">
        <f t="shared" si="317"/>
        <v>5553.8230000000003</v>
      </c>
      <c r="F2334" s="3">
        <f t="shared" si="318"/>
        <v>1.0423198578708754</v>
      </c>
      <c r="G2334" s="18">
        <f t="shared" si="319"/>
        <v>1</v>
      </c>
      <c r="H2334" s="3">
        <f t="shared" si="320"/>
        <v>1.0652463382156974E-3</v>
      </c>
      <c r="I2334" s="3">
        <f t="shared" si="321"/>
        <v>1.0652463382156974E-3</v>
      </c>
      <c r="K2334" s="12" t="str">
        <f>IF(AND(G2334=1,G2333&lt;&gt;1),MAX($K$50:K2333)+1,"")</f>
        <v/>
      </c>
      <c r="L2334" s="13" t="str">
        <f>IF(AND(G2334&lt;&gt;1,G2333=1),MAX($L$50:L2333)+1,"")</f>
        <v/>
      </c>
      <c r="M2334" s="13" t="str">
        <f>IF(AND(G2334=-1,G2333&lt;&gt;-1),MAX($M$50:M2333)+1,"")</f>
        <v/>
      </c>
      <c r="N2334" s="13" t="str">
        <f>IF(AND(G2334&lt;&gt;-1,G2333=-1),MAX($N$50:N2333)+1,"")</f>
        <v/>
      </c>
      <c r="T2334" s="7">
        <f t="shared" si="322"/>
        <v>143.580064744504</v>
      </c>
      <c r="U2334" s="1">
        <f t="shared" si="323"/>
        <v>304.15018205318233</v>
      </c>
    </row>
    <row r="2335" spans="1:21" x14ac:dyDescent="0.3">
      <c r="A2335" s="2">
        <v>43564</v>
      </c>
      <c r="B2335" s="1">
        <v>5755.49</v>
      </c>
      <c r="C2335" s="2">
        <f t="shared" si="315"/>
        <v>43564</v>
      </c>
      <c r="D2335" s="1">
        <f t="shared" si="316"/>
        <v>5755.49</v>
      </c>
      <c r="E2335" s="4">
        <f t="shared" si="317"/>
        <v>5563.6952000000001</v>
      </c>
      <c r="F2335" s="3">
        <f t="shared" si="318"/>
        <v>1.0344725570157043</v>
      </c>
      <c r="G2335" s="18">
        <f t="shared" si="319"/>
        <v>1</v>
      </c>
      <c r="H2335" s="3">
        <f t="shared" si="320"/>
        <v>-5.7645201300428051E-3</v>
      </c>
      <c r="I2335" s="3">
        <f t="shared" si="321"/>
        <v>-5.7645201300428051E-3</v>
      </c>
      <c r="K2335" s="12" t="str">
        <f>IF(AND(G2335=1,G2334&lt;&gt;1),MAX($K$50:K2334)+1,"")</f>
        <v/>
      </c>
      <c r="L2335" s="13" t="str">
        <f>IF(AND(G2335&lt;&gt;1,G2334=1),MAX($L$50:L2334)+1,"")</f>
        <v/>
      </c>
      <c r="M2335" s="13" t="str">
        <f>IF(AND(G2335=-1,G2334&lt;&gt;-1),MAX($M$50:M2334)+1,"")</f>
        <v/>
      </c>
      <c r="N2335" s="13" t="str">
        <f>IF(AND(G2335&lt;&gt;-1,G2334=-1),MAX($N$50:N2334)+1,"")</f>
        <v/>
      </c>
      <c r="T2335" s="7">
        <f t="shared" si="322"/>
        <v>142.75239457101145</v>
      </c>
      <c r="U2335" s="1">
        <f t="shared" si="323"/>
        <v>302.39690220618058</v>
      </c>
    </row>
    <row r="2336" spans="1:21" x14ac:dyDescent="0.3">
      <c r="A2336" s="2">
        <v>43565</v>
      </c>
      <c r="B2336" s="1">
        <v>5775.99</v>
      </c>
      <c r="C2336" s="2">
        <f t="shared" si="315"/>
        <v>43565</v>
      </c>
      <c r="D2336" s="1">
        <f t="shared" si="316"/>
        <v>5775.99</v>
      </c>
      <c r="E2336" s="4">
        <f t="shared" si="317"/>
        <v>5574.1288000000004</v>
      </c>
      <c r="F2336" s="3">
        <f t="shared" si="318"/>
        <v>1.0362139461147721</v>
      </c>
      <c r="G2336" s="18">
        <f t="shared" si="319"/>
        <v>1</v>
      </c>
      <c r="H2336" s="3">
        <f t="shared" si="320"/>
        <v>3.5618166307300747E-3</v>
      </c>
      <c r="I2336" s="3">
        <f t="shared" si="321"/>
        <v>3.5618166307300747E-3</v>
      </c>
      <c r="K2336" s="12" t="str">
        <f>IF(AND(G2336=1,G2335&lt;&gt;1),MAX($K$50:K2335)+1,"")</f>
        <v/>
      </c>
      <c r="L2336" s="13" t="str">
        <f>IF(AND(G2336&lt;&gt;1,G2335=1),MAX($L$50:L2335)+1,"")</f>
        <v/>
      </c>
      <c r="M2336" s="13" t="str">
        <f>IF(AND(G2336=-1,G2335&lt;&gt;-1),MAX($M$50:M2335)+1,"")</f>
        <v/>
      </c>
      <c r="N2336" s="13" t="str">
        <f>IF(AND(G2336&lt;&gt;-1,G2335=-1),MAX($N$50:N2335)+1,"")</f>
        <v/>
      </c>
      <c r="T2336" s="7">
        <f t="shared" si="322"/>
        <v>143.26085242407103</v>
      </c>
      <c r="U2336" s="1">
        <f t="shared" si="323"/>
        <v>303.47398452153982</v>
      </c>
    </row>
    <row r="2337" spans="1:21" x14ac:dyDescent="0.3">
      <c r="A2337" s="2">
        <v>43566</v>
      </c>
      <c r="B2337" s="1">
        <v>5776.28</v>
      </c>
      <c r="C2337" s="2">
        <f t="shared" si="315"/>
        <v>43566</v>
      </c>
      <c r="D2337" s="1">
        <f t="shared" si="316"/>
        <v>5776.28</v>
      </c>
      <c r="E2337" s="4">
        <f t="shared" si="317"/>
        <v>5582.9224000000013</v>
      </c>
      <c r="F2337" s="3">
        <f t="shared" si="318"/>
        <v>1.0346337609851066</v>
      </c>
      <c r="G2337" s="18">
        <f t="shared" si="319"/>
        <v>1</v>
      </c>
      <c r="H2337" s="3">
        <f t="shared" si="320"/>
        <v>5.0207843157679122E-5</v>
      </c>
      <c r="I2337" s="3">
        <f t="shared" si="321"/>
        <v>5.0207843157679122E-5</v>
      </c>
      <c r="K2337" s="12" t="str">
        <f>IF(AND(G2337=1,G2336&lt;&gt;1),MAX($K$50:K2336)+1,"")</f>
        <v/>
      </c>
      <c r="L2337" s="13" t="str">
        <f>IF(AND(G2337&lt;&gt;1,G2336=1),MAX($L$50:L2336)+1,"")</f>
        <v/>
      </c>
      <c r="M2337" s="13" t="str">
        <f>IF(AND(G2337=-1,G2336&lt;&gt;-1),MAX($M$50:M2336)+1,"")</f>
        <v/>
      </c>
      <c r="N2337" s="13" t="str">
        <f>IF(AND(G2337&lt;&gt;-1,G2336=-1),MAX($N$50:N2336)+1,"")</f>
        <v/>
      </c>
      <c r="T2337" s="7">
        <f t="shared" si="322"/>
        <v>143.26804524248018</v>
      </c>
      <c r="U2337" s="1">
        <f t="shared" si="323"/>
        <v>303.48922129575709</v>
      </c>
    </row>
    <row r="2338" spans="1:21" x14ac:dyDescent="0.3">
      <c r="A2338" s="2">
        <v>43567</v>
      </c>
      <c r="B2338" s="1">
        <v>5815.04</v>
      </c>
      <c r="C2338" s="2">
        <f t="shared" si="315"/>
        <v>43567</v>
      </c>
      <c r="D2338" s="1">
        <f t="shared" si="316"/>
        <v>5815.04</v>
      </c>
      <c r="E2338" s="4">
        <f t="shared" si="317"/>
        <v>5591.5506000000005</v>
      </c>
      <c r="F2338" s="3">
        <f t="shared" si="318"/>
        <v>1.0399691277049339</v>
      </c>
      <c r="G2338" s="18">
        <f t="shared" si="319"/>
        <v>1</v>
      </c>
      <c r="H2338" s="3">
        <f t="shared" si="320"/>
        <v>6.7102010290360781E-3</v>
      </c>
      <c r="I2338" s="3">
        <f t="shared" si="321"/>
        <v>6.7102010290360781E-3</v>
      </c>
      <c r="K2338" s="12" t="str">
        <f>IF(AND(G2338=1,G2337&lt;&gt;1),MAX($K$50:K2337)+1,"")</f>
        <v/>
      </c>
      <c r="L2338" s="13" t="str">
        <f>IF(AND(G2338&lt;&gt;1,G2337=1),MAX($L$50:L2337)+1,"")</f>
        <v/>
      </c>
      <c r="M2338" s="13" t="str">
        <f>IF(AND(G2338=-1,G2337&lt;&gt;-1),MAX($M$50:M2337)+1,"")</f>
        <v/>
      </c>
      <c r="N2338" s="13" t="str">
        <f>IF(AND(G2338&lt;&gt;-1,G2337=-1),MAX($N$50:N2337)+1,"")</f>
        <v/>
      </c>
      <c r="T2338" s="7">
        <f t="shared" si="322"/>
        <v>144.22940262709426</v>
      </c>
      <c r="U2338" s="1">
        <f t="shared" si="323"/>
        <v>305.52569498079725</v>
      </c>
    </row>
    <row r="2339" spans="1:21" x14ac:dyDescent="0.3">
      <c r="A2339" s="2">
        <v>43570</v>
      </c>
      <c r="B2339" s="1">
        <v>5811.51</v>
      </c>
      <c r="C2339" s="2">
        <f t="shared" si="315"/>
        <v>43570</v>
      </c>
      <c r="D2339" s="1">
        <f t="shared" si="316"/>
        <v>5811.51</v>
      </c>
      <c r="E2339" s="4">
        <f t="shared" si="317"/>
        <v>5599.9970000000003</v>
      </c>
      <c r="F2339" s="3">
        <f t="shared" si="318"/>
        <v>1.0377701988054637</v>
      </c>
      <c r="G2339" s="18">
        <f t="shared" si="319"/>
        <v>1</v>
      </c>
      <c r="H2339" s="3">
        <f t="shared" si="320"/>
        <v>-6.0704655513976746E-4</v>
      </c>
      <c r="I2339" s="3">
        <f t="shared" si="321"/>
        <v>-6.0704655513976746E-4</v>
      </c>
      <c r="K2339" s="12" t="str">
        <f>IF(AND(G2339=1,G2338&lt;&gt;1),MAX($K$50:K2338)+1,"")</f>
        <v/>
      </c>
      <c r="L2339" s="13" t="str">
        <f>IF(AND(G2339&lt;&gt;1,G2338=1),MAX($L$50:L2338)+1,"")</f>
        <v/>
      </c>
      <c r="M2339" s="13" t="str">
        <f>IF(AND(G2339=-1,G2338&lt;&gt;-1),MAX($M$50:M2338)+1,"")</f>
        <v/>
      </c>
      <c r="N2339" s="13" t="str">
        <f>IF(AND(G2339&lt;&gt;-1,G2338=-1),MAX($N$50:N2338)+1,"")</f>
        <v/>
      </c>
      <c r="T2339" s="7">
        <f t="shared" si="322"/>
        <v>144.14184866507961</v>
      </c>
      <c r="U2339" s="1">
        <f t="shared" si="323"/>
        <v>305.3402266601525</v>
      </c>
    </row>
    <row r="2340" spans="1:21" x14ac:dyDescent="0.3">
      <c r="A2340" s="2">
        <v>43571</v>
      </c>
      <c r="B2340" s="1">
        <v>5814.46</v>
      </c>
      <c r="C2340" s="2">
        <f t="shared" si="315"/>
        <v>43571</v>
      </c>
      <c r="D2340" s="1">
        <f t="shared" si="316"/>
        <v>5814.46</v>
      </c>
      <c r="E2340" s="4">
        <f t="shared" si="317"/>
        <v>5607.7701999999999</v>
      </c>
      <c r="F2340" s="3">
        <f t="shared" si="318"/>
        <v>1.0368577514107122</v>
      </c>
      <c r="G2340" s="18">
        <f t="shared" si="319"/>
        <v>1</v>
      </c>
      <c r="H2340" s="3">
        <f t="shared" si="320"/>
        <v>5.0761333973436962E-4</v>
      </c>
      <c r="I2340" s="3">
        <f t="shared" si="321"/>
        <v>5.0761333973436962E-4</v>
      </c>
      <c r="K2340" s="12" t="str">
        <f>IF(AND(G2340=1,G2339&lt;&gt;1),MAX($K$50:K2339)+1,"")</f>
        <v/>
      </c>
      <c r="L2340" s="13" t="str">
        <f>IF(AND(G2340&lt;&gt;1,G2339=1),MAX($L$50:L2339)+1,"")</f>
        <v/>
      </c>
      <c r="M2340" s="13" t="str">
        <f>IF(AND(G2340=-1,G2339&lt;&gt;-1),MAX($M$50:M2339)+1,"")</f>
        <v/>
      </c>
      <c r="N2340" s="13" t="str">
        <f>IF(AND(G2340&lt;&gt;-1,G2339=-1),MAX($N$50:N2339)+1,"")</f>
        <v/>
      </c>
      <c r="T2340" s="7">
        <f t="shared" si="322"/>
        <v>144.21501699027598</v>
      </c>
      <c r="U2340" s="1">
        <f t="shared" si="323"/>
        <v>305.49522143236271</v>
      </c>
    </row>
    <row r="2341" spans="1:21" x14ac:dyDescent="0.3">
      <c r="A2341" s="2">
        <v>43572</v>
      </c>
      <c r="B2341" s="1">
        <v>5801.83</v>
      </c>
      <c r="C2341" s="2">
        <f t="shared" si="315"/>
        <v>43572</v>
      </c>
      <c r="D2341" s="1">
        <f t="shared" si="316"/>
        <v>5801.83</v>
      </c>
      <c r="E2341" s="4">
        <f t="shared" si="317"/>
        <v>5614.778800000001</v>
      </c>
      <c r="F2341" s="3">
        <f t="shared" si="318"/>
        <v>1.0333140817586615</v>
      </c>
      <c r="G2341" s="18">
        <f t="shared" si="319"/>
        <v>1</v>
      </c>
      <c r="H2341" s="3">
        <f t="shared" si="320"/>
        <v>-2.1721707604833718E-3</v>
      </c>
      <c r="I2341" s="3">
        <f t="shared" si="321"/>
        <v>-2.1721707604833718E-3</v>
      </c>
      <c r="K2341" s="12" t="str">
        <f>IF(AND(G2341=1,G2340&lt;&gt;1),MAX($K$50:K2340)+1,"")</f>
        <v/>
      </c>
      <c r="L2341" s="13" t="str">
        <f>IF(AND(G2341&lt;&gt;1,G2340=1),MAX($L$50:L2340)+1,"")</f>
        <v/>
      </c>
      <c r="M2341" s="13" t="str">
        <f>IF(AND(G2341=-1,G2340&lt;&gt;-1),MAX($M$50:M2340)+1,"")</f>
        <v/>
      </c>
      <c r="N2341" s="13" t="str">
        <f>IF(AND(G2341&lt;&gt;-1,G2340=-1),MAX($N$50:N2340)+1,"")</f>
        <v/>
      </c>
      <c r="T2341" s="7">
        <f t="shared" si="322"/>
        <v>143.90175734714708</v>
      </c>
      <c r="U2341" s="1">
        <f t="shared" si="323"/>
        <v>304.83163364489997</v>
      </c>
    </row>
    <row r="2342" spans="1:21" x14ac:dyDescent="0.3">
      <c r="A2342" s="2">
        <v>43573</v>
      </c>
      <c r="B2342" s="1">
        <v>5811.13</v>
      </c>
      <c r="C2342" s="2">
        <f t="shared" si="315"/>
        <v>43573</v>
      </c>
      <c r="D2342" s="1">
        <f t="shared" si="316"/>
        <v>5811.13</v>
      </c>
      <c r="E2342" s="4">
        <f t="shared" si="317"/>
        <v>5622.2054000000016</v>
      </c>
      <c r="F2342" s="3">
        <f t="shared" si="318"/>
        <v>1.033603290267552</v>
      </c>
      <c r="G2342" s="18">
        <f t="shared" si="319"/>
        <v>1</v>
      </c>
      <c r="H2342" s="3">
        <f t="shared" si="320"/>
        <v>1.60294251986004E-3</v>
      </c>
      <c r="I2342" s="3">
        <f t="shared" si="321"/>
        <v>1.60294251986004E-3</v>
      </c>
      <c r="K2342" s="12" t="str">
        <f>IF(AND(G2342=1,G2341&lt;&gt;1),MAX($K$50:K2341)+1,"")</f>
        <v/>
      </c>
      <c r="L2342" s="13" t="str">
        <f>IF(AND(G2342&lt;&gt;1,G2341=1),MAX($L$50:L2341)+1,"")</f>
        <v/>
      </c>
      <c r="M2342" s="13" t="str">
        <f>IF(AND(G2342=-1,G2341&lt;&gt;-1),MAX($M$50:M2341)+1,"")</f>
        <v/>
      </c>
      <c r="N2342" s="13" t="str">
        <f>IF(AND(G2342&lt;&gt;-1,G2341=-1),MAX($N$50:N2341)+1,"")</f>
        <v/>
      </c>
      <c r="T2342" s="7">
        <f t="shared" si="322"/>
        <v>144.13242359268142</v>
      </c>
      <c r="U2342" s="1">
        <f t="shared" si="323"/>
        <v>305.32026123186779</v>
      </c>
    </row>
    <row r="2343" spans="1:21" x14ac:dyDescent="0.3">
      <c r="A2343" s="2">
        <v>43577</v>
      </c>
      <c r="B2343" s="1">
        <v>5817.16</v>
      </c>
      <c r="C2343" s="2">
        <f t="shared" si="315"/>
        <v>43577</v>
      </c>
      <c r="D2343" s="1">
        <f t="shared" si="316"/>
        <v>5817.16</v>
      </c>
      <c r="E2343" s="4">
        <f t="shared" si="317"/>
        <v>5630.7548000000006</v>
      </c>
      <c r="F2343" s="3">
        <f t="shared" si="318"/>
        <v>1.0331048334763218</v>
      </c>
      <c r="G2343" s="18">
        <f t="shared" si="319"/>
        <v>1</v>
      </c>
      <c r="H2343" s="3">
        <f t="shared" si="320"/>
        <v>1.0376639311113767E-3</v>
      </c>
      <c r="I2343" s="3">
        <f t="shared" si="321"/>
        <v>1.0376639311113767E-3</v>
      </c>
      <c r="K2343" s="12" t="str">
        <f>IF(AND(G2343=1,G2342&lt;&gt;1),MAX($K$50:K2342)+1,"")</f>
        <v/>
      </c>
      <c r="L2343" s="13" t="str">
        <f>IF(AND(G2343&lt;&gt;1,G2342=1),MAX($L$50:L2342)+1,"")</f>
        <v/>
      </c>
      <c r="M2343" s="13" t="str">
        <f>IF(AND(G2343=-1,G2342&lt;&gt;-1),MAX($M$50:M2342)+1,"")</f>
        <v/>
      </c>
      <c r="N2343" s="13" t="str">
        <f>IF(AND(G2343&lt;&gt;-1,G2342=-1),MAX($N$50:N2342)+1,"")</f>
        <v/>
      </c>
      <c r="T2343" s="7">
        <f t="shared" si="322"/>
        <v>144.28198460994722</v>
      </c>
      <c r="U2343" s="1">
        <f t="shared" si="323"/>
        <v>305.63708105438559</v>
      </c>
    </row>
    <row r="2344" spans="1:21" x14ac:dyDescent="0.3">
      <c r="A2344" s="2">
        <v>43578</v>
      </c>
      <c r="B2344" s="1">
        <v>5868.88</v>
      </c>
      <c r="C2344" s="2">
        <f t="shared" si="315"/>
        <v>43578</v>
      </c>
      <c r="D2344" s="1">
        <f t="shared" si="316"/>
        <v>5868.88</v>
      </c>
      <c r="E2344" s="4">
        <f t="shared" si="317"/>
        <v>5640.23</v>
      </c>
      <c r="F2344" s="3">
        <f t="shared" si="318"/>
        <v>1.0405391269504969</v>
      </c>
      <c r="G2344" s="18">
        <f t="shared" si="319"/>
        <v>1</v>
      </c>
      <c r="H2344" s="3">
        <f t="shared" si="320"/>
        <v>8.890936470717703E-3</v>
      </c>
      <c r="I2344" s="3">
        <f t="shared" si="321"/>
        <v>8.890936470717703E-3</v>
      </c>
      <c r="K2344" s="12" t="str">
        <f>IF(AND(G2344=1,G2343&lt;&gt;1),MAX($K$50:K2343)+1,"")</f>
        <v/>
      </c>
      <c r="L2344" s="13" t="str">
        <f>IF(AND(G2344&lt;&gt;1,G2343=1),MAX($L$50:L2343)+1,"")</f>
        <v/>
      </c>
      <c r="M2344" s="13" t="str">
        <f>IF(AND(G2344=-1,G2343&lt;&gt;-1),MAX($M$50:M2343)+1,"")</f>
        <v/>
      </c>
      <c r="N2344" s="13" t="str">
        <f>IF(AND(G2344&lt;&gt;-1,G2343=-1),MAX($N$50:N2343)+1,"")</f>
        <v/>
      </c>
      <c r="T2344" s="7">
        <f t="shared" si="322"/>
        <v>145.56478656898332</v>
      </c>
      <c r="U2344" s="1">
        <f t="shared" si="323"/>
        <v>308.3544809251357</v>
      </c>
    </row>
    <row r="2345" spans="1:21" x14ac:dyDescent="0.3">
      <c r="A2345" s="2">
        <v>43579</v>
      </c>
      <c r="B2345" s="1">
        <v>5856.03</v>
      </c>
      <c r="C2345" s="2">
        <f t="shared" si="315"/>
        <v>43579</v>
      </c>
      <c r="D2345" s="1">
        <f t="shared" si="316"/>
        <v>5856.03</v>
      </c>
      <c r="E2345" s="4">
        <f t="shared" si="317"/>
        <v>5649.3706000000002</v>
      </c>
      <c r="F2345" s="3">
        <f t="shared" si="318"/>
        <v>1.0365809600099523</v>
      </c>
      <c r="G2345" s="18">
        <f t="shared" si="319"/>
        <v>1</v>
      </c>
      <c r="H2345" s="3">
        <f t="shared" si="320"/>
        <v>-2.1895148648465312E-3</v>
      </c>
      <c r="I2345" s="3">
        <f t="shared" si="321"/>
        <v>-2.1895148648465312E-3</v>
      </c>
      <c r="K2345" s="12" t="str">
        <f>IF(AND(G2345=1,G2344&lt;&gt;1),MAX($K$50:K2344)+1,"")</f>
        <v/>
      </c>
      <c r="L2345" s="13" t="str">
        <f>IF(AND(G2345&lt;&gt;1,G2344=1),MAX($L$50:L2344)+1,"")</f>
        <v/>
      </c>
      <c r="M2345" s="13" t="str">
        <f>IF(AND(G2345=-1,G2344&lt;&gt;-1),MAX($M$50:M2344)+1,"")</f>
        <v/>
      </c>
      <c r="N2345" s="13" t="str">
        <f>IF(AND(G2345&lt;&gt;-1,G2344=-1),MAX($N$50:N2344)+1,"")</f>
        <v/>
      </c>
      <c r="T2345" s="7">
        <f t="shared" si="322"/>
        <v>145.24607030499232</v>
      </c>
      <c r="U2345" s="1">
        <f t="shared" si="323"/>
        <v>307.6793342055081</v>
      </c>
    </row>
    <row r="2346" spans="1:21" x14ac:dyDescent="0.3">
      <c r="A2346" s="2">
        <v>43580</v>
      </c>
      <c r="B2346" s="1">
        <v>5853.87</v>
      </c>
      <c r="C2346" s="2">
        <f t="shared" si="315"/>
        <v>43580</v>
      </c>
      <c r="D2346" s="1">
        <f t="shared" si="316"/>
        <v>5853.87</v>
      </c>
      <c r="E2346" s="4">
        <f t="shared" si="317"/>
        <v>5657.0684000000001</v>
      </c>
      <c r="F2346" s="3">
        <f t="shared" si="318"/>
        <v>1.0347886194906182</v>
      </c>
      <c r="G2346" s="18">
        <f t="shared" si="319"/>
        <v>1</v>
      </c>
      <c r="H2346" s="3">
        <f t="shared" si="320"/>
        <v>-3.6885056941304839E-4</v>
      </c>
      <c r="I2346" s="3">
        <f t="shared" si="321"/>
        <v>-3.6885056941304839E-4</v>
      </c>
      <c r="K2346" s="12" t="str">
        <f>IF(AND(G2346=1,G2345&lt;&gt;1),MAX($K$50:K2345)+1,"")</f>
        <v/>
      </c>
      <c r="L2346" s="13" t="str">
        <f>IF(AND(G2346&lt;&gt;1,G2345=1),MAX($L$50:L2345)+1,"")</f>
        <v/>
      </c>
      <c r="M2346" s="13" t="str">
        <f>IF(AND(G2346=-1,G2345&lt;&gt;-1),MAX($M$50:M2345)+1,"")</f>
        <v/>
      </c>
      <c r="N2346" s="13" t="str">
        <f>IF(AND(G2346&lt;&gt;-1,G2345=-1),MAX($N$50:N2345)+1,"")</f>
        <v/>
      </c>
      <c r="T2346" s="7">
        <f t="shared" si="322"/>
        <v>145.19249620925532</v>
      </c>
      <c r="U2346" s="1">
        <f t="shared" si="323"/>
        <v>307.56584650788977</v>
      </c>
    </row>
    <row r="2347" spans="1:21" x14ac:dyDescent="0.3">
      <c r="A2347" s="2">
        <v>43581</v>
      </c>
      <c r="B2347" s="1">
        <v>5881.48</v>
      </c>
      <c r="C2347" s="2">
        <f t="shared" si="315"/>
        <v>43581</v>
      </c>
      <c r="D2347" s="1">
        <f t="shared" si="316"/>
        <v>5881.48</v>
      </c>
      <c r="E2347" s="4">
        <f t="shared" si="317"/>
        <v>5664.9785999999995</v>
      </c>
      <c r="F2347" s="3">
        <f t="shared" si="318"/>
        <v>1.0382175141844314</v>
      </c>
      <c r="G2347" s="18">
        <f t="shared" si="319"/>
        <v>1</v>
      </c>
      <c r="H2347" s="3">
        <f t="shared" si="320"/>
        <v>4.7165379483999903E-3</v>
      </c>
      <c r="I2347" s="3">
        <f t="shared" si="321"/>
        <v>4.7165379483999903E-3</v>
      </c>
      <c r="K2347" s="12" t="str">
        <f>IF(AND(G2347=1,G2346&lt;&gt;1),MAX($K$50:K2346)+1,"")</f>
        <v/>
      </c>
      <c r="L2347" s="13" t="str">
        <f>IF(AND(G2347&lt;&gt;1,G2346=1),MAX($L$50:L2346)+1,"")</f>
        <v/>
      </c>
      <c r="M2347" s="13" t="str">
        <f>IF(AND(G2347=-1,G2346&lt;&gt;-1),MAX($M$50:M2346)+1,"")</f>
        <v/>
      </c>
      <c r="N2347" s="13" t="str">
        <f>IF(AND(G2347&lt;&gt;-1,G2346=-1),MAX($N$50:N2346)+1,"")</f>
        <v/>
      </c>
      <c r="T2347" s="7">
        <f t="shared" si="322"/>
        <v>145.87730212744921</v>
      </c>
      <c r="U2347" s="1">
        <f t="shared" si="323"/>
        <v>309.01649249457597</v>
      </c>
    </row>
    <row r="2348" spans="1:21" x14ac:dyDescent="0.3">
      <c r="A2348" s="2">
        <v>43584</v>
      </c>
      <c r="B2348" s="1">
        <v>5888.05</v>
      </c>
      <c r="C2348" s="2">
        <f t="shared" si="315"/>
        <v>43584</v>
      </c>
      <c r="D2348" s="1">
        <f t="shared" si="316"/>
        <v>5888.05</v>
      </c>
      <c r="E2348" s="4">
        <f t="shared" si="317"/>
        <v>5673.2730000000001</v>
      </c>
      <c r="F2348" s="3">
        <f t="shared" si="318"/>
        <v>1.0378576881458024</v>
      </c>
      <c r="G2348" s="18">
        <f t="shared" si="319"/>
        <v>1</v>
      </c>
      <c r="H2348" s="3">
        <f t="shared" si="320"/>
        <v>1.1170657725607658E-3</v>
      </c>
      <c r="I2348" s="3">
        <f t="shared" si="321"/>
        <v>1.1170657725607658E-3</v>
      </c>
      <c r="K2348" s="12" t="str">
        <f>IF(AND(G2348=1,G2347&lt;&gt;1),MAX($K$50:K2347)+1,"")</f>
        <v/>
      </c>
      <c r="L2348" s="13" t="str">
        <f>IF(AND(G2348&lt;&gt;1,G2347=1),MAX($L$50:L2347)+1,"")</f>
        <v/>
      </c>
      <c r="M2348" s="13" t="str">
        <f>IF(AND(G2348=-1,G2347&lt;&gt;-1),MAX($M$50:M2347)+1,"")</f>
        <v/>
      </c>
      <c r="N2348" s="13" t="str">
        <f>IF(AND(G2348&lt;&gt;-1,G2347=-1),MAX($N$50:N2347)+1,"")</f>
        <v/>
      </c>
      <c r="T2348" s="7">
        <f t="shared" si="322"/>
        <v>146.04025666864928</v>
      </c>
      <c r="U2348" s="1">
        <f t="shared" si="323"/>
        <v>309.36168424149844</v>
      </c>
    </row>
    <row r="2349" spans="1:21" x14ac:dyDescent="0.3">
      <c r="A2349" s="2">
        <v>43585</v>
      </c>
      <c r="B2349" s="1">
        <v>5893.81</v>
      </c>
      <c r="C2349" s="2">
        <f t="shared" si="315"/>
        <v>43585</v>
      </c>
      <c r="D2349" s="1">
        <f t="shared" si="316"/>
        <v>5893.81</v>
      </c>
      <c r="E2349" s="4">
        <f t="shared" si="317"/>
        <v>5680.4838</v>
      </c>
      <c r="F2349" s="3">
        <f t="shared" si="318"/>
        <v>1.0375542308561818</v>
      </c>
      <c r="G2349" s="18">
        <f t="shared" si="319"/>
        <v>1</v>
      </c>
      <c r="H2349" s="3">
        <f t="shared" si="320"/>
        <v>9.7825256239336689E-4</v>
      </c>
      <c r="I2349" s="3">
        <f t="shared" si="321"/>
        <v>9.7825256239336689E-4</v>
      </c>
      <c r="K2349" s="12" t="str">
        <f>IF(AND(G2349=1,G2348&lt;&gt;1),MAX($K$50:K2348)+1,"")</f>
        <v/>
      </c>
      <c r="L2349" s="13" t="str">
        <f>IF(AND(G2349&lt;&gt;1,G2348=1),MAX($L$50:L2348)+1,"")</f>
        <v/>
      </c>
      <c r="M2349" s="13" t="str">
        <f>IF(AND(G2349=-1,G2348&lt;&gt;-1),MAX($M$50:M2348)+1,"")</f>
        <v/>
      </c>
      <c r="N2349" s="13" t="str">
        <f>IF(AND(G2349&lt;&gt;-1,G2348=-1),MAX($N$50:N2348)+1,"")</f>
        <v/>
      </c>
      <c r="T2349" s="7">
        <f t="shared" si="322"/>
        <v>146.18312092394797</v>
      </c>
      <c r="U2349" s="1">
        <f t="shared" si="323"/>
        <v>309.66431810181399</v>
      </c>
    </row>
    <row r="2350" spans="1:21" x14ac:dyDescent="0.3">
      <c r="A2350" s="2">
        <v>43586</v>
      </c>
      <c r="B2350" s="1">
        <v>5849.65</v>
      </c>
      <c r="C2350" s="2">
        <f t="shared" si="315"/>
        <v>43586</v>
      </c>
      <c r="D2350" s="1">
        <f t="shared" si="316"/>
        <v>5849.65</v>
      </c>
      <c r="E2350" s="4">
        <f t="shared" si="317"/>
        <v>5686.637200000001</v>
      </c>
      <c r="F2350" s="3">
        <f t="shared" si="318"/>
        <v>1.0286659398633693</v>
      </c>
      <c r="G2350" s="18">
        <f t="shared" si="319"/>
        <v>1</v>
      </c>
      <c r="H2350" s="3">
        <f t="shared" si="320"/>
        <v>-7.4926066500278221E-3</v>
      </c>
      <c r="I2350" s="3">
        <f t="shared" si="321"/>
        <v>-7.4926066500278221E-3</v>
      </c>
      <c r="K2350" s="12" t="str">
        <f>IF(AND(G2350=1,G2349&lt;&gt;1),MAX($K$50:K2349)+1,"")</f>
        <v/>
      </c>
      <c r="L2350" s="13" t="str">
        <f>IF(AND(G2350&lt;&gt;1,G2349=1),MAX($L$50:L2349)+1,"")</f>
        <v/>
      </c>
      <c r="M2350" s="13" t="str">
        <f>IF(AND(G2350=-1,G2349&lt;&gt;-1),MAX($M$50:M2349)+1,"")</f>
        <v/>
      </c>
      <c r="N2350" s="13" t="str">
        <f>IF(AND(G2350&lt;&gt;-1,G2349=-1),MAX($N$50:N2349)+1,"")</f>
        <v/>
      </c>
      <c r="T2350" s="7">
        <f t="shared" si="322"/>
        <v>145.08782829999137</v>
      </c>
      <c r="U2350" s="1">
        <f t="shared" si="323"/>
        <v>307.34412517272801</v>
      </c>
    </row>
    <row r="2351" spans="1:21" x14ac:dyDescent="0.3">
      <c r="A2351" s="2">
        <v>43587</v>
      </c>
      <c r="B2351" s="1">
        <v>5837.46</v>
      </c>
      <c r="C2351" s="2">
        <f t="shared" si="315"/>
        <v>43587</v>
      </c>
      <c r="D2351" s="1">
        <f t="shared" si="316"/>
        <v>5837.46</v>
      </c>
      <c r="E2351" s="4">
        <f t="shared" si="317"/>
        <v>5692.3284000000012</v>
      </c>
      <c r="F2351" s="3">
        <f t="shared" si="318"/>
        <v>1.0254959991415813</v>
      </c>
      <c r="G2351" s="18">
        <f t="shared" si="319"/>
        <v>1</v>
      </c>
      <c r="H2351" s="3">
        <f t="shared" si="320"/>
        <v>-2.0838853606625074E-3</v>
      </c>
      <c r="I2351" s="3">
        <f t="shared" si="321"/>
        <v>-2.0838853606625074E-3</v>
      </c>
      <c r="K2351" s="12" t="str">
        <f>IF(AND(G2351=1,G2350&lt;&gt;1),MAX($K$50:K2350)+1,"")</f>
        <v/>
      </c>
      <c r="L2351" s="13" t="str">
        <f>IF(AND(G2351&lt;&gt;1,G2350=1),MAX($L$50:L2350)+1,"")</f>
        <v/>
      </c>
      <c r="M2351" s="13" t="str">
        <f>IF(AND(G2351=-1,G2350&lt;&gt;-1),MAX($M$50:M2350)+1,"")</f>
        <v/>
      </c>
      <c r="N2351" s="13" t="str">
        <f>IF(AND(G2351&lt;&gt;-1,G2350=-1),MAX($N$50:N2350)+1,"")</f>
        <v/>
      </c>
      <c r="T2351" s="7">
        <f t="shared" si="322"/>
        <v>144.78548189858671</v>
      </c>
      <c r="U2351" s="1">
        <f t="shared" si="323"/>
        <v>306.70365524959493</v>
      </c>
    </row>
    <row r="2352" spans="1:21" x14ac:dyDescent="0.3">
      <c r="A2352" s="2">
        <v>43588</v>
      </c>
      <c r="B2352" s="1">
        <v>5894.3</v>
      </c>
      <c r="C2352" s="2">
        <f t="shared" si="315"/>
        <v>43588</v>
      </c>
      <c r="D2352" s="1">
        <f t="shared" si="316"/>
        <v>5894.3</v>
      </c>
      <c r="E2352" s="4">
        <f t="shared" si="317"/>
        <v>5699.5384000000013</v>
      </c>
      <c r="F2352" s="3">
        <f t="shared" si="318"/>
        <v>1.0341714690438788</v>
      </c>
      <c r="G2352" s="18">
        <f t="shared" si="319"/>
        <v>1</v>
      </c>
      <c r="H2352" s="3">
        <f t="shared" si="320"/>
        <v>9.7371116889879428E-3</v>
      </c>
      <c r="I2352" s="3">
        <f t="shared" si="321"/>
        <v>9.7371116889879428E-3</v>
      </c>
      <c r="K2352" s="12" t="str">
        <f>IF(AND(G2352=1,G2351&lt;&gt;1),MAX($K$50:K2351)+1,"")</f>
        <v/>
      </c>
      <c r="L2352" s="13" t="str">
        <f>IF(AND(G2352&lt;&gt;1,G2351=1),MAX($L$50:L2351)+1,"")</f>
        <v/>
      </c>
      <c r="M2352" s="13" t="str">
        <f>IF(AND(G2352=-1,G2351&lt;&gt;-1),MAX($M$50:M2351)+1,"")</f>
        <v/>
      </c>
      <c r="N2352" s="13" t="str">
        <f>IF(AND(G2352&lt;&gt;-1,G2351=-1),MAX($N$50:N2351)+1,"")</f>
        <v/>
      </c>
      <c r="T2352" s="7">
        <f t="shared" si="322"/>
        <v>146.19527430677718</v>
      </c>
      <c r="U2352" s="1">
        <f t="shared" si="323"/>
        <v>309.6900629961811</v>
      </c>
    </row>
    <row r="2353" spans="1:21" x14ac:dyDescent="0.3">
      <c r="A2353" s="2">
        <v>43591</v>
      </c>
      <c r="B2353" s="1">
        <v>5868.45</v>
      </c>
      <c r="C2353" s="2">
        <f t="shared" si="315"/>
        <v>43591</v>
      </c>
      <c r="D2353" s="1">
        <f t="shared" si="316"/>
        <v>5868.45</v>
      </c>
      <c r="E2353" s="4">
        <f t="shared" si="317"/>
        <v>5705.5184000000008</v>
      </c>
      <c r="F2353" s="3">
        <f t="shared" si="318"/>
        <v>1.0285568441949111</v>
      </c>
      <c r="G2353" s="18">
        <f t="shared" si="319"/>
        <v>1</v>
      </c>
      <c r="H2353" s="3">
        <f t="shared" si="320"/>
        <v>-4.3855928608995676E-3</v>
      </c>
      <c r="I2353" s="3">
        <f t="shared" si="321"/>
        <v>-4.3855928608995676E-3</v>
      </c>
      <c r="K2353" s="12" t="str">
        <f>IF(AND(G2353=1,G2352&lt;&gt;1),MAX($K$50:K2352)+1,"")</f>
        <v/>
      </c>
      <c r="L2353" s="13" t="str">
        <f>IF(AND(G2353&lt;&gt;1,G2352=1),MAX($L$50:L2352)+1,"")</f>
        <v/>
      </c>
      <c r="M2353" s="13" t="str">
        <f>IF(AND(G2353=-1,G2352&lt;&gt;-1),MAX($M$50:M2352)+1,"")</f>
        <v/>
      </c>
      <c r="N2353" s="13" t="str">
        <f>IF(AND(G2353&lt;&gt;-1,G2352=-1),MAX($N$50:N2352)+1,"")</f>
        <v/>
      </c>
      <c r="T2353" s="7">
        <f t="shared" si="322"/>
        <v>145.55412135548013</v>
      </c>
      <c r="U2353" s="1">
        <f t="shared" si="323"/>
        <v>308.3318884668135</v>
      </c>
    </row>
    <row r="2354" spans="1:21" x14ac:dyDescent="0.3">
      <c r="A2354" s="2">
        <v>43592</v>
      </c>
      <c r="B2354" s="1">
        <v>5771.59</v>
      </c>
      <c r="C2354" s="2">
        <f t="shared" si="315"/>
        <v>43592</v>
      </c>
      <c r="D2354" s="1">
        <f t="shared" si="316"/>
        <v>5771.59</v>
      </c>
      <c r="E2354" s="4">
        <f t="shared" si="317"/>
        <v>5709.4083999999993</v>
      </c>
      <c r="F2354" s="3">
        <f t="shared" si="318"/>
        <v>1.0108910758599789</v>
      </c>
      <c r="G2354" s="18">
        <f t="shared" si="319"/>
        <v>1</v>
      </c>
      <c r="H2354" s="3">
        <f t="shared" si="320"/>
        <v>-1.6505210063986198E-2</v>
      </c>
      <c r="I2354" s="3">
        <f t="shared" si="321"/>
        <v>-1.6505210063986198E-2</v>
      </c>
      <c r="K2354" s="12" t="str">
        <f>IF(AND(G2354=1,G2353&lt;&gt;1),MAX($K$50:K2353)+1,"")</f>
        <v/>
      </c>
      <c r="L2354" s="13" t="str">
        <f>IF(AND(G2354&lt;&gt;1,G2353=1),MAX($L$50:L2353)+1,"")</f>
        <v/>
      </c>
      <c r="M2354" s="13" t="str">
        <f>IF(AND(G2354=-1,G2353&lt;&gt;-1),MAX($M$50:M2353)+1,"")</f>
        <v/>
      </c>
      <c r="N2354" s="13" t="str">
        <f>IF(AND(G2354&lt;&gt;-1,G2353=-1),MAX($N$50:N2353)+1,"")</f>
        <v/>
      </c>
      <c r="T2354" s="7">
        <f t="shared" si="322"/>
        <v>143.15172000682901</v>
      </c>
      <c r="U2354" s="1">
        <f t="shared" si="323"/>
        <v>303.24280587824319</v>
      </c>
    </row>
    <row r="2355" spans="1:21" x14ac:dyDescent="0.3">
      <c r="A2355" s="2">
        <v>43593</v>
      </c>
      <c r="B2355" s="1">
        <v>5762.48</v>
      </c>
      <c r="C2355" s="2">
        <f t="shared" si="315"/>
        <v>43593</v>
      </c>
      <c r="D2355" s="1">
        <f t="shared" si="316"/>
        <v>5762.48</v>
      </c>
      <c r="E2355" s="4">
        <f t="shared" si="317"/>
        <v>5713.2031999999999</v>
      </c>
      <c r="F2355" s="3">
        <f t="shared" si="318"/>
        <v>1.0086250739340059</v>
      </c>
      <c r="G2355" s="18">
        <f t="shared" si="319"/>
        <v>1</v>
      </c>
      <c r="H2355" s="3">
        <f t="shared" si="320"/>
        <v>-1.5784211976249685E-3</v>
      </c>
      <c r="I2355" s="3">
        <f t="shared" si="321"/>
        <v>-1.5784211976249685E-3</v>
      </c>
      <c r="K2355" s="12" t="str">
        <f>IF(AND(G2355=1,G2354&lt;&gt;1),MAX($K$50:K2354)+1,"")</f>
        <v/>
      </c>
      <c r="L2355" s="13" t="str">
        <f>IF(AND(G2355&lt;&gt;1,G2354=1),MAX($L$50:L2354)+1,"")</f>
        <v/>
      </c>
      <c r="M2355" s="13" t="str">
        <f>IF(AND(G2355=-1,G2354&lt;&gt;-1),MAX($M$50:M2354)+1,"")</f>
        <v/>
      </c>
      <c r="N2355" s="13" t="str">
        <f>IF(AND(G2355&lt;&gt;-1,G2354=-1),MAX($N$50:N2354)+1,"")</f>
        <v/>
      </c>
      <c r="T2355" s="7">
        <f t="shared" si="322"/>
        <v>142.92576629749377</v>
      </c>
      <c r="U2355" s="1">
        <f t="shared" si="323"/>
        <v>302.76416100541769</v>
      </c>
    </row>
    <row r="2356" spans="1:21" x14ac:dyDescent="0.3">
      <c r="A2356" s="2">
        <v>43594</v>
      </c>
      <c r="B2356" s="1">
        <v>5747.08</v>
      </c>
      <c r="C2356" s="2">
        <f t="shared" ref="C2356:C2419" si="324">A2356</f>
        <v>43594</v>
      </c>
      <c r="D2356" s="1">
        <f t="shared" ref="D2356:D2419" si="325">B2356</f>
        <v>5747.08</v>
      </c>
      <c r="E2356" s="4">
        <f t="shared" ref="E2356:E2419" si="326">AVERAGE(B2307:B2356)</f>
        <v>5716.7334000000001</v>
      </c>
      <c r="F2356" s="3">
        <f t="shared" ref="F2356:F2419" si="327">D2356/E2356</f>
        <v>1.0053083811814627</v>
      </c>
      <c r="G2356" s="18">
        <f t="shared" ref="G2356:G2419" si="328">IF(F2356&gt;=$Q$51,1,IF(F2356&lt;=$Q$52,-1,0))</f>
        <v>1</v>
      </c>
      <c r="H2356" s="3">
        <f t="shared" si="320"/>
        <v>-2.67246046840941E-3</v>
      </c>
      <c r="I2356" s="3">
        <f t="shared" si="321"/>
        <v>-2.67246046840941E-3</v>
      </c>
      <c r="K2356" s="12" t="str">
        <f>IF(AND(G2356=1,G2355&lt;&gt;1),MAX($K$50:K2355)+1,"")</f>
        <v/>
      </c>
      <c r="L2356" s="13" t="str">
        <f>IF(AND(G2356&lt;&gt;1,G2355=1),MAX($L$50:L2355)+1,"")</f>
        <v/>
      </c>
      <c r="M2356" s="13" t="str">
        <f>IF(AND(G2356=-1,G2355&lt;&gt;-1),MAX($M$50:M2355)+1,"")</f>
        <v/>
      </c>
      <c r="N2356" s="13" t="str">
        <f>IF(AND(G2356&lt;&gt;-1,G2355=-1),MAX($N$50:N2355)+1,"")</f>
        <v/>
      </c>
      <c r="T2356" s="7">
        <f t="shared" si="322"/>
        <v>142.54380283714659</v>
      </c>
      <c r="U2356" s="1">
        <f t="shared" si="323"/>
        <v>301.9550357538796</v>
      </c>
    </row>
    <row r="2357" spans="1:21" x14ac:dyDescent="0.3">
      <c r="A2357" s="2">
        <v>43595</v>
      </c>
      <c r="B2357" s="1">
        <v>5770.44</v>
      </c>
      <c r="C2357" s="2">
        <f t="shared" si="324"/>
        <v>43595</v>
      </c>
      <c r="D2357" s="1">
        <f t="shared" si="325"/>
        <v>5770.44</v>
      </c>
      <c r="E2357" s="4">
        <f t="shared" si="326"/>
        <v>5721.0123999999996</v>
      </c>
      <c r="F2357" s="3">
        <f t="shared" si="327"/>
        <v>1.0086396596518477</v>
      </c>
      <c r="G2357" s="18">
        <f t="shared" si="328"/>
        <v>1</v>
      </c>
      <c r="H2357" s="3">
        <f t="shared" ref="H2357:H2420" si="329">D2357/D2356-1</f>
        <v>4.0646728425564049E-3</v>
      </c>
      <c r="I2357" s="3">
        <f t="shared" ref="I2357:I2420" si="330">G2356*H2357</f>
        <v>4.0646728425564049E-3</v>
      </c>
      <c r="K2357" s="12" t="str">
        <f>IF(AND(G2357=1,G2356&lt;&gt;1),MAX($K$50:K2356)+1,"")</f>
        <v/>
      </c>
      <c r="L2357" s="13" t="str">
        <f>IF(AND(G2357&lt;&gt;1,G2356=1),MAX($L$50:L2356)+1,"")</f>
        <v/>
      </c>
      <c r="M2357" s="13" t="str">
        <f>IF(AND(G2357=-1,G2356&lt;&gt;-1),MAX($M$50:M2356)+1,"")</f>
        <v/>
      </c>
      <c r="N2357" s="13" t="str">
        <f>IF(AND(G2357&lt;&gt;-1,G2356=-1),MAX($N$50:N2356)+1,"")</f>
        <v/>
      </c>
      <c r="T2357" s="7">
        <f t="shared" ref="T2357:T2420" si="331">T2356*(1+I2357)</f>
        <v>143.12319676141345</v>
      </c>
      <c r="U2357" s="1">
        <f t="shared" ref="U2357:U2420" si="332">U2356*D2357/D2356</f>
        <v>303.18238418738156</v>
      </c>
    </row>
    <row r="2358" spans="1:21" x14ac:dyDescent="0.3">
      <c r="A2358" s="2">
        <v>43598</v>
      </c>
      <c r="B2358" s="1">
        <v>5631.41</v>
      </c>
      <c r="C2358" s="2">
        <f t="shared" si="324"/>
        <v>43598</v>
      </c>
      <c r="D2358" s="1">
        <f t="shared" si="325"/>
        <v>5631.41</v>
      </c>
      <c r="E2358" s="4">
        <f t="shared" si="326"/>
        <v>5721.7383999999993</v>
      </c>
      <c r="F2358" s="3">
        <f t="shared" si="327"/>
        <v>0.98421311956520074</v>
      </c>
      <c r="G2358" s="18">
        <f t="shared" si="328"/>
        <v>1</v>
      </c>
      <c r="H2358" s="3">
        <f t="shared" si="329"/>
        <v>-2.4093483339225341E-2</v>
      </c>
      <c r="I2358" s="3">
        <f t="shared" si="330"/>
        <v>-2.4093483339225341E-2</v>
      </c>
      <c r="K2358" s="12" t="str">
        <f>IF(AND(G2358=1,G2357&lt;&gt;1),MAX($K$50:K2357)+1,"")</f>
        <v/>
      </c>
      <c r="L2358" s="13" t="str">
        <f>IF(AND(G2358&lt;&gt;1,G2357=1),MAX($L$50:L2357)+1,"")</f>
        <v/>
      </c>
      <c r="M2358" s="13" t="str">
        <f>IF(AND(G2358=-1,G2357&lt;&gt;-1),MAX($M$50:M2357)+1,"")</f>
        <v/>
      </c>
      <c r="N2358" s="13" t="str">
        <f>IF(AND(G2358&lt;&gt;-1,G2357=-1),MAX($N$50:N2357)+1,"")</f>
        <v/>
      </c>
      <c r="T2358" s="7">
        <f t="shared" si="331"/>
        <v>139.67486040478568</v>
      </c>
      <c r="U2358" s="1">
        <f t="shared" si="332"/>
        <v>295.87766446521624</v>
      </c>
    </row>
    <row r="2359" spans="1:21" x14ac:dyDescent="0.3">
      <c r="A2359" s="2">
        <v>43599</v>
      </c>
      <c r="B2359" s="1">
        <v>5677.2</v>
      </c>
      <c r="C2359" s="2">
        <f t="shared" si="324"/>
        <v>43599</v>
      </c>
      <c r="D2359" s="1">
        <f t="shared" si="325"/>
        <v>5677.2</v>
      </c>
      <c r="E2359" s="4">
        <f t="shared" si="326"/>
        <v>5723.8117999999995</v>
      </c>
      <c r="F2359" s="3">
        <f t="shared" si="327"/>
        <v>0.99185651072594672</v>
      </c>
      <c r="G2359" s="18">
        <f t="shared" si="328"/>
        <v>1</v>
      </c>
      <c r="H2359" s="3">
        <f t="shared" si="329"/>
        <v>8.1311785147946125E-3</v>
      </c>
      <c r="I2359" s="3">
        <f t="shared" si="330"/>
        <v>8.1311785147946125E-3</v>
      </c>
      <c r="K2359" s="12" t="str">
        <f>IF(AND(G2359=1,G2358&lt;&gt;1),MAX($K$50:K2358)+1,"")</f>
        <v/>
      </c>
      <c r="L2359" s="13" t="str">
        <f>IF(AND(G2359&lt;&gt;1,G2358=1),MAX($L$50:L2358)+1,"")</f>
        <v/>
      </c>
      <c r="M2359" s="13" t="str">
        <f>IF(AND(G2359=-1,G2358&lt;&gt;-1),MAX($M$50:M2358)+1,"")</f>
        <v/>
      </c>
      <c r="N2359" s="13" t="str">
        <f>IF(AND(G2359&lt;&gt;-1,G2358=-1),MAX($N$50:N2358)+1,"")</f>
        <v/>
      </c>
      <c r="T2359" s="7">
        <f t="shared" si="331"/>
        <v>140.81058162876602</v>
      </c>
      <c r="U2359" s="1">
        <f t="shared" si="332"/>
        <v>298.28349857352345</v>
      </c>
    </row>
    <row r="2360" spans="1:21" x14ac:dyDescent="0.3">
      <c r="A2360" s="2">
        <v>43600</v>
      </c>
      <c r="B2360" s="1">
        <v>5711.49</v>
      </c>
      <c r="C2360" s="2">
        <f t="shared" si="324"/>
        <v>43600</v>
      </c>
      <c r="D2360" s="1">
        <f t="shared" si="325"/>
        <v>5711.49</v>
      </c>
      <c r="E2360" s="4">
        <f t="shared" si="326"/>
        <v>5726.6935999999987</v>
      </c>
      <c r="F2360" s="3">
        <f t="shared" si="327"/>
        <v>0.99734513472136888</v>
      </c>
      <c r="G2360" s="18">
        <f t="shared" si="328"/>
        <v>1</v>
      </c>
      <c r="H2360" s="3">
        <f t="shared" si="329"/>
        <v>6.0399492707672309E-3</v>
      </c>
      <c r="I2360" s="3">
        <f t="shared" si="330"/>
        <v>6.0399492707672309E-3</v>
      </c>
      <c r="K2360" s="12" t="str">
        <f>IF(AND(G2360=1,G2359&lt;&gt;1),MAX($K$50:K2359)+1,"")</f>
        <v/>
      </c>
      <c r="L2360" s="13" t="str">
        <f>IF(AND(G2360&lt;&gt;1,G2359=1),MAX($L$50:L2359)+1,"")</f>
        <v/>
      </c>
      <c r="M2360" s="13" t="str">
        <f>IF(AND(G2360=-1,G2359&lt;&gt;-1),MAX($M$50:M2359)+1,"")</f>
        <v/>
      </c>
      <c r="N2360" s="13" t="str">
        <f>IF(AND(G2360&lt;&gt;-1,G2359=-1),MAX($N$50:N2359)+1,"")</f>
        <v/>
      </c>
      <c r="T2360" s="7">
        <f t="shared" si="331"/>
        <v>141.66107039859099</v>
      </c>
      <c r="U2360" s="1">
        <f t="shared" si="332"/>
        <v>300.08511577321451</v>
      </c>
    </row>
    <row r="2361" spans="1:21" x14ac:dyDescent="0.3">
      <c r="A2361" s="2">
        <v>43601</v>
      </c>
      <c r="B2361" s="1">
        <v>5763.95</v>
      </c>
      <c r="C2361" s="2">
        <f t="shared" si="324"/>
        <v>43601</v>
      </c>
      <c r="D2361" s="1">
        <f t="shared" si="325"/>
        <v>5763.95</v>
      </c>
      <c r="E2361" s="4">
        <f t="shared" si="326"/>
        <v>5731.3457999999982</v>
      </c>
      <c r="F2361" s="3">
        <f t="shared" si="327"/>
        <v>1.0056887511481163</v>
      </c>
      <c r="G2361" s="18">
        <f t="shared" si="328"/>
        <v>1</v>
      </c>
      <c r="H2361" s="3">
        <f t="shared" si="329"/>
        <v>9.1849937581962582E-3</v>
      </c>
      <c r="I2361" s="3">
        <f t="shared" si="330"/>
        <v>9.1849937581962582E-3</v>
      </c>
      <c r="K2361" s="12" t="str">
        <f>IF(AND(G2361=1,G2360&lt;&gt;1),MAX($K$50:K2360)+1,"")</f>
        <v/>
      </c>
      <c r="L2361" s="13" t="str">
        <f>IF(AND(G2361&lt;&gt;1,G2360=1),MAX($L$50:L2360)+1,"")</f>
        <v/>
      </c>
      <c r="M2361" s="13" t="str">
        <f>IF(AND(G2361=-1,G2360&lt;&gt;-1),MAX($M$50:M2360)+1,"")</f>
        <v/>
      </c>
      <c r="N2361" s="13" t="str">
        <f>IF(AND(G2361&lt;&gt;-1,G2360=-1),MAX($N$50:N2360)+1,"")</f>
        <v/>
      </c>
      <c r="T2361" s="7">
        <f t="shared" si="331"/>
        <v>142.96222644598146</v>
      </c>
      <c r="U2361" s="1">
        <f t="shared" si="332"/>
        <v>302.84139568851907</v>
      </c>
    </row>
    <row r="2362" spans="1:21" x14ac:dyDescent="0.3">
      <c r="A2362" s="2">
        <v>43602</v>
      </c>
      <c r="B2362" s="1">
        <v>5730.89</v>
      </c>
      <c r="C2362" s="2">
        <f t="shared" si="324"/>
        <v>43602</v>
      </c>
      <c r="D2362" s="1">
        <f t="shared" si="325"/>
        <v>5730.89</v>
      </c>
      <c r="E2362" s="4">
        <f t="shared" si="326"/>
        <v>5736.2124000000003</v>
      </c>
      <c r="F2362" s="3">
        <f t="shared" si="327"/>
        <v>0.99907214035519321</v>
      </c>
      <c r="G2362" s="18">
        <f t="shared" si="328"/>
        <v>1</v>
      </c>
      <c r="H2362" s="3">
        <f t="shared" si="329"/>
        <v>-5.7356500316622094E-3</v>
      </c>
      <c r="I2362" s="3">
        <f t="shared" si="330"/>
        <v>-5.7356500316622094E-3</v>
      </c>
      <c r="K2362" s="12" t="str">
        <f>IF(AND(G2362=1,G2361&lt;&gt;1),MAX($K$50:K2361)+1,"")</f>
        <v/>
      </c>
      <c r="L2362" s="13" t="str">
        <f>IF(AND(G2362&lt;&gt;1,G2361=1),MAX($L$50:L2361)+1,"")</f>
        <v/>
      </c>
      <c r="M2362" s="13" t="str">
        <f>IF(AND(G2362=-1,G2361&lt;&gt;-1),MAX($M$50:M2361)+1,"")</f>
        <v/>
      </c>
      <c r="N2362" s="13" t="str">
        <f>IF(AND(G2362&lt;&gt;-1,G2361=-1),MAX($N$50:N2361)+1,"")</f>
        <v/>
      </c>
      <c r="T2362" s="7">
        <f t="shared" si="331"/>
        <v>142.14224514734008</v>
      </c>
      <c r="U2362" s="1">
        <f t="shared" si="332"/>
        <v>301.10440342774956</v>
      </c>
    </row>
    <row r="2363" spans="1:21" x14ac:dyDescent="0.3">
      <c r="A2363" s="2">
        <v>43605</v>
      </c>
      <c r="B2363" s="1">
        <v>5692.3</v>
      </c>
      <c r="C2363" s="2">
        <f t="shared" si="324"/>
        <v>43605</v>
      </c>
      <c r="D2363" s="1">
        <f t="shared" si="325"/>
        <v>5692.3</v>
      </c>
      <c r="E2363" s="4">
        <f t="shared" si="326"/>
        <v>5740.530600000001</v>
      </c>
      <c r="F2363" s="3">
        <f t="shared" si="327"/>
        <v>0.99159823309712858</v>
      </c>
      <c r="G2363" s="18">
        <f t="shared" si="328"/>
        <v>1</v>
      </c>
      <c r="H2363" s="3">
        <f t="shared" si="329"/>
        <v>-6.7336835988826005E-3</v>
      </c>
      <c r="I2363" s="3">
        <f t="shared" si="330"/>
        <v>-6.7336835988826005E-3</v>
      </c>
      <c r="K2363" s="12" t="str">
        <f>IF(AND(G2363=1,G2362&lt;&gt;1),MAX($K$50:K2362)+1,"")</f>
        <v/>
      </c>
      <c r="L2363" s="13" t="str">
        <f>IF(AND(G2363&lt;&gt;1,G2362=1),MAX($L$50:L2362)+1,"")</f>
        <v/>
      </c>
      <c r="M2363" s="13" t="str">
        <f>IF(AND(G2363=-1,G2362&lt;&gt;-1),MAX($M$50:M2362)+1,"")</f>
        <v/>
      </c>
      <c r="N2363" s="13" t="str">
        <f>IF(AND(G2363&lt;&gt;-1,G2362=-1),MAX($N$50:N2362)+1,"")</f>
        <v/>
      </c>
      <c r="T2363" s="7">
        <f t="shared" si="331"/>
        <v>141.18510424248308</v>
      </c>
      <c r="U2363" s="1">
        <f t="shared" si="332"/>
        <v>299.07686164483681</v>
      </c>
    </row>
    <row r="2364" spans="1:21" x14ac:dyDescent="0.3">
      <c r="A2364" s="2">
        <v>43606</v>
      </c>
      <c r="B2364" s="1">
        <v>5740.81</v>
      </c>
      <c r="C2364" s="2">
        <f t="shared" si="324"/>
        <v>43606</v>
      </c>
      <c r="D2364" s="1">
        <f t="shared" si="325"/>
        <v>5740.81</v>
      </c>
      <c r="E2364" s="4">
        <f t="shared" si="326"/>
        <v>5744.2114000000001</v>
      </c>
      <c r="F2364" s="3">
        <f t="shared" si="327"/>
        <v>0.99940785605487992</v>
      </c>
      <c r="G2364" s="18">
        <f t="shared" si="328"/>
        <v>1</v>
      </c>
      <c r="H2364" s="3">
        <f t="shared" si="329"/>
        <v>8.5220385432953627E-3</v>
      </c>
      <c r="I2364" s="3">
        <f t="shared" si="330"/>
        <v>8.5220385432953627E-3</v>
      </c>
      <c r="K2364" s="12" t="str">
        <f>IF(AND(G2364=1,G2363&lt;&gt;1),MAX($K$50:K2363)+1,"")</f>
        <v/>
      </c>
      <c r="L2364" s="13" t="str">
        <f>IF(AND(G2364&lt;&gt;1,G2363=1),MAX($L$50:L2363)+1,"")</f>
        <v/>
      </c>
      <c r="M2364" s="13" t="str">
        <f>IF(AND(G2364=-1,G2363&lt;&gt;-1),MAX($M$50:M2363)+1,"")</f>
        <v/>
      </c>
      <c r="N2364" s="13" t="str">
        <f>IF(AND(G2364&lt;&gt;-1,G2363=-1),MAX($N$50:N2363)+1,"")</f>
        <v/>
      </c>
      <c r="T2364" s="7">
        <f t="shared" si="331"/>
        <v>142.3882891425767</v>
      </c>
      <c r="U2364" s="1">
        <f t="shared" si="332"/>
        <v>301.62560618718192</v>
      </c>
    </row>
    <row r="2365" spans="1:21" x14ac:dyDescent="0.3">
      <c r="A2365" s="2">
        <v>43607</v>
      </c>
      <c r="B2365" s="1">
        <v>5724.71</v>
      </c>
      <c r="C2365" s="2">
        <f t="shared" si="324"/>
        <v>43607</v>
      </c>
      <c r="D2365" s="1">
        <f t="shared" si="325"/>
        <v>5724.71</v>
      </c>
      <c r="E2365" s="4">
        <f t="shared" si="326"/>
        <v>5747.2368000000006</v>
      </c>
      <c r="F2365" s="3">
        <f t="shared" si="327"/>
        <v>0.99608041206863085</v>
      </c>
      <c r="G2365" s="18">
        <f t="shared" si="328"/>
        <v>1</v>
      </c>
      <c r="H2365" s="3">
        <f t="shared" si="329"/>
        <v>-2.8044822943104064E-3</v>
      </c>
      <c r="I2365" s="3">
        <f t="shared" si="330"/>
        <v>-2.8044822943104064E-3</v>
      </c>
      <c r="K2365" s="12" t="str">
        <f>IF(AND(G2365=1,G2364&lt;&gt;1),MAX($K$50:K2364)+1,"")</f>
        <v/>
      </c>
      <c r="L2365" s="13" t="str">
        <f>IF(AND(G2365&lt;&gt;1,G2364=1),MAX($L$50:L2364)+1,"")</f>
        <v/>
      </c>
      <c r="M2365" s="13" t="str">
        <f>IF(AND(G2365=-1,G2364&lt;&gt;-1),MAX($M$50:M2364)+1,"")</f>
        <v/>
      </c>
      <c r="N2365" s="13" t="str">
        <f>IF(AND(G2365&lt;&gt;-1,G2364=-1),MAX($N$50:N2364)+1,"")</f>
        <v/>
      </c>
      <c r="T2365" s="7">
        <f t="shared" si="331"/>
        <v>141.98896370675919</v>
      </c>
      <c r="U2365" s="1">
        <f t="shared" si="332"/>
        <v>300.77970251511931</v>
      </c>
    </row>
    <row r="2366" spans="1:21" x14ac:dyDescent="0.3">
      <c r="A2366" s="2">
        <v>43608</v>
      </c>
      <c r="B2366" s="1">
        <v>5657.1</v>
      </c>
      <c r="C2366" s="2">
        <f t="shared" si="324"/>
        <v>43608</v>
      </c>
      <c r="D2366" s="1">
        <f t="shared" si="325"/>
        <v>5657.1</v>
      </c>
      <c r="E2366" s="4">
        <f t="shared" si="326"/>
        <v>5748.1275999999989</v>
      </c>
      <c r="F2366" s="3">
        <f t="shared" si="327"/>
        <v>0.98416395627682329</v>
      </c>
      <c r="G2366" s="18">
        <f t="shared" si="328"/>
        <v>1</v>
      </c>
      <c r="H2366" s="3">
        <f t="shared" si="329"/>
        <v>-1.1810205233103499E-2</v>
      </c>
      <c r="I2366" s="3">
        <f t="shared" si="330"/>
        <v>-1.1810205233103499E-2</v>
      </c>
      <c r="K2366" s="12" t="str">
        <f>IF(AND(G2366=1,G2365&lt;&gt;1),MAX($K$50:K2365)+1,"")</f>
        <v/>
      </c>
      <c r="L2366" s="13" t="str">
        <f>IF(AND(G2366&lt;&gt;1,G2365=1),MAX($L$50:L2365)+1,"")</f>
        <v/>
      </c>
      <c r="M2366" s="13" t="str">
        <f>IF(AND(G2366=-1,G2365&lt;&gt;-1),MAX($M$50:M2365)+1,"")</f>
        <v/>
      </c>
      <c r="N2366" s="13" t="str">
        <f>IF(AND(G2366&lt;&gt;-1,G2365=-1),MAX($N$50:N2365)+1,"")</f>
        <v/>
      </c>
      <c r="T2366" s="7">
        <f t="shared" si="331"/>
        <v>140.3120449045467</v>
      </c>
      <c r="U2366" s="1">
        <f t="shared" si="332"/>
        <v>297.22743249846394</v>
      </c>
    </row>
    <row r="2367" spans="1:21" x14ac:dyDescent="0.3">
      <c r="A2367" s="2">
        <v>43609</v>
      </c>
      <c r="B2367" s="1">
        <v>5665.6</v>
      </c>
      <c r="C2367" s="2">
        <f t="shared" si="324"/>
        <v>43609</v>
      </c>
      <c r="D2367" s="1">
        <f t="shared" si="325"/>
        <v>5665.6</v>
      </c>
      <c r="E2367" s="4">
        <f t="shared" si="326"/>
        <v>5749.2477999999992</v>
      </c>
      <c r="F2367" s="3">
        <f t="shared" si="327"/>
        <v>0.9854506532141476</v>
      </c>
      <c r="G2367" s="18">
        <f t="shared" si="328"/>
        <v>1</v>
      </c>
      <c r="H2367" s="3">
        <f t="shared" si="329"/>
        <v>1.5025366353784708E-3</v>
      </c>
      <c r="I2367" s="3">
        <f t="shared" si="330"/>
        <v>1.5025366353784708E-3</v>
      </c>
      <c r="K2367" s="12" t="str">
        <f>IF(AND(G2367=1,G2366&lt;&gt;1),MAX($K$50:K2366)+1,"")</f>
        <v/>
      </c>
      <c r="L2367" s="13" t="str">
        <f>IF(AND(G2367&lt;&gt;1,G2366=1),MAX($L$50:L2366)+1,"")</f>
        <v/>
      </c>
      <c r="M2367" s="13" t="str">
        <f>IF(AND(G2367=-1,G2366&lt;&gt;-1),MAX($M$50:M2366)+1,"")</f>
        <v/>
      </c>
      <c r="N2367" s="13" t="str">
        <f>IF(AND(G2367&lt;&gt;-1,G2366=-1),MAX($N$50:N2366)+1,"")</f>
        <v/>
      </c>
      <c r="T2367" s="7">
        <f t="shared" si="331"/>
        <v>140.52286889240065</v>
      </c>
      <c r="U2367" s="1">
        <f t="shared" si="332"/>
        <v>297.67402760483236</v>
      </c>
    </row>
    <row r="2368" spans="1:21" x14ac:dyDescent="0.3">
      <c r="A2368" s="2">
        <v>43613</v>
      </c>
      <c r="B2368" s="1">
        <v>5618.18</v>
      </c>
      <c r="C2368" s="2">
        <f t="shared" si="324"/>
        <v>43613</v>
      </c>
      <c r="D2368" s="1">
        <f t="shared" si="325"/>
        <v>5618.18</v>
      </c>
      <c r="E2368" s="4">
        <f t="shared" si="326"/>
        <v>5748.8559999999998</v>
      </c>
      <c r="F2368" s="3">
        <f t="shared" si="327"/>
        <v>0.97726921669285172</v>
      </c>
      <c r="G2368" s="18">
        <f t="shared" si="328"/>
        <v>1</v>
      </c>
      <c r="H2368" s="3">
        <f t="shared" si="329"/>
        <v>-8.3698107879129902E-3</v>
      </c>
      <c r="I2368" s="3">
        <f t="shared" si="330"/>
        <v>-8.3698107879129902E-3</v>
      </c>
      <c r="K2368" s="12" t="str">
        <f>IF(AND(G2368=1,G2367&lt;&gt;1),MAX($K$50:K2367)+1,"")</f>
        <v/>
      </c>
      <c r="L2368" s="13" t="str">
        <f>IF(AND(G2368&lt;&gt;1,G2367=1),MAX($L$50:L2367)+1,"")</f>
        <v/>
      </c>
      <c r="M2368" s="13" t="str">
        <f>IF(AND(G2368=-1,G2367&lt;&gt;-1),MAX($M$50:M2367)+1,"")</f>
        <v/>
      </c>
      <c r="N2368" s="13" t="str">
        <f>IF(AND(G2368&lt;&gt;-1,G2367=-1),MAX($N$50:N2367)+1,"")</f>
        <v/>
      </c>
      <c r="T2368" s="7">
        <f t="shared" si="331"/>
        <v>139.34671906839657</v>
      </c>
      <c r="U2368" s="1">
        <f t="shared" si="332"/>
        <v>295.18255231730393</v>
      </c>
    </row>
    <row r="2369" spans="1:21" x14ac:dyDescent="0.3">
      <c r="A2369" s="2">
        <v>43614</v>
      </c>
      <c r="B2369" s="1">
        <v>5579.51</v>
      </c>
      <c r="C2369" s="2">
        <f t="shared" si="324"/>
        <v>43614</v>
      </c>
      <c r="D2369" s="1">
        <f t="shared" si="325"/>
        <v>5579.51</v>
      </c>
      <c r="E2369" s="4">
        <f t="shared" si="326"/>
        <v>5747.2715999999991</v>
      </c>
      <c r="F2369" s="3">
        <f t="shared" si="327"/>
        <v>0.97081021888716745</v>
      </c>
      <c r="G2369" s="18">
        <f t="shared" si="328"/>
        <v>1</v>
      </c>
      <c r="H2369" s="3">
        <f t="shared" si="329"/>
        <v>-6.8830119362498499E-3</v>
      </c>
      <c r="I2369" s="3">
        <f t="shared" si="330"/>
        <v>-6.8830119362498499E-3</v>
      </c>
      <c r="K2369" s="12" t="str">
        <f>IF(AND(G2369=1,G2368&lt;&gt;1),MAX($K$50:K2368)+1,"")</f>
        <v/>
      </c>
      <c r="L2369" s="13" t="str">
        <f>IF(AND(G2369&lt;&gt;1,G2368=1),MAX($L$50:L2368)+1,"")</f>
        <v/>
      </c>
      <c r="M2369" s="13" t="str">
        <f>IF(AND(G2369=-1,G2368&lt;&gt;-1),MAX($M$50:M2368)+1,"")</f>
        <v/>
      </c>
      <c r="N2369" s="13" t="str">
        <f>IF(AND(G2369&lt;&gt;-1,G2368=-1),MAX($N$50:N2368)+1,"")</f>
        <v/>
      </c>
      <c r="T2369" s="7">
        <f t="shared" si="331"/>
        <v>138.38759393777153</v>
      </c>
      <c r="U2369" s="1">
        <f t="shared" si="332"/>
        <v>293.15080728633126</v>
      </c>
    </row>
    <row r="2370" spans="1:21" x14ac:dyDescent="0.3">
      <c r="A2370" s="2">
        <v>43615</v>
      </c>
      <c r="B2370" s="1">
        <v>5591.97</v>
      </c>
      <c r="C2370" s="2">
        <f t="shared" si="324"/>
        <v>43615</v>
      </c>
      <c r="D2370" s="1">
        <f t="shared" si="325"/>
        <v>5591.97</v>
      </c>
      <c r="E2370" s="4">
        <f t="shared" si="326"/>
        <v>5745.9479999999985</v>
      </c>
      <c r="F2370" s="3">
        <f t="shared" si="327"/>
        <v>0.97320233319201666</v>
      </c>
      <c r="G2370" s="18">
        <f t="shared" si="328"/>
        <v>1</v>
      </c>
      <c r="H2370" s="3">
        <f t="shared" si="329"/>
        <v>2.233171013225288E-3</v>
      </c>
      <c r="I2370" s="3">
        <f t="shared" si="330"/>
        <v>2.233171013225288E-3</v>
      </c>
      <c r="K2370" s="12" t="str">
        <f>IF(AND(G2370=1,G2369&lt;&gt;1),MAX($K$50:K2369)+1,"")</f>
        <v/>
      </c>
      <c r="L2370" s="13" t="str">
        <f>IF(AND(G2370&lt;&gt;1,G2369=1),MAX($L$50:L2369)+1,"")</f>
        <v/>
      </c>
      <c r="M2370" s="13" t="str">
        <f>IF(AND(G2370=-1,G2369&lt;&gt;-1),MAX($M$50:M2369)+1,"")</f>
        <v/>
      </c>
      <c r="N2370" s="13" t="str">
        <f>IF(AND(G2370&lt;&gt;-1,G2369=-1),MAX($N$50:N2369)+1,"")</f>
        <v/>
      </c>
      <c r="T2370" s="7">
        <f t="shared" si="331"/>
        <v>138.69663710114335</v>
      </c>
      <c r="U2370" s="1">
        <f t="shared" si="332"/>
        <v>293.80546317166664</v>
      </c>
    </row>
    <row r="2371" spans="1:21" x14ac:dyDescent="0.3">
      <c r="A2371" s="2">
        <v>43616</v>
      </c>
      <c r="B2371" s="1">
        <v>5519.27</v>
      </c>
      <c r="C2371" s="2">
        <f t="shared" si="324"/>
        <v>43616</v>
      </c>
      <c r="D2371" s="1">
        <f t="shared" si="325"/>
        <v>5519.27</v>
      </c>
      <c r="E2371" s="4">
        <f t="shared" si="326"/>
        <v>5743.4985999999999</v>
      </c>
      <c r="F2371" s="3">
        <f t="shared" si="327"/>
        <v>0.96095957958447153</v>
      </c>
      <c r="G2371" s="18">
        <f t="shared" si="328"/>
        <v>1</v>
      </c>
      <c r="H2371" s="3">
        <f t="shared" si="329"/>
        <v>-1.3000785054283148E-2</v>
      </c>
      <c r="I2371" s="3">
        <f t="shared" si="330"/>
        <v>-1.3000785054283148E-2</v>
      </c>
      <c r="K2371" s="12" t="str">
        <f>IF(AND(G2371=1,G2370&lt;&gt;1),MAX($K$50:K2370)+1,"")</f>
        <v/>
      </c>
      <c r="L2371" s="13" t="str">
        <f>IF(AND(G2371&lt;&gt;1,G2370=1),MAX($L$50:L2370)+1,"")</f>
        <v/>
      </c>
      <c r="M2371" s="13" t="str">
        <f>IF(AND(G2371=-1,G2370&lt;&gt;-1),MAX($M$50:M2370)+1,"")</f>
        <v/>
      </c>
      <c r="N2371" s="13" t="str">
        <f>IF(AND(G2371&lt;&gt;-1,G2370=-1),MAX($N$50:N2370)+1,"")</f>
        <v/>
      </c>
      <c r="T2371" s="7">
        <f t="shared" si="331"/>
        <v>136.89347193443948</v>
      </c>
      <c r="U2371" s="1">
        <f t="shared" si="332"/>
        <v>289.9857614971977</v>
      </c>
    </row>
    <row r="2372" spans="1:21" x14ac:dyDescent="0.3">
      <c r="A2372" s="2">
        <v>43619</v>
      </c>
      <c r="B2372" s="1">
        <v>5504.05</v>
      </c>
      <c r="C2372" s="2">
        <f t="shared" si="324"/>
        <v>43619</v>
      </c>
      <c r="D2372" s="1">
        <f t="shared" si="325"/>
        <v>5504.05</v>
      </c>
      <c r="E2372" s="4">
        <f t="shared" si="326"/>
        <v>5739.5140000000001</v>
      </c>
      <c r="F2372" s="3">
        <f t="shared" si="327"/>
        <v>0.95897492366078385</v>
      </c>
      <c r="G2372" s="18">
        <f t="shared" si="328"/>
        <v>1</v>
      </c>
      <c r="H2372" s="3">
        <f t="shared" si="329"/>
        <v>-2.757611060883125E-3</v>
      </c>
      <c r="I2372" s="3">
        <f t="shared" si="330"/>
        <v>-2.757611060883125E-3</v>
      </c>
      <c r="K2372" s="12" t="str">
        <f>IF(AND(G2372=1,G2371&lt;&gt;1),MAX($K$50:K2371)+1,"")</f>
        <v/>
      </c>
      <c r="L2372" s="13" t="str">
        <f>IF(AND(G2372&lt;&gt;1,G2371=1),MAX($L$50:L2371)+1,"")</f>
        <v/>
      </c>
      <c r="M2372" s="13" t="str">
        <f>IF(AND(G2372=-1,G2371&lt;&gt;-1),MAX($M$50:M2371)+1,"")</f>
        <v/>
      </c>
      <c r="N2372" s="13" t="str">
        <f>IF(AND(G2372&lt;&gt;-1,G2371=-1),MAX($N$50:N2371)+1,"")</f>
        <v/>
      </c>
      <c r="T2372" s="7">
        <f t="shared" si="331"/>
        <v>136.51597298207037</v>
      </c>
      <c r="U2372" s="1">
        <f t="shared" si="332"/>
        <v>289.18609355379442</v>
      </c>
    </row>
    <row r="2373" spans="1:21" x14ac:dyDescent="0.3">
      <c r="A2373" s="2">
        <v>43620</v>
      </c>
      <c r="B2373" s="1">
        <v>5622.31</v>
      </c>
      <c r="C2373" s="2">
        <f t="shared" si="324"/>
        <v>43620</v>
      </c>
      <c r="D2373" s="1">
        <f t="shared" si="325"/>
        <v>5622.31</v>
      </c>
      <c r="E2373" s="4">
        <f t="shared" si="326"/>
        <v>5740.0501999999988</v>
      </c>
      <c r="F2373" s="3">
        <f t="shared" si="327"/>
        <v>0.97948794942594786</v>
      </c>
      <c r="G2373" s="18">
        <f t="shared" si="328"/>
        <v>1</v>
      </c>
      <c r="H2373" s="3">
        <f t="shared" si="329"/>
        <v>2.14859966751757E-2</v>
      </c>
      <c r="I2373" s="3">
        <f t="shared" si="330"/>
        <v>2.14859966751757E-2</v>
      </c>
      <c r="K2373" s="12" t="str">
        <f>IF(AND(G2373=1,G2372&lt;&gt;1),MAX($K$50:K2372)+1,"")</f>
        <v/>
      </c>
      <c r="L2373" s="13" t="str">
        <f>IF(AND(G2373&lt;&gt;1,G2372=1),MAX($L$50:L2372)+1,"")</f>
        <v/>
      </c>
      <c r="M2373" s="13" t="str">
        <f>IF(AND(G2373=-1,G2372&lt;&gt;-1),MAX($M$50:M2372)+1,"")</f>
        <v/>
      </c>
      <c r="N2373" s="13" t="str">
        <f>IF(AND(G2373&lt;&gt;-1,G2372=-1),MAX($N$50:N2372)+1,"")</f>
        <v/>
      </c>
      <c r="T2373" s="7">
        <f t="shared" si="331"/>
        <v>139.44915472367151</v>
      </c>
      <c r="U2373" s="1">
        <f t="shared" si="332"/>
        <v>295.39954499839826</v>
      </c>
    </row>
    <row r="2374" spans="1:21" x14ac:dyDescent="0.3">
      <c r="A2374" s="2">
        <v>43621</v>
      </c>
      <c r="B2374" s="1">
        <v>5668.89</v>
      </c>
      <c r="C2374" s="2">
        <f t="shared" si="324"/>
        <v>43621</v>
      </c>
      <c r="D2374" s="1">
        <f t="shared" si="325"/>
        <v>5668.89</v>
      </c>
      <c r="E2374" s="4">
        <f t="shared" si="326"/>
        <v>5741.6034</v>
      </c>
      <c r="F2374" s="3">
        <f t="shared" si="327"/>
        <v>0.9873356978993012</v>
      </c>
      <c r="G2374" s="18">
        <f t="shared" si="328"/>
        <v>1</v>
      </c>
      <c r="H2374" s="3">
        <f t="shared" si="329"/>
        <v>8.2848508886916861E-3</v>
      </c>
      <c r="I2374" s="3">
        <f t="shared" si="330"/>
        <v>8.2848508886916861E-3</v>
      </c>
      <c r="K2374" s="12" t="str">
        <f>IF(AND(G2374=1,G2373&lt;&gt;1),MAX($K$50:K2373)+1,"")</f>
        <v/>
      </c>
      <c r="L2374" s="13" t="str">
        <f>IF(AND(G2374&lt;&gt;1,G2373=1),MAX($L$50:L2373)+1,"")</f>
        <v/>
      </c>
      <c r="M2374" s="13" t="str">
        <f>IF(AND(G2374=-1,G2373&lt;&gt;-1),MAX($M$50:M2373)+1,"")</f>
        <v/>
      </c>
      <c r="N2374" s="13" t="str">
        <f>IF(AND(G2374&lt;&gt;-1,G2373=-1),MAX($N$50:N2373)+1,"")</f>
        <v/>
      </c>
      <c r="T2374" s="7">
        <f t="shared" si="331"/>
        <v>140.60447017711124</v>
      </c>
      <c r="U2374" s="1">
        <f t="shared" si="332"/>
        <v>297.84688618129735</v>
      </c>
    </row>
    <row r="2375" spans="1:21" x14ac:dyDescent="0.3">
      <c r="A2375" s="2">
        <v>43622</v>
      </c>
      <c r="B2375" s="1">
        <v>5705.22</v>
      </c>
      <c r="C2375" s="2">
        <f t="shared" si="324"/>
        <v>43622</v>
      </c>
      <c r="D2375" s="1">
        <f t="shared" si="325"/>
        <v>5705.22</v>
      </c>
      <c r="E2375" s="4">
        <f t="shared" si="326"/>
        <v>5743.079999999999</v>
      </c>
      <c r="F2375" s="3">
        <f t="shared" si="327"/>
        <v>0.99340771850644627</v>
      </c>
      <c r="G2375" s="18">
        <f t="shared" si="328"/>
        <v>1</v>
      </c>
      <c r="H2375" s="3">
        <f t="shared" si="329"/>
        <v>6.4086620131982297E-3</v>
      </c>
      <c r="I2375" s="3">
        <f t="shared" si="330"/>
        <v>6.4086620131982297E-3</v>
      </c>
      <c r="K2375" s="12" t="str">
        <f>IF(AND(G2375=1,G2374&lt;&gt;1),MAX($K$50:K2374)+1,"")</f>
        <v/>
      </c>
      <c r="L2375" s="13" t="str">
        <f>IF(AND(G2375&lt;&gt;1,G2374=1),MAX($L$50:L2374)+1,"")</f>
        <v/>
      </c>
      <c r="M2375" s="13" t="str">
        <f>IF(AND(G2375=-1,G2374&lt;&gt;-1),MAX($M$50:M2374)+1,"")</f>
        <v/>
      </c>
      <c r="N2375" s="13" t="str">
        <f>IF(AND(G2375&lt;&gt;-1,G2374=-1),MAX($N$50:N2374)+1,"")</f>
        <v/>
      </c>
      <c r="T2375" s="7">
        <f t="shared" si="331"/>
        <v>141.50555670402116</v>
      </c>
      <c r="U2375" s="1">
        <f t="shared" si="332"/>
        <v>299.75568620651683</v>
      </c>
    </row>
    <row r="2376" spans="1:21" x14ac:dyDescent="0.3">
      <c r="A2376" s="2">
        <v>43623</v>
      </c>
      <c r="B2376" s="1">
        <v>5765.66</v>
      </c>
      <c r="C2376" s="2">
        <f t="shared" si="324"/>
        <v>43623</v>
      </c>
      <c r="D2376" s="1">
        <f t="shared" si="325"/>
        <v>5765.66</v>
      </c>
      <c r="E2376" s="4">
        <f t="shared" si="326"/>
        <v>5746.2867999999989</v>
      </c>
      <c r="F2376" s="3">
        <f t="shared" si="327"/>
        <v>1.0033714293550404</v>
      </c>
      <c r="G2376" s="18">
        <f t="shared" si="328"/>
        <v>1</v>
      </c>
      <c r="H2376" s="3">
        <f t="shared" si="329"/>
        <v>1.05938070749243E-2</v>
      </c>
      <c r="I2376" s="3">
        <f t="shared" si="330"/>
        <v>1.05938070749243E-2</v>
      </c>
      <c r="K2376" s="12" t="str">
        <f>IF(AND(G2376=1,G2375&lt;&gt;1),MAX($K$50:K2375)+1,"")</f>
        <v/>
      </c>
      <c r="L2376" s="13" t="str">
        <f>IF(AND(G2376&lt;&gt;1,G2375=1),MAX($L$50:L2375)+1,"")</f>
        <v/>
      </c>
      <c r="M2376" s="13" t="str">
        <f>IF(AND(G2376=-1,G2375&lt;&gt;-1),MAX($M$50:M2375)+1,"")</f>
        <v/>
      </c>
      <c r="N2376" s="13" t="str">
        <f>IF(AND(G2376&lt;&gt;-1,G2375=-1),MAX($N$50:N2375)+1,"")</f>
        <v/>
      </c>
      <c r="T2376" s="7">
        <f t="shared" si="331"/>
        <v>143.00463927177333</v>
      </c>
      <c r="U2376" s="1">
        <f t="shared" si="332"/>
        <v>302.93124011580022</v>
      </c>
    </row>
    <row r="2377" spans="1:21" x14ac:dyDescent="0.3">
      <c r="A2377" s="2">
        <v>43626</v>
      </c>
      <c r="B2377" s="1">
        <v>5792.56</v>
      </c>
      <c r="C2377" s="2">
        <f t="shared" si="324"/>
        <v>43626</v>
      </c>
      <c r="D2377" s="1">
        <f t="shared" si="325"/>
        <v>5792.56</v>
      </c>
      <c r="E2377" s="4">
        <f t="shared" si="326"/>
        <v>5749.6115999999993</v>
      </c>
      <c r="F2377" s="3">
        <f t="shared" si="327"/>
        <v>1.0074697915247008</v>
      </c>
      <c r="G2377" s="18">
        <f t="shared" si="328"/>
        <v>1</v>
      </c>
      <c r="H2377" s="3">
        <f t="shared" si="329"/>
        <v>4.6655543337623673E-3</v>
      </c>
      <c r="I2377" s="3">
        <f t="shared" si="330"/>
        <v>4.6655543337623673E-3</v>
      </c>
      <c r="K2377" s="12" t="str">
        <f>IF(AND(G2377=1,G2376&lt;&gt;1),MAX($K$50:K2376)+1,"")</f>
        <v/>
      </c>
      <c r="L2377" s="13" t="str">
        <f>IF(AND(G2377&lt;&gt;1,G2376=1),MAX($L$50:L2376)+1,"")</f>
        <v/>
      </c>
      <c r="M2377" s="13" t="str">
        <f>IF(AND(G2377=-1,G2376&lt;&gt;-1),MAX($M$50:M2376)+1,"")</f>
        <v/>
      </c>
      <c r="N2377" s="13" t="str">
        <f>IF(AND(G2377&lt;&gt;-1,G2376=-1),MAX($N$50:N2376)+1,"")</f>
        <v/>
      </c>
      <c r="T2377" s="7">
        <f t="shared" si="331"/>
        <v>143.67183518627587</v>
      </c>
      <c r="U2377" s="1">
        <f t="shared" si="332"/>
        <v>304.34458227595451</v>
      </c>
    </row>
    <row r="2378" spans="1:21" x14ac:dyDescent="0.3">
      <c r="A2378" s="2">
        <v>43627</v>
      </c>
      <c r="B2378" s="1">
        <v>5790.83</v>
      </c>
      <c r="C2378" s="2">
        <f t="shared" si="324"/>
        <v>43627</v>
      </c>
      <c r="D2378" s="1">
        <f t="shared" si="325"/>
        <v>5790.83</v>
      </c>
      <c r="E2378" s="4">
        <f t="shared" si="326"/>
        <v>5752.1389999999992</v>
      </c>
      <c r="F2378" s="3">
        <f t="shared" si="327"/>
        <v>1.006726367356561</v>
      </c>
      <c r="G2378" s="18">
        <f t="shared" si="328"/>
        <v>1</v>
      </c>
      <c r="H2378" s="3">
        <f t="shared" si="329"/>
        <v>-2.9865896943670478E-4</v>
      </c>
      <c r="I2378" s="3">
        <f t="shared" si="330"/>
        <v>-2.9865896943670478E-4</v>
      </c>
      <c r="K2378" s="12" t="str">
        <f>IF(AND(G2378=1,G2377&lt;&gt;1),MAX($K$50:K2377)+1,"")</f>
        <v/>
      </c>
      <c r="L2378" s="13" t="str">
        <f>IF(AND(G2378&lt;&gt;1,G2377=1),MAX($L$50:L2377)+1,"")</f>
        <v/>
      </c>
      <c r="M2378" s="13" t="str">
        <f>IF(AND(G2378=-1,G2377&lt;&gt;-1),MAX($M$50:M2377)+1,"")</f>
        <v/>
      </c>
      <c r="N2378" s="13" t="str">
        <f>IF(AND(G2378&lt;&gt;-1,G2377=-1),MAX($N$50:N2377)+1,"")</f>
        <v/>
      </c>
      <c r="T2378" s="7">
        <f t="shared" si="331"/>
        <v>143.62892630404207</v>
      </c>
      <c r="U2378" s="1">
        <f t="shared" si="332"/>
        <v>304.25368703665833</v>
      </c>
    </row>
    <row r="2379" spans="1:21" x14ac:dyDescent="0.3">
      <c r="A2379" s="2">
        <v>43628</v>
      </c>
      <c r="B2379" s="1">
        <v>5779.12</v>
      </c>
      <c r="C2379" s="2">
        <f t="shared" si="324"/>
        <v>43628</v>
      </c>
      <c r="D2379" s="1">
        <f t="shared" si="325"/>
        <v>5779.12</v>
      </c>
      <c r="E2379" s="4">
        <f t="shared" si="326"/>
        <v>5753.1205999999993</v>
      </c>
      <c r="F2379" s="3">
        <f t="shared" si="327"/>
        <v>1.0045191821635029</v>
      </c>
      <c r="G2379" s="18">
        <f t="shared" si="328"/>
        <v>1</v>
      </c>
      <c r="H2379" s="3">
        <f t="shared" si="329"/>
        <v>-2.0221626260830128E-3</v>
      </c>
      <c r="I2379" s="3">
        <f t="shared" si="330"/>
        <v>-2.0221626260830128E-3</v>
      </c>
      <c r="K2379" s="12" t="str">
        <f>IF(AND(G2379=1,G2378&lt;&gt;1),MAX($K$50:K2378)+1,"")</f>
        <v/>
      </c>
      <c r="L2379" s="13" t="str">
        <f>IF(AND(G2379&lt;&gt;1,G2378=1),MAX($L$50:L2378)+1,"")</f>
        <v/>
      </c>
      <c r="M2379" s="13" t="str">
        <f>IF(AND(G2379=-1,G2378&lt;&gt;-1),MAX($M$50:M2378)+1,"")</f>
        <v/>
      </c>
      <c r="N2379" s="13" t="str">
        <f>IF(AND(G2379&lt;&gt;-1,G2378=-1),MAX($N$50:N2378)+1,"")</f>
        <v/>
      </c>
      <c r="T2379" s="7">
        <f t="shared" si="331"/>
        <v>143.33848525724559</v>
      </c>
      <c r="U2379" s="1">
        <f t="shared" si="332"/>
        <v>303.63843660188485</v>
      </c>
    </row>
    <row r="2380" spans="1:21" x14ac:dyDescent="0.3">
      <c r="A2380" s="2">
        <v>43629</v>
      </c>
      <c r="B2380" s="1">
        <v>5804.53</v>
      </c>
      <c r="C2380" s="2">
        <f t="shared" si="324"/>
        <v>43629</v>
      </c>
      <c r="D2380" s="1">
        <f t="shared" si="325"/>
        <v>5804.53</v>
      </c>
      <c r="E2380" s="4">
        <f t="shared" si="326"/>
        <v>5754.6042000000007</v>
      </c>
      <c r="F2380" s="3">
        <f t="shared" si="327"/>
        <v>1.0086758008483014</v>
      </c>
      <c r="G2380" s="18">
        <f t="shared" si="328"/>
        <v>1</v>
      </c>
      <c r="H2380" s="3">
        <f t="shared" si="329"/>
        <v>4.3968631902435718E-3</v>
      </c>
      <c r="I2380" s="3">
        <f t="shared" si="330"/>
        <v>4.3968631902435718E-3</v>
      </c>
      <c r="K2380" s="12" t="str">
        <f>IF(AND(G2380=1,G2379&lt;&gt;1),MAX($K$50:K2379)+1,"")</f>
        <v/>
      </c>
      <c r="L2380" s="13" t="str">
        <f>IF(AND(G2380&lt;&gt;1,G2379=1),MAX($L$50:L2379)+1,"")</f>
        <v/>
      </c>
      <c r="M2380" s="13" t="str">
        <f>IF(AND(G2380=-1,G2379&lt;&gt;-1),MAX($M$50:M2379)+1,"")</f>
        <v/>
      </c>
      <c r="N2380" s="13" t="str">
        <f>IF(AND(G2380&lt;&gt;-1,G2379=-1),MAX($N$50:N2379)+1,"")</f>
        <v/>
      </c>
      <c r="T2380" s="7">
        <f t="shared" si="331"/>
        <v>143.96872496681846</v>
      </c>
      <c r="U2380" s="1">
        <f t="shared" si="332"/>
        <v>304.97349326692273</v>
      </c>
    </row>
    <row r="2381" spans="1:21" x14ac:dyDescent="0.3">
      <c r="A2381" s="2">
        <v>43630</v>
      </c>
      <c r="B2381" s="1">
        <v>5795.96</v>
      </c>
      <c r="C2381" s="2">
        <f t="shared" si="324"/>
        <v>43630</v>
      </c>
      <c r="D2381" s="1">
        <f t="shared" si="325"/>
        <v>5795.96</v>
      </c>
      <c r="E2381" s="4">
        <f t="shared" si="326"/>
        <v>5755.6700000000019</v>
      </c>
      <c r="F2381" s="3">
        <f t="shared" si="327"/>
        <v>1.0070000538599326</v>
      </c>
      <c r="G2381" s="18">
        <f t="shared" si="328"/>
        <v>1</v>
      </c>
      <c r="H2381" s="3">
        <f t="shared" si="329"/>
        <v>-1.4764330617638155E-3</v>
      </c>
      <c r="I2381" s="3">
        <f t="shared" si="330"/>
        <v>-1.4764330617638155E-3</v>
      </c>
      <c r="K2381" s="12" t="str">
        <f>IF(AND(G2381=1,G2380&lt;&gt;1),MAX($K$50:K2380)+1,"")</f>
        <v/>
      </c>
      <c r="L2381" s="13" t="str">
        <f>IF(AND(G2381&lt;&gt;1,G2380=1),MAX($L$50:L2380)+1,"")</f>
        <v/>
      </c>
      <c r="M2381" s="13" t="str">
        <f>IF(AND(G2381=-1,G2380&lt;&gt;-1),MAX($M$50:M2380)+1,"")</f>
        <v/>
      </c>
      <c r="N2381" s="13" t="str">
        <f>IF(AND(G2381&lt;&gt;-1,G2380=-1),MAX($N$50:N2380)+1,"")</f>
        <v/>
      </c>
      <c r="T2381" s="7">
        <f t="shared" si="331"/>
        <v>143.75616478141745</v>
      </c>
      <c r="U2381" s="1">
        <f t="shared" si="332"/>
        <v>304.52322031850184</v>
      </c>
    </row>
    <row r="2382" spans="1:21" x14ac:dyDescent="0.3">
      <c r="A2382" s="2">
        <v>43633</v>
      </c>
      <c r="B2382" s="1">
        <v>5801.4</v>
      </c>
      <c r="C2382" s="2">
        <f t="shared" si="324"/>
        <v>43633</v>
      </c>
      <c r="D2382" s="1">
        <f t="shared" si="325"/>
        <v>5801.4</v>
      </c>
      <c r="E2382" s="4">
        <f t="shared" si="326"/>
        <v>5756.5788000000011</v>
      </c>
      <c r="F2382" s="3">
        <f t="shared" si="327"/>
        <v>1.0077860829421805</v>
      </c>
      <c r="G2382" s="18">
        <f t="shared" si="328"/>
        <v>1</v>
      </c>
      <c r="H2382" s="3">
        <f t="shared" si="329"/>
        <v>9.3858480734843042E-4</v>
      </c>
      <c r="I2382" s="3">
        <f t="shared" si="330"/>
        <v>9.3858480734843042E-4</v>
      </c>
      <c r="K2382" s="12" t="str">
        <f>IF(AND(G2382=1,G2381&lt;&gt;1),MAX($K$50:K2381)+1,"")</f>
        <v/>
      </c>
      <c r="L2382" s="13" t="str">
        <f>IF(AND(G2382&lt;&gt;1,G2381=1),MAX($L$50:L2381)+1,"")</f>
        <v/>
      </c>
      <c r="M2382" s="13" t="str">
        <f>IF(AND(G2382=-1,G2381&lt;&gt;-1),MAX($M$50:M2381)+1,"")</f>
        <v/>
      </c>
      <c r="N2382" s="13" t="str">
        <f>IF(AND(G2382&lt;&gt;-1,G2381=-1),MAX($N$50:N2381)+1,"")</f>
        <v/>
      </c>
      <c r="T2382" s="7">
        <f t="shared" si="331"/>
        <v>143.89109213364398</v>
      </c>
      <c r="U2382" s="1">
        <f t="shared" si="332"/>
        <v>304.80904118657759</v>
      </c>
    </row>
    <row r="2383" spans="1:21" x14ac:dyDescent="0.3">
      <c r="A2383" s="2">
        <v>43634</v>
      </c>
      <c r="B2383" s="1">
        <v>5857.95</v>
      </c>
      <c r="C2383" s="2">
        <f t="shared" si="324"/>
        <v>43634</v>
      </c>
      <c r="D2383" s="1">
        <f t="shared" si="325"/>
        <v>5857.95</v>
      </c>
      <c r="E2383" s="4">
        <f t="shared" si="326"/>
        <v>5758.0838000000012</v>
      </c>
      <c r="F2383" s="3">
        <f t="shared" si="327"/>
        <v>1.0173436517196917</v>
      </c>
      <c r="G2383" s="18">
        <f t="shared" si="328"/>
        <v>1</v>
      </c>
      <c r="H2383" s="3">
        <f t="shared" si="329"/>
        <v>9.7476471196606962E-3</v>
      </c>
      <c r="I2383" s="3">
        <f t="shared" si="330"/>
        <v>9.7476471196606962E-3</v>
      </c>
      <c r="K2383" s="12" t="str">
        <f>IF(AND(G2383=1,G2382&lt;&gt;1),MAX($K$50:K2382)+1,"")</f>
        <v/>
      </c>
      <c r="L2383" s="13" t="str">
        <f>IF(AND(G2383&lt;&gt;1,G2382=1),MAX($L$50:L2382)+1,"")</f>
        <v/>
      </c>
      <c r="M2383" s="13" t="str">
        <f>IF(AND(G2383=-1,G2382&lt;&gt;-1),MAX($M$50:M2382)+1,"")</f>
        <v/>
      </c>
      <c r="N2383" s="13" t="str">
        <f>IF(AND(G2383&lt;&gt;-1,G2382=-1),MAX($N$50:N2382)+1,"")</f>
        <v/>
      </c>
      <c r="T2383" s="7">
        <f t="shared" si="331"/>
        <v>145.29369172342533</v>
      </c>
      <c r="U2383" s="1">
        <f t="shared" si="332"/>
        <v>307.78021215894648</v>
      </c>
    </row>
    <row r="2384" spans="1:21" x14ac:dyDescent="0.3">
      <c r="A2384" s="2">
        <v>43635</v>
      </c>
      <c r="B2384" s="1">
        <v>5875.45</v>
      </c>
      <c r="C2384" s="2">
        <f t="shared" si="324"/>
        <v>43635</v>
      </c>
      <c r="D2384" s="1">
        <f t="shared" si="325"/>
        <v>5875.45</v>
      </c>
      <c r="E2384" s="4">
        <f t="shared" si="326"/>
        <v>5759.8156000000017</v>
      </c>
      <c r="F2384" s="3">
        <f t="shared" si="327"/>
        <v>1.0200760593794007</v>
      </c>
      <c r="G2384" s="18">
        <f t="shared" si="328"/>
        <v>1</v>
      </c>
      <c r="H2384" s="3">
        <f t="shared" si="329"/>
        <v>2.9873932006929671E-3</v>
      </c>
      <c r="I2384" s="3">
        <f t="shared" si="330"/>
        <v>2.9873932006929671E-3</v>
      </c>
      <c r="K2384" s="12" t="str">
        <f>IF(AND(G2384=1,G2383&lt;&gt;1),MAX($K$50:K2383)+1,"")</f>
        <v/>
      </c>
      <c r="L2384" s="13" t="str">
        <f>IF(AND(G2384&lt;&gt;1,G2383=1),MAX($L$50:L2383)+1,"")</f>
        <v/>
      </c>
      <c r="M2384" s="13" t="str">
        <f>IF(AND(G2384=-1,G2383&lt;&gt;-1),MAX($M$50:M2383)+1,"")</f>
        <v/>
      </c>
      <c r="N2384" s="13" t="str">
        <f>IF(AND(G2384&lt;&gt;-1,G2383=-1),MAX($N$50:N2383)+1,"")</f>
        <v/>
      </c>
      <c r="T2384" s="7">
        <f t="shared" si="331"/>
        <v>145.72774111018347</v>
      </c>
      <c r="U2384" s="1">
        <f t="shared" si="332"/>
        <v>308.699672672058</v>
      </c>
    </row>
    <row r="2385" spans="1:21" x14ac:dyDescent="0.3">
      <c r="A2385" s="2">
        <v>43636</v>
      </c>
      <c r="B2385" s="1">
        <v>5931.66</v>
      </c>
      <c r="C2385" s="2">
        <f t="shared" si="324"/>
        <v>43636</v>
      </c>
      <c r="D2385" s="1">
        <f t="shared" si="325"/>
        <v>5931.66</v>
      </c>
      <c r="E2385" s="4">
        <f t="shared" si="326"/>
        <v>5763.3389999999999</v>
      </c>
      <c r="F2385" s="3">
        <f t="shared" si="327"/>
        <v>1.0292054657898833</v>
      </c>
      <c r="G2385" s="18">
        <f t="shared" si="328"/>
        <v>1</v>
      </c>
      <c r="H2385" s="3">
        <f t="shared" si="329"/>
        <v>9.566926788586505E-3</v>
      </c>
      <c r="I2385" s="3">
        <f t="shared" si="330"/>
        <v>9.566926788586505E-3</v>
      </c>
      <c r="K2385" s="12" t="str">
        <f>IF(AND(G2385=1,G2384&lt;&gt;1),MAX($K$50:K2384)+1,"")</f>
        <v/>
      </c>
      <c r="L2385" s="13" t="str">
        <f>IF(AND(G2385&lt;&gt;1,G2384=1),MAX($L$50:L2384)+1,"")</f>
        <v/>
      </c>
      <c r="M2385" s="13" t="str">
        <f>IF(AND(G2385=-1,G2384&lt;&gt;-1),MAX($M$50:M2384)+1,"")</f>
        <v/>
      </c>
      <c r="N2385" s="13" t="str">
        <f>IF(AND(G2385&lt;&gt;-1,G2384=-1),MAX($N$50:N2384)+1,"")</f>
        <v/>
      </c>
      <c r="T2385" s="7">
        <f t="shared" si="331"/>
        <v>147.12190774045069</v>
      </c>
      <c r="U2385" s="1">
        <f t="shared" si="332"/>
        <v>311.65297984017218</v>
      </c>
    </row>
    <row r="2386" spans="1:21" x14ac:dyDescent="0.3">
      <c r="A2386" s="2">
        <v>43637</v>
      </c>
      <c r="B2386" s="1">
        <v>5924.54</v>
      </c>
      <c r="C2386" s="2">
        <f t="shared" si="324"/>
        <v>43637</v>
      </c>
      <c r="D2386" s="1">
        <f t="shared" si="325"/>
        <v>5924.54</v>
      </c>
      <c r="E2386" s="4">
        <f t="shared" si="326"/>
        <v>5766.3099999999986</v>
      </c>
      <c r="F2386" s="3">
        <f t="shared" si="327"/>
        <v>1.0274404255060865</v>
      </c>
      <c r="G2386" s="18">
        <f t="shared" si="328"/>
        <v>1</v>
      </c>
      <c r="H2386" s="3">
        <f t="shared" si="329"/>
        <v>-1.2003385224371721E-3</v>
      </c>
      <c r="I2386" s="3">
        <f t="shared" si="330"/>
        <v>-1.2003385224371721E-3</v>
      </c>
      <c r="K2386" s="12" t="str">
        <f>IF(AND(G2386=1,G2385&lt;&gt;1),MAX($K$50:K2385)+1,"")</f>
        <v/>
      </c>
      <c r="L2386" s="13" t="str">
        <f>IF(AND(G2386&lt;&gt;1,G2385=1),MAX($L$50:L2385)+1,"")</f>
        <v/>
      </c>
      <c r="M2386" s="13" t="str">
        <f>IF(AND(G2386=-1,G2385&lt;&gt;-1),MAX($M$50:M2385)+1,"")</f>
        <v/>
      </c>
      <c r="N2386" s="13" t="str">
        <f>IF(AND(G2386&lt;&gt;-1,G2385=-1),MAX($N$50:N2385)+1,"")</f>
        <v/>
      </c>
      <c r="T2386" s="7">
        <f t="shared" si="331"/>
        <v>146.94531164709539</v>
      </c>
      <c r="U2386" s="1">
        <f t="shared" si="332"/>
        <v>311.2788907628377</v>
      </c>
    </row>
    <row r="2387" spans="1:21" x14ac:dyDescent="0.3">
      <c r="A2387" s="2">
        <v>43640</v>
      </c>
      <c r="B2387" s="1">
        <v>5914.29</v>
      </c>
      <c r="C2387" s="2">
        <f t="shared" si="324"/>
        <v>43640</v>
      </c>
      <c r="D2387" s="1">
        <f t="shared" si="325"/>
        <v>5914.29</v>
      </c>
      <c r="E2387" s="4">
        <f t="shared" si="326"/>
        <v>5769.0701999999983</v>
      </c>
      <c r="F2387" s="3">
        <f t="shared" si="327"/>
        <v>1.0251721325907945</v>
      </c>
      <c r="G2387" s="18">
        <f t="shared" si="328"/>
        <v>1</v>
      </c>
      <c r="H2387" s="3">
        <f t="shared" si="329"/>
        <v>-1.7300921252958457E-3</v>
      </c>
      <c r="I2387" s="3">
        <f t="shared" si="330"/>
        <v>-1.7300921252958457E-3</v>
      </c>
      <c r="K2387" s="12" t="str">
        <f>IF(AND(G2387=1,G2386&lt;&gt;1),MAX($K$50:K2386)+1,"")</f>
        <v/>
      </c>
      <c r="L2387" s="13" t="str">
        <f>IF(AND(G2387&lt;&gt;1,G2386=1),MAX($L$50:L2386)+1,"")</f>
        <v/>
      </c>
      <c r="M2387" s="13" t="str">
        <f>IF(AND(G2387=-1,G2386&lt;&gt;-1),MAX($M$50:M2386)+1,"")</f>
        <v/>
      </c>
      <c r="N2387" s="13" t="str">
        <f>IF(AND(G2387&lt;&gt;-1,G2386=-1),MAX($N$50:N2386)+1,"")</f>
        <v/>
      </c>
      <c r="T2387" s="7">
        <f t="shared" si="331"/>
        <v>146.69108272056562</v>
      </c>
      <c r="U2387" s="1">
        <f t="shared" si="332"/>
        <v>310.74034960515814</v>
      </c>
    </row>
    <row r="2388" spans="1:21" x14ac:dyDescent="0.3">
      <c r="A2388" s="2">
        <v>43641</v>
      </c>
      <c r="B2388" s="1">
        <v>5858.13</v>
      </c>
      <c r="C2388" s="2">
        <f t="shared" si="324"/>
        <v>43641</v>
      </c>
      <c r="D2388" s="1">
        <f t="shared" si="325"/>
        <v>5858.13</v>
      </c>
      <c r="E2388" s="4">
        <f t="shared" si="326"/>
        <v>5769.931999999998</v>
      </c>
      <c r="F2388" s="3">
        <f t="shared" si="327"/>
        <v>1.0152857953958561</v>
      </c>
      <c r="G2388" s="18">
        <f t="shared" si="328"/>
        <v>1</v>
      </c>
      <c r="H2388" s="3">
        <f t="shared" si="329"/>
        <v>-9.4956452930106128E-3</v>
      </c>
      <c r="I2388" s="3">
        <f t="shared" si="330"/>
        <v>-9.4956452930106128E-3</v>
      </c>
      <c r="K2388" s="12" t="str">
        <f>IF(AND(G2388=1,G2387&lt;&gt;1),MAX($K$50:K2387)+1,"")</f>
        <v/>
      </c>
      <c r="L2388" s="13" t="str">
        <f>IF(AND(G2388&lt;&gt;1,G2387=1),MAX($L$50:L2387)+1,"")</f>
        <v/>
      </c>
      <c r="M2388" s="13" t="str">
        <f>IF(AND(G2388=-1,G2387&lt;&gt;-1),MAX($M$50:M2387)+1,"")</f>
        <v/>
      </c>
      <c r="N2388" s="13" t="str">
        <f>IF(AND(G2388&lt;&gt;-1,G2387=-1),MAX($N$50:N2387)+1,"")</f>
        <v/>
      </c>
      <c r="T2388" s="7">
        <f t="shared" si="331"/>
        <v>145.29815623140345</v>
      </c>
      <c r="U2388" s="1">
        <f t="shared" si="332"/>
        <v>307.78966946708147</v>
      </c>
    </row>
    <row r="2389" spans="1:21" x14ac:dyDescent="0.3">
      <c r="A2389" s="2">
        <v>43642</v>
      </c>
      <c r="B2389" s="1">
        <v>5850.9</v>
      </c>
      <c r="C2389" s="2">
        <f t="shared" si="324"/>
        <v>43642</v>
      </c>
      <c r="D2389" s="1">
        <f t="shared" si="325"/>
        <v>5850.9</v>
      </c>
      <c r="E2389" s="4">
        <f t="shared" si="326"/>
        <v>5770.7197999999999</v>
      </c>
      <c r="F2389" s="3">
        <f t="shared" si="327"/>
        <v>1.0138943152290985</v>
      </c>
      <c r="G2389" s="18">
        <f t="shared" si="328"/>
        <v>1</v>
      </c>
      <c r="H2389" s="3">
        <f t="shared" si="329"/>
        <v>-1.2341822390422585E-3</v>
      </c>
      <c r="I2389" s="3">
        <f t="shared" si="330"/>
        <v>-1.2341822390422585E-3</v>
      </c>
      <c r="K2389" s="12" t="str">
        <f>IF(AND(G2389=1,G2388&lt;&gt;1),MAX($K$50:K2388)+1,"")</f>
        <v/>
      </c>
      <c r="L2389" s="13" t="str">
        <f>IF(AND(G2389&lt;&gt;1,G2388=1),MAX($L$50:L2388)+1,"")</f>
        <v/>
      </c>
      <c r="M2389" s="13" t="str">
        <f>IF(AND(G2389=-1,G2388&lt;&gt;-1),MAX($M$50:M2388)+1,"")</f>
        <v/>
      </c>
      <c r="N2389" s="13" t="str">
        <f>IF(AND(G2389&lt;&gt;-1,G2388=-1),MAX($N$50:N2388)+1,"")</f>
        <v/>
      </c>
      <c r="T2389" s="7">
        <f t="shared" si="331"/>
        <v>145.11883182761707</v>
      </c>
      <c r="U2389" s="1">
        <f t="shared" si="332"/>
        <v>307.40980092366453</v>
      </c>
    </row>
    <row r="2390" spans="1:21" x14ac:dyDescent="0.3">
      <c r="A2390" s="2">
        <v>43643</v>
      </c>
      <c r="B2390" s="1">
        <v>5874.15</v>
      </c>
      <c r="C2390" s="2">
        <f t="shared" si="324"/>
        <v>43643</v>
      </c>
      <c r="D2390" s="1">
        <f t="shared" si="325"/>
        <v>5874.15</v>
      </c>
      <c r="E2390" s="4">
        <f t="shared" si="326"/>
        <v>5771.9135999999999</v>
      </c>
      <c r="F2390" s="3">
        <f t="shared" si="327"/>
        <v>1.0177127391511889</v>
      </c>
      <c r="G2390" s="18">
        <f t="shared" si="328"/>
        <v>1</v>
      </c>
      <c r="H2390" s="3">
        <f t="shared" si="329"/>
        <v>3.9737476285699458E-3</v>
      </c>
      <c r="I2390" s="3">
        <f t="shared" si="330"/>
        <v>3.9737476285699458E-3</v>
      </c>
      <c r="K2390" s="12" t="str">
        <f>IF(AND(G2390=1,G2389&lt;&gt;1),MAX($K$50:K2389)+1,"")</f>
        <v/>
      </c>
      <c r="L2390" s="13" t="str">
        <f>IF(AND(G2390&lt;&gt;1,G2389=1),MAX($L$50:L2389)+1,"")</f>
        <v/>
      </c>
      <c r="M2390" s="13" t="str">
        <f>IF(AND(G2390=-1,G2389&lt;&gt;-1),MAX($M$50:M2389)+1,"")</f>
        <v/>
      </c>
      <c r="N2390" s="13" t="str">
        <f>IF(AND(G2390&lt;&gt;-1,G2389=-1),MAX($N$50:N2389)+1,"")</f>
        <v/>
      </c>
      <c r="T2390" s="7">
        <f t="shared" si="331"/>
        <v>145.69549744145291</v>
      </c>
      <c r="U2390" s="1">
        <f t="shared" si="332"/>
        <v>308.63136989108409</v>
      </c>
    </row>
    <row r="2391" spans="1:21" x14ac:dyDescent="0.3">
      <c r="A2391" s="2">
        <v>43644</v>
      </c>
      <c r="B2391" s="1">
        <v>5908.25</v>
      </c>
      <c r="C2391" s="2">
        <f t="shared" si="324"/>
        <v>43644</v>
      </c>
      <c r="D2391" s="1">
        <f t="shared" si="325"/>
        <v>5908.25</v>
      </c>
      <c r="E2391" s="4">
        <f t="shared" si="326"/>
        <v>5774.0420000000004</v>
      </c>
      <c r="F2391" s="3">
        <f t="shared" si="327"/>
        <v>1.0232433362971727</v>
      </c>
      <c r="G2391" s="18">
        <f t="shared" si="328"/>
        <v>1</v>
      </c>
      <c r="H2391" s="3">
        <f t="shared" si="329"/>
        <v>5.8050952052637328E-3</v>
      </c>
      <c r="I2391" s="3">
        <f t="shared" si="330"/>
        <v>5.8050952052637328E-3</v>
      </c>
      <c r="K2391" s="12" t="str">
        <f>IF(AND(G2391=1,G2390&lt;&gt;1),MAX($K$50:K2390)+1,"")</f>
        <v/>
      </c>
      <c r="L2391" s="13" t="str">
        <f>IF(AND(G2391&lt;&gt;1,G2390=1),MAX($L$50:L2390)+1,"")</f>
        <v/>
      </c>
      <c r="M2391" s="13" t="str">
        <f>IF(AND(G2391=-1,G2390&lt;&gt;-1),MAX($M$50:M2390)+1,"")</f>
        <v/>
      </c>
      <c r="N2391" s="13" t="str">
        <f>IF(AND(G2391&lt;&gt;-1,G2390=-1),MAX($N$50:N2390)+1,"")</f>
        <v/>
      </c>
      <c r="T2391" s="7">
        <f t="shared" si="331"/>
        <v>146.5412736750788</v>
      </c>
      <c r="U2391" s="1">
        <f t="shared" si="332"/>
        <v>310.42300437663283</v>
      </c>
    </row>
    <row r="2392" spans="1:21" x14ac:dyDescent="0.3">
      <c r="A2392" s="2">
        <v>43647</v>
      </c>
      <c r="B2392" s="1">
        <v>5953.63</v>
      </c>
      <c r="C2392" s="2">
        <f t="shared" si="324"/>
        <v>43647</v>
      </c>
      <c r="D2392" s="1">
        <f t="shared" si="325"/>
        <v>5953.63</v>
      </c>
      <c r="E2392" s="4">
        <f t="shared" si="326"/>
        <v>5776.8920000000007</v>
      </c>
      <c r="F2392" s="3">
        <f t="shared" si="327"/>
        <v>1.0305939595201017</v>
      </c>
      <c r="G2392" s="18">
        <f t="shared" si="328"/>
        <v>1</v>
      </c>
      <c r="H2392" s="3">
        <f t="shared" si="329"/>
        <v>7.6807853425295836E-3</v>
      </c>
      <c r="I2392" s="3">
        <f t="shared" si="330"/>
        <v>7.6807853425295836E-3</v>
      </c>
      <c r="K2392" s="12" t="str">
        <f>IF(AND(G2392=1,G2391&lt;&gt;1),MAX($K$50:K2391)+1,"")</f>
        <v/>
      </c>
      <c r="L2392" s="13" t="str">
        <f>IF(AND(G2392&lt;&gt;1,G2391=1),MAX($L$50:L2391)+1,"")</f>
        <v/>
      </c>
      <c r="M2392" s="13" t="str">
        <f>IF(AND(G2392=-1,G2391&lt;&gt;-1),MAX($M$50:M2391)+1,"")</f>
        <v/>
      </c>
      <c r="N2392" s="13" t="str">
        <f>IF(AND(G2392&lt;&gt;-1,G2391=-1),MAX($N$50:N2391)+1,"")</f>
        <v/>
      </c>
      <c r="T2392" s="7">
        <f t="shared" si="331"/>
        <v>147.66682574199797</v>
      </c>
      <c r="U2392" s="1">
        <f t="shared" si="332"/>
        <v>312.80729683863285</v>
      </c>
    </row>
    <row r="2393" spans="1:21" x14ac:dyDescent="0.3">
      <c r="A2393" s="2">
        <v>43648</v>
      </c>
      <c r="B2393" s="1">
        <v>5971.29</v>
      </c>
      <c r="C2393" s="2">
        <f t="shared" si="324"/>
        <v>43648</v>
      </c>
      <c r="D2393" s="1">
        <f t="shared" si="325"/>
        <v>5971.29</v>
      </c>
      <c r="E2393" s="4">
        <f t="shared" si="326"/>
        <v>5779.9746000000005</v>
      </c>
      <c r="F2393" s="3">
        <f t="shared" si="327"/>
        <v>1.0330996956284202</v>
      </c>
      <c r="G2393" s="18">
        <f t="shared" si="328"/>
        <v>1</v>
      </c>
      <c r="H2393" s="3">
        <f t="shared" si="329"/>
        <v>2.9662575605133856E-3</v>
      </c>
      <c r="I2393" s="3">
        <f t="shared" si="330"/>
        <v>2.9662575605133856E-3</v>
      </c>
      <c r="K2393" s="12" t="str">
        <f>IF(AND(G2393=1,G2392&lt;&gt;1),MAX($K$50:K2392)+1,"")</f>
        <v/>
      </c>
      <c r="L2393" s="13" t="str">
        <f>IF(AND(G2393&lt;&gt;1,G2392=1),MAX($L$50:L2392)+1,"")</f>
        <v/>
      </c>
      <c r="M2393" s="13" t="str">
        <f>IF(AND(G2393=-1,G2392&lt;&gt;-1),MAX($M$50:M2392)+1,"")</f>
        <v/>
      </c>
      <c r="N2393" s="13" t="str">
        <f>IF(AND(G2393&lt;&gt;-1,G2392=-1),MAX($N$50:N2392)+1,"")</f>
        <v/>
      </c>
      <c r="T2393" s="7">
        <f t="shared" si="331"/>
        <v>148.10484358029217</v>
      </c>
      <c r="U2393" s="1">
        <f t="shared" si="332"/>
        <v>313.73516384786421</v>
      </c>
    </row>
    <row r="2394" spans="1:21" x14ac:dyDescent="0.3">
      <c r="A2394" s="2">
        <v>43649</v>
      </c>
      <c r="B2394" s="1">
        <v>6018.54</v>
      </c>
      <c r="C2394" s="2">
        <f t="shared" si="324"/>
        <v>43649</v>
      </c>
      <c r="D2394" s="1">
        <f t="shared" si="325"/>
        <v>6018.54</v>
      </c>
      <c r="E2394" s="4">
        <f t="shared" si="326"/>
        <v>5782.9678000000004</v>
      </c>
      <c r="F2394" s="3">
        <f t="shared" si="327"/>
        <v>1.0407355199176449</v>
      </c>
      <c r="G2394" s="18">
        <f t="shared" si="328"/>
        <v>1</v>
      </c>
      <c r="H2394" s="3">
        <f t="shared" si="329"/>
        <v>7.9128630496927421E-3</v>
      </c>
      <c r="I2394" s="3">
        <f t="shared" si="330"/>
        <v>7.9128630496927421E-3</v>
      </c>
      <c r="K2394" s="12" t="str">
        <f>IF(AND(G2394=1,G2393&lt;&gt;1),MAX($K$50:K2393)+1,"")</f>
        <v/>
      </c>
      <c r="L2394" s="13" t="str">
        <f>IF(AND(G2394&lt;&gt;1,G2393=1),MAX($L$50:L2393)+1,"")</f>
        <v/>
      </c>
      <c r="M2394" s="13" t="str">
        <f>IF(AND(G2394=-1,G2393&lt;&gt;-1),MAX($M$50:M2393)+1,"")</f>
        <v/>
      </c>
      <c r="N2394" s="13" t="str">
        <f>IF(AND(G2394&lt;&gt;-1,G2393=-1),MAX($N$50:N2393)+1,"")</f>
        <v/>
      </c>
      <c r="T2394" s="7">
        <f t="shared" si="331"/>
        <v>149.27677692453918</v>
      </c>
      <c r="U2394" s="1">
        <f t="shared" si="332"/>
        <v>316.21770723326529</v>
      </c>
    </row>
    <row r="2395" spans="1:21" x14ac:dyDescent="0.3">
      <c r="A2395" s="2">
        <v>43651</v>
      </c>
      <c r="B2395" s="1">
        <v>6008.31</v>
      </c>
      <c r="C2395" s="2">
        <f t="shared" si="324"/>
        <v>43651</v>
      </c>
      <c r="D2395" s="1">
        <f t="shared" si="325"/>
        <v>6008.31</v>
      </c>
      <c r="E2395" s="4">
        <f t="shared" si="326"/>
        <v>5786.0133999999998</v>
      </c>
      <c r="F2395" s="3">
        <f t="shared" si="327"/>
        <v>1.0384196483195149</v>
      </c>
      <c r="G2395" s="18">
        <f t="shared" si="328"/>
        <v>1</v>
      </c>
      <c r="H2395" s="3">
        <f t="shared" si="329"/>
        <v>-1.69974777936166E-3</v>
      </c>
      <c r="I2395" s="3">
        <f t="shared" si="330"/>
        <v>-1.69974777936166E-3</v>
      </c>
      <c r="K2395" s="12" t="str">
        <f>IF(AND(G2395=1,G2394&lt;&gt;1),MAX($K$50:K2394)+1,"")</f>
        <v/>
      </c>
      <c r="L2395" s="13" t="str">
        <f>IF(AND(G2395&lt;&gt;1,G2394=1),MAX($L$50:L2394)+1,"")</f>
        <v/>
      </c>
      <c r="M2395" s="13" t="str">
        <f>IF(AND(G2395=-1,G2394&lt;&gt;-1),MAX($M$50:M2394)+1,"")</f>
        <v/>
      </c>
      <c r="N2395" s="13" t="str">
        <f>IF(AND(G2395&lt;&gt;-1,G2394=-1),MAX($N$50:N2394)+1,"")</f>
        <v/>
      </c>
      <c r="T2395" s="7">
        <f t="shared" si="331"/>
        <v>149.02304405445142</v>
      </c>
      <c r="U2395" s="1">
        <f t="shared" si="332"/>
        <v>315.68021688760069</v>
      </c>
    </row>
    <row r="2396" spans="1:21" x14ac:dyDescent="0.3">
      <c r="A2396" s="2">
        <v>43654</v>
      </c>
      <c r="B2396" s="1">
        <v>5979.34</v>
      </c>
      <c r="C2396" s="2">
        <f t="shared" si="324"/>
        <v>43654</v>
      </c>
      <c r="D2396" s="1">
        <f t="shared" si="325"/>
        <v>5979.34</v>
      </c>
      <c r="E2396" s="4">
        <f t="shared" si="326"/>
        <v>5788.5228000000006</v>
      </c>
      <c r="F2396" s="3">
        <f t="shared" si="327"/>
        <v>1.0329647487956686</v>
      </c>
      <c r="G2396" s="18">
        <f t="shared" si="328"/>
        <v>1</v>
      </c>
      <c r="H2396" s="3">
        <f t="shared" si="329"/>
        <v>-4.8216553406865703E-3</v>
      </c>
      <c r="I2396" s="3">
        <f t="shared" si="330"/>
        <v>-4.8216553406865703E-3</v>
      </c>
      <c r="K2396" s="12" t="str">
        <f>IF(AND(G2396=1,G2395&lt;&gt;1),MAX($K$50:K2395)+1,"")</f>
        <v/>
      </c>
      <c r="L2396" s="13" t="str">
        <f>IF(AND(G2396&lt;&gt;1,G2395=1),MAX($L$50:L2395)+1,"")</f>
        <v/>
      </c>
      <c r="M2396" s="13" t="str">
        <f>IF(AND(G2396=-1,G2395&lt;&gt;-1),MAX($M$50:M2395)+1,"")</f>
        <v/>
      </c>
      <c r="N2396" s="13" t="str">
        <f>IF(AND(G2396&lt;&gt;-1,G2395=-1),MAX($N$50:N2395)+1,"")</f>
        <v/>
      </c>
      <c r="T2396" s="7">
        <f t="shared" si="331"/>
        <v>148.30450629820089</v>
      </c>
      <c r="U2396" s="1">
        <f t="shared" si="332"/>
        <v>314.15811568389552</v>
      </c>
    </row>
    <row r="2397" spans="1:21" x14ac:dyDescent="0.3">
      <c r="A2397" s="2">
        <v>43655</v>
      </c>
      <c r="B2397" s="1">
        <v>5988.48</v>
      </c>
      <c r="C2397" s="2">
        <f t="shared" si="324"/>
        <v>43655</v>
      </c>
      <c r="D2397" s="1">
        <f t="shared" si="325"/>
        <v>5988.48</v>
      </c>
      <c r="E2397" s="4">
        <f t="shared" si="326"/>
        <v>5790.6627999999992</v>
      </c>
      <c r="F2397" s="3">
        <f t="shared" si="327"/>
        <v>1.0341614089495939</v>
      </c>
      <c r="G2397" s="18">
        <f t="shared" si="328"/>
        <v>1</v>
      </c>
      <c r="H2397" s="3">
        <f t="shared" si="329"/>
        <v>1.5285968016536255E-3</v>
      </c>
      <c r="I2397" s="3">
        <f t="shared" si="330"/>
        <v>1.5285968016536255E-3</v>
      </c>
      <c r="K2397" s="12" t="str">
        <f>IF(AND(G2397=1,G2396&lt;&gt;1),MAX($K$50:K2396)+1,"")</f>
        <v/>
      </c>
      <c r="L2397" s="13" t="str">
        <f>IF(AND(G2397&lt;&gt;1,G2396=1),MAX($L$50:L2396)+1,"")</f>
        <v/>
      </c>
      <c r="M2397" s="13" t="str">
        <f>IF(AND(G2397=-1,G2396&lt;&gt;-1),MAX($M$50:M2396)+1,"")</f>
        <v/>
      </c>
      <c r="N2397" s="13" t="str">
        <f>IF(AND(G2397&lt;&gt;-1,G2396=-1),MAX($N$50:N2396)+1,"")</f>
        <v/>
      </c>
      <c r="T2397" s="7">
        <f t="shared" si="331"/>
        <v>148.53120409219915</v>
      </c>
      <c r="U2397" s="1">
        <f t="shared" si="332"/>
        <v>314.63833677474344</v>
      </c>
    </row>
    <row r="2398" spans="1:21" x14ac:dyDescent="0.3">
      <c r="A2398" s="2">
        <v>43656</v>
      </c>
      <c r="B2398" s="1">
        <v>6015.56</v>
      </c>
      <c r="C2398" s="2">
        <f t="shared" si="324"/>
        <v>43656</v>
      </c>
      <c r="D2398" s="1">
        <f t="shared" si="325"/>
        <v>6015.56</v>
      </c>
      <c r="E2398" s="4">
        <f t="shared" si="326"/>
        <v>5793.2130000000006</v>
      </c>
      <c r="F2398" s="3">
        <f t="shared" si="327"/>
        <v>1.0383806015763619</v>
      </c>
      <c r="G2398" s="18">
        <f t="shared" si="328"/>
        <v>1</v>
      </c>
      <c r="H2398" s="3">
        <f t="shared" si="329"/>
        <v>4.5220156032916847E-3</v>
      </c>
      <c r="I2398" s="3">
        <f t="shared" si="330"/>
        <v>4.5220156032916847E-3</v>
      </c>
      <c r="K2398" s="12" t="str">
        <f>IF(AND(G2398=1,G2397&lt;&gt;1),MAX($K$50:K2397)+1,"")</f>
        <v/>
      </c>
      <c r="L2398" s="13" t="str">
        <f>IF(AND(G2398&lt;&gt;1,G2397=1),MAX($L$50:L2397)+1,"")</f>
        <v/>
      </c>
      <c r="M2398" s="13" t="str">
        <f>IF(AND(G2398=-1,G2397&lt;&gt;-1),MAX($M$50:M2397)+1,"")</f>
        <v/>
      </c>
      <c r="N2398" s="13" t="str">
        <f>IF(AND(G2398&lt;&gt;-1,G2397=-1),MAX($N$50:N2397)+1,"")</f>
        <v/>
      </c>
      <c r="T2398" s="7">
        <f t="shared" si="331"/>
        <v>149.20286451467976</v>
      </c>
      <c r="U2398" s="1">
        <f t="shared" si="332"/>
        <v>316.06113624303265</v>
      </c>
    </row>
    <row r="2399" spans="1:21" x14ac:dyDescent="0.3">
      <c r="A2399" s="2">
        <v>43657</v>
      </c>
      <c r="B2399" s="1">
        <v>6029.33</v>
      </c>
      <c r="C2399" s="2">
        <f t="shared" si="324"/>
        <v>43657</v>
      </c>
      <c r="D2399" s="1">
        <f t="shared" si="325"/>
        <v>6029.33</v>
      </c>
      <c r="E2399" s="4">
        <f t="shared" si="326"/>
        <v>5795.9234000000024</v>
      </c>
      <c r="F2399" s="3">
        <f t="shared" si="327"/>
        <v>1.0402708220747012</v>
      </c>
      <c r="G2399" s="18">
        <f t="shared" si="328"/>
        <v>1</v>
      </c>
      <c r="H2399" s="3">
        <f t="shared" si="329"/>
        <v>2.289063694818072E-3</v>
      </c>
      <c r="I2399" s="3">
        <f t="shared" si="330"/>
        <v>2.289063694818072E-3</v>
      </c>
      <c r="K2399" s="12" t="str">
        <f>IF(AND(G2399=1,G2398&lt;&gt;1),MAX($K$50:K2398)+1,"")</f>
        <v/>
      </c>
      <c r="L2399" s="13" t="str">
        <f>IF(AND(G2399&lt;&gt;1,G2398=1),MAX($L$50:L2398)+1,"")</f>
        <v/>
      </c>
      <c r="M2399" s="13" t="str">
        <f>IF(AND(G2399=-1,G2398&lt;&gt;-1),MAX($M$50:M2398)+1,"")</f>
        <v/>
      </c>
      <c r="N2399" s="13" t="str">
        <f>IF(AND(G2399&lt;&gt;-1,G2398=-1),MAX($N$50:N2398)+1,"")</f>
        <v/>
      </c>
      <c r="T2399" s="7">
        <f t="shared" si="331"/>
        <v>149.54439937500317</v>
      </c>
      <c r="U2399" s="1">
        <f t="shared" si="332"/>
        <v>316.78462031534951</v>
      </c>
    </row>
    <row r="2400" spans="1:21" x14ac:dyDescent="0.3">
      <c r="A2400" s="2">
        <v>43658</v>
      </c>
      <c r="B2400" s="1">
        <v>6057.77</v>
      </c>
      <c r="C2400" s="2">
        <f t="shared" si="324"/>
        <v>43658</v>
      </c>
      <c r="D2400" s="1">
        <f t="shared" si="325"/>
        <v>6057.77</v>
      </c>
      <c r="E2400" s="4">
        <f t="shared" si="326"/>
        <v>5800.0858000000017</v>
      </c>
      <c r="F2400" s="3">
        <f t="shared" si="327"/>
        <v>1.0444276531219587</v>
      </c>
      <c r="G2400" s="18">
        <f t="shared" si="328"/>
        <v>1</v>
      </c>
      <c r="H2400" s="3">
        <f t="shared" si="329"/>
        <v>4.7169420151162988E-3</v>
      </c>
      <c r="I2400" s="3">
        <f t="shared" si="330"/>
        <v>4.7169420151162988E-3</v>
      </c>
      <c r="K2400" s="12" t="str">
        <f>IF(AND(G2400=1,G2399&lt;&gt;1),MAX($K$50:K2399)+1,"")</f>
        <v/>
      </c>
      <c r="L2400" s="13" t="str">
        <f>IF(AND(G2400&lt;&gt;1,G2399=1),MAX($L$50:L2399)+1,"")</f>
        <v/>
      </c>
      <c r="M2400" s="13" t="str">
        <f>IF(AND(G2400=-1,G2399&lt;&gt;-1),MAX($M$50:M2399)+1,"")</f>
        <v/>
      </c>
      <c r="N2400" s="13" t="str">
        <f>IF(AND(G2400&lt;&gt;-1,G2399=-1),MAX($N$50:N2399)+1,"")</f>
        <v/>
      </c>
      <c r="T2400" s="7">
        <f t="shared" si="331"/>
        <v>150.24979163554045</v>
      </c>
      <c r="U2400" s="1">
        <f t="shared" si="332"/>
        <v>318.27887500065765</v>
      </c>
    </row>
    <row r="2401" spans="1:21" x14ac:dyDescent="0.3">
      <c r="A2401" s="2">
        <v>43661</v>
      </c>
      <c r="B2401" s="1">
        <v>6058.83</v>
      </c>
      <c r="C2401" s="2">
        <f t="shared" si="324"/>
        <v>43661</v>
      </c>
      <c r="D2401" s="1">
        <f t="shared" si="325"/>
        <v>6058.83</v>
      </c>
      <c r="E2401" s="4">
        <f t="shared" si="326"/>
        <v>5804.5132000000021</v>
      </c>
      <c r="F2401" s="3">
        <f t="shared" si="327"/>
        <v>1.0438136310896835</v>
      </c>
      <c r="G2401" s="18">
        <f t="shared" si="328"/>
        <v>1</v>
      </c>
      <c r="H2401" s="3">
        <f t="shared" si="329"/>
        <v>1.749818827718741E-4</v>
      </c>
      <c r="I2401" s="3">
        <f t="shared" si="330"/>
        <v>1.749818827718741E-4</v>
      </c>
      <c r="K2401" s="12" t="str">
        <f>IF(AND(G2401=1,G2400&lt;&gt;1),MAX($K$50:K2400)+1,"")</f>
        <v/>
      </c>
      <c r="L2401" s="13" t="str">
        <f>IF(AND(G2401&lt;&gt;1,G2400=1),MAX($L$50:L2400)+1,"")</f>
        <v/>
      </c>
      <c r="M2401" s="13" t="str">
        <f>IF(AND(G2401=-1,G2400&lt;&gt;-1),MAX($M$50:M2400)+1,"")</f>
        <v/>
      </c>
      <c r="N2401" s="13" t="str">
        <f>IF(AND(G2401&lt;&gt;-1,G2400=-1),MAX($N$50:N2400)+1,"")</f>
        <v/>
      </c>
      <c r="T2401" s="7">
        <f t="shared" si="331"/>
        <v>150.27608262696691</v>
      </c>
      <c r="U2401" s="1">
        <f t="shared" si="332"/>
        <v>318.33456803745185</v>
      </c>
    </row>
    <row r="2402" spans="1:21" x14ac:dyDescent="0.3">
      <c r="A2402" s="2">
        <v>43662</v>
      </c>
      <c r="B2402" s="1">
        <v>6038.4</v>
      </c>
      <c r="C2402" s="2">
        <f t="shared" si="324"/>
        <v>43662</v>
      </c>
      <c r="D2402" s="1">
        <f t="shared" si="325"/>
        <v>6038.4</v>
      </c>
      <c r="E2402" s="4">
        <f t="shared" si="326"/>
        <v>5807.3952000000027</v>
      </c>
      <c r="F2402" s="3">
        <f t="shared" si="327"/>
        <v>1.0397776958592377</v>
      </c>
      <c r="G2402" s="18">
        <f t="shared" si="328"/>
        <v>1</v>
      </c>
      <c r="H2402" s="3">
        <f t="shared" si="329"/>
        <v>-3.3719381464738518E-3</v>
      </c>
      <c r="I2402" s="3">
        <f t="shared" si="330"/>
        <v>-3.3719381464738518E-3</v>
      </c>
      <c r="K2402" s="12" t="str">
        <f>IF(AND(G2402=1,G2401&lt;&gt;1),MAX($K$50:K2401)+1,"")</f>
        <v/>
      </c>
      <c r="L2402" s="13" t="str">
        <f>IF(AND(G2402&lt;&gt;1,G2401=1),MAX($L$50:L2401)+1,"")</f>
        <v/>
      </c>
      <c r="M2402" s="13" t="str">
        <f>IF(AND(G2402=-1,G2401&lt;&gt;-1),MAX($M$50:M2401)+1,"")</f>
        <v/>
      </c>
      <c r="N2402" s="13" t="str">
        <f>IF(AND(G2402&lt;&gt;-1,G2401=-1),MAX($N$50:N2401)+1,"")</f>
        <v/>
      </c>
      <c r="T2402" s="7">
        <f t="shared" si="331"/>
        <v>149.76936097145438</v>
      </c>
      <c r="U2402" s="1">
        <f t="shared" si="332"/>
        <v>317.26116356414508</v>
      </c>
    </row>
    <row r="2403" spans="1:21" x14ac:dyDescent="0.3">
      <c r="A2403" s="2">
        <v>43663</v>
      </c>
      <c r="B2403" s="1">
        <v>5999.05</v>
      </c>
      <c r="C2403" s="2">
        <f t="shared" si="324"/>
        <v>43663</v>
      </c>
      <c r="D2403" s="1">
        <f t="shared" si="325"/>
        <v>5999.05</v>
      </c>
      <c r="E2403" s="4">
        <f t="shared" si="326"/>
        <v>5810.0072000000018</v>
      </c>
      <c r="F2403" s="3">
        <f t="shared" si="327"/>
        <v>1.0325374467694288</v>
      </c>
      <c r="G2403" s="18">
        <f t="shared" si="328"/>
        <v>1</v>
      </c>
      <c r="H2403" s="3">
        <f t="shared" si="329"/>
        <v>-6.5166269210386041E-3</v>
      </c>
      <c r="I2403" s="3">
        <f t="shared" si="330"/>
        <v>-6.5166269210386041E-3</v>
      </c>
      <c r="K2403" s="12" t="str">
        <f>IF(AND(G2403=1,G2402&lt;&gt;1),MAX($K$50:K2402)+1,"")</f>
        <v/>
      </c>
      <c r="L2403" s="13" t="str">
        <f>IF(AND(G2403&lt;&gt;1,G2402=1),MAX($L$50:L2402)+1,"")</f>
        <v/>
      </c>
      <c r="M2403" s="13" t="str">
        <f>IF(AND(G2403=-1,G2402&lt;&gt;-1),MAX($M$50:M2402)+1,"")</f>
        <v/>
      </c>
      <c r="N2403" s="13" t="str">
        <f>IF(AND(G2403&lt;&gt;-1,G2402=-1),MAX($N$50:N2402)+1,"")</f>
        <v/>
      </c>
      <c r="T2403" s="7">
        <f t="shared" si="331"/>
        <v>148.79336992180106</v>
      </c>
      <c r="U2403" s="1">
        <f t="shared" si="332"/>
        <v>315.19369092466297</v>
      </c>
    </row>
    <row r="2404" spans="1:21" x14ac:dyDescent="0.3">
      <c r="A2404" s="2">
        <v>43664</v>
      </c>
      <c r="B2404" s="1">
        <v>6021.15</v>
      </c>
      <c r="C2404" s="2">
        <f t="shared" si="324"/>
        <v>43664</v>
      </c>
      <c r="D2404" s="1">
        <f t="shared" si="325"/>
        <v>6021.15</v>
      </c>
      <c r="E2404" s="4">
        <f t="shared" si="326"/>
        <v>5814.9984000000022</v>
      </c>
      <c r="F2404" s="3">
        <f t="shared" si="327"/>
        <v>1.0354517036496516</v>
      </c>
      <c r="G2404" s="18">
        <f t="shared" si="328"/>
        <v>1</v>
      </c>
      <c r="H2404" s="3">
        <f t="shared" si="329"/>
        <v>3.6839166201314555E-3</v>
      </c>
      <c r="I2404" s="3">
        <f t="shared" si="330"/>
        <v>3.6839166201314555E-3</v>
      </c>
      <c r="K2404" s="12" t="str">
        <f>IF(AND(G2404=1,G2403&lt;&gt;1),MAX($K$50:K2403)+1,"")</f>
        <v/>
      </c>
      <c r="L2404" s="13" t="str">
        <f>IF(AND(G2404&lt;&gt;1,G2403=1),MAX($L$50:L2403)+1,"")</f>
        <v/>
      </c>
      <c r="M2404" s="13" t="str">
        <f>IF(AND(G2404=-1,G2403&lt;&gt;-1),MAX($M$50:M2403)+1,"")</f>
        <v/>
      </c>
      <c r="N2404" s="13" t="str">
        <f>IF(AND(G2404&lt;&gt;-1,G2403=-1),MAX($N$50:N2403)+1,"")</f>
        <v/>
      </c>
      <c r="T2404" s="7">
        <f t="shared" si="331"/>
        <v>149.34151229022135</v>
      </c>
      <c r="U2404" s="1">
        <f t="shared" si="332"/>
        <v>316.3548382012209</v>
      </c>
    </row>
    <row r="2405" spans="1:21" x14ac:dyDescent="0.3">
      <c r="A2405" s="2">
        <v>43665</v>
      </c>
      <c r="B2405" s="1">
        <v>5984.2</v>
      </c>
      <c r="C2405" s="2">
        <f t="shared" si="324"/>
        <v>43665</v>
      </c>
      <c r="D2405" s="1">
        <f t="shared" si="325"/>
        <v>5984.2</v>
      </c>
      <c r="E2405" s="4">
        <f t="shared" si="326"/>
        <v>5819.4328000000014</v>
      </c>
      <c r="F2405" s="3">
        <f t="shared" si="327"/>
        <v>1.0283132747920034</v>
      </c>
      <c r="G2405" s="18">
        <f t="shared" si="328"/>
        <v>1</v>
      </c>
      <c r="H2405" s="3">
        <f t="shared" si="329"/>
        <v>-6.1367014606843462E-3</v>
      </c>
      <c r="I2405" s="3">
        <f t="shared" si="330"/>
        <v>-6.1367014606843462E-3</v>
      </c>
      <c r="K2405" s="12" t="str">
        <f>IF(AND(G2405=1,G2404&lt;&gt;1),MAX($K$50:K2404)+1,"")</f>
        <v/>
      </c>
      <c r="L2405" s="13" t="str">
        <f>IF(AND(G2405&lt;&gt;1,G2404=1),MAX($L$50:L2404)+1,"")</f>
        <v/>
      </c>
      <c r="M2405" s="13" t="str">
        <f>IF(AND(G2405=-1,G2404&lt;&gt;-1),MAX($M$50:M2404)+1,"")</f>
        <v/>
      </c>
      <c r="N2405" s="13" t="str">
        <f>IF(AND(G2405&lt;&gt;-1,G2404=-1),MAX($N$50:N2404)+1,"")</f>
        <v/>
      </c>
      <c r="T2405" s="7">
        <f t="shared" si="331"/>
        <v>148.42504801360914</v>
      </c>
      <c r="U2405" s="1">
        <f t="shared" si="332"/>
        <v>314.41346300353689</v>
      </c>
    </row>
    <row r="2406" spans="1:21" x14ac:dyDescent="0.3">
      <c r="A2406" s="2">
        <v>43668</v>
      </c>
      <c r="B2406" s="1">
        <v>6001.28</v>
      </c>
      <c r="C2406" s="2">
        <f t="shared" si="324"/>
        <v>43668</v>
      </c>
      <c r="D2406" s="1">
        <f t="shared" si="325"/>
        <v>6001.28</v>
      </c>
      <c r="E2406" s="4">
        <f t="shared" si="326"/>
        <v>5824.5168000000012</v>
      </c>
      <c r="F2406" s="3">
        <f t="shared" si="327"/>
        <v>1.0303481311960503</v>
      </c>
      <c r="G2406" s="18">
        <f t="shared" si="328"/>
        <v>1</v>
      </c>
      <c r="H2406" s="3">
        <f t="shared" si="329"/>
        <v>2.8541826810601911E-3</v>
      </c>
      <c r="I2406" s="3">
        <f t="shared" si="330"/>
        <v>2.8541826810601911E-3</v>
      </c>
      <c r="K2406" s="12" t="str">
        <f>IF(AND(G2406=1,G2405&lt;&gt;1),MAX($K$50:K2405)+1,"")</f>
        <v/>
      </c>
      <c r="L2406" s="13" t="str">
        <f>IF(AND(G2406&lt;&gt;1,G2405=1),MAX($L$50:L2405)+1,"")</f>
        <v/>
      </c>
      <c r="M2406" s="13" t="str">
        <f>IF(AND(G2406=-1,G2405&lt;&gt;-1),MAX($M$50:M2405)+1,"")</f>
        <v/>
      </c>
      <c r="N2406" s="13" t="str">
        <f>IF(AND(G2406&lt;&gt;-1,G2405=-1),MAX($N$50:N2405)+1,"")</f>
        <v/>
      </c>
      <c r="T2406" s="7">
        <f t="shared" si="331"/>
        <v>148.84868021508512</v>
      </c>
      <c r="U2406" s="1">
        <f t="shared" si="332"/>
        <v>315.31085646433371</v>
      </c>
    </row>
    <row r="2407" spans="1:21" x14ac:dyDescent="0.3">
      <c r="A2407" s="2">
        <v>43669</v>
      </c>
      <c r="B2407" s="1">
        <v>6042.48</v>
      </c>
      <c r="C2407" s="2">
        <f t="shared" si="324"/>
        <v>43669</v>
      </c>
      <c r="D2407" s="1">
        <f t="shared" si="325"/>
        <v>6042.48</v>
      </c>
      <c r="E2407" s="4">
        <f t="shared" si="326"/>
        <v>5829.9576000000015</v>
      </c>
      <c r="F2407" s="3">
        <f t="shared" si="327"/>
        <v>1.0364535069689012</v>
      </c>
      <c r="G2407" s="18">
        <f t="shared" si="328"/>
        <v>1</v>
      </c>
      <c r="H2407" s="3">
        <f t="shared" si="329"/>
        <v>6.865202090220679E-3</v>
      </c>
      <c r="I2407" s="3">
        <f t="shared" si="330"/>
        <v>6.865202090220679E-3</v>
      </c>
      <c r="K2407" s="12" t="str">
        <f>IF(AND(G2407=1,G2406&lt;&gt;1),MAX($K$50:K2406)+1,"")</f>
        <v/>
      </c>
      <c r="L2407" s="13" t="str">
        <f>IF(AND(G2407&lt;&gt;1,G2406=1),MAX($L$50:L2406)+1,"")</f>
        <v/>
      </c>
      <c r="M2407" s="13" t="str">
        <f>IF(AND(G2407=-1,G2406&lt;&gt;-1),MAX($M$50:M2406)+1,"")</f>
        <v/>
      </c>
      <c r="N2407" s="13" t="str">
        <f>IF(AND(G2407&lt;&gt;-1,G2406=-1),MAX($N$50:N2406)+1,"")</f>
        <v/>
      </c>
      <c r="T2407" s="7">
        <f t="shared" si="331"/>
        <v>149.87055648562432</v>
      </c>
      <c r="U2407" s="1">
        <f t="shared" si="332"/>
        <v>317.47552921520196</v>
      </c>
    </row>
    <row r="2408" spans="1:21" x14ac:dyDescent="0.3">
      <c r="A2408" s="2">
        <v>43670</v>
      </c>
      <c r="B2408" s="1">
        <v>6071.05</v>
      </c>
      <c r="C2408" s="2">
        <f t="shared" si="324"/>
        <v>43670</v>
      </c>
      <c r="D2408" s="1">
        <f t="shared" si="325"/>
        <v>6071.05</v>
      </c>
      <c r="E2408" s="4">
        <f t="shared" si="326"/>
        <v>5838.7504000000008</v>
      </c>
      <c r="F2408" s="3">
        <f t="shared" si="327"/>
        <v>1.0397858418472554</v>
      </c>
      <c r="G2408" s="18">
        <f t="shared" si="328"/>
        <v>1</v>
      </c>
      <c r="H2408" s="3">
        <f t="shared" si="329"/>
        <v>4.7281910738639077E-3</v>
      </c>
      <c r="I2408" s="3">
        <f t="shared" si="330"/>
        <v>4.7281910738639077E-3</v>
      </c>
      <c r="K2408" s="12" t="str">
        <f>IF(AND(G2408=1,G2407&lt;&gt;1),MAX($K$50:K2407)+1,"")</f>
        <v/>
      </c>
      <c r="L2408" s="13" t="str">
        <f>IF(AND(G2408&lt;&gt;1,G2407=1),MAX($L$50:L2407)+1,"")</f>
        <v/>
      </c>
      <c r="M2408" s="13" t="str">
        <f>IF(AND(G2408=-1,G2407&lt;&gt;-1),MAX($M$50:M2407)+1,"")</f>
        <v/>
      </c>
      <c r="N2408" s="13" t="str">
        <f>IF(AND(G2408&lt;&gt;-1,G2407=-1),MAX($N$50:N2407)+1,"")</f>
        <v/>
      </c>
      <c r="T2408" s="7">
        <f t="shared" si="331"/>
        <v>150.57917311303467</v>
      </c>
      <c r="U2408" s="1">
        <f t="shared" si="332"/>
        <v>318.97661417860746</v>
      </c>
    </row>
    <row r="2409" spans="1:21" x14ac:dyDescent="0.3">
      <c r="A2409" s="2">
        <v>43671</v>
      </c>
      <c r="B2409" s="1">
        <v>6039.13</v>
      </c>
      <c r="C2409" s="2">
        <f t="shared" si="324"/>
        <v>43671</v>
      </c>
      <c r="D2409" s="1">
        <f t="shared" si="325"/>
        <v>6039.13</v>
      </c>
      <c r="E2409" s="4">
        <f t="shared" si="326"/>
        <v>5845.9890000000005</v>
      </c>
      <c r="F2409" s="3">
        <f t="shared" si="327"/>
        <v>1.0330382079063096</v>
      </c>
      <c r="G2409" s="18">
        <f t="shared" si="328"/>
        <v>1</v>
      </c>
      <c r="H2409" s="3">
        <f t="shared" si="329"/>
        <v>-5.2577396002339016E-3</v>
      </c>
      <c r="I2409" s="3">
        <f t="shared" si="330"/>
        <v>-5.2577396002339016E-3</v>
      </c>
      <c r="K2409" s="12" t="str">
        <f>IF(AND(G2409=1,G2408&lt;&gt;1),MAX($K$50:K2408)+1,"")</f>
        <v/>
      </c>
      <c r="L2409" s="13" t="str">
        <f>IF(AND(G2409&lt;&gt;1,G2408=1),MAX($L$50:L2408)+1,"")</f>
        <v/>
      </c>
      <c r="M2409" s="13" t="str">
        <f>IF(AND(G2409=-1,G2408&lt;&gt;-1),MAX($M$50:M2408)+1,"")</f>
        <v/>
      </c>
      <c r="N2409" s="13" t="str">
        <f>IF(AND(G2409&lt;&gt;-1,G2408=-1),MAX($N$50:N2408)+1,"")</f>
        <v/>
      </c>
      <c r="T2409" s="7">
        <f t="shared" si="331"/>
        <v>149.78746703158779</v>
      </c>
      <c r="U2409" s="1">
        <f t="shared" si="332"/>
        <v>317.29951820269207</v>
      </c>
    </row>
    <row r="2410" spans="1:21" x14ac:dyDescent="0.3">
      <c r="A2410" s="2">
        <v>43672</v>
      </c>
      <c r="B2410" s="1">
        <v>6083.82</v>
      </c>
      <c r="C2410" s="2">
        <f t="shared" si="324"/>
        <v>43672</v>
      </c>
      <c r="D2410" s="1">
        <f t="shared" si="325"/>
        <v>6083.82</v>
      </c>
      <c r="E2410" s="4">
        <f t="shared" si="326"/>
        <v>5853.4356000000007</v>
      </c>
      <c r="F2410" s="3">
        <f t="shared" si="327"/>
        <v>1.0393588339811921</v>
      </c>
      <c r="G2410" s="18">
        <f t="shared" si="328"/>
        <v>1</v>
      </c>
      <c r="H2410" s="3">
        <f t="shared" si="329"/>
        <v>7.4000725270029211E-3</v>
      </c>
      <c r="I2410" s="3">
        <f t="shared" si="330"/>
        <v>7.4000725270029211E-3</v>
      </c>
      <c r="K2410" s="12" t="str">
        <f>IF(AND(G2410=1,G2409&lt;&gt;1),MAX($K$50:K2409)+1,"")</f>
        <v/>
      </c>
      <c r="L2410" s="13" t="str">
        <f>IF(AND(G2410&lt;&gt;1,G2409=1),MAX($L$50:L2409)+1,"")</f>
        <v/>
      </c>
      <c r="M2410" s="13" t="str">
        <f>IF(AND(G2410=-1,G2409&lt;&gt;-1),MAX($M$50:M2409)+1,"")</f>
        <v/>
      </c>
      <c r="N2410" s="13" t="str">
        <f>IF(AND(G2410&lt;&gt;-1,G2409=-1),MAX($N$50:N2409)+1,"")</f>
        <v/>
      </c>
      <c r="T2410" s="7">
        <f t="shared" si="331"/>
        <v>150.89590515125761</v>
      </c>
      <c r="U2410" s="1">
        <f t="shared" si="332"/>
        <v>319.64755765017509</v>
      </c>
    </row>
    <row r="2411" spans="1:21" x14ac:dyDescent="0.3">
      <c r="A2411" s="2">
        <v>43675</v>
      </c>
      <c r="B2411" s="1">
        <v>6074.01</v>
      </c>
      <c r="C2411" s="2">
        <f t="shared" si="324"/>
        <v>43675</v>
      </c>
      <c r="D2411" s="1">
        <f t="shared" si="325"/>
        <v>6074.01</v>
      </c>
      <c r="E2411" s="4">
        <f t="shared" si="326"/>
        <v>5859.6367999999993</v>
      </c>
      <c r="F2411" s="3">
        <f t="shared" si="327"/>
        <v>1.0365847248416491</v>
      </c>
      <c r="G2411" s="18">
        <f t="shared" si="328"/>
        <v>1</v>
      </c>
      <c r="H2411" s="3">
        <f t="shared" si="329"/>
        <v>-1.6124737418266033E-3</v>
      </c>
      <c r="I2411" s="3">
        <f t="shared" si="330"/>
        <v>-1.6124737418266033E-3</v>
      </c>
      <c r="K2411" s="12" t="str">
        <f>IF(AND(G2411=1,G2410&lt;&gt;1),MAX($K$50:K2410)+1,"")</f>
        <v/>
      </c>
      <c r="L2411" s="13" t="str">
        <f>IF(AND(G2411&lt;&gt;1,G2410=1),MAX($L$50:L2410)+1,"")</f>
        <v/>
      </c>
      <c r="M2411" s="13" t="str">
        <f>IF(AND(G2411=-1,G2410&lt;&gt;-1),MAX($M$50:M2410)+1,"")</f>
        <v/>
      </c>
      <c r="N2411" s="13" t="str">
        <f>IF(AND(G2411&lt;&gt;-1,G2410=-1),MAX($N$50:N2410)+1,"")</f>
        <v/>
      </c>
      <c r="T2411" s="7">
        <f t="shared" si="331"/>
        <v>150.65258946645204</v>
      </c>
      <c r="U2411" s="1">
        <f t="shared" si="332"/>
        <v>319.13213435682519</v>
      </c>
    </row>
    <row r="2412" spans="1:21" x14ac:dyDescent="0.3">
      <c r="A2412" s="2">
        <v>43676</v>
      </c>
      <c r="B2412" s="1">
        <v>6058.96</v>
      </c>
      <c r="C2412" s="2">
        <f t="shared" si="324"/>
        <v>43676</v>
      </c>
      <c r="D2412" s="1">
        <f t="shared" si="325"/>
        <v>6058.96</v>
      </c>
      <c r="E2412" s="4">
        <f t="shared" si="326"/>
        <v>5866.1981999999998</v>
      </c>
      <c r="F2412" s="3">
        <f t="shared" si="327"/>
        <v>1.032859748925633</v>
      </c>
      <c r="G2412" s="18">
        <f t="shared" si="328"/>
        <v>1</v>
      </c>
      <c r="H2412" s="3">
        <f t="shared" si="329"/>
        <v>-2.4777700398913582E-3</v>
      </c>
      <c r="I2412" s="3">
        <f t="shared" si="330"/>
        <v>-2.4777700398913582E-3</v>
      </c>
      <c r="K2412" s="12" t="str">
        <f>IF(AND(G2412=1,G2411&lt;&gt;1),MAX($K$50:K2411)+1,"")</f>
        <v/>
      </c>
      <c r="L2412" s="13" t="str">
        <f>IF(AND(G2412&lt;&gt;1,G2411=1),MAX($L$50:L2411)+1,"")</f>
        <v/>
      </c>
      <c r="M2412" s="13" t="str">
        <f>IF(AND(G2412=-1,G2411&lt;&gt;-1),MAX($M$50:M2411)+1,"")</f>
        <v/>
      </c>
      <c r="N2412" s="13" t="str">
        <f>IF(AND(G2412&lt;&gt;-1,G2411=-1),MAX($N$50:N2411)+1,"")</f>
        <v/>
      </c>
      <c r="T2412" s="7">
        <f t="shared" si="331"/>
        <v>150.27930699384001</v>
      </c>
      <c r="U2412" s="1">
        <f t="shared" si="332"/>
        <v>318.34139831554927</v>
      </c>
    </row>
    <row r="2413" spans="1:21" x14ac:dyDescent="0.3">
      <c r="A2413" s="2">
        <v>43677</v>
      </c>
      <c r="B2413" s="1">
        <v>5993.17</v>
      </c>
      <c r="C2413" s="2">
        <f t="shared" si="324"/>
        <v>43677</v>
      </c>
      <c r="D2413" s="1">
        <f t="shared" si="325"/>
        <v>5993.17</v>
      </c>
      <c r="E2413" s="4">
        <f t="shared" si="326"/>
        <v>5872.2156000000004</v>
      </c>
      <c r="F2413" s="3">
        <f t="shared" si="327"/>
        <v>1.0205977450827928</v>
      </c>
      <c r="G2413" s="18">
        <f t="shared" si="328"/>
        <v>1</v>
      </c>
      <c r="H2413" s="3">
        <f t="shared" si="329"/>
        <v>-1.0858299114039349E-2</v>
      </c>
      <c r="I2413" s="3">
        <f t="shared" si="330"/>
        <v>-1.0858299114039349E-2</v>
      </c>
      <c r="K2413" s="12" t="str">
        <f>IF(AND(G2413=1,G2412&lt;&gt;1),MAX($K$50:K2412)+1,"")</f>
        <v/>
      </c>
      <c r="L2413" s="13" t="str">
        <f>IF(AND(G2413&lt;&gt;1,G2412=1),MAX($L$50:L2412)+1,"")</f>
        <v/>
      </c>
      <c r="M2413" s="13" t="str">
        <f>IF(AND(G2413=-1,G2412&lt;&gt;-1),MAX($M$50:M2412)+1,"")</f>
        <v/>
      </c>
      <c r="N2413" s="13" t="str">
        <f>IF(AND(G2413&lt;&gt;-1,G2412=-1),MAX($N$50:N2412)+1,"")</f>
        <v/>
      </c>
      <c r="T2413" s="7">
        <f t="shared" si="331"/>
        <v>148.64752932785035</v>
      </c>
      <c r="U2413" s="1">
        <f t="shared" si="332"/>
        <v>314.88475219225751</v>
      </c>
    </row>
    <row r="2414" spans="1:21" x14ac:dyDescent="0.3">
      <c r="A2414" s="2">
        <v>43678</v>
      </c>
      <c r="B2414" s="1">
        <v>5939.83</v>
      </c>
      <c r="C2414" s="2">
        <f t="shared" si="324"/>
        <v>43678</v>
      </c>
      <c r="D2414" s="1">
        <f t="shared" si="325"/>
        <v>5939.83</v>
      </c>
      <c r="E2414" s="4">
        <f t="shared" si="326"/>
        <v>5876.1959999999999</v>
      </c>
      <c r="F2414" s="3">
        <f t="shared" si="327"/>
        <v>1.010829114617688</v>
      </c>
      <c r="G2414" s="18">
        <f t="shared" si="328"/>
        <v>1</v>
      </c>
      <c r="H2414" s="3">
        <f t="shared" si="329"/>
        <v>-8.9001313161481965E-3</v>
      </c>
      <c r="I2414" s="3">
        <f t="shared" si="330"/>
        <v>-8.9001313161481965E-3</v>
      </c>
      <c r="K2414" s="12" t="str">
        <f>IF(AND(G2414=1,G2413&lt;&gt;1),MAX($K$50:K2413)+1,"")</f>
        <v/>
      </c>
      <c r="L2414" s="13" t="str">
        <f>IF(AND(G2414&lt;&gt;1,G2413=1),MAX($L$50:L2413)+1,"")</f>
        <v/>
      </c>
      <c r="M2414" s="13" t="str">
        <f>IF(AND(G2414=-1,G2413&lt;&gt;-1),MAX($M$50:M2413)+1,"")</f>
        <v/>
      </c>
      <c r="N2414" s="13" t="str">
        <f>IF(AND(G2414&lt;&gt;-1,G2413=-1),MAX($N$50:N2413)+1,"")</f>
        <v/>
      </c>
      <c r="T2414" s="7">
        <f t="shared" si="331"/>
        <v>147.32454679701149</v>
      </c>
      <c r="U2414" s="1">
        <f t="shared" si="332"/>
        <v>312.08223654829362</v>
      </c>
    </row>
    <row r="2415" spans="1:21" x14ac:dyDescent="0.3">
      <c r="A2415" s="2">
        <v>43679</v>
      </c>
      <c r="B2415" s="1">
        <v>5897.1</v>
      </c>
      <c r="C2415" s="2">
        <f t="shared" si="324"/>
        <v>43679</v>
      </c>
      <c r="D2415" s="1">
        <f t="shared" si="325"/>
        <v>5897.1</v>
      </c>
      <c r="E2415" s="4">
        <f t="shared" si="326"/>
        <v>5879.6437999999989</v>
      </c>
      <c r="F2415" s="3">
        <f t="shared" si="327"/>
        <v>1.002968921348603</v>
      </c>
      <c r="G2415" s="18">
        <f t="shared" si="328"/>
        <v>1</v>
      </c>
      <c r="H2415" s="3">
        <f t="shared" si="329"/>
        <v>-7.1938085770131277E-3</v>
      </c>
      <c r="I2415" s="3">
        <f t="shared" si="330"/>
        <v>-7.1938085770131277E-3</v>
      </c>
      <c r="K2415" s="12" t="str">
        <f>IF(AND(G2415=1,G2414&lt;&gt;1),MAX($K$50:K2414)+1,"")</f>
        <v/>
      </c>
      <c r="L2415" s="13" t="str">
        <f>IF(AND(G2415&lt;&gt;1,G2414=1),MAX($L$50:L2414)+1,"")</f>
        <v/>
      </c>
      <c r="M2415" s="13" t="str">
        <f>IF(AND(G2415=-1,G2414&lt;&gt;-1),MAX($M$50:M2414)+1,"")</f>
        <v/>
      </c>
      <c r="N2415" s="13" t="str">
        <f>IF(AND(G2415&lt;&gt;-1,G2414=-1),MAX($N$50:N2414)+1,"")</f>
        <v/>
      </c>
      <c r="T2415" s="7">
        <f t="shared" si="331"/>
        <v>146.26472220865858</v>
      </c>
      <c r="U2415" s="1">
        <f t="shared" si="332"/>
        <v>309.83717667827909</v>
      </c>
    </row>
    <row r="2416" spans="1:21" x14ac:dyDescent="0.3">
      <c r="A2416" s="2">
        <v>43682</v>
      </c>
      <c r="B2416" s="1">
        <v>5721.8</v>
      </c>
      <c r="C2416" s="2">
        <f t="shared" si="324"/>
        <v>43682</v>
      </c>
      <c r="D2416" s="1">
        <f t="shared" si="325"/>
        <v>5721.8</v>
      </c>
      <c r="E2416" s="4">
        <f t="shared" si="326"/>
        <v>5880.9377999999988</v>
      </c>
      <c r="F2416" s="3">
        <f t="shared" si="327"/>
        <v>0.97294006408297695</v>
      </c>
      <c r="G2416" s="18">
        <f t="shared" si="328"/>
        <v>1</v>
      </c>
      <c r="H2416" s="3">
        <f t="shared" si="329"/>
        <v>-2.9726475725356583E-2</v>
      </c>
      <c r="I2416" s="3">
        <f t="shared" si="330"/>
        <v>-2.9726475725356583E-2</v>
      </c>
      <c r="K2416" s="12" t="str">
        <f>IF(AND(G2416=1,G2415&lt;&gt;1),MAX($K$50:K2415)+1,"")</f>
        <v/>
      </c>
      <c r="L2416" s="13" t="str">
        <f>IF(AND(G2416&lt;&gt;1,G2415=1),MAX($L$50:L2415)+1,"")</f>
        <v/>
      </c>
      <c r="M2416" s="13" t="str">
        <f>IF(AND(G2416=-1,G2415&lt;&gt;-1),MAX($M$50:M2415)+1,"")</f>
        <v/>
      </c>
      <c r="N2416" s="13" t="str">
        <f>IF(AND(G2416&lt;&gt;-1,G2415=-1),MAX($N$50:N2415)+1,"")</f>
        <v/>
      </c>
      <c r="T2416" s="7">
        <f t="shared" si="331"/>
        <v>141.91678749444688</v>
      </c>
      <c r="U2416" s="1">
        <f t="shared" si="332"/>
        <v>300.62680936693926</v>
      </c>
    </row>
    <row r="2417" spans="1:21" x14ac:dyDescent="0.3">
      <c r="A2417" s="2">
        <v>43683</v>
      </c>
      <c r="B2417" s="1">
        <v>5796.72</v>
      </c>
      <c r="C2417" s="2">
        <f t="shared" si="324"/>
        <v>43683</v>
      </c>
      <c r="D2417" s="1">
        <f t="shared" si="325"/>
        <v>5796.72</v>
      </c>
      <c r="E2417" s="4">
        <f t="shared" si="326"/>
        <v>5883.5601999999981</v>
      </c>
      <c r="F2417" s="3">
        <f t="shared" si="327"/>
        <v>0.98524019521377582</v>
      </c>
      <c r="G2417" s="18">
        <f t="shared" si="328"/>
        <v>1</v>
      </c>
      <c r="H2417" s="3">
        <f t="shared" si="329"/>
        <v>1.3093781677094629E-2</v>
      </c>
      <c r="I2417" s="3">
        <f t="shared" si="330"/>
        <v>1.3093781677094629E-2</v>
      </c>
      <c r="K2417" s="12" t="str">
        <f>IF(AND(G2417=1,G2416&lt;&gt;1),MAX($K$50:K2416)+1,"")</f>
        <v/>
      </c>
      <c r="L2417" s="13" t="str">
        <f>IF(AND(G2417&lt;&gt;1,G2416=1),MAX($L$50:L2416)+1,"")</f>
        <v/>
      </c>
      <c r="M2417" s="13" t="str">
        <f>IF(AND(G2417=-1,G2416&lt;&gt;-1),MAX($M$50:M2416)+1,"")</f>
        <v/>
      </c>
      <c r="N2417" s="13" t="str">
        <f>IF(AND(G2417&lt;&gt;-1,G2416=-1),MAX($N$50:N2416)+1,"")</f>
        <v/>
      </c>
      <c r="T2417" s="7">
        <f t="shared" si="331"/>
        <v>143.7750149262138</v>
      </c>
      <c r="U2417" s="1">
        <f t="shared" si="332"/>
        <v>304.56315117507148</v>
      </c>
    </row>
    <row r="2418" spans="1:21" x14ac:dyDescent="0.3">
      <c r="A2418" s="2">
        <v>43684</v>
      </c>
      <c r="B2418" s="1">
        <v>5801.32</v>
      </c>
      <c r="C2418" s="2">
        <f t="shared" si="324"/>
        <v>43684</v>
      </c>
      <c r="D2418" s="1">
        <f t="shared" si="325"/>
        <v>5801.32</v>
      </c>
      <c r="E2418" s="4">
        <f t="shared" si="326"/>
        <v>5887.2229999999981</v>
      </c>
      <c r="F2418" s="3">
        <f t="shared" si="327"/>
        <v>0.98540857039048824</v>
      </c>
      <c r="G2418" s="18">
        <f t="shared" si="328"/>
        <v>1</v>
      </c>
      <c r="H2418" s="3">
        <f t="shared" si="329"/>
        <v>7.9355221573562673E-4</v>
      </c>
      <c r="I2418" s="3">
        <f t="shared" si="330"/>
        <v>7.9355221573562673E-4</v>
      </c>
      <c r="K2418" s="12" t="str">
        <f>IF(AND(G2418=1,G2417&lt;&gt;1),MAX($K$50:K2417)+1,"")</f>
        <v/>
      </c>
      <c r="L2418" s="13" t="str">
        <f>IF(AND(G2418&lt;&gt;1,G2417=1),MAX($L$50:L2417)+1,"")</f>
        <v/>
      </c>
      <c r="M2418" s="13" t="str">
        <f>IF(AND(G2418=-1,G2417&lt;&gt;-1),MAX($M$50:M2417)+1,"")</f>
        <v/>
      </c>
      <c r="N2418" s="13" t="str">
        <f>IF(AND(G2418&lt;&gt;-1,G2417=-1),MAX($N$50:N2417)+1,"")</f>
        <v/>
      </c>
      <c r="T2418" s="7">
        <f t="shared" si="331"/>
        <v>143.88910790787591</v>
      </c>
      <c r="U2418" s="1">
        <f t="shared" si="332"/>
        <v>304.80483793851789</v>
      </c>
    </row>
    <row r="2419" spans="1:21" x14ac:dyDescent="0.3">
      <c r="A2419" s="2">
        <v>43685</v>
      </c>
      <c r="B2419" s="1">
        <v>5911.66</v>
      </c>
      <c r="C2419" s="2">
        <f t="shared" si="324"/>
        <v>43685</v>
      </c>
      <c r="D2419" s="1">
        <f t="shared" si="325"/>
        <v>5911.66</v>
      </c>
      <c r="E2419" s="4">
        <f t="shared" si="326"/>
        <v>5893.8659999999973</v>
      </c>
      <c r="F2419" s="3">
        <f t="shared" si="327"/>
        <v>1.0030190710138307</v>
      </c>
      <c r="G2419" s="18">
        <f t="shared" si="328"/>
        <v>1</v>
      </c>
      <c r="H2419" s="3">
        <f t="shared" si="329"/>
        <v>1.9019809284783529E-2</v>
      </c>
      <c r="I2419" s="3">
        <f t="shared" si="330"/>
        <v>1.9019809284783529E-2</v>
      </c>
      <c r="K2419" s="12" t="str">
        <f>IF(AND(G2419=1,G2418&lt;&gt;1),MAX($K$50:K2418)+1,"")</f>
        <v/>
      </c>
      <c r="L2419" s="13" t="str">
        <f>IF(AND(G2419&lt;&gt;1,G2418=1),MAX($L$50:L2418)+1,"")</f>
        <v/>
      </c>
      <c r="M2419" s="13" t="str">
        <f>IF(AND(G2419=-1,G2418&lt;&gt;-1),MAX($M$50:M2418)+1,"")</f>
        <v/>
      </c>
      <c r="N2419" s="13" t="str">
        <f>IF(AND(G2419&lt;&gt;-1,G2418=-1),MAX($N$50:N2418)+1,"")</f>
        <v/>
      </c>
      <c r="T2419" s="7">
        <f t="shared" si="331"/>
        <v>146.62585129844135</v>
      </c>
      <c r="U2419" s="1">
        <f t="shared" si="332"/>
        <v>310.60216782518785</v>
      </c>
    </row>
    <row r="2420" spans="1:21" x14ac:dyDescent="0.3">
      <c r="A2420" s="2">
        <v>43686</v>
      </c>
      <c r="B2420" s="1">
        <v>5873.47</v>
      </c>
      <c r="C2420" s="2">
        <f t="shared" ref="C2420:C2483" si="333">A2420</f>
        <v>43686</v>
      </c>
      <c r="D2420" s="1">
        <f t="shared" ref="D2420:D2483" si="334">B2420</f>
        <v>5873.47</v>
      </c>
      <c r="E2420" s="4">
        <f t="shared" ref="E2420:E2483" si="335">AVERAGE(B2371:B2420)</f>
        <v>5899.4959999999974</v>
      </c>
      <c r="F2420" s="3">
        <f t="shared" ref="F2420:F2483" si="336">D2420/E2420</f>
        <v>0.99558843670713615</v>
      </c>
      <c r="G2420" s="18">
        <f t="shared" ref="G2420:G2483" si="337">IF(F2420&gt;=$Q$51,1,IF(F2420&lt;=$Q$52,-1,0))</f>
        <v>1</v>
      </c>
      <c r="H2420" s="3">
        <f t="shared" si="329"/>
        <v>-6.4601144179468051E-3</v>
      </c>
      <c r="I2420" s="3">
        <f t="shared" si="330"/>
        <v>-6.4601144179468051E-3</v>
      </c>
      <c r="K2420" s="12" t="str">
        <f>IF(AND(G2420=1,G2419&lt;&gt;1),MAX($K$50:K2419)+1,"")</f>
        <v/>
      </c>
      <c r="L2420" s="13" t="str">
        <f>IF(AND(G2420&lt;&gt;1,G2419=1),MAX($L$50:L2419)+1,"")</f>
        <v/>
      </c>
      <c r="M2420" s="13" t="str">
        <f>IF(AND(G2420=-1,G2419&lt;&gt;-1),MAX($M$50:M2419)+1,"")</f>
        <v/>
      </c>
      <c r="N2420" s="13" t="str">
        <f>IF(AND(G2420&lt;&gt;-1,G2419=-1),MAX($N$50:N2419)+1,"")</f>
        <v/>
      </c>
      <c r="T2420" s="7">
        <f t="shared" si="331"/>
        <v>145.67863152242455</v>
      </c>
      <c r="U2420" s="1">
        <f t="shared" si="332"/>
        <v>308.59564228257483</v>
      </c>
    </row>
    <row r="2421" spans="1:21" x14ac:dyDescent="0.3">
      <c r="A2421" s="2">
        <v>43689</v>
      </c>
      <c r="B2421" s="1">
        <v>5804.25</v>
      </c>
      <c r="C2421" s="2">
        <f t="shared" si="333"/>
        <v>43689</v>
      </c>
      <c r="D2421" s="1">
        <f t="shared" si="334"/>
        <v>5804.25</v>
      </c>
      <c r="E2421" s="4">
        <f t="shared" si="335"/>
        <v>5905.1955999999982</v>
      </c>
      <c r="F2421" s="3">
        <f t="shared" si="336"/>
        <v>0.9829056297474722</v>
      </c>
      <c r="G2421" s="18">
        <f t="shared" si="337"/>
        <v>1</v>
      </c>
      <c r="H2421" s="3">
        <f t="shared" ref="H2421:H2484" si="338">D2421/D2420-1</f>
        <v>-1.178519682572654E-2</v>
      </c>
      <c r="I2421" s="3">
        <f t="shared" ref="I2421:I2484" si="339">G2420*H2421</f>
        <v>-1.178519682572654E-2</v>
      </c>
      <c r="K2421" s="12" t="str">
        <f>IF(AND(G2421=1,G2420&lt;&gt;1),MAX($K$50:K2420)+1,"")</f>
        <v/>
      </c>
      <c r="L2421" s="13" t="str">
        <f>IF(AND(G2421&lt;&gt;1,G2420=1),MAX($L$50:L2420)+1,"")</f>
        <v/>
      </c>
      <c r="M2421" s="13" t="str">
        <f>IF(AND(G2421=-1,G2420&lt;&gt;-1),MAX($M$50:M2420)+1,"")</f>
        <v/>
      </c>
      <c r="N2421" s="13" t="str">
        <f>IF(AND(G2421&lt;&gt;-1,G2420=-1),MAX($N$50:N2420)+1,"")</f>
        <v/>
      </c>
      <c r="T2421" s="7">
        <f t="shared" ref="T2421:T2484" si="340">T2420*(1+I2421)</f>
        <v>143.9617801766303</v>
      </c>
      <c r="U2421" s="1">
        <f t="shared" ref="U2421:U2484" si="341">U2420*D2421/D2420</f>
        <v>304.95878189871314</v>
      </c>
    </row>
    <row r="2422" spans="1:21" x14ac:dyDescent="0.3">
      <c r="A2422" s="2">
        <v>43690</v>
      </c>
      <c r="B2422" s="1">
        <v>5890.16</v>
      </c>
      <c r="C2422" s="2">
        <f t="shared" si="333"/>
        <v>43690</v>
      </c>
      <c r="D2422" s="1">
        <f t="shared" si="334"/>
        <v>5890.16</v>
      </c>
      <c r="E2422" s="4">
        <f t="shared" si="335"/>
        <v>5912.9177999999965</v>
      </c>
      <c r="F2422" s="3">
        <f t="shared" si="336"/>
        <v>0.99615117260720309</v>
      </c>
      <c r="G2422" s="18">
        <f t="shared" si="337"/>
        <v>1</v>
      </c>
      <c r="H2422" s="3">
        <f t="shared" si="338"/>
        <v>1.4801223241590167E-2</v>
      </c>
      <c r="I2422" s="3">
        <f t="shared" si="339"/>
        <v>1.4801223241590167E-2</v>
      </c>
      <c r="K2422" s="12" t="str">
        <f>IF(AND(G2422=1,G2421&lt;&gt;1),MAX($K$50:K2421)+1,"")</f>
        <v/>
      </c>
      <c r="L2422" s="13" t="str">
        <f>IF(AND(G2422&lt;&gt;1,G2421=1),MAX($L$50:L2421)+1,"")</f>
        <v/>
      </c>
      <c r="M2422" s="13" t="str">
        <f>IF(AND(G2422=-1,G2421&lt;&gt;-1),MAX($M$50:M2421)+1,"")</f>
        <v/>
      </c>
      <c r="N2422" s="13" t="str">
        <f>IF(AND(G2422&lt;&gt;-1,G2421=-1),MAX($N$50:N2421)+1,"")</f>
        <v/>
      </c>
      <c r="T2422" s="7">
        <f t="shared" si="340"/>
        <v>146.09259062328132</v>
      </c>
      <c r="U2422" s="1">
        <f t="shared" si="341"/>
        <v>309.47254490907943</v>
      </c>
    </row>
    <row r="2423" spans="1:21" x14ac:dyDescent="0.3">
      <c r="A2423" s="2">
        <v>43691</v>
      </c>
      <c r="B2423" s="1">
        <v>5719.3</v>
      </c>
      <c r="C2423" s="2">
        <f t="shared" si="333"/>
        <v>43691</v>
      </c>
      <c r="D2423" s="1">
        <f t="shared" si="334"/>
        <v>5719.3</v>
      </c>
      <c r="E2423" s="4">
        <f t="shared" si="335"/>
        <v>5914.8575999999966</v>
      </c>
      <c r="F2423" s="3">
        <f t="shared" si="336"/>
        <v>0.966937902275112</v>
      </c>
      <c r="G2423" s="18">
        <f t="shared" si="337"/>
        <v>1</v>
      </c>
      <c r="H2423" s="3">
        <f t="shared" si="338"/>
        <v>-2.9007700979260309E-2</v>
      </c>
      <c r="I2423" s="3">
        <f t="shared" si="339"/>
        <v>-2.9007700979260309E-2</v>
      </c>
      <c r="K2423" s="12" t="str">
        <f>IF(AND(G2423=1,G2422&lt;&gt;1),MAX($K$50:K2422)+1,"")</f>
        <v/>
      </c>
      <c r="L2423" s="13" t="str">
        <f>IF(AND(G2423&lt;&gt;1,G2422=1),MAX($L$50:L2422)+1,"")</f>
        <v/>
      </c>
      <c r="M2423" s="13" t="str">
        <f>IF(AND(G2423=-1,G2422&lt;&gt;-1),MAX($M$50:M2422)+1,"")</f>
        <v/>
      </c>
      <c r="N2423" s="13" t="str">
        <f>IF(AND(G2423&lt;&gt;-1,G2422=-1),MAX($N$50:N2422)+1,"")</f>
        <v/>
      </c>
      <c r="T2423" s="7">
        <f t="shared" si="340"/>
        <v>141.85478043919568</v>
      </c>
      <c r="U2423" s="1">
        <f t="shared" si="341"/>
        <v>300.49545786506616</v>
      </c>
    </row>
    <row r="2424" spans="1:21" x14ac:dyDescent="0.3">
      <c r="A2424" s="2">
        <v>43692</v>
      </c>
      <c r="B2424" s="1">
        <v>5734.49</v>
      </c>
      <c r="C2424" s="2">
        <f t="shared" si="333"/>
        <v>43692</v>
      </c>
      <c r="D2424" s="1">
        <f t="shared" si="334"/>
        <v>5734.49</v>
      </c>
      <c r="E2424" s="4">
        <f t="shared" si="335"/>
        <v>5916.1695999999974</v>
      </c>
      <c r="F2424" s="3">
        <f t="shared" si="336"/>
        <v>0.96929100883111974</v>
      </c>
      <c r="G2424" s="18">
        <f t="shared" si="337"/>
        <v>1</v>
      </c>
      <c r="H2424" s="3">
        <f t="shared" si="338"/>
        <v>2.6559194306994272E-3</v>
      </c>
      <c r="I2424" s="3">
        <f t="shared" si="339"/>
        <v>2.6559194306994272E-3</v>
      </c>
      <c r="K2424" s="12" t="str">
        <f>IF(AND(G2424=1,G2423&lt;&gt;1),MAX($K$50:K2423)+1,"")</f>
        <v/>
      </c>
      <c r="L2424" s="13" t="str">
        <f>IF(AND(G2424&lt;&gt;1,G2423=1),MAX($L$50:L2423)+1,"")</f>
        <v/>
      </c>
      <c r="M2424" s="13" t="str">
        <f>IF(AND(G2424=-1,G2423&lt;&gt;-1),MAX($M$50:M2423)+1,"")</f>
        <v/>
      </c>
      <c r="N2424" s="13" t="str">
        <f>IF(AND(G2424&lt;&gt;-1,G2423=-1),MAX($N$50:N2423)+1,"")</f>
        <v/>
      </c>
      <c r="T2424" s="7">
        <f t="shared" si="340"/>
        <v>142.23153530690175</v>
      </c>
      <c r="U2424" s="1">
        <f t="shared" si="341"/>
        <v>301.2935495904469</v>
      </c>
    </row>
    <row r="2425" spans="1:21" x14ac:dyDescent="0.3">
      <c r="A2425" s="2">
        <v>43693</v>
      </c>
      <c r="B2425" s="1">
        <v>5818.17</v>
      </c>
      <c r="C2425" s="2">
        <f t="shared" si="333"/>
        <v>43693</v>
      </c>
      <c r="D2425" s="1">
        <f t="shared" si="334"/>
        <v>5818.17</v>
      </c>
      <c r="E2425" s="4">
        <f t="shared" si="335"/>
        <v>5918.4285999999975</v>
      </c>
      <c r="F2425" s="3">
        <f t="shared" si="336"/>
        <v>0.98305992911699613</v>
      </c>
      <c r="G2425" s="18">
        <f t="shared" si="337"/>
        <v>1</v>
      </c>
      <c r="H2425" s="3">
        <f t="shared" si="338"/>
        <v>1.4592404904359535E-2</v>
      </c>
      <c r="I2425" s="3">
        <f t="shared" si="339"/>
        <v>1.4592404904359535E-2</v>
      </c>
      <c r="K2425" s="12" t="str">
        <f>IF(AND(G2425=1,G2424&lt;&gt;1),MAX($K$50:K2424)+1,"")</f>
        <v/>
      </c>
      <c r="L2425" s="13" t="str">
        <f>IF(AND(G2425&lt;&gt;1,G2424=1),MAX($L$50:L2424)+1,"")</f>
        <v/>
      </c>
      <c r="M2425" s="13" t="str">
        <f>IF(AND(G2425=-1,G2424&lt;&gt;-1),MAX($M$50:M2424)+1,"")</f>
        <v/>
      </c>
      <c r="N2425" s="13" t="str">
        <f>IF(AND(G2425&lt;&gt;-1,G2424=-1),MAX($N$50:N2424)+1,"")</f>
        <v/>
      </c>
      <c r="T2425" s="7">
        <f t="shared" si="340"/>
        <v>144.30703546026876</v>
      </c>
      <c r="U2425" s="1">
        <f t="shared" si="341"/>
        <v>305.6901470611424</v>
      </c>
    </row>
    <row r="2426" spans="1:21" x14ac:dyDescent="0.3">
      <c r="A2426" s="2">
        <v>43696</v>
      </c>
      <c r="B2426" s="1">
        <v>5888.93</v>
      </c>
      <c r="C2426" s="2">
        <f t="shared" si="333"/>
        <v>43696</v>
      </c>
      <c r="D2426" s="1">
        <f t="shared" si="334"/>
        <v>5888.93</v>
      </c>
      <c r="E2426" s="4">
        <f t="shared" si="335"/>
        <v>5920.8939999999966</v>
      </c>
      <c r="F2426" s="3">
        <f t="shared" si="336"/>
        <v>0.9946014909234997</v>
      </c>
      <c r="G2426" s="18">
        <f t="shared" si="337"/>
        <v>1</v>
      </c>
      <c r="H2426" s="3">
        <f t="shared" si="338"/>
        <v>1.2161899703858836E-2</v>
      </c>
      <c r="I2426" s="3">
        <f t="shared" si="339"/>
        <v>1.2161899703858836E-2</v>
      </c>
      <c r="K2426" s="12" t="str">
        <f>IF(AND(G2426=1,G2425&lt;&gt;1),MAX($K$50:K2425)+1,"")</f>
        <v/>
      </c>
      <c r="L2426" s="13" t="str">
        <f>IF(AND(G2426&lt;&gt;1,G2425=1),MAX($L$50:L2425)+1,"")</f>
        <v/>
      </c>
      <c r="M2426" s="13" t="str">
        <f>IF(AND(G2426=-1,G2425&lt;&gt;-1),MAX($M$50:M2425)+1,"")</f>
        <v/>
      </c>
      <c r="N2426" s="13" t="str">
        <f>IF(AND(G2426&lt;&gt;-1,G2425=-1),MAX($N$50:N2425)+1,"")</f>
        <v/>
      </c>
      <c r="T2426" s="7">
        <f t="shared" si="340"/>
        <v>146.06208315209776</v>
      </c>
      <c r="U2426" s="1">
        <f t="shared" si="341"/>
        <v>309.40791997015782</v>
      </c>
    </row>
    <row r="2427" spans="1:21" x14ac:dyDescent="0.3">
      <c r="A2427" s="2">
        <v>43697</v>
      </c>
      <c r="B2427" s="1">
        <v>5842.76</v>
      </c>
      <c r="C2427" s="2">
        <f t="shared" si="333"/>
        <v>43697</v>
      </c>
      <c r="D2427" s="1">
        <f t="shared" si="334"/>
        <v>5842.76</v>
      </c>
      <c r="E2427" s="4">
        <f t="shared" si="335"/>
        <v>5921.8979999999983</v>
      </c>
      <c r="F2427" s="3">
        <f t="shared" si="336"/>
        <v>0.98663637907981561</v>
      </c>
      <c r="G2427" s="18">
        <f t="shared" si="337"/>
        <v>1</v>
      </c>
      <c r="H2427" s="3">
        <f t="shared" si="338"/>
        <v>-7.8401339462347286E-3</v>
      </c>
      <c r="I2427" s="3">
        <f t="shared" si="339"/>
        <v>-7.8401339462347286E-3</v>
      </c>
      <c r="K2427" s="12" t="str">
        <f>IF(AND(G2427=1,G2426&lt;&gt;1),MAX($K$50:K2426)+1,"")</f>
        <v/>
      </c>
      <c r="L2427" s="13" t="str">
        <f>IF(AND(G2427&lt;&gt;1,G2426=1),MAX($L$50:L2426)+1,"")</f>
        <v/>
      </c>
      <c r="M2427" s="13" t="str">
        <f>IF(AND(G2427=-1,G2426&lt;&gt;-1),MAX($M$50:M2426)+1,"")</f>
        <v/>
      </c>
      <c r="N2427" s="13" t="str">
        <f>IF(AND(G2427&lt;&gt;-1,G2426=-1),MAX($N$50:N2426)+1,"")</f>
        <v/>
      </c>
      <c r="T2427" s="7">
        <f t="shared" si="340"/>
        <v>144.91693685571923</v>
      </c>
      <c r="U2427" s="1">
        <f t="shared" si="341"/>
        <v>306.98212043356591</v>
      </c>
    </row>
    <row r="2428" spans="1:21" x14ac:dyDescent="0.3">
      <c r="A2428" s="2">
        <v>43698</v>
      </c>
      <c r="B2428" s="1">
        <v>5891.19</v>
      </c>
      <c r="C2428" s="2">
        <f t="shared" si="333"/>
        <v>43698</v>
      </c>
      <c r="D2428" s="1">
        <f t="shared" si="334"/>
        <v>5891.19</v>
      </c>
      <c r="E2428" s="4">
        <f t="shared" si="335"/>
        <v>5923.9051999999992</v>
      </c>
      <c r="F2428" s="3">
        <f t="shared" si="336"/>
        <v>0.99447742681635087</v>
      </c>
      <c r="G2428" s="18">
        <f t="shared" si="337"/>
        <v>1</v>
      </c>
      <c r="H2428" s="3">
        <f t="shared" si="338"/>
        <v>8.2888908666451933E-3</v>
      </c>
      <c r="I2428" s="3">
        <f t="shared" si="339"/>
        <v>8.2888908666451933E-3</v>
      </c>
      <c r="K2428" s="12" t="str">
        <f>IF(AND(G2428=1,G2427&lt;&gt;1),MAX($K$50:K2427)+1,"")</f>
        <v/>
      </c>
      <c r="L2428" s="13" t="str">
        <f>IF(AND(G2428&lt;&gt;1,G2427=1),MAX($L$50:L2427)+1,"")</f>
        <v/>
      </c>
      <c r="M2428" s="13" t="str">
        <f>IF(AND(G2428=-1,G2427&lt;&gt;-1),MAX($M$50:M2427)+1,"")</f>
        <v/>
      </c>
      <c r="N2428" s="13" t="str">
        <f>IF(AND(G2428&lt;&gt;-1,G2427=-1),MAX($N$50:N2427)+1,"")</f>
        <v/>
      </c>
      <c r="T2428" s="7">
        <f t="shared" si="340"/>
        <v>146.11813753004481</v>
      </c>
      <c r="U2428" s="1">
        <f t="shared" si="341"/>
        <v>309.52666172785104</v>
      </c>
    </row>
    <row r="2429" spans="1:21" x14ac:dyDescent="0.3">
      <c r="A2429" s="2">
        <v>43699</v>
      </c>
      <c r="B2429" s="1">
        <v>5888.37</v>
      </c>
      <c r="C2429" s="2">
        <f t="shared" si="333"/>
        <v>43699</v>
      </c>
      <c r="D2429" s="1">
        <f t="shared" si="334"/>
        <v>5888.37</v>
      </c>
      <c r="E2429" s="4">
        <f t="shared" si="335"/>
        <v>5926.0901999999987</v>
      </c>
      <c r="F2429" s="3">
        <f t="shared" si="336"/>
        <v>0.99363489269873095</v>
      </c>
      <c r="G2429" s="18">
        <f t="shared" si="337"/>
        <v>1</v>
      </c>
      <c r="H2429" s="3">
        <f t="shared" si="338"/>
        <v>-4.7868087771740786E-4</v>
      </c>
      <c r="I2429" s="3">
        <f t="shared" si="339"/>
        <v>-4.7868087771740786E-4</v>
      </c>
      <c r="K2429" s="12" t="str">
        <f>IF(AND(G2429=1,G2428&lt;&gt;1),MAX($K$50:K2428)+1,"")</f>
        <v/>
      </c>
      <c r="L2429" s="13" t="str">
        <f>IF(AND(G2429&lt;&gt;1,G2428=1),MAX($L$50:L2428)+1,"")</f>
        <v/>
      </c>
      <c r="M2429" s="13" t="str">
        <f>IF(AND(G2429=-1,G2428&lt;&gt;-1),MAX($M$50:M2428)+1,"")</f>
        <v/>
      </c>
      <c r="N2429" s="13" t="str">
        <f>IF(AND(G2429&lt;&gt;-1,G2428=-1),MAX($N$50:N2428)+1,"")</f>
        <v/>
      </c>
      <c r="T2429" s="7">
        <f t="shared" si="340"/>
        <v>146.0481935717215</v>
      </c>
      <c r="U2429" s="1">
        <f t="shared" si="341"/>
        <v>309.37849723373824</v>
      </c>
    </row>
    <row r="2430" spans="1:21" x14ac:dyDescent="0.3">
      <c r="A2430" s="2">
        <v>43700</v>
      </c>
      <c r="B2430" s="1">
        <v>5735.63</v>
      </c>
      <c r="C2430" s="2">
        <f t="shared" si="333"/>
        <v>43700</v>
      </c>
      <c r="D2430" s="1">
        <f t="shared" si="334"/>
        <v>5735.63</v>
      </c>
      <c r="E2430" s="4">
        <f t="shared" si="335"/>
        <v>5924.7121999999999</v>
      </c>
      <c r="F2430" s="3">
        <f t="shared" si="336"/>
        <v>0.96808584221187999</v>
      </c>
      <c r="G2430" s="18">
        <f t="shared" si="337"/>
        <v>1</v>
      </c>
      <c r="H2430" s="3">
        <f t="shared" si="338"/>
        <v>-2.5939266724067878E-2</v>
      </c>
      <c r="I2430" s="3">
        <f t="shared" si="339"/>
        <v>-2.5939266724067878E-2</v>
      </c>
      <c r="K2430" s="12" t="str">
        <f>IF(AND(G2430=1,G2429&lt;&gt;1),MAX($K$50:K2429)+1,"")</f>
        <v/>
      </c>
      <c r="L2430" s="13" t="str">
        <f>IF(AND(G2430&lt;&gt;1,G2429=1),MAX($L$50:L2429)+1,"")</f>
        <v/>
      </c>
      <c r="M2430" s="13" t="str">
        <f>IF(AND(G2430=-1,G2429&lt;&gt;-1),MAX($M$50:M2429)+1,"")</f>
        <v/>
      </c>
      <c r="N2430" s="13" t="str">
        <f>IF(AND(G2430&lt;&gt;-1,G2429=-1),MAX($N$50:N2429)+1,"")</f>
        <v/>
      </c>
      <c r="T2430" s="7">
        <f t="shared" si="340"/>
        <v>142.25981052409631</v>
      </c>
      <c r="U2430" s="1">
        <f t="shared" si="341"/>
        <v>301.35344587530096</v>
      </c>
    </row>
    <row r="2431" spans="1:21" x14ac:dyDescent="0.3">
      <c r="A2431" s="2">
        <v>43703</v>
      </c>
      <c r="B2431" s="1">
        <v>5799.34</v>
      </c>
      <c r="C2431" s="2">
        <f t="shared" si="333"/>
        <v>43703</v>
      </c>
      <c r="D2431" s="1">
        <f t="shared" si="334"/>
        <v>5799.34</v>
      </c>
      <c r="E2431" s="4">
        <f t="shared" si="335"/>
        <v>5924.7798000000012</v>
      </c>
      <c r="F2431" s="3">
        <f t="shared" si="336"/>
        <v>0.97882793888812525</v>
      </c>
      <c r="G2431" s="18">
        <f t="shared" si="337"/>
        <v>1</v>
      </c>
      <c r="H2431" s="3">
        <f t="shared" si="338"/>
        <v>1.1107759740429657E-2</v>
      </c>
      <c r="I2431" s="3">
        <f t="shared" si="339"/>
        <v>1.1107759740429657E-2</v>
      </c>
      <c r="K2431" s="12" t="str">
        <f>IF(AND(G2431=1,G2430&lt;&gt;1),MAX($K$50:K2430)+1,"")</f>
        <v/>
      </c>
      <c r="L2431" s="13" t="str">
        <f>IF(AND(G2431&lt;&gt;1,G2430=1),MAX($L$50:L2430)+1,"")</f>
        <v/>
      </c>
      <c r="M2431" s="13" t="str">
        <f>IF(AND(G2431=-1,G2430&lt;&gt;-1),MAX($M$50:M2430)+1,"")</f>
        <v/>
      </c>
      <c r="N2431" s="13" t="str">
        <f>IF(AND(G2431&lt;&gt;-1,G2430=-1),MAX($N$50:N2430)+1,"")</f>
        <v/>
      </c>
      <c r="T2431" s="7">
        <f t="shared" si="340"/>
        <v>143.83999832011702</v>
      </c>
      <c r="U2431" s="1">
        <f t="shared" si="341"/>
        <v>304.70080754903438</v>
      </c>
    </row>
    <row r="2432" spans="1:21" x14ac:dyDescent="0.3">
      <c r="A2432" s="2">
        <v>43704</v>
      </c>
      <c r="B2432" s="1">
        <v>5780.79</v>
      </c>
      <c r="C2432" s="2">
        <f t="shared" si="333"/>
        <v>43704</v>
      </c>
      <c r="D2432" s="1">
        <f t="shared" si="334"/>
        <v>5780.79</v>
      </c>
      <c r="E2432" s="4">
        <f t="shared" si="335"/>
        <v>5924.3676000000005</v>
      </c>
      <c r="F2432" s="3">
        <f t="shared" si="336"/>
        <v>0.97576490695817042</v>
      </c>
      <c r="G2432" s="18">
        <f t="shared" si="337"/>
        <v>1</v>
      </c>
      <c r="H2432" s="3">
        <f t="shared" si="338"/>
        <v>-3.1986398452238385E-3</v>
      </c>
      <c r="I2432" s="3">
        <f t="shared" si="339"/>
        <v>-3.1986398452238385E-3</v>
      </c>
      <c r="K2432" s="12" t="str">
        <f>IF(AND(G2432=1,G2431&lt;&gt;1),MAX($K$50:K2431)+1,"")</f>
        <v/>
      </c>
      <c r="L2432" s="13" t="str">
        <f>IF(AND(G2432&lt;&gt;1,G2431=1),MAX($L$50:L2431)+1,"")</f>
        <v/>
      </c>
      <c r="M2432" s="13" t="str">
        <f>IF(AND(G2432=-1,G2431&lt;&gt;-1),MAX($M$50:M2431)+1,"")</f>
        <v/>
      </c>
      <c r="N2432" s="13" t="str">
        <f>IF(AND(G2432&lt;&gt;-1,G2431=-1),MAX($N$50:N2431)+1,"")</f>
        <v/>
      </c>
      <c r="T2432" s="7">
        <f t="shared" si="340"/>
        <v>143.37990597015337</v>
      </c>
      <c r="U2432" s="1">
        <f t="shared" si="341"/>
        <v>303.72617940513618</v>
      </c>
    </row>
    <row r="2433" spans="1:21" x14ac:dyDescent="0.3">
      <c r="A2433" s="2">
        <v>43705</v>
      </c>
      <c r="B2433" s="1">
        <v>5818.84</v>
      </c>
      <c r="C2433" s="2">
        <f t="shared" si="333"/>
        <v>43705</v>
      </c>
      <c r="D2433" s="1">
        <f t="shared" si="334"/>
        <v>5818.84</v>
      </c>
      <c r="E2433" s="4">
        <f t="shared" si="335"/>
        <v>5923.5853999999999</v>
      </c>
      <c r="F2433" s="3">
        <f t="shared" si="336"/>
        <v>0.98231722969673063</v>
      </c>
      <c r="G2433" s="18">
        <f t="shared" si="337"/>
        <v>1</v>
      </c>
      <c r="H2433" s="3">
        <f t="shared" si="338"/>
        <v>6.5821453469163682E-3</v>
      </c>
      <c r="I2433" s="3">
        <f t="shared" si="339"/>
        <v>6.5821453469163682E-3</v>
      </c>
      <c r="K2433" s="12" t="str">
        <f>IF(AND(G2433=1,G2432&lt;&gt;1),MAX($K$50:K2432)+1,"")</f>
        <v/>
      </c>
      <c r="L2433" s="13" t="str">
        <f>IF(AND(G2433&lt;&gt;1,G2432=1),MAX($L$50:L2432)+1,"")</f>
        <v/>
      </c>
      <c r="M2433" s="13" t="str">
        <f>IF(AND(G2433=-1,G2432&lt;&gt;-1),MAX($M$50:M2432)+1,"")</f>
        <v/>
      </c>
      <c r="N2433" s="13" t="str">
        <f>IF(AND(G2433&lt;&gt;-1,G2432=-1),MAX($N$50:N2432)+1,"")</f>
        <v/>
      </c>
      <c r="T2433" s="7">
        <f t="shared" si="340"/>
        <v>144.32365335107613</v>
      </c>
      <c r="U2433" s="1">
        <f t="shared" si="341"/>
        <v>305.72534926364432</v>
      </c>
    </row>
    <row r="2434" spans="1:21" x14ac:dyDescent="0.3">
      <c r="A2434" s="2">
        <v>43706</v>
      </c>
      <c r="B2434" s="1">
        <v>5893.65</v>
      </c>
      <c r="C2434" s="2">
        <f t="shared" si="333"/>
        <v>43706</v>
      </c>
      <c r="D2434" s="1">
        <f t="shared" si="334"/>
        <v>5893.65</v>
      </c>
      <c r="E2434" s="4">
        <f t="shared" si="335"/>
        <v>5923.9494000000013</v>
      </c>
      <c r="F2434" s="3">
        <f t="shared" si="336"/>
        <v>0.99488527028944551</v>
      </c>
      <c r="G2434" s="18">
        <f t="shared" si="337"/>
        <v>1</v>
      </c>
      <c r="H2434" s="3">
        <f t="shared" si="338"/>
        <v>1.2856514356813342E-2</v>
      </c>
      <c r="I2434" s="3">
        <f t="shared" si="339"/>
        <v>1.2856514356813342E-2</v>
      </c>
      <c r="K2434" s="12" t="str">
        <f>IF(AND(G2434=1,G2433&lt;&gt;1),MAX($K$50:K2433)+1,"")</f>
        <v/>
      </c>
      <c r="L2434" s="13" t="str">
        <f>IF(AND(G2434&lt;&gt;1,G2433=1),MAX($L$50:L2433)+1,"")</f>
        <v/>
      </c>
      <c r="M2434" s="13" t="str">
        <f>IF(AND(G2434=-1,G2433&lt;&gt;-1),MAX($M$50:M2433)+1,"")</f>
        <v/>
      </c>
      <c r="N2434" s="13" t="str">
        <f>IF(AND(G2434&lt;&gt;-1,G2433=-1),MAX($N$50:N2433)+1,"")</f>
        <v/>
      </c>
      <c r="T2434" s="7">
        <f t="shared" si="340"/>
        <v>146.179152472412</v>
      </c>
      <c r="U2434" s="1">
        <f t="shared" si="341"/>
        <v>309.65591160569414</v>
      </c>
    </row>
    <row r="2435" spans="1:21" x14ac:dyDescent="0.3">
      <c r="A2435" s="2">
        <v>43707</v>
      </c>
      <c r="B2435" s="1">
        <v>5898.23</v>
      </c>
      <c r="C2435" s="2">
        <f t="shared" si="333"/>
        <v>43707</v>
      </c>
      <c r="D2435" s="1">
        <f t="shared" si="334"/>
        <v>5898.23</v>
      </c>
      <c r="E2435" s="4">
        <f t="shared" si="335"/>
        <v>5923.2808000000005</v>
      </c>
      <c r="F2435" s="3">
        <f t="shared" si="336"/>
        <v>0.99577078972855704</v>
      </c>
      <c r="G2435" s="18">
        <f t="shared" si="337"/>
        <v>1</v>
      </c>
      <c r="H2435" s="3">
        <f t="shared" si="338"/>
        <v>7.7710756492166411E-4</v>
      </c>
      <c r="I2435" s="3">
        <f t="shared" si="339"/>
        <v>7.7710756492166411E-4</v>
      </c>
      <c r="K2435" s="12" t="str">
        <f>IF(AND(G2435=1,G2434&lt;&gt;1),MAX($K$50:K2434)+1,"")</f>
        <v/>
      </c>
      <c r="L2435" s="13" t="str">
        <f>IF(AND(G2435&lt;&gt;1,G2434=1),MAX($L$50:L2434)+1,"")</f>
        <v/>
      </c>
      <c r="M2435" s="13" t="str">
        <f>IF(AND(G2435=-1,G2434&lt;&gt;-1),MAX($M$50:M2434)+1,"")</f>
        <v/>
      </c>
      <c r="N2435" s="13" t="str">
        <f>IF(AND(G2435&lt;&gt;-1,G2434=-1),MAX($N$50:N2434)+1,"")</f>
        <v/>
      </c>
      <c r="T2435" s="7">
        <f t="shared" si="340"/>
        <v>146.29274939763215</v>
      </c>
      <c r="U2435" s="1">
        <f t="shared" si="341"/>
        <v>309.89654755712559</v>
      </c>
    </row>
    <row r="2436" spans="1:21" x14ac:dyDescent="0.3">
      <c r="A2436" s="2">
        <v>43711</v>
      </c>
      <c r="B2436" s="1">
        <v>5857.95</v>
      </c>
      <c r="C2436" s="2">
        <f t="shared" si="333"/>
        <v>43711</v>
      </c>
      <c r="D2436" s="1">
        <f t="shared" si="334"/>
        <v>5857.95</v>
      </c>
      <c r="E2436" s="4">
        <f t="shared" si="335"/>
        <v>5921.9490000000005</v>
      </c>
      <c r="F2436" s="3">
        <f t="shared" si="336"/>
        <v>0.98919291604841575</v>
      </c>
      <c r="G2436" s="18">
        <f t="shared" si="337"/>
        <v>1</v>
      </c>
      <c r="H2436" s="3">
        <f t="shared" si="338"/>
        <v>-6.8291673942860731E-3</v>
      </c>
      <c r="I2436" s="3">
        <f t="shared" si="339"/>
        <v>-6.8291673942860731E-3</v>
      </c>
      <c r="K2436" s="12" t="str">
        <f>IF(AND(G2436=1,G2435&lt;&gt;1),MAX($K$50:K2435)+1,"")</f>
        <v/>
      </c>
      <c r="L2436" s="13" t="str">
        <f>IF(AND(G2436&lt;&gt;1,G2435=1),MAX($L$50:L2435)+1,"")</f>
        <v/>
      </c>
      <c r="M2436" s="13" t="str">
        <f>IF(AND(G2436=-1,G2435&lt;&gt;-1),MAX($M$50:M2435)+1,"")</f>
        <v/>
      </c>
      <c r="N2436" s="13" t="str">
        <f>IF(AND(G2436&lt;&gt;-1,G2435=-1),MAX($N$50:N2435)+1,"")</f>
        <v/>
      </c>
      <c r="T2436" s="7">
        <f t="shared" si="340"/>
        <v>145.29369172342538</v>
      </c>
      <c r="U2436" s="1">
        <f t="shared" si="341"/>
        <v>307.78021215894665</v>
      </c>
    </row>
    <row r="2437" spans="1:21" x14ac:dyDescent="0.3">
      <c r="A2437" s="2">
        <v>43712</v>
      </c>
      <c r="B2437" s="1">
        <v>5921.96</v>
      </c>
      <c r="C2437" s="2">
        <f t="shared" si="333"/>
        <v>43712</v>
      </c>
      <c r="D2437" s="1">
        <f t="shared" si="334"/>
        <v>5921.96</v>
      </c>
      <c r="E2437" s="4">
        <f t="shared" si="335"/>
        <v>5922.1024000000007</v>
      </c>
      <c r="F2437" s="3">
        <f t="shared" si="336"/>
        <v>0.99997595448535292</v>
      </c>
      <c r="G2437" s="18">
        <f t="shared" si="337"/>
        <v>1</v>
      </c>
      <c r="H2437" s="3">
        <f t="shared" si="338"/>
        <v>1.0927030787220904E-2</v>
      </c>
      <c r="I2437" s="3">
        <f t="shared" si="339"/>
        <v>1.0927030787220904E-2</v>
      </c>
      <c r="K2437" s="12" t="str">
        <f>IF(AND(G2437=1,G2436&lt;&gt;1),MAX($K$50:K2436)+1,"")</f>
        <v/>
      </c>
      <c r="L2437" s="13" t="str">
        <f>IF(AND(G2437&lt;&gt;1,G2436=1),MAX($L$50:L2436)+1,"")</f>
        <v/>
      </c>
      <c r="M2437" s="13" t="str">
        <f>IF(AND(G2437=-1,G2436&lt;&gt;-1),MAX($M$50:M2436)+1,"")</f>
        <v/>
      </c>
      <c r="N2437" s="13" t="str">
        <f>IF(AND(G2437&lt;&gt;-1,G2436=-1),MAX($N$50:N2436)+1,"")</f>
        <v/>
      </c>
      <c r="T2437" s="7">
        <f t="shared" si="340"/>
        <v>146.88132036607624</v>
      </c>
      <c r="U2437" s="1">
        <f t="shared" si="341"/>
        <v>311.1433360129048</v>
      </c>
    </row>
    <row r="2438" spans="1:21" x14ac:dyDescent="0.3">
      <c r="A2438" s="2">
        <v>43713</v>
      </c>
      <c r="B2438" s="1">
        <v>6000.38</v>
      </c>
      <c r="C2438" s="2">
        <f t="shared" si="333"/>
        <v>43713</v>
      </c>
      <c r="D2438" s="1">
        <f t="shared" si="334"/>
        <v>6000.38</v>
      </c>
      <c r="E2438" s="4">
        <f t="shared" si="335"/>
        <v>5924.9474000000009</v>
      </c>
      <c r="F2438" s="3">
        <f t="shared" si="336"/>
        <v>1.0127313535306659</v>
      </c>
      <c r="G2438" s="18">
        <f t="shared" si="337"/>
        <v>1</v>
      </c>
      <c r="H2438" s="3">
        <f t="shared" si="338"/>
        <v>1.3242237367358189E-2</v>
      </c>
      <c r="I2438" s="3">
        <f t="shared" si="339"/>
        <v>1.3242237367358189E-2</v>
      </c>
      <c r="K2438" s="12" t="str">
        <f>IF(AND(G2438=1,G2437&lt;&gt;1),MAX($K$50:K2437)+1,"")</f>
        <v/>
      </c>
      <c r="L2438" s="13" t="str">
        <f>IF(AND(G2438&lt;&gt;1,G2437=1),MAX($L$50:L2437)+1,"")</f>
        <v/>
      </c>
      <c r="M2438" s="13" t="str">
        <f>IF(AND(G2438=-1,G2437&lt;&gt;-1),MAX($M$50:M2437)+1,"")</f>
        <v/>
      </c>
      <c r="N2438" s="13" t="str">
        <f>IF(AND(G2438&lt;&gt;-1,G2437=-1),MAX($N$50:N2437)+1,"")</f>
        <v/>
      </c>
      <c r="T2438" s="7">
        <f t="shared" si="340"/>
        <v>148.8263576751948</v>
      </c>
      <c r="U2438" s="1">
        <f t="shared" si="341"/>
        <v>315.26356992365936</v>
      </c>
    </row>
    <row r="2439" spans="1:21" x14ac:dyDescent="0.3">
      <c r="A2439" s="2">
        <v>43714</v>
      </c>
      <c r="B2439" s="1">
        <v>6006.07</v>
      </c>
      <c r="C2439" s="2">
        <f t="shared" si="333"/>
        <v>43714</v>
      </c>
      <c r="D2439" s="1">
        <f t="shared" si="334"/>
        <v>6006.07</v>
      </c>
      <c r="E2439" s="4">
        <f t="shared" si="335"/>
        <v>5928.0508000000009</v>
      </c>
      <c r="F2439" s="3">
        <f t="shared" si="336"/>
        <v>1.0131610208198618</v>
      </c>
      <c r="G2439" s="18">
        <f t="shared" si="337"/>
        <v>1</v>
      </c>
      <c r="H2439" s="3">
        <f t="shared" si="338"/>
        <v>9.4827327602575728E-4</v>
      </c>
      <c r="I2439" s="3">
        <f t="shared" si="339"/>
        <v>9.4827327602575728E-4</v>
      </c>
      <c r="K2439" s="12" t="str">
        <f>IF(AND(G2439=1,G2438&lt;&gt;1),MAX($K$50:K2438)+1,"")</f>
        <v/>
      </c>
      <c r="L2439" s="13" t="str">
        <f>IF(AND(G2439&lt;&gt;1,G2438=1),MAX($L$50:L2438)+1,"")</f>
        <v/>
      </c>
      <c r="M2439" s="13" t="str">
        <f>IF(AND(G2439=-1,G2438&lt;&gt;-1),MAX($M$50:M2438)+1,"")</f>
        <v/>
      </c>
      <c r="N2439" s="13" t="str">
        <f>IF(AND(G2439&lt;&gt;-1,G2438=-1),MAX($N$50:N2438)+1,"")</f>
        <v/>
      </c>
      <c r="T2439" s="7">
        <f t="shared" si="340"/>
        <v>148.96748573294644</v>
      </c>
      <c r="U2439" s="1">
        <f t="shared" si="341"/>
        <v>315.56252594192244</v>
      </c>
    </row>
    <row r="2440" spans="1:21" x14ac:dyDescent="0.3">
      <c r="A2440" s="2">
        <v>43717</v>
      </c>
      <c r="B2440" s="1">
        <v>6005.99</v>
      </c>
      <c r="C2440" s="2">
        <f t="shared" si="333"/>
        <v>43717</v>
      </c>
      <c r="D2440" s="1">
        <f t="shared" si="334"/>
        <v>6005.99</v>
      </c>
      <c r="E2440" s="4">
        <f t="shared" si="335"/>
        <v>5930.6876000000002</v>
      </c>
      <c r="F2440" s="3">
        <f t="shared" si="336"/>
        <v>1.0126970774855852</v>
      </c>
      <c r="G2440" s="18">
        <f t="shared" si="337"/>
        <v>1</v>
      </c>
      <c r="H2440" s="3">
        <f t="shared" si="338"/>
        <v>-1.3319858076954461E-5</v>
      </c>
      <c r="I2440" s="3">
        <f t="shared" si="339"/>
        <v>-1.3319858076954461E-5</v>
      </c>
      <c r="K2440" s="12" t="str">
        <f>IF(AND(G2440=1,G2439&lt;&gt;1),MAX($K$50:K2439)+1,"")</f>
        <v/>
      </c>
      <c r="L2440" s="13" t="str">
        <f>IF(AND(G2440&lt;&gt;1,G2439=1),MAX($L$50:L2439)+1,"")</f>
        <v/>
      </c>
      <c r="M2440" s="13" t="str">
        <f>IF(AND(G2440=-1,G2439&lt;&gt;-1),MAX($M$50:M2439)+1,"")</f>
        <v/>
      </c>
      <c r="N2440" s="13" t="str">
        <f>IF(AND(G2440&lt;&gt;-1,G2439=-1),MAX($N$50:N2439)+1,"")</f>
        <v/>
      </c>
      <c r="T2440" s="7">
        <f t="shared" si="340"/>
        <v>148.9655015071784</v>
      </c>
      <c r="U2440" s="1">
        <f t="shared" si="341"/>
        <v>315.55832269386252</v>
      </c>
    </row>
    <row r="2441" spans="1:21" x14ac:dyDescent="0.3">
      <c r="A2441" s="2">
        <v>43718</v>
      </c>
      <c r="B2441" s="1">
        <v>6008.12</v>
      </c>
      <c r="C2441" s="2">
        <f t="shared" si="333"/>
        <v>43718</v>
      </c>
      <c r="D2441" s="1">
        <f t="shared" si="334"/>
        <v>6008.12</v>
      </c>
      <c r="E2441" s="4">
        <f t="shared" si="335"/>
        <v>5932.6850000000004</v>
      </c>
      <c r="F2441" s="3">
        <f t="shared" si="336"/>
        <v>1.0127151534254726</v>
      </c>
      <c r="G2441" s="18">
        <f t="shared" si="337"/>
        <v>1</v>
      </c>
      <c r="H2441" s="3">
        <f t="shared" si="338"/>
        <v>3.5464594513157088E-4</v>
      </c>
      <c r="I2441" s="3">
        <f t="shared" si="339"/>
        <v>3.5464594513157088E-4</v>
      </c>
      <c r="K2441" s="12" t="str">
        <f>IF(AND(G2441=1,G2440&lt;&gt;1),MAX($K$50:K2440)+1,"")</f>
        <v/>
      </c>
      <c r="L2441" s="13" t="str">
        <f>IF(AND(G2441&lt;&gt;1,G2440=1),MAX($L$50:L2440)+1,"")</f>
        <v/>
      </c>
      <c r="M2441" s="13" t="str">
        <f>IF(AND(G2441=-1,G2440&lt;&gt;-1),MAX($M$50:M2440)+1,"")</f>
        <v/>
      </c>
      <c r="N2441" s="13" t="str">
        <f>IF(AND(G2441&lt;&gt;-1,G2440=-1),MAX($N$50:N2440)+1,"")</f>
        <v/>
      </c>
      <c r="T2441" s="7">
        <f t="shared" si="340"/>
        <v>149.01833151825241</v>
      </c>
      <c r="U2441" s="1">
        <f t="shared" si="341"/>
        <v>315.67023417345837</v>
      </c>
    </row>
    <row r="2442" spans="1:21" x14ac:dyDescent="0.3">
      <c r="A2442" s="2">
        <v>43719</v>
      </c>
      <c r="B2442" s="1">
        <v>6051.87</v>
      </c>
      <c r="C2442" s="2">
        <f t="shared" si="333"/>
        <v>43719</v>
      </c>
      <c r="D2442" s="1">
        <f t="shared" si="334"/>
        <v>6051.87</v>
      </c>
      <c r="E2442" s="4">
        <f t="shared" si="335"/>
        <v>5934.6498000000001</v>
      </c>
      <c r="F2442" s="3">
        <f t="shared" si="336"/>
        <v>1.0197518310178977</v>
      </c>
      <c r="G2442" s="18">
        <f t="shared" si="337"/>
        <v>1</v>
      </c>
      <c r="H2442" s="3">
        <f t="shared" si="338"/>
        <v>7.2818119478306187E-3</v>
      </c>
      <c r="I2442" s="3">
        <f t="shared" si="339"/>
        <v>7.2818119478306187E-3</v>
      </c>
      <c r="K2442" s="12" t="str">
        <f>IF(AND(G2442=1,G2441&lt;&gt;1),MAX($K$50:K2441)+1,"")</f>
        <v/>
      </c>
      <c r="L2442" s="13" t="str">
        <f>IF(AND(G2442&lt;&gt;1,G2441=1),MAX($L$50:L2441)+1,"")</f>
        <v/>
      </c>
      <c r="M2442" s="13" t="str">
        <f>IF(AND(G2442=-1,G2441&lt;&gt;-1),MAX($M$50:M2441)+1,"")</f>
        <v/>
      </c>
      <c r="N2442" s="13" t="str">
        <f>IF(AND(G2442&lt;&gt;-1,G2441=-1),MAX($N$50:N2441)+1,"")</f>
        <v/>
      </c>
      <c r="T2442" s="7">
        <f t="shared" si="340"/>
        <v>150.10345498514781</v>
      </c>
      <c r="U2442" s="1">
        <f t="shared" si="341"/>
        <v>317.96888545623716</v>
      </c>
    </row>
    <row r="2443" spans="1:21" x14ac:dyDescent="0.3">
      <c r="A2443" s="2">
        <v>43720</v>
      </c>
      <c r="B2443" s="1">
        <v>6070.23</v>
      </c>
      <c r="C2443" s="2">
        <f t="shared" si="333"/>
        <v>43720</v>
      </c>
      <c r="D2443" s="1">
        <f t="shared" si="334"/>
        <v>6070.23</v>
      </c>
      <c r="E2443" s="4">
        <f t="shared" si="335"/>
        <v>5936.6286</v>
      </c>
      <c r="F2443" s="3">
        <f t="shared" si="336"/>
        <v>1.0225045912422412</v>
      </c>
      <c r="G2443" s="18">
        <f t="shared" si="337"/>
        <v>1</v>
      </c>
      <c r="H2443" s="3">
        <f t="shared" si="338"/>
        <v>3.0337730321370326E-3</v>
      </c>
      <c r="I2443" s="3">
        <f t="shared" si="339"/>
        <v>3.0337730321370326E-3</v>
      </c>
      <c r="K2443" s="12" t="str">
        <f>IF(AND(G2443=1,G2442&lt;&gt;1),MAX($K$50:K2442)+1,"")</f>
        <v/>
      </c>
      <c r="L2443" s="13" t="str">
        <f>IF(AND(G2443&lt;&gt;1,G2442=1),MAX($L$50:L2442)+1,"")</f>
        <v/>
      </c>
      <c r="M2443" s="13" t="str">
        <f>IF(AND(G2443=-1,G2442&lt;&gt;-1),MAX($M$50:M2442)+1,"")</f>
        <v/>
      </c>
      <c r="N2443" s="13" t="str">
        <f>IF(AND(G2443&lt;&gt;-1,G2442=-1),MAX($N$50:N2442)+1,"")</f>
        <v/>
      </c>
      <c r="T2443" s="7">
        <f t="shared" si="340"/>
        <v>150.55883479891233</v>
      </c>
      <c r="U2443" s="1">
        <f t="shared" si="341"/>
        <v>318.93353088599298</v>
      </c>
    </row>
    <row r="2444" spans="1:21" x14ac:dyDescent="0.3">
      <c r="A2444" s="2">
        <v>43721</v>
      </c>
      <c r="B2444" s="1">
        <v>6067.5</v>
      </c>
      <c r="C2444" s="2">
        <f t="shared" si="333"/>
        <v>43721</v>
      </c>
      <c r="D2444" s="1">
        <f t="shared" si="334"/>
        <v>6067.5</v>
      </c>
      <c r="E2444" s="4">
        <f t="shared" si="335"/>
        <v>5937.6078000000007</v>
      </c>
      <c r="F2444" s="3">
        <f t="shared" si="336"/>
        <v>1.0218761838732426</v>
      </c>
      <c r="G2444" s="18">
        <f t="shared" si="337"/>
        <v>1</v>
      </c>
      <c r="H2444" s="3">
        <f t="shared" si="338"/>
        <v>-4.4973584196972283E-4</v>
      </c>
      <c r="I2444" s="3">
        <f t="shared" si="339"/>
        <v>-4.4973584196972283E-4</v>
      </c>
      <c r="K2444" s="12" t="str">
        <f>IF(AND(G2444=1,G2443&lt;&gt;1),MAX($K$50:K2443)+1,"")</f>
        <v/>
      </c>
      <c r="L2444" s="13" t="str">
        <f>IF(AND(G2444&lt;&gt;1,G2443=1),MAX($L$50:L2443)+1,"")</f>
        <v/>
      </c>
      <c r="M2444" s="13" t="str">
        <f>IF(AND(G2444=-1,G2443&lt;&gt;-1),MAX($M$50:M2443)+1,"")</f>
        <v/>
      </c>
      <c r="N2444" s="13" t="str">
        <f>IF(AND(G2444&lt;&gt;-1,G2443=-1),MAX($N$50:N2443)+1,"")</f>
        <v/>
      </c>
      <c r="T2444" s="7">
        <f t="shared" si="340"/>
        <v>150.49112309457806</v>
      </c>
      <c r="U2444" s="1">
        <f t="shared" si="341"/>
        <v>318.79009504594762</v>
      </c>
    </row>
    <row r="2445" spans="1:21" x14ac:dyDescent="0.3">
      <c r="A2445" s="2">
        <v>43724</v>
      </c>
      <c r="B2445" s="1">
        <v>6048.67</v>
      </c>
      <c r="C2445" s="2">
        <f t="shared" si="333"/>
        <v>43724</v>
      </c>
      <c r="D2445" s="1">
        <f t="shared" si="334"/>
        <v>6048.67</v>
      </c>
      <c r="E2445" s="4">
        <f t="shared" si="335"/>
        <v>5938.415</v>
      </c>
      <c r="F2445" s="3">
        <f t="shared" si="336"/>
        <v>1.0185664019776322</v>
      </c>
      <c r="G2445" s="18">
        <f t="shared" si="337"/>
        <v>1</v>
      </c>
      <c r="H2445" s="3">
        <f t="shared" si="338"/>
        <v>-3.1034198599093621E-3</v>
      </c>
      <c r="I2445" s="3">
        <f t="shared" si="339"/>
        <v>-3.1034198599093621E-3</v>
      </c>
      <c r="K2445" s="12" t="str">
        <f>IF(AND(G2445=1,G2444&lt;&gt;1),MAX($K$50:K2444)+1,"")</f>
        <v/>
      </c>
      <c r="L2445" s="13" t="str">
        <f>IF(AND(G2445&lt;&gt;1,G2444=1),MAX($L$50:L2444)+1,"")</f>
        <v/>
      </c>
      <c r="M2445" s="13" t="str">
        <f>IF(AND(G2445=-1,G2444&lt;&gt;-1),MAX($M$50:M2444)+1,"")</f>
        <v/>
      </c>
      <c r="N2445" s="13" t="str">
        <f>IF(AND(G2445&lt;&gt;-1,G2444=-1),MAX($N$50:N2444)+1,"")</f>
        <v/>
      </c>
      <c r="T2445" s="7">
        <f t="shared" si="340"/>
        <v>150.02408595442628</v>
      </c>
      <c r="U2445" s="1">
        <f t="shared" si="341"/>
        <v>317.80075553383966</v>
      </c>
    </row>
    <row r="2446" spans="1:21" x14ac:dyDescent="0.3">
      <c r="A2446" s="2">
        <v>43725</v>
      </c>
      <c r="B2446" s="1">
        <v>6064.31</v>
      </c>
      <c r="C2446" s="2">
        <f t="shared" si="333"/>
        <v>43725</v>
      </c>
      <c r="D2446" s="1">
        <f t="shared" si="334"/>
        <v>6064.31</v>
      </c>
      <c r="E2446" s="4">
        <f t="shared" si="335"/>
        <v>5940.1143999999995</v>
      </c>
      <c r="F2446" s="3">
        <f t="shared" si="336"/>
        <v>1.0209079474967688</v>
      </c>
      <c r="G2446" s="18">
        <f t="shared" si="337"/>
        <v>1</v>
      </c>
      <c r="H2446" s="3">
        <f t="shared" si="338"/>
        <v>2.5856923918812225E-3</v>
      </c>
      <c r="I2446" s="3">
        <f t="shared" si="339"/>
        <v>2.5856923918812225E-3</v>
      </c>
      <c r="K2446" s="12" t="str">
        <f>IF(AND(G2446=1,G2445&lt;&gt;1),MAX($K$50:K2445)+1,"")</f>
        <v/>
      </c>
      <c r="L2446" s="13" t="str">
        <f>IF(AND(G2446&lt;&gt;1,G2445=1),MAX($L$50:L2445)+1,"")</f>
        <v/>
      </c>
      <c r="M2446" s="13" t="str">
        <f>IF(AND(G2446=-1,G2445&lt;&gt;-1),MAX($M$50:M2445)+1,"")</f>
        <v/>
      </c>
      <c r="N2446" s="13" t="str">
        <f>IF(AND(G2446&lt;&gt;-1,G2445=-1),MAX($N$50:N2445)+1,"")</f>
        <v/>
      </c>
      <c r="T2446" s="7">
        <f t="shared" si="340"/>
        <v>150.41200209207759</v>
      </c>
      <c r="U2446" s="1">
        <f t="shared" si="341"/>
        <v>318.62249052955764</v>
      </c>
    </row>
    <row r="2447" spans="1:21" x14ac:dyDescent="0.3">
      <c r="A2447" s="2">
        <v>43726</v>
      </c>
      <c r="B2447" s="1">
        <v>6066.42</v>
      </c>
      <c r="C2447" s="2">
        <f t="shared" si="333"/>
        <v>43726</v>
      </c>
      <c r="D2447" s="1">
        <f t="shared" si="334"/>
        <v>6066.42</v>
      </c>
      <c r="E2447" s="4">
        <f t="shared" si="335"/>
        <v>5941.6731999999993</v>
      </c>
      <c r="F2447" s="3">
        <f t="shared" si="336"/>
        <v>1.0209952307710226</v>
      </c>
      <c r="G2447" s="18">
        <f t="shared" si="337"/>
        <v>1</v>
      </c>
      <c r="H2447" s="3">
        <f t="shared" si="338"/>
        <v>3.4793735808347215E-4</v>
      </c>
      <c r="I2447" s="3">
        <f t="shared" si="339"/>
        <v>3.4793735808347215E-4</v>
      </c>
      <c r="K2447" s="12" t="str">
        <f>IF(AND(G2447=1,G2446&lt;&gt;1),MAX($K$50:K2446)+1,"")</f>
        <v/>
      </c>
      <c r="L2447" s="13" t="str">
        <f>IF(AND(G2447&lt;&gt;1,G2446=1),MAX($L$50:L2446)+1,"")</f>
        <v/>
      </c>
      <c r="M2447" s="13" t="str">
        <f>IF(AND(G2447=-1,G2446&lt;&gt;-1),MAX($M$50:M2446)+1,"")</f>
        <v/>
      </c>
      <c r="N2447" s="13" t="str">
        <f>IF(AND(G2447&lt;&gt;-1,G2446=-1),MAX($N$50:N2446)+1,"")</f>
        <v/>
      </c>
      <c r="T2447" s="7">
        <f t="shared" si="340"/>
        <v>150.46433604670955</v>
      </c>
      <c r="U2447" s="1">
        <f t="shared" si="341"/>
        <v>318.73335119713852</v>
      </c>
    </row>
    <row r="2448" spans="1:21" x14ac:dyDescent="0.3">
      <c r="A2448" s="2">
        <v>43727</v>
      </c>
      <c r="B2448" s="1">
        <v>6066.9</v>
      </c>
      <c r="C2448" s="2">
        <f t="shared" si="333"/>
        <v>43727</v>
      </c>
      <c r="D2448" s="1">
        <f t="shared" si="334"/>
        <v>6066.9</v>
      </c>
      <c r="E2448" s="4">
        <f t="shared" si="335"/>
        <v>5942.7</v>
      </c>
      <c r="F2448" s="3">
        <f t="shared" si="336"/>
        <v>1.0208995910949568</v>
      </c>
      <c r="G2448" s="18">
        <f t="shared" si="337"/>
        <v>1</v>
      </c>
      <c r="H2448" s="3">
        <f t="shared" si="338"/>
        <v>7.9124096254323817E-5</v>
      </c>
      <c r="I2448" s="3">
        <f t="shared" si="339"/>
        <v>7.9124096254323817E-5</v>
      </c>
      <c r="K2448" s="12" t="str">
        <f>IF(AND(G2448=1,G2447&lt;&gt;1),MAX($K$50:K2447)+1,"")</f>
        <v/>
      </c>
      <c r="L2448" s="13" t="str">
        <f>IF(AND(G2448&lt;&gt;1,G2447=1),MAX($L$50:L2447)+1,"")</f>
        <v/>
      </c>
      <c r="M2448" s="13" t="str">
        <f>IF(AND(G2448=-1,G2447&lt;&gt;-1),MAX($M$50:M2447)+1,"")</f>
        <v/>
      </c>
      <c r="N2448" s="13" t="str">
        <f>IF(AND(G2448&lt;&gt;-1,G2447=-1),MAX($N$50:N2447)+1,"")</f>
        <v/>
      </c>
      <c r="T2448" s="7">
        <f t="shared" si="340"/>
        <v>150.47624140131774</v>
      </c>
      <c r="U2448" s="1">
        <f t="shared" si="341"/>
        <v>318.75857068549811</v>
      </c>
    </row>
    <row r="2449" spans="1:21" x14ac:dyDescent="0.3">
      <c r="A2449" s="2">
        <v>43728</v>
      </c>
      <c r="B2449" s="1">
        <v>6037.5</v>
      </c>
      <c r="C2449" s="2">
        <f t="shared" si="333"/>
        <v>43728</v>
      </c>
      <c r="D2449" s="1">
        <f t="shared" si="334"/>
        <v>6037.5</v>
      </c>
      <c r="E2449" s="4">
        <f t="shared" si="335"/>
        <v>5942.8633999999993</v>
      </c>
      <c r="F2449" s="3">
        <f t="shared" si="336"/>
        <v>1.0159244111180481</v>
      </c>
      <c r="G2449" s="18">
        <f t="shared" si="337"/>
        <v>1</v>
      </c>
      <c r="H2449" s="3">
        <f t="shared" si="338"/>
        <v>-4.8459674627898686E-3</v>
      </c>
      <c r="I2449" s="3">
        <f t="shared" si="339"/>
        <v>-4.8459674627898686E-3</v>
      </c>
      <c r="K2449" s="12" t="str">
        <f>IF(AND(G2449=1,G2448&lt;&gt;1),MAX($K$50:K2448)+1,"")</f>
        <v/>
      </c>
      <c r="L2449" s="13" t="str">
        <f>IF(AND(G2449&lt;&gt;1,G2448=1),MAX($L$50:L2448)+1,"")</f>
        <v/>
      </c>
      <c r="M2449" s="13" t="str">
        <f>IF(AND(G2449=-1,G2448&lt;&gt;-1),MAX($M$50:M2448)+1,"")</f>
        <v/>
      </c>
      <c r="N2449" s="13" t="str">
        <f>IF(AND(G2449&lt;&gt;-1,G2448=-1),MAX($N$50:N2448)+1,"")</f>
        <v/>
      </c>
      <c r="T2449" s="7">
        <f t="shared" si="340"/>
        <v>149.74703843156405</v>
      </c>
      <c r="U2449" s="1">
        <f t="shared" si="341"/>
        <v>317.21387702347079</v>
      </c>
    </row>
    <row r="2450" spans="1:21" x14ac:dyDescent="0.3">
      <c r="A2450" s="2">
        <v>43731</v>
      </c>
      <c r="B2450" s="1">
        <v>6036.9</v>
      </c>
      <c r="C2450" s="2">
        <f t="shared" si="333"/>
        <v>43731</v>
      </c>
      <c r="D2450" s="1">
        <f t="shared" si="334"/>
        <v>6036.9</v>
      </c>
      <c r="E2450" s="4">
        <f t="shared" si="335"/>
        <v>5942.4460000000008</v>
      </c>
      <c r="F2450" s="3">
        <f t="shared" si="336"/>
        <v>1.015894801568243</v>
      </c>
      <c r="G2450" s="18">
        <f t="shared" si="337"/>
        <v>1</v>
      </c>
      <c r="H2450" s="3">
        <f t="shared" si="338"/>
        <v>-9.9378881987632894E-5</v>
      </c>
      <c r="I2450" s="3">
        <f t="shared" si="339"/>
        <v>-9.9378881987632894E-5</v>
      </c>
      <c r="K2450" s="12" t="str">
        <f>IF(AND(G2450=1,G2449&lt;&gt;1),MAX($K$50:K2449)+1,"")</f>
        <v/>
      </c>
      <c r="L2450" s="13" t="str">
        <f>IF(AND(G2450&lt;&gt;1,G2449=1),MAX($L$50:L2449)+1,"")</f>
        <v/>
      </c>
      <c r="M2450" s="13" t="str">
        <f>IF(AND(G2450=-1,G2449&lt;&gt;-1),MAX($M$50:M2449)+1,"")</f>
        <v/>
      </c>
      <c r="N2450" s="13" t="str">
        <f>IF(AND(G2450&lt;&gt;-1,G2449=-1),MAX($N$50:N2449)+1,"")</f>
        <v/>
      </c>
      <c r="T2450" s="7">
        <f t="shared" si="340"/>
        <v>149.73215673830376</v>
      </c>
      <c r="U2450" s="1">
        <f t="shared" si="341"/>
        <v>317.18235266302122</v>
      </c>
    </row>
    <row r="2451" spans="1:21" x14ac:dyDescent="0.3">
      <c r="A2451" s="2">
        <v>43732</v>
      </c>
      <c r="B2451" s="1">
        <v>5986.58</v>
      </c>
      <c r="C2451" s="2">
        <f t="shared" si="333"/>
        <v>43732</v>
      </c>
      <c r="D2451" s="1">
        <f t="shared" si="334"/>
        <v>5986.58</v>
      </c>
      <c r="E2451" s="4">
        <f t="shared" si="335"/>
        <v>5941.001000000002</v>
      </c>
      <c r="F2451" s="3">
        <f t="shared" si="336"/>
        <v>1.0076719394593601</v>
      </c>
      <c r="G2451" s="18">
        <f t="shared" si="337"/>
        <v>1</v>
      </c>
      <c r="H2451" s="3">
        <f t="shared" si="338"/>
        <v>-8.3354039324818885E-3</v>
      </c>
      <c r="I2451" s="3">
        <f t="shared" si="339"/>
        <v>-8.3354039324818885E-3</v>
      </c>
      <c r="K2451" s="12" t="str">
        <f>IF(AND(G2451=1,G2450&lt;&gt;1),MAX($K$50:K2450)+1,"")</f>
        <v/>
      </c>
      <c r="L2451" s="13" t="str">
        <f>IF(AND(G2451&lt;&gt;1,G2450=1),MAX($L$50:L2450)+1,"")</f>
        <v/>
      </c>
      <c r="M2451" s="13" t="str">
        <f>IF(AND(G2451=-1,G2450&lt;&gt;-1),MAX($M$50:M2450)+1,"")</f>
        <v/>
      </c>
      <c r="N2451" s="13" t="str">
        <f>IF(AND(G2451&lt;&gt;-1,G2450=-1),MAX($N$50:N2450)+1,"")</f>
        <v/>
      </c>
      <c r="T2451" s="7">
        <f t="shared" si="340"/>
        <v>148.4840787302083</v>
      </c>
      <c r="U2451" s="1">
        <f t="shared" si="341"/>
        <v>314.53850963332002</v>
      </c>
    </row>
    <row r="2452" spans="1:21" x14ac:dyDescent="0.3">
      <c r="A2452" s="2">
        <v>43733</v>
      </c>
      <c r="B2452" s="1">
        <v>6023.46</v>
      </c>
      <c r="C2452" s="2">
        <f t="shared" si="333"/>
        <v>43733</v>
      </c>
      <c r="D2452" s="1">
        <f t="shared" si="334"/>
        <v>6023.46</v>
      </c>
      <c r="E2452" s="4">
        <f t="shared" si="335"/>
        <v>5940.7022000000034</v>
      </c>
      <c r="F2452" s="3">
        <f t="shared" si="336"/>
        <v>1.0139306427445558</v>
      </c>
      <c r="G2452" s="18">
        <f t="shared" si="337"/>
        <v>1</v>
      </c>
      <c r="H2452" s="3">
        <f t="shared" si="338"/>
        <v>6.1604455298351901E-3</v>
      </c>
      <c r="I2452" s="3">
        <f t="shared" si="339"/>
        <v>6.1604455298351901E-3</v>
      </c>
      <c r="K2452" s="12" t="str">
        <f>IF(AND(G2452=1,G2451&lt;&gt;1),MAX($K$50:K2451)+1,"")</f>
        <v/>
      </c>
      <c r="L2452" s="13" t="str">
        <f>IF(AND(G2452&lt;&gt;1,G2451=1),MAX($L$50:L2451)+1,"")</f>
        <v/>
      </c>
      <c r="M2452" s="13" t="str">
        <f>IF(AND(G2452=-1,G2451&lt;&gt;-1),MAX($M$50:M2451)+1,"")</f>
        <v/>
      </c>
      <c r="N2452" s="13" t="str">
        <f>IF(AND(G2452&lt;&gt;-1,G2451=-1),MAX($N$50:N2451)+1,"")</f>
        <v/>
      </c>
      <c r="T2452" s="7">
        <f t="shared" si="340"/>
        <v>149.39880680927351</v>
      </c>
      <c r="U2452" s="1">
        <f t="shared" si="341"/>
        <v>316.47620698895162</v>
      </c>
    </row>
    <row r="2453" spans="1:21" x14ac:dyDescent="0.3">
      <c r="A2453" s="2">
        <v>43734</v>
      </c>
      <c r="B2453" s="1">
        <v>6009.19</v>
      </c>
      <c r="C2453" s="2">
        <f t="shared" si="333"/>
        <v>43734</v>
      </c>
      <c r="D2453" s="1">
        <f t="shared" si="334"/>
        <v>6009.19</v>
      </c>
      <c r="E2453" s="4">
        <f t="shared" si="335"/>
        <v>5940.9050000000025</v>
      </c>
      <c r="F2453" s="3">
        <f t="shared" si="336"/>
        <v>1.0114940400494532</v>
      </c>
      <c r="G2453" s="18">
        <f t="shared" si="337"/>
        <v>1</v>
      </c>
      <c r="H2453" s="3">
        <f t="shared" si="338"/>
        <v>-2.3690702685832399E-3</v>
      </c>
      <c r="I2453" s="3">
        <f t="shared" si="339"/>
        <v>-2.3690702685832399E-3</v>
      </c>
      <c r="K2453" s="12" t="str">
        <f>IF(AND(G2453=1,G2452&lt;&gt;1),MAX($K$50:K2452)+1,"")</f>
        <v/>
      </c>
      <c r="L2453" s="13" t="str">
        <f>IF(AND(G2453&lt;&gt;1,G2452=1),MAX($L$50:L2452)+1,"")</f>
        <v/>
      </c>
      <c r="M2453" s="13" t="str">
        <f>IF(AND(G2453=-1,G2452&lt;&gt;-1),MAX($M$50:M2452)+1,"")</f>
        <v/>
      </c>
      <c r="N2453" s="13" t="str">
        <f>IF(AND(G2453&lt;&gt;-1,G2452=-1),MAX($N$50:N2452)+1,"")</f>
        <v/>
      </c>
      <c r="T2453" s="7">
        <f t="shared" si="340"/>
        <v>149.04487053789984</v>
      </c>
      <c r="U2453" s="1">
        <f t="shared" si="341"/>
        <v>315.72645261626013</v>
      </c>
    </row>
    <row r="2454" spans="1:21" x14ac:dyDescent="0.3">
      <c r="A2454" s="2">
        <v>43735</v>
      </c>
      <c r="B2454" s="1">
        <v>5978.11</v>
      </c>
      <c r="C2454" s="2">
        <f t="shared" si="333"/>
        <v>43735</v>
      </c>
      <c r="D2454" s="1">
        <f t="shared" si="334"/>
        <v>5978.11</v>
      </c>
      <c r="E2454" s="4">
        <f t="shared" si="335"/>
        <v>5940.044200000003</v>
      </c>
      <c r="F2454" s="3">
        <f t="shared" si="336"/>
        <v>1.0064083361534577</v>
      </c>
      <c r="G2454" s="18">
        <f t="shared" si="337"/>
        <v>1</v>
      </c>
      <c r="H2454" s="3">
        <f t="shared" si="338"/>
        <v>-5.1720781003762317E-3</v>
      </c>
      <c r="I2454" s="3">
        <f t="shared" si="339"/>
        <v>-5.1720781003762317E-3</v>
      </c>
      <c r="K2454" s="12" t="str">
        <f>IF(AND(G2454=1,G2453&lt;&gt;1),MAX($K$50:K2453)+1,"")</f>
        <v/>
      </c>
      <c r="L2454" s="13" t="str">
        <f>IF(AND(G2454&lt;&gt;1,G2453=1),MAX($L$50:L2453)+1,"")</f>
        <v/>
      </c>
      <c r="M2454" s="13" t="str">
        <f>IF(AND(G2454=-1,G2453&lt;&gt;-1),MAX($M$50:M2453)+1,"")</f>
        <v/>
      </c>
      <c r="N2454" s="13" t="str">
        <f>IF(AND(G2454&lt;&gt;-1,G2453=-1),MAX($N$50:N2453)+1,"")</f>
        <v/>
      </c>
      <c r="T2454" s="7">
        <f t="shared" si="340"/>
        <v>148.27399882701735</v>
      </c>
      <c r="U2454" s="1">
        <f t="shared" si="341"/>
        <v>314.09349074497408</v>
      </c>
    </row>
    <row r="2455" spans="1:21" x14ac:dyDescent="0.3">
      <c r="A2455" s="2">
        <v>43738</v>
      </c>
      <c r="B2455" s="1">
        <v>6008.59</v>
      </c>
      <c r="C2455" s="2">
        <f t="shared" si="333"/>
        <v>43738</v>
      </c>
      <c r="D2455" s="1">
        <f t="shared" si="334"/>
        <v>6008.59</v>
      </c>
      <c r="E2455" s="4">
        <f t="shared" si="335"/>
        <v>5940.532000000002</v>
      </c>
      <c r="F2455" s="3">
        <f t="shared" si="336"/>
        <v>1.0114565496827554</v>
      </c>
      <c r="G2455" s="18">
        <f t="shared" si="337"/>
        <v>1</v>
      </c>
      <c r="H2455" s="3">
        <f t="shared" si="338"/>
        <v>5.0986013974316791E-3</v>
      </c>
      <c r="I2455" s="3">
        <f t="shared" si="339"/>
        <v>5.0986013974316791E-3</v>
      </c>
      <c r="K2455" s="12" t="str">
        <f>IF(AND(G2455=1,G2454&lt;&gt;1),MAX($K$50:K2454)+1,"")</f>
        <v/>
      </c>
      <c r="L2455" s="13" t="str">
        <f>IF(AND(G2455&lt;&gt;1,G2454=1),MAX($L$50:L2454)+1,"")</f>
        <v/>
      </c>
      <c r="M2455" s="13" t="str">
        <f>IF(AND(G2455=-1,G2454&lt;&gt;-1),MAX($M$50:M2454)+1,"")</f>
        <v/>
      </c>
      <c r="N2455" s="13" t="str">
        <f>IF(AND(G2455&lt;&gt;-1,G2454=-1),MAX($N$50:N2454)+1,"")</f>
        <v/>
      </c>
      <c r="T2455" s="7">
        <f t="shared" si="340"/>
        <v>149.02998884463958</v>
      </c>
      <c r="U2455" s="1">
        <f t="shared" si="341"/>
        <v>315.69492825581062</v>
      </c>
    </row>
    <row r="2456" spans="1:21" x14ac:dyDescent="0.3">
      <c r="A2456" s="2">
        <v>43739</v>
      </c>
      <c r="B2456" s="1">
        <v>5935.2</v>
      </c>
      <c r="C2456" s="2">
        <f t="shared" si="333"/>
        <v>43739</v>
      </c>
      <c r="D2456" s="1">
        <f t="shared" si="334"/>
        <v>5935.2</v>
      </c>
      <c r="E2456" s="4">
        <f t="shared" si="335"/>
        <v>5939.2104000000018</v>
      </c>
      <c r="F2456" s="3">
        <f t="shared" si="336"/>
        <v>0.99932475872550297</v>
      </c>
      <c r="G2456" s="18">
        <f t="shared" si="337"/>
        <v>1</v>
      </c>
      <c r="H2456" s="3">
        <f t="shared" si="338"/>
        <v>-1.221418003225383E-2</v>
      </c>
      <c r="I2456" s="3">
        <f t="shared" si="339"/>
        <v>-1.221418003225383E-2</v>
      </c>
      <c r="K2456" s="12" t="str">
        <f>IF(AND(G2456=1,G2455&lt;&gt;1),MAX($K$50:K2455)+1,"")</f>
        <v/>
      </c>
      <c r="L2456" s="13" t="str">
        <f>IF(AND(G2456&lt;&gt;1,G2455=1),MAX($L$50:L2455)+1,"")</f>
        <v/>
      </c>
      <c r="M2456" s="13" t="str">
        <f>IF(AND(G2456=-1,G2455&lt;&gt;-1),MAX($M$50:M2455)+1,"")</f>
        <v/>
      </c>
      <c r="N2456" s="13" t="str">
        <f>IF(AND(G2456&lt;&gt;-1,G2455=-1),MAX($N$50:N2455)+1,"")</f>
        <v/>
      </c>
      <c r="T2456" s="7">
        <f t="shared" si="340"/>
        <v>147.20970973068637</v>
      </c>
      <c r="U2456" s="1">
        <f t="shared" si="341"/>
        <v>311.83897356682468</v>
      </c>
    </row>
    <row r="2457" spans="1:21" x14ac:dyDescent="0.3">
      <c r="A2457" s="2">
        <v>43740</v>
      </c>
      <c r="B2457" s="1">
        <v>5828.93</v>
      </c>
      <c r="C2457" s="2">
        <f t="shared" si="333"/>
        <v>43740</v>
      </c>
      <c r="D2457" s="1">
        <f t="shared" si="334"/>
        <v>5828.93</v>
      </c>
      <c r="E2457" s="4">
        <f t="shared" si="335"/>
        <v>5934.9394000000002</v>
      </c>
      <c r="F2457" s="3">
        <f t="shared" si="336"/>
        <v>0.98213808215126852</v>
      </c>
      <c r="G2457" s="18">
        <f t="shared" si="337"/>
        <v>1</v>
      </c>
      <c r="H2457" s="3">
        <f t="shared" si="338"/>
        <v>-1.7905041110661712E-2</v>
      </c>
      <c r="I2457" s="3">
        <f t="shared" si="339"/>
        <v>-1.7905041110661712E-2</v>
      </c>
      <c r="K2457" s="12" t="str">
        <f>IF(AND(G2457=1,G2456&lt;&gt;1),MAX($K$50:K2456)+1,"")</f>
        <v/>
      </c>
      <c r="L2457" s="13" t="str">
        <f>IF(AND(G2457&lt;&gt;1,G2456=1),MAX($L$50:L2456)+1,"")</f>
        <v/>
      </c>
      <c r="M2457" s="13" t="str">
        <f>IF(AND(G2457=-1,G2456&lt;&gt;-1),MAX($M$50:M2456)+1,"")</f>
        <v/>
      </c>
      <c r="N2457" s="13" t="str">
        <f>IF(AND(G2457&lt;&gt;-1,G2456=-1),MAX($N$50:N2456)+1,"")</f>
        <v/>
      </c>
      <c r="T2457" s="7">
        <f t="shared" si="340"/>
        <v>144.57391382606986</v>
      </c>
      <c r="U2457" s="1">
        <f t="shared" si="341"/>
        <v>306.25548392520415</v>
      </c>
    </row>
    <row r="2458" spans="1:21" x14ac:dyDescent="0.3">
      <c r="A2458" s="2">
        <v>43741</v>
      </c>
      <c r="B2458" s="1">
        <v>5876.86</v>
      </c>
      <c r="C2458" s="2">
        <f t="shared" si="333"/>
        <v>43741</v>
      </c>
      <c r="D2458" s="1">
        <f t="shared" si="334"/>
        <v>5876.86</v>
      </c>
      <c r="E2458" s="4">
        <f t="shared" si="335"/>
        <v>5931.0556000000006</v>
      </c>
      <c r="F2458" s="3">
        <f t="shared" si="336"/>
        <v>0.99086240230153955</v>
      </c>
      <c r="G2458" s="18">
        <f t="shared" si="337"/>
        <v>1</v>
      </c>
      <c r="H2458" s="3">
        <f t="shared" si="338"/>
        <v>8.2227784516195612E-3</v>
      </c>
      <c r="I2458" s="3">
        <f t="shared" si="339"/>
        <v>8.2227784516195612E-3</v>
      </c>
      <c r="K2458" s="12" t="str">
        <f>IF(AND(G2458=1,G2457&lt;&gt;1),MAX($K$50:K2457)+1,"")</f>
        <v/>
      </c>
      <c r="L2458" s="13" t="str">
        <f>IF(AND(G2458&lt;&gt;1,G2457=1),MAX($L$50:L2457)+1,"")</f>
        <v/>
      </c>
      <c r="M2458" s="13" t="str">
        <f>IF(AND(G2458=-1,G2457&lt;&gt;-1),MAX($M$50:M2457)+1,"")</f>
        <v/>
      </c>
      <c r="N2458" s="13" t="str">
        <f>IF(AND(G2458&lt;&gt;-1,G2457=-1),MAX($N$50:N2457)+1,"")</f>
        <v/>
      </c>
      <c r="T2458" s="7">
        <f t="shared" si="340"/>
        <v>145.76271308934517</v>
      </c>
      <c r="U2458" s="1">
        <f t="shared" si="341"/>
        <v>308.77375491911465</v>
      </c>
    </row>
    <row r="2459" spans="1:21" x14ac:dyDescent="0.3">
      <c r="A2459" s="2">
        <v>43742</v>
      </c>
      <c r="B2459" s="1">
        <v>5960.43</v>
      </c>
      <c r="C2459" s="2">
        <f t="shared" si="333"/>
        <v>43742</v>
      </c>
      <c r="D2459" s="1">
        <f t="shared" si="334"/>
        <v>5960.43</v>
      </c>
      <c r="E2459" s="4">
        <f t="shared" si="335"/>
        <v>5929.4816000000001</v>
      </c>
      <c r="F2459" s="3">
        <f t="shared" si="336"/>
        <v>1.0052194107491623</v>
      </c>
      <c r="G2459" s="18">
        <f t="shared" si="337"/>
        <v>1</v>
      </c>
      <c r="H2459" s="3">
        <f t="shared" si="338"/>
        <v>1.4220178802966332E-2</v>
      </c>
      <c r="I2459" s="3">
        <f t="shared" si="339"/>
        <v>1.4220178802966332E-2</v>
      </c>
      <c r="K2459" s="12" t="str">
        <f>IF(AND(G2459=1,G2458&lt;&gt;1),MAX($K$50:K2458)+1,"")</f>
        <v/>
      </c>
      <c r="L2459" s="13" t="str">
        <f>IF(AND(G2459&lt;&gt;1,G2458=1),MAX($L$50:L2458)+1,"")</f>
        <v/>
      </c>
      <c r="M2459" s="13" t="str">
        <f>IF(AND(G2459=-1,G2458&lt;&gt;-1),MAX($M$50:M2458)+1,"")</f>
        <v/>
      </c>
      <c r="N2459" s="13" t="str">
        <f>IF(AND(G2459&lt;&gt;-1,G2458=-1),MAX($N$50:N2458)+1,"")</f>
        <v/>
      </c>
      <c r="T2459" s="7">
        <f t="shared" si="340"/>
        <v>147.83548493228113</v>
      </c>
      <c r="U2459" s="1">
        <f t="shared" si="341"/>
        <v>313.1645729237278</v>
      </c>
    </row>
    <row r="2460" spans="1:21" x14ac:dyDescent="0.3">
      <c r="A2460" s="2">
        <v>43745</v>
      </c>
      <c r="B2460" s="1">
        <v>5933.76</v>
      </c>
      <c r="C2460" s="2">
        <f t="shared" si="333"/>
        <v>43745</v>
      </c>
      <c r="D2460" s="1">
        <f t="shared" si="334"/>
        <v>5933.76</v>
      </c>
      <c r="E2460" s="4">
        <f t="shared" si="335"/>
        <v>5926.4804000000004</v>
      </c>
      <c r="F2460" s="3">
        <f t="shared" si="336"/>
        <v>1.0012283175693959</v>
      </c>
      <c r="G2460" s="18">
        <f t="shared" si="337"/>
        <v>1</v>
      </c>
      <c r="H2460" s="3">
        <f t="shared" si="338"/>
        <v>-4.4745093894232868E-3</v>
      </c>
      <c r="I2460" s="3">
        <f t="shared" si="339"/>
        <v>-4.4745093894232868E-3</v>
      </c>
      <c r="K2460" s="12" t="str">
        <f>IF(AND(G2460=1,G2459&lt;&gt;1),MAX($K$50:K2459)+1,"")</f>
        <v/>
      </c>
      <c r="L2460" s="13" t="str">
        <f>IF(AND(G2460&lt;&gt;1,G2459=1),MAX($L$50:L2459)+1,"")</f>
        <v/>
      </c>
      <c r="M2460" s="13" t="str">
        <f>IF(AND(G2460=-1,G2459&lt;&gt;-1),MAX($M$50:M2459)+1,"")</f>
        <v/>
      </c>
      <c r="N2460" s="13" t="str">
        <f>IF(AND(G2460&lt;&gt;-1,G2459=-1),MAX($N$50:N2459)+1,"")</f>
        <v/>
      </c>
      <c r="T2460" s="7">
        <f t="shared" si="340"/>
        <v>147.17399366686169</v>
      </c>
      <c r="U2460" s="1">
        <f t="shared" si="341"/>
        <v>311.76331510174583</v>
      </c>
    </row>
    <row r="2461" spans="1:21" x14ac:dyDescent="0.3">
      <c r="A2461" s="2">
        <v>43746</v>
      </c>
      <c r="B2461" s="1">
        <v>5841.57</v>
      </c>
      <c r="C2461" s="2">
        <f t="shared" si="333"/>
        <v>43746</v>
      </c>
      <c r="D2461" s="1">
        <f t="shared" si="334"/>
        <v>5841.57</v>
      </c>
      <c r="E2461" s="4">
        <f t="shared" si="335"/>
        <v>5921.8315999999995</v>
      </c>
      <c r="F2461" s="3">
        <f t="shared" si="336"/>
        <v>0.986446490643199</v>
      </c>
      <c r="G2461" s="18">
        <f t="shared" si="337"/>
        <v>1</v>
      </c>
      <c r="H2461" s="3">
        <f t="shared" si="338"/>
        <v>-1.5536523216308162E-2</v>
      </c>
      <c r="I2461" s="3">
        <f t="shared" si="339"/>
        <v>-1.5536523216308162E-2</v>
      </c>
      <c r="K2461" s="12" t="str">
        <f>IF(AND(G2461=1,G2460&lt;&gt;1),MAX($K$50:K2460)+1,"")</f>
        <v/>
      </c>
      <c r="L2461" s="13" t="str">
        <f>IF(AND(G2461&lt;&gt;1,G2460=1),MAX($L$50:L2460)+1,"")</f>
        <v/>
      </c>
      <c r="M2461" s="13" t="str">
        <f>IF(AND(G2461=-1,G2460&lt;&gt;-1),MAX($M$50:M2460)+1,"")</f>
        <v/>
      </c>
      <c r="N2461" s="13" t="str">
        <f>IF(AND(G2461&lt;&gt;-1,G2460=-1),MAX($N$50:N2460)+1,"")</f>
        <v/>
      </c>
      <c r="T2461" s="7">
        <f t="shared" si="340"/>
        <v>144.88742149741969</v>
      </c>
      <c r="U2461" s="1">
        <f t="shared" si="341"/>
        <v>306.91959711867435</v>
      </c>
    </row>
    <row r="2462" spans="1:21" x14ac:dyDescent="0.3">
      <c r="A2462" s="2">
        <v>43747</v>
      </c>
      <c r="B2462" s="1">
        <v>5896.6</v>
      </c>
      <c r="C2462" s="2">
        <f t="shared" si="333"/>
        <v>43747</v>
      </c>
      <c r="D2462" s="1">
        <f t="shared" si="334"/>
        <v>5896.6</v>
      </c>
      <c r="E2462" s="4">
        <f t="shared" si="335"/>
        <v>5918.5843999999997</v>
      </c>
      <c r="F2462" s="3">
        <f t="shared" si="336"/>
        <v>0.99628553070899872</v>
      </c>
      <c r="G2462" s="18">
        <f t="shared" si="337"/>
        <v>1</v>
      </c>
      <c r="H2462" s="3">
        <f t="shared" si="338"/>
        <v>9.4204126630341722E-3</v>
      </c>
      <c r="I2462" s="3">
        <f t="shared" si="339"/>
        <v>9.4204126630341722E-3</v>
      </c>
      <c r="K2462" s="12" t="str">
        <f>IF(AND(G2462=1,G2461&lt;&gt;1),MAX($K$50:K2461)+1,"")</f>
        <v/>
      </c>
      <c r="L2462" s="13" t="str">
        <f>IF(AND(G2462&lt;&gt;1,G2461=1),MAX($L$50:L2461)+1,"")</f>
        <v/>
      </c>
      <c r="M2462" s="13" t="str">
        <f>IF(AND(G2462=-1,G2461&lt;&gt;-1),MAX($M$50:M2461)+1,"")</f>
        <v/>
      </c>
      <c r="N2462" s="13" t="str">
        <f>IF(AND(G2462&lt;&gt;-1,G2461=-1),MAX($N$50:N2461)+1,"")</f>
        <v/>
      </c>
      <c r="T2462" s="7">
        <f t="shared" si="340"/>
        <v>146.25232079760835</v>
      </c>
      <c r="U2462" s="1">
        <f t="shared" si="341"/>
        <v>309.81090637790447</v>
      </c>
    </row>
    <row r="2463" spans="1:21" x14ac:dyDescent="0.3">
      <c r="A2463" s="2">
        <v>43748</v>
      </c>
      <c r="B2463" s="1">
        <v>5934.56</v>
      </c>
      <c r="C2463" s="2">
        <f t="shared" si="333"/>
        <v>43748</v>
      </c>
      <c r="D2463" s="1">
        <f t="shared" si="334"/>
        <v>5934.56</v>
      </c>
      <c r="E2463" s="4">
        <f t="shared" si="335"/>
        <v>5917.4121999999988</v>
      </c>
      <c r="F2463" s="3">
        <f t="shared" si="336"/>
        <v>1.0028978545723082</v>
      </c>
      <c r="G2463" s="18">
        <f t="shared" si="337"/>
        <v>1</v>
      </c>
      <c r="H2463" s="3">
        <f t="shared" si="338"/>
        <v>6.4376081131498619E-3</v>
      </c>
      <c r="I2463" s="3">
        <f t="shared" si="339"/>
        <v>6.4376081131498619E-3</v>
      </c>
      <c r="K2463" s="12" t="str">
        <f>IF(AND(G2463=1,G2462&lt;&gt;1),MAX($K$50:K2462)+1,"")</f>
        <v/>
      </c>
      <c r="L2463" s="13" t="str">
        <f>IF(AND(G2463&lt;&gt;1,G2462=1),MAX($L$50:L2462)+1,"")</f>
        <v/>
      </c>
      <c r="M2463" s="13" t="str">
        <f>IF(AND(G2463=-1,G2462&lt;&gt;-1),MAX($M$50:M2462)+1,"")</f>
        <v/>
      </c>
      <c r="N2463" s="13" t="str">
        <f>IF(AND(G2463&lt;&gt;-1,G2462=-1),MAX($N$50:N2462)+1,"")</f>
        <v/>
      </c>
      <c r="T2463" s="7">
        <f t="shared" si="340"/>
        <v>147.19383592454201</v>
      </c>
      <c r="U2463" s="1">
        <f t="shared" si="341"/>
        <v>311.80534758234518</v>
      </c>
    </row>
    <row r="2464" spans="1:21" x14ac:dyDescent="0.3">
      <c r="A2464" s="2">
        <v>43749</v>
      </c>
      <c r="B2464" s="1">
        <v>6000.04</v>
      </c>
      <c r="C2464" s="2">
        <f t="shared" si="333"/>
        <v>43749</v>
      </c>
      <c r="D2464" s="1">
        <f t="shared" si="334"/>
        <v>6000.04</v>
      </c>
      <c r="E2464" s="4">
        <f t="shared" si="335"/>
        <v>5918.6163999999981</v>
      </c>
      <c r="F2464" s="3">
        <f t="shared" si="336"/>
        <v>1.0137572017676297</v>
      </c>
      <c r="G2464" s="18">
        <f t="shared" si="337"/>
        <v>1</v>
      </c>
      <c r="H2464" s="3">
        <f t="shared" si="338"/>
        <v>1.1033673937073551E-2</v>
      </c>
      <c r="I2464" s="3">
        <f t="shared" si="339"/>
        <v>1.1033673937073551E-2</v>
      </c>
      <c r="K2464" s="12" t="str">
        <f>IF(AND(G2464=1,G2463&lt;&gt;1),MAX($K$50:K2463)+1,"")</f>
        <v/>
      </c>
      <c r="L2464" s="13" t="str">
        <f>IF(AND(G2464&lt;&gt;1,G2463=1),MAX($L$50:L2463)+1,"")</f>
        <v/>
      </c>
      <c r="M2464" s="13" t="str">
        <f>IF(AND(G2464=-1,G2463&lt;&gt;-1),MAX($M$50:M2463)+1,"")</f>
        <v/>
      </c>
      <c r="N2464" s="13" t="str">
        <f>IF(AND(G2464&lt;&gt;-1,G2463=-1),MAX($N$50:N2463)+1,"")</f>
        <v/>
      </c>
      <c r="T2464" s="7">
        <f t="shared" si="340"/>
        <v>148.8179247156805</v>
      </c>
      <c r="U2464" s="1">
        <f t="shared" si="341"/>
        <v>315.2457061194047</v>
      </c>
    </row>
    <row r="2465" spans="1:21" x14ac:dyDescent="0.3">
      <c r="A2465" s="2">
        <v>43752</v>
      </c>
      <c r="B2465" s="1">
        <v>5991.72</v>
      </c>
      <c r="C2465" s="2">
        <f t="shared" si="333"/>
        <v>43752</v>
      </c>
      <c r="D2465" s="1">
        <f t="shared" si="334"/>
        <v>5991.72</v>
      </c>
      <c r="E2465" s="4">
        <f t="shared" si="335"/>
        <v>5920.5087999999978</v>
      </c>
      <c r="F2465" s="3">
        <f t="shared" si="336"/>
        <v>1.0120278851709505</v>
      </c>
      <c r="G2465" s="18">
        <f t="shared" si="337"/>
        <v>1</v>
      </c>
      <c r="H2465" s="3">
        <f t="shared" si="338"/>
        <v>-1.3866574222838324E-3</v>
      </c>
      <c r="I2465" s="3">
        <f t="shared" si="339"/>
        <v>-1.3866574222838324E-3</v>
      </c>
      <c r="K2465" s="12" t="str">
        <f>IF(AND(G2465=1,G2464&lt;&gt;1),MAX($K$50:K2464)+1,"")</f>
        <v/>
      </c>
      <c r="L2465" s="13" t="str">
        <f>IF(AND(G2465&lt;&gt;1,G2464=1),MAX($L$50:L2464)+1,"")</f>
        <v/>
      </c>
      <c r="M2465" s="13" t="str">
        <f>IF(AND(G2465=-1,G2464&lt;&gt;-1),MAX($M$50:M2464)+1,"")</f>
        <v/>
      </c>
      <c r="N2465" s="13" t="str">
        <f>IF(AND(G2465&lt;&gt;-1,G2464=-1),MAX($N$50:N2464)+1,"")</f>
        <v/>
      </c>
      <c r="T2465" s="7">
        <f t="shared" si="340"/>
        <v>148.61156523580462</v>
      </c>
      <c r="U2465" s="1">
        <f t="shared" si="341"/>
        <v>314.80856832117109</v>
      </c>
    </row>
    <row r="2466" spans="1:21" x14ac:dyDescent="0.3">
      <c r="A2466" s="2">
        <v>43753</v>
      </c>
      <c r="B2466" s="1">
        <v>6051.39</v>
      </c>
      <c r="C2466" s="2">
        <f t="shared" si="333"/>
        <v>43753</v>
      </c>
      <c r="D2466" s="1">
        <f t="shared" si="334"/>
        <v>6051.39</v>
      </c>
      <c r="E2466" s="4">
        <f t="shared" si="335"/>
        <v>5927.100599999997</v>
      </c>
      <c r="F2466" s="3">
        <f t="shared" si="336"/>
        <v>1.0209696795090677</v>
      </c>
      <c r="G2466" s="18">
        <f t="shared" si="337"/>
        <v>1</v>
      </c>
      <c r="H2466" s="3">
        <f t="shared" si="338"/>
        <v>9.9587430654302089E-3</v>
      </c>
      <c r="I2466" s="3">
        <f t="shared" si="339"/>
        <v>9.9587430654302089E-3</v>
      </c>
      <c r="K2466" s="12" t="str">
        <f>IF(AND(G2466=1,G2465&lt;&gt;1),MAX($K$50:K2465)+1,"")</f>
        <v/>
      </c>
      <c r="L2466" s="13" t="str">
        <f>IF(AND(G2466&lt;&gt;1,G2465=1),MAX($L$50:L2465)+1,"")</f>
        <v/>
      </c>
      <c r="M2466" s="13" t="str">
        <f>IF(AND(G2466=-1,G2465&lt;&gt;-1),MAX($M$50:M2465)+1,"")</f>
        <v/>
      </c>
      <c r="N2466" s="13" t="str">
        <f>IF(AND(G2466&lt;&gt;-1,G2465=-1),MAX($N$50:N2465)+1,"")</f>
        <v/>
      </c>
      <c r="T2466" s="7">
        <f t="shared" si="340"/>
        <v>150.09154963053942</v>
      </c>
      <c r="U2466" s="1">
        <f t="shared" si="341"/>
        <v>317.94366596787756</v>
      </c>
    </row>
    <row r="2467" spans="1:21" x14ac:dyDescent="0.3">
      <c r="A2467" s="2">
        <v>43754</v>
      </c>
      <c r="B2467" s="1">
        <v>6039.69</v>
      </c>
      <c r="C2467" s="2">
        <f t="shared" si="333"/>
        <v>43754</v>
      </c>
      <c r="D2467" s="1">
        <f t="shared" si="334"/>
        <v>6039.69</v>
      </c>
      <c r="E2467" s="4">
        <f t="shared" si="335"/>
        <v>5931.9599999999991</v>
      </c>
      <c r="F2467" s="3">
        <f t="shared" si="336"/>
        <v>1.0181609451176341</v>
      </c>
      <c r="G2467" s="18">
        <f t="shared" si="337"/>
        <v>1</v>
      </c>
      <c r="H2467" s="3">
        <f t="shared" si="338"/>
        <v>-1.9334400856664269E-3</v>
      </c>
      <c r="I2467" s="3">
        <f t="shared" si="339"/>
        <v>-1.9334400856664269E-3</v>
      </c>
      <c r="K2467" s="12" t="str">
        <f>IF(AND(G2467=1,G2466&lt;&gt;1),MAX($K$50:K2466)+1,"")</f>
        <v/>
      </c>
      <c r="L2467" s="13" t="str">
        <f>IF(AND(G2467&lt;&gt;1,G2466=1),MAX($L$50:L2466)+1,"")</f>
        <v/>
      </c>
      <c r="M2467" s="13" t="str">
        <f>IF(AND(G2467=-1,G2466&lt;&gt;-1),MAX($M$50:M2466)+1,"")</f>
        <v/>
      </c>
      <c r="N2467" s="13" t="str">
        <f>IF(AND(G2467&lt;&gt;-1,G2466=-1),MAX($N$50:N2466)+1,"")</f>
        <v/>
      </c>
      <c r="T2467" s="7">
        <f t="shared" si="340"/>
        <v>149.80135661196394</v>
      </c>
      <c r="U2467" s="1">
        <f t="shared" si="341"/>
        <v>317.32894093911153</v>
      </c>
    </row>
    <row r="2468" spans="1:21" x14ac:dyDescent="0.3">
      <c r="A2468" s="2">
        <v>43755</v>
      </c>
      <c r="B2468" s="1">
        <v>6056.84</v>
      </c>
      <c r="C2468" s="2">
        <f t="shared" si="333"/>
        <v>43755</v>
      </c>
      <c r="D2468" s="1">
        <f t="shared" si="334"/>
        <v>6056.84</v>
      </c>
      <c r="E2468" s="4">
        <f t="shared" si="335"/>
        <v>5937.0704000000005</v>
      </c>
      <c r="F2468" s="3">
        <f t="shared" si="336"/>
        <v>1.0201731817092821</v>
      </c>
      <c r="G2468" s="18">
        <f t="shared" si="337"/>
        <v>1</v>
      </c>
      <c r="H2468" s="3">
        <f t="shared" si="338"/>
        <v>2.8395497119886315E-3</v>
      </c>
      <c r="I2468" s="3">
        <f t="shared" si="339"/>
        <v>2.8395497119886315E-3</v>
      </c>
      <c r="K2468" s="12" t="str">
        <f>IF(AND(G2468=1,G2467&lt;&gt;1),MAX($K$50:K2467)+1,"")</f>
        <v/>
      </c>
      <c r="L2468" s="13" t="str">
        <f>IF(AND(G2468&lt;&gt;1,G2467=1),MAX($L$50:L2467)+1,"")</f>
        <v/>
      </c>
      <c r="M2468" s="13" t="str">
        <f>IF(AND(G2468=-1,G2467&lt;&gt;-1),MAX($M$50:M2467)+1,"")</f>
        <v/>
      </c>
      <c r="N2468" s="13" t="str">
        <f>IF(AND(G2468&lt;&gt;-1,G2467=-1),MAX($N$50:N2467)+1,"")</f>
        <v/>
      </c>
      <c r="T2468" s="7">
        <f t="shared" si="340"/>
        <v>150.22672501098694</v>
      </c>
      <c r="U2468" s="1">
        <f t="shared" si="341"/>
        <v>318.23001224196082</v>
      </c>
    </row>
    <row r="2469" spans="1:21" x14ac:dyDescent="0.3">
      <c r="A2469" s="2">
        <v>43756</v>
      </c>
      <c r="B2469" s="1">
        <v>6033.26</v>
      </c>
      <c r="C2469" s="2">
        <f t="shared" si="333"/>
        <v>43756</v>
      </c>
      <c r="D2469" s="1">
        <f t="shared" si="334"/>
        <v>6033.26</v>
      </c>
      <c r="E2469" s="4">
        <f t="shared" si="335"/>
        <v>5939.5024000000003</v>
      </c>
      <c r="F2469" s="3">
        <f t="shared" si="336"/>
        <v>1.015785430106064</v>
      </c>
      <c r="G2469" s="18">
        <f t="shared" si="337"/>
        <v>1</v>
      </c>
      <c r="H2469" s="3">
        <f t="shared" si="338"/>
        <v>-3.8931191842610513E-3</v>
      </c>
      <c r="I2469" s="3">
        <f t="shared" si="339"/>
        <v>-3.8931191842610513E-3</v>
      </c>
      <c r="K2469" s="12" t="str">
        <f>IF(AND(G2469=1,G2468&lt;&gt;1),MAX($K$50:K2468)+1,"")</f>
        <v/>
      </c>
      <c r="L2469" s="13" t="str">
        <f>IF(AND(G2469&lt;&gt;1,G2468=1),MAX($L$50:L2468)+1,"")</f>
        <v/>
      </c>
      <c r="M2469" s="13" t="str">
        <f>IF(AND(G2469=-1,G2468&lt;&gt;-1),MAX($M$50:M2468)+1,"")</f>
        <v/>
      </c>
      <c r="N2469" s="13" t="str">
        <f>IF(AND(G2469&lt;&gt;-1,G2468=-1),MAX($N$50:N2468)+1,"")</f>
        <v/>
      </c>
      <c r="T2469" s="7">
        <f t="shared" si="340"/>
        <v>149.64187446585797</v>
      </c>
      <c r="U2469" s="1">
        <f t="shared" si="341"/>
        <v>316.991104876294</v>
      </c>
    </row>
    <row r="2470" spans="1:21" x14ac:dyDescent="0.3">
      <c r="A2470" s="2">
        <v>43759</v>
      </c>
      <c r="B2470" s="1">
        <v>6074.9</v>
      </c>
      <c r="C2470" s="2">
        <f t="shared" si="333"/>
        <v>43759</v>
      </c>
      <c r="D2470" s="1">
        <f t="shared" si="334"/>
        <v>6074.9</v>
      </c>
      <c r="E2470" s="4">
        <f t="shared" si="335"/>
        <v>5943.5310000000009</v>
      </c>
      <c r="F2470" s="3">
        <f t="shared" si="336"/>
        <v>1.0221028543470201</v>
      </c>
      <c r="G2470" s="18">
        <f t="shared" si="337"/>
        <v>1</v>
      </c>
      <c r="H2470" s="3">
        <f t="shared" si="338"/>
        <v>6.9017413471323952E-3</v>
      </c>
      <c r="I2470" s="3">
        <f t="shared" si="339"/>
        <v>6.9017413471323952E-3</v>
      </c>
      <c r="K2470" s="12" t="str">
        <f>IF(AND(G2470=1,G2469&lt;&gt;1),MAX($K$50:K2469)+1,"")</f>
        <v/>
      </c>
      <c r="L2470" s="13" t="str">
        <f>IF(AND(G2470&lt;&gt;1,G2469=1),MAX($L$50:L2469)+1,"")</f>
        <v/>
      </c>
      <c r="M2470" s="13" t="str">
        <f>IF(AND(G2470=-1,G2469&lt;&gt;-1),MAX($M$50:M2469)+1,"")</f>
        <v/>
      </c>
      <c r="N2470" s="13" t="str">
        <f>IF(AND(G2470&lt;&gt;-1,G2469=-1),MAX($N$50:N2469)+1,"")</f>
        <v/>
      </c>
      <c r="T2470" s="7">
        <f t="shared" si="340"/>
        <v>150.67466397812137</v>
      </c>
      <c r="U2470" s="1">
        <f t="shared" si="341"/>
        <v>319.17889549149186</v>
      </c>
    </row>
    <row r="2471" spans="1:21" x14ac:dyDescent="0.3">
      <c r="A2471" s="2">
        <v>43760</v>
      </c>
      <c r="B2471" s="1">
        <v>6053.42</v>
      </c>
      <c r="C2471" s="2">
        <f t="shared" si="333"/>
        <v>43760</v>
      </c>
      <c r="D2471" s="1">
        <f t="shared" si="334"/>
        <v>6053.42</v>
      </c>
      <c r="E2471" s="4">
        <f t="shared" si="335"/>
        <v>5948.5144000000009</v>
      </c>
      <c r="F2471" s="3">
        <f t="shared" si="336"/>
        <v>1.017635596544912</v>
      </c>
      <c r="G2471" s="18">
        <f t="shared" si="337"/>
        <v>1</v>
      </c>
      <c r="H2471" s="3">
        <f t="shared" si="338"/>
        <v>-3.5358606726035857E-3</v>
      </c>
      <c r="I2471" s="3">
        <f t="shared" si="339"/>
        <v>-3.5358606726035857E-3</v>
      </c>
      <c r="K2471" s="12" t="str">
        <f>IF(AND(G2471=1,G2470&lt;&gt;1),MAX($K$50:K2470)+1,"")</f>
        <v/>
      </c>
      <c r="L2471" s="13" t="str">
        <f>IF(AND(G2471&lt;&gt;1,G2470=1),MAX($L$50:L2470)+1,"")</f>
        <v/>
      </c>
      <c r="M2471" s="13" t="str">
        <f>IF(AND(G2471=-1,G2470&lt;&gt;-1),MAX($M$50:M2470)+1,"")</f>
        <v/>
      </c>
      <c r="N2471" s="13" t="str">
        <f>IF(AND(G2471&lt;&gt;-1,G2470=-1),MAX($N$50:N2470)+1,"")</f>
        <v/>
      </c>
      <c r="T2471" s="7">
        <f t="shared" si="340"/>
        <v>150.14189935940337</v>
      </c>
      <c r="U2471" s="1">
        <f t="shared" si="341"/>
        <v>318.05032338739841</v>
      </c>
    </row>
    <row r="2472" spans="1:21" x14ac:dyDescent="0.3">
      <c r="A2472" s="2">
        <v>43761</v>
      </c>
      <c r="B2472" s="1">
        <v>6070.87</v>
      </c>
      <c r="C2472" s="2">
        <f t="shared" si="333"/>
        <v>43761</v>
      </c>
      <c r="D2472" s="1">
        <f t="shared" si="334"/>
        <v>6070.87</v>
      </c>
      <c r="E2472" s="4">
        <f t="shared" si="335"/>
        <v>5952.1286000000009</v>
      </c>
      <c r="F2472" s="3">
        <f t="shared" si="336"/>
        <v>1.0199494009588435</v>
      </c>
      <c r="G2472" s="18">
        <f t="shared" si="337"/>
        <v>1</v>
      </c>
      <c r="H2472" s="3">
        <f t="shared" si="338"/>
        <v>2.8826679794231591E-3</v>
      </c>
      <c r="I2472" s="3">
        <f t="shared" si="339"/>
        <v>2.8826679794231591E-3</v>
      </c>
      <c r="K2472" s="12" t="str">
        <f>IF(AND(G2472=1,G2471&lt;&gt;1),MAX($K$50:K2471)+1,"")</f>
        <v/>
      </c>
      <c r="L2472" s="13" t="str">
        <f>IF(AND(G2472&lt;&gt;1,G2471=1),MAX($L$50:L2471)+1,"")</f>
        <v/>
      </c>
      <c r="M2472" s="13" t="str">
        <f>IF(AND(G2472=-1,G2471&lt;&gt;-1),MAX($M$50:M2471)+1,"")</f>
        <v/>
      </c>
      <c r="N2472" s="13" t="str">
        <f>IF(AND(G2472&lt;&gt;-1,G2471=-1),MAX($N$50:N2471)+1,"")</f>
        <v/>
      </c>
      <c r="T2472" s="7">
        <f t="shared" si="340"/>
        <v>150.57470860505649</v>
      </c>
      <c r="U2472" s="1">
        <f t="shared" si="341"/>
        <v>318.96715687047248</v>
      </c>
    </row>
    <row r="2473" spans="1:21" x14ac:dyDescent="0.3">
      <c r="A2473" s="2">
        <v>43762</v>
      </c>
      <c r="B2473" s="1">
        <v>6082.54</v>
      </c>
      <c r="C2473" s="2">
        <f t="shared" si="333"/>
        <v>43762</v>
      </c>
      <c r="D2473" s="1">
        <f t="shared" si="334"/>
        <v>6082.54</v>
      </c>
      <c r="E2473" s="4">
        <f t="shared" si="335"/>
        <v>5959.3933999999999</v>
      </c>
      <c r="F2473" s="3">
        <f t="shared" si="336"/>
        <v>1.0206642843884077</v>
      </c>
      <c r="G2473" s="18">
        <f t="shared" si="337"/>
        <v>1</v>
      </c>
      <c r="H2473" s="3">
        <f t="shared" si="338"/>
        <v>1.9222944981527323E-3</v>
      </c>
      <c r="I2473" s="3">
        <f t="shared" si="339"/>
        <v>1.9222944981527323E-3</v>
      </c>
      <c r="K2473" s="12" t="str">
        <f>IF(AND(G2473=1,G2472&lt;&gt;1),MAX($K$50:K2472)+1,"")</f>
        <v/>
      </c>
      <c r="L2473" s="13" t="str">
        <f>IF(AND(G2473&lt;&gt;1,G2472=1),MAX($L$50:L2472)+1,"")</f>
        <v/>
      </c>
      <c r="M2473" s="13" t="str">
        <f>IF(AND(G2473=-1,G2472&lt;&gt;-1),MAX($M$50:M2472)+1,"")</f>
        <v/>
      </c>
      <c r="N2473" s="13" t="str">
        <f>IF(AND(G2473&lt;&gt;-1,G2472=-1),MAX($N$50:N2472)+1,"")</f>
        <v/>
      </c>
      <c r="T2473" s="7">
        <f t="shared" si="340"/>
        <v>150.86415753896893</v>
      </c>
      <c r="U2473" s="1">
        <f t="shared" si="341"/>
        <v>319.58030568121598</v>
      </c>
    </row>
    <row r="2474" spans="1:21" x14ac:dyDescent="0.3">
      <c r="A2474" s="2">
        <v>43763</v>
      </c>
      <c r="B2474" s="1">
        <v>6107.42</v>
      </c>
      <c r="C2474" s="2">
        <f t="shared" si="333"/>
        <v>43763</v>
      </c>
      <c r="D2474" s="1">
        <f t="shared" si="334"/>
        <v>6107.42</v>
      </c>
      <c r="E2474" s="4">
        <f t="shared" si="335"/>
        <v>5966.851999999998</v>
      </c>
      <c r="F2474" s="3">
        <f t="shared" si="336"/>
        <v>1.0235581509311782</v>
      </c>
      <c r="G2474" s="18">
        <f t="shared" si="337"/>
        <v>1</v>
      </c>
      <c r="H2474" s="3">
        <f t="shared" si="338"/>
        <v>4.0903964462215558E-3</v>
      </c>
      <c r="I2474" s="3">
        <f t="shared" si="339"/>
        <v>4.0903964462215558E-3</v>
      </c>
      <c r="K2474" s="12" t="str">
        <f>IF(AND(G2474=1,G2473&lt;&gt;1),MAX($K$50:K2473)+1,"")</f>
        <v/>
      </c>
      <c r="L2474" s="13" t="str">
        <f>IF(AND(G2474&lt;&gt;1,G2473=1),MAX($L$50:L2473)+1,"")</f>
        <v/>
      </c>
      <c r="M2474" s="13" t="str">
        <f>IF(AND(G2474=-1,G2473&lt;&gt;-1),MAX($M$50:M2473)+1,"")</f>
        <v/>
      </c>
      <c r="N2474" s="13" t="str">
        <f>IF(AND(G2474&lt;&gt;-1,G2473=-1),MAX($N$50:N2473)+1,"")</f>
        <v/>
      </c>
      <c r="T2474" s="7">
        <f t="shared" si="340"/>
        <v>151.48125175282854</v>
      </c>
      <c r="U2474" s="1">
        <f t="shared" si="341"/>
        <v>320.88751582785676</v>
      </c>
    </row>
    <row r="2475" spans="1:21" x14ac:dyDescent="0.3">
      <c r="A2475" s="2">
        <v>43766</v>
      </c>
      <c r="B2475" s="1">
        <v>6141.51</v>
      </c>
      <c r="C2475" s="2">
        <f t="shared" si="333"/>
        <v>43766</v>
      </c>
      <c r="D2475" s="1">
        <f t="shared" si="334"/>
        <v>6141.51</v>
      </c>
      <c r="E2475" s="4">
        <f t="shared" si="335"/>
        <v>5973.3187999999991</v>
      </c>
      <c r="F2475" s="3">
        <f t="shared" si="336"/>
        <v>1.0281570774357467</v>
      </c>
      <c r="G2475" s="18">
        <f t="shared" si="337"/>
        <v>1</v>
      </c>
      <c r="H2475" s="3">
        <f t="shared" si="338"/>
        <v>5.5817350043063652E-3</v>
      </c>
      <c r="I2475" s="3">
        <f t="shared" si="339"/>
        <v>5.5817350043063652E-3</v>
      </c>
      <c r="K2475" s="12" t="str">
        <f>IF(AND(G2475=1,G2474&lt;&gt;1),MAX($K$50:K2474)+1,"")</f>
        <v/>
      </c>
      <c r="L2475" s="13" t="str">
        <f>IF(AND(G2475&lt;&gt;1,G2474=1),MAX($L$50:L2474)+1,"")</f>
        <v/>
      </c>
      <c r="M2475" s="13" t="str">
        <f>IF(AND(G2475=-1,G2474&lt;&gt;-1),MAX($M$50:M2474)+1,"")</f>
        <v/>
      </c>
      <c r="N2475" s="13" t="str">
        <f>IF(AND(G2475&lt;&gt;-1,G2474=-1),MAX($N$50:N2474)+1,"")</f>
        <v/>
      </c>
      <c r="T2475" s="7">
        <f t="shared" si="340"/>
        <v>152.32677995823346</v>
      </c>
      <c r="U2475" s="1">
        <f t="shared" si="341"/>
        <v>322.67862490739799</v>
      </c>
    </row>
    <row r="2476" spans="1:21" x14ac:dyDescent="0.3">
      <c r="A2476" s="2">
        <v>43767</v>
      </c>
      <c r="B2476" s="1">
        <v>6136.47</v>
      </c>
      <c r="C2476" s="2">
        <f t="shared" si="333"/>
        <v>43767</v>
      </c>
      <c r="D2476" s="1">
        <f t="shared" si="334"/>
        <v>6136.47</v>
      </c>
      <c r="E2476" s="4">
        <f t="shared" si="335"/>
        <v>5978.2695999999987</v>
      </c>
      <c r="F2476" s="3">
        <f t="shared" si="336"/>
        <v>1.0264625737186563</v>
      </c>
      <c r="G2476" s="18">
        <f t="shared" si="337"/>
        <v>1</v>
      </c>
      <c r="H2476" s="3">
        <f t="shared" si="338"/>
        <v>-8.206450856548253E-4</v>
      </c>
      <c r="I2476" s="3">
        <f t="shared" si="339"/>
        <v>-8.206450856548253E-4</v>
      </c>
      <c r="K2476" s="12" t="str">
        <f>IF(AND(G2476=1,G2475&lt;&gt;1),MAX($K$50:K2475)+1,"")</f>
        <v/>
      </c>
      <c r="L2476" s="13" t="str">
        <f>IF(AND(G2476&lt;&gt;1,G2475=1),MAX($L$50:L2475)+1,"")</f>
        <v/>
      </c>
      <c r="M2476" s="13" t="str">
        <f>IF(AND(G2476=-1,G2475&lt;&gt;-1),MAX($M$50:M2475)+1,"")</f>
        <v/>
      </c>
      <c r="N2476" s="13" t="str">
        <f>IF(AND(G2476&lt;&gt;-1,G2475=-1),MAX($N$50:N2475)+1,"")</f>
        <v/>
      </c>
      <c r="T2476" s="7">
        <f t="shared" si="340"/>
        <v>152.20177373484711</v>
      </c>
      <c r="U2476" s="1">
        <f t="shared" si="341"/>
        <v>322.41382027962186</v>
      </c>
    </row>
    <row r="2477" spans="1:21" x14ac:dyDescent="0.3">
      <c r="A2477" s="2">
        <v>43768</v>
      </c>
      <c r="B2477" s="1">
        <v>6156.93</v>
      </c>
      <c r="C2477" s="2">
        <f t="shared" si="333"/>
        <v>43768</v>
      </c>
      <c r="D2477" s="1">
        <f t="shared" si="334"/>
        <v>6156.93</v>
      </c>
      <c r="E2477" s="4">
        <f t="shared" si="335"/>
        <v>5984.5529999999981</v>
      </c>
      <c r="F2477" s="3">
        <f t="shared" si="336"/>
        <v>1.0288036550098232</v>
      </c>
      <c r="G2477" s="18">
        <f t="shared" si="337"/>
        <v>1</v>
      </c>
      <c r="H2477" s="3">
        <f t="shared" si="338"/>
        <v>3.3341644300388662E-3</v>
      </c>
      <c r="I2477" s="3">
        <f t="shared" si="339"/>
        <v>3.3341644300388662E-3</v>
      </c>
      <c r="K2477" s="12" t="str">
        <f>IF(AND(G2477=1,G2476&lt;&gt;1),MAX($K$50:K2476)+1,"")</f>
        <v/>
      </c>
      <c r="L2477" s="13" t="str">
        <f>IF(AND(G2477&lt;&gt;1,G2476=1),MAX($L$50:L2476)+1,"")</f>
        <v/>
      </c>
      <c r="M2477" s="13" t="str">
        <f>IF(AND(G2477=-1,G2476&lt;&gt;-1),MAX($M$50:M2476)+1,"")</f>
        <v/>
      </c>
      <c r="N2477" s="13" t="str">
        <f>IF(AND(G2477&lt;&gt;-1,G2476=-1),MAX($N$50:N2476)+1,"")</f>
        <v/>
      </c>
      <c r="T2477" s="7">
        <f t="shared" si="340"/>
        <v>152.70923947502266</v>
      </c>
      <c r="U2477" s="1">
        <f t="shared" si="341"/>
        <v>323.4888009709511</v>
      </c>
    </row>
    <row r="2478" spans="1:21" x14ac:dyDescent="0.3">
      <c r="A2478" s="2">
        <v>43769</v>
      </c>
      <c r="B2478" s="1">
        <v>6138.73</v>
      </c>
      <c r="C2478" s="2">
        <f t="shared" si="333"/>
        <v>43769</v>
      </c>
      <c r="D2478" s="1">
        <f t="shared" si="334"/>
        <v>6138.73</v>
      </c>
      <c r="E2478" s="4">
        <f t="shared" si="335"/>
        <v>5989.5037999999977</v>
      </c>
      <c r="F2478" s="3">
        <f t="shared" si="336"/>
        <v>1.0249146181358131</v>
      </c>
      <c r="G2478" s="18">
        <f t="shared" si="337"/>
        <v>1</v>
      </c>
      <c r="H2478" s="3">
        <f t="shared" si="338"/>
        <v>-2.9560186651464981E-3</v>
      </c>
      <c r="I2478" s="3">
        <f t="shared" si="339"/>
        <v>-2.9560186651464981E-3</v>
      </c>
      <c r="K2478" s="12" t="str">
        <f>IF(AND(G2478=1,G2477&lt;&gt;1),MAX($K$50:K2477)+1,"")</f>
        <v/>
      </c>
      <c r="L2478" s="13" t="str">
        <f>IF(AND(G2478&lt;&gt;1,G2477=1),MAX($L$50:L2477)+1,"")</f>
        <v/>
      </c>
      <c r="M2478" s="13" t="str">
        <f>IF(AND(G2478=-1,G2477&lt;&gt;-1),MAX($M$50:M2477)+1,"")</f>
        <v/>
      </c>
      <c r="N2478" s="13" t="str">
        <f>IF(AND(G2478&lt;&gt;-1,G2477=-1),MAX($N$50:N2477)+1,"")</f>
        <v/>
      </c>
      <c r="T2478" s="7">
        <f t="shared" si="340"/>
        <v>152.25782811279416</v>
      </c>
      <c r="U2478" s="1">
        <f t="shared" si="341"/>
        <v>322.53256203731507</v>
      </c>
    </row>
    <row r="2479" spans="1:21" x14ac:dyDescent="0.3">
      <c r="A2479" s="2">
        <v>43770</v>
      </c>
      <c r="B2479" s="1">
        <v>6198.59</v>
      </c>
      <c r="C2479" s="2">
        <f t="shared" si="333"/>
        <v>43770</v>
      </c>
      <c r="D2479" s="1">
        <f t="shared" si="334"/>
        <v>6198.59</v>
      </c>
      <c r="E2479" s="4">
        <f t="shared" si="335"/>
        <v>5995.7081999999982</v>
      </c>
      <c r="F2479" s="3">
        <f t="shared" si="336"/>
        <v>1.0338378375385249</v>
      </c>
      <c r="G2479" s="18">
        <f t="shared" si="337"/>
        <v>1</v>
      </c>
      <c r="H2479" s="3">
        <f t="shared" si="338"/>
        <v>9.7512026103119265E-3</v>
      </c>
      <c r="I2479" s="3">
        <f t="shared" si="339"/>
        <v>9.7512026103119265E-3</v>
      </c>
      <c r="K2479" s="12" t="str">
        <f>IF(AND(G2479=1,G2478&lt;&gt;1),MAX($K$50:K2478)+1,"")</f>
        <v/>
      </c>
      <c r="L2479" s="13" t="str">
        <f>IF(AND(G2479&lt;&gt;1,G2478=1),MAX($L$50:L2478)+1,"")</f>
        <v/>
      </c>
      <c r="M2479" s="13" t="str">
        <f>IF(AND(G2479=-1,G2478&lt;&gt;-1),MAX($M$50:M2478)+1,"")</f>
        <v/>
      </c>
      <c r="N2479" s="13" t="str">
        <f>IF(AND(G2479&lt;&gt;-1,G2478=-1),MAX($N$50:N2478)+1,"")</f>
        <v/>
      </c>
      <c r="T2479" s="7">
        <f t="shared" si="340"/>
        <v>153.74252504372805</v>
      </c>
      <c r="U2479" s="1">
        <f t="shared" si="341"/>
        <v>325.67764239816393</v>
      </c>
    </row>
    <row r="2480" spans="1:21" x14ac:dyDescent="0.3">
      <c r="A2480" s="2">
        <v>43773</v>
      </c>
      <c r="B2480" s="1">
        <v>6221.63</v>
      </c>
      <c r="C2480" s="2">
        <f t="shared" si="333"/>
        <v>43773</v>
      </c>
      <c r="D2480" s="1">
        <f t="shared" si="334"/>
        <v>6221.63</v>
      </c>
      <c r="E2480" s="4">
        <f t="shared" si="335"/>
        <v>6005.4281999999994</v>
      </c>
      <c r="F2480" s="3">
        <f t="shared" si="336"/>
        <v>1.0360010631714822</v>
      </c>
      <c r="G2480" s="18">
        <f t="shared" si="337"/>
        <v>1</v>
      </c>
      <c r="H2480" s="3">
        <f t="shared" si="338"/>
        <v>3.7169743441654024E-3</v>
      </c>
      <c r="I2480" s="3">
        <f t="shared" si="339"/>
        <v>3.7169743441654024E-3</v>
      </c>
      <c r="K2480" s="12" t="str">
        <f>IF(AND(G2480=1,G2479&lt;&gt;1),MAX($K$50:K2479)+1,"")</f>
        <v/>
      </c>
      <c r="L2480" s="13" t="str">
        <f>IF(AND(G2480&lt;&gt;1,G2479=1),MAX($L$50:L2479)+1,"")</f>
        <v/>
      </c>
      <c r="M2480" s="13" t="str">
        <f>IF(AND(G2480=-1,G2479&lt;&gt;-1),MAX($M$50:M2479)+1,"")</f>
        <v/>
      </c>
      <c r="N2480" s="13" t="str">
        <f>IF(AND(G2480&lt;&gt;-1,G2479=-1),MAX($N$50:N2479)+1,"")</f>
        <v/>
      </c>
      <c r="T2480" s="7">
        <f t="shared" si="340"/>
        <v>154.31398206492278</v>
      </c>
      <c r="U2480" s="1">
        <f t="shared" si="341"/>
        <v>326.88817783942619</v>
      </c>
    </row>
    <row r="2481" spans="1:21" x14ac:dyDescent="0.3">
      <c r="A2481" s="2">
        <v>43774</v>
      </c>
      <c r="B2481" s="1">
        <v>6214.28</v>
      </c>
      <c r="C2481" s="2">
        <f t="shared" si="333"/>
        <v>43774</v>
      </c>
      <c r="D2481" s="1">
        <f t="shared" si="334"/>
        <v>6214.28</v>
      </c>
      <c r="E2481" s="4">
        <f t="shared" si="335"/>
        <v>6013.7270000000008</v>
      </c>
      <c r="F2481" s="3">
        <f t="shared" si="336"/>
        <v>1.0333492025826911</v>
      </c>
      <c r="G2481" s="18">
        <f t="shared" si="337"/>
        <v>1</v>
      </c>
      <c r="H2481" s="3">
        <f t="shared" si="338"/>
        <v>-1.1813624403894663E-3</v>
      </c>
      <c r="I2481" s="3">
        <f t="shared" si="339"/>
        <v>-1.1813624403894663E-3</v>
      </c>
      <c r="K2481" s="12" t="str">
        <f>IF(AND(G2481=1,G2480&lt;&gt;1),MAX($K$50:K2480)+1,"")</f>
        <v/>
      </c>
      <c r="L2481" s="13" t="str">
        <f>IF(AND(G2481&lt;&gt;1,G2480=1),MAX($L$50:L2480)+1,"")</f>
        <v/>
      </c>
      <c r="M2481" s="13" t="str">
        <f>IF(AND(G2481=-1,G2480&lt;&gt;-1),MAX($M$50:M2480)+1,"")</f>
        <v/>
      </c>
      <c r="N2481" s="13" t="str">
        <f>IF(AND(G2481&lt;&gt;-1,G2480=-1),MAX($N$50:N2480)+1,"")</f>
        <v/>
      </c>
      <c r="T2481" s="7">
        <f t="shared" si="340"/>
        <v>154.13168132248435</v>
      </c>
      <c r="U2481" s="1">
        <f t="shared" si="341"/>
        <v>326.50200442391935</v>
      </c>
    </row>
    <row r="2482" spans="1:21" x14ac:dyDescent="0.3">
      <c r="A2482" s="2">
        <v>43775</v>
      </c>
      <c r="B2482" s="1">
        <v>6219.1</v>
      </c>
      <c r="C2482" s="2">
        <f t="shared" si="333"/>
        <v>43775</v>
      </c>
      <c r="D2482" s="1">
        <f t="shared" si="334"/>
        <v>6219.1</v>
      </c>
      <c r="E2482" s="4">
        <f t="shared" si="335"/>
        <v>6022.4932000000008</v>
      </c>
      <c r="F2482" s="3">
        <f t="shared" si="336"/>
        <v>1.0326454166855679</v>
      </c>
      <c r="G2482" s="18">
        <f t="shared" si="337"/>
        <v>1</v>
      </c>
      <c r="H2482" s="3">
        <f t="shared" si="338"/>
        <v>7.7563289713378225E-4</v>
      </c>
      <c r="I2482" s="3">
        <f t="shared" si="339"/>
        <v>7.7563289713378225E-4</v>
      </c>
      <c r="K2482" s="12" t="str">
        <f>IF(AND(G2482=1,G2481&lt;&gt;1),MAX($K$50:K2481)+1,"")</f>
        <v/>
      </c>
      <c r="L2482" s="13" t="str">
        <f>IF(AND(G2482&lt;&gt;1,G2481=1),MAX($L$50:L2481)+1,"")</f>
        <v/>
      </c>
      <c r="M2482" s="13" t="str">
        <f>IF(AND(G2482=-1,G2481&lt;&gt;-1),MAX($M$50:M2481)+1,"")</f>
        <v/>
      </c>
      <c r="N2482" s="13" t="str">
        <f>IF(AND(G2482&lt;&gt;-1,G2481=-1),MAX($N$50:N2481)+1,"")</f>
        <v/>
      </c>
      <c r="T2482" s="7">
        <f t="shared" si="340"/>
        <v>154.25123092500863</v>
      </c>
      <c r="U2482" s="1">
        <f t="shared" si="341"/>
        <v>326.75525011953067</v>
      </c>
    </row>
    <row r="2483" spans="1:21" x14ac:dyDescent="0.3">
      <c r="A2483" s="2">
        <v>43776</v>
      </c>
      <c r="B2483" s="1">
        <v>6238.99</v>
      </c>
      <c r="C2483" s="2">
        <f t="shared" si="333"/>
        <v>43776</v>
      </c>
      <c r="D2483" s="1">
        <f t="shared" si="334"/>
        <v>6238.99</v>
      </c>
      <c r="E2483" s="4">
        <f t="shared" si="335"/>
        <v>6030.896200000001</v>
      </c>
      <c r="F2483" s="3">
        <f t="shared" si="336"/>
        <v>1.0345046230442498</v>
      </c>
      <c r="G2483" s="18">
        <f t="shared" si="337"/>
        <v>1</v>
      </c>
      <c r="H2483" s="3">
        <f t="shared" si="338"/>
        <v>3.1982119599298642E-3</v>
      </c>
      <c r="I2483" s="3">
        <f t="shared" si="339"/>
        <v>3.1982119599298642E-3</v>
      </c>
      <c r="K2483" s="12" t="str">
        <f>IF(AND(G2483=1,G2482&lt;&gt;1),MAX($K$50:K2482)+1,"")</f>
        <v/>
      </c>
      <c r="L2483" s="13" t="str">
        <f>IF(AND(G2483&lt;&gt;1,G2482=1),MAX($L$50:L2482)+1,"")</f>
        <v/>
      </c>
      <c r="M2483" s="13" t="str">
        <f>IF(AND(G2483=-1,G2482&lt;&gt;-1),MAX($M$50:M2482)+1,"")</f>
        <v/>
      </c>
      <c r="N2483" s="13" t="str">
        <f>IF(AND(G2483&lt;&gt;-1,G2482=-1),MAX($N$50:N2482)+1,"")</f>
        <v/>
      </c>
      <c r="T2483" s="7">
        <f t="shared" si="340"/>
        <v>154.74455905658689</v>
      </c>
      <c r="U2483" s="1">
        <f t="shared" si="341"/>
        <v>327.80028266843283</v>
      </c>
    </row>
    <row r="2484" spans="1:21" x14ac:dyDescent="0.3">
      <c r="A2484" s="2">
        <v>43777</v>
      </c>
      <c r="B2484" s="1">
        <v>6256.11</v>
      </c>
      <c r="C2484" s="2">
        <f t="shared" ref="C2484:C2519" si="342">A2484</f>
        <v>43777</v>
      </c>
      <c r="D2484" s="1">
        <f t="shared" ref="D2484:D2519" si="343">B2484</f>
        <v>6256.11</v>
      </c>
      <c r="E2484" s="4">
        <f t="shared" ref="E2484:E2519" si="344">AVERAGE(B2435:B2484)</f>
        <v>6038.1454000000012</v>
      </c>
      <c r="F2484" s="3">
        <f t="shared" ref="F2484:F2519" si="345">D2484/E2484</f>
        <v>1.0360979382841622</v>
      </c>
      <c r="G2484" s="18">
        <f t="shared" ref="G2484:G2519" si="346">IF(F2484&gt;=$Q$51,1,IF(F2484&lt;=$Q$52,-1,0))</f>
        <v>1</v>
      </c>
      <c r="H2484" s="3">
        <f t="shared" si="338"/>
        <v>2.7440338901008055E-3</v>
      </c>
      <c r="I2484" s="3">
        <f t="shared" si="339"/>
        <v>2.7440338901008055E-3</v>
      </c>
      <c r="K2484" s="12" t="str">
        <f>IF(AND(G2484=1,G2483&lt;&gt;1),MAX($K$50:K2483)+1,"")</f>
        <v/>
      </c>
      <c r="L2484" s="13" t="str">
        <f>IF(AND(G2484&lt;&gt;1,G2483=1),MAX($L$50:L2483)+1,"")</f>
        <v/>
      </c>
      <c r="M2484" s="13" t="str">
        <f>IF(AND(G2484=-1,G2483&lt;&gt;-1),MAX($M$50:M2483)+1,"")</f>
        <v/>
      </c>
      <c r="N2484" s="13" t="str">
        <f>IF(AND(G2484&lt;&gt;-1,G2483=-1),MAX($N$50:N2483)+1,"")</f>
        <v/>
      </c>
      <c r="T2484" s="7">
        <f t="shared" si="340"/>
        <v>155.16918337094688</v>
      </c>
      <c r="U2484" s="1">
        <f t="shared" si="341"/>
        <v>328.69977775325964</v>
      </c>
    </row>
    <row r="2485" spans="1:21" x14ac:dyDescent="0.3">
      <c r="A2485" s="2">
        <v>43780</v>
      </c>
      <c r="B2485" s="1">
        <v>6243.81</v>
      </c>
      <c r="C2485" s="2">
        <f t="shared" si="342"/>
        <v>43780</v>
      </c>
      <c r="D2485" s="1">
        <f t="shared" si="343"/>
        <v>6243.81</v>
      </c>
      <c r="E2485" s="4">
        <f t="shared" si="344"/>
        <v>6045.0570000000007</v>
      </c>
      <c r="F2485" s="3">
        <f t="shared" si="345"/>
        <v>1.0328785981670643</v>
      </c>
      <c r="G2485" s="18">
        <f t="shared" si="346"/>
        <v>1</v>
      </c>
      <c r="H2485" s="3">
        <f t="shared" ref="H2485:H2519" si="347">D2485/D2484-1</f>
        <v>-1.9660779621840652E-3</v>
      </c>
      <c r="I2485" s="3">
        <f t="shared" ref="I2485:I2519" si="348">G2484*H2485</f>
        <v>-1.9660779621840652E-3</v>
      </c>
      <c r="K2485" s="12" t="str">
        <f>IF(AND(G2485=1,G2484&lt;&gt;1),MAX($K$50:K2484)+1,"")</f>
        <v/>
      </c>
      <c r="L2485" s="13" t="str">
        <f>IF(AND(G2485&lt;&gt;1,G2484=1),MAX($L$50:L2484)+1,"")</f>
        <v/>
      </c>
      <c r="M2485" s="13" t="str">
        <f>IF(AND(G2485=-1,G2484&lt;&gt;-1),MAX($M$50:M2484)+1,"")</f>
        <v/>
      </c>
      <c r="N2485" s="13" t="str">
        <f>IF(AND(G2485&lt;&gt;-1,G2484=-1),MAX($N$50:N2484)+1,"")</f>
        <v/>
      </c>
      <c r="T2485" s="7">
        <f t="shared" ref="T2485:T2519" si="349">T2484*(1+I2485)</f>
        <v>154.86410865911117</v>
      </c>
      <c r="U2485" s="1">
        <f t="shared" ref="U2485:U2519" si="350">U2484*D2485/D2484</f>
        <v>328.05352836404415</v>
      </c>
    </row>
    <row r="2486" spans="1:21" x14ac:dyDescent="0.3">
      <c r="A2486" s="2">
        <v>43781</v>
      </c>
      <c r="B2486" s="1">
        <v>6253.91</v>
      </c>
      <c r="C2486" s="2">
        <f t="shared" si="342"/>
        <v>43781</v>
      </c>
      <c r="D2486" s="1">
        <f t="shared" si="343"/>
        <v>6253.91</v>
      </c>
      <c r="E2486" s="4">
        <f t="shared" si="344"/>
        <v>6052.9762000000001</v>
      </c>
      <c r="F2486" s="3">
        <f t="shared" si="345"/>
        <v>1.0331958681747335</v>
      </c>
      <c r="G2486" s="18">
        <f t="shared" si="346"/>
        <v>1</v>
      </c>
      <c r="H2486" s="3">
        <f t="shared" si="347"/>
        <v>1.6176020730931384E-3</v>
      </c>
      <c r="I2486" s="3">
        <f t="shared" si="348"/>
        <v>1.6176020730931384E-3</v>
      </c>
      <c r="K2486" s="12" t="str">
        <f>IF(AND(G2486=1,G2485&lt;&gt;1),MAX($K$50:K2485)+1,"")</f>
        <v/>
      </c>
      <c r="L2486" s="13" t="str">
        <f>IF(AND(G2486&lt;&gt;1,G2485=1),MAX($L$50:L2485)+1,"")</f>
        <v/>
      </c>
      <c r="M2486" s="13" t="str">
        <f>IF(AND(G2486=-1,G2485&lt;&gt;-1),MAX($M$50:M2485)+1,"")</f>
        <v/>
      </c>
      <c r="N2486" s="13" t="str">
        <f>IF(AND(G2486&lt;&gt;-1,G2485=-1),MAX($N$50:N2485)+1,"")</f>
        <v/>
      </c>
      <c r="T2486" s="7">
        <f t="shared" si="349"/>
        <v>155.11461716232586</v>
      </c>
      <c r="U2486" s="1">
        <f t="shared" si="350"/>
        <v>328.58418843161132</v>
      </c>
    </row>
    <row r="2487" spans="1:21" x14ac:dyDescent="0.3">
      <c r="A2487" s="2">
        <v>43782</v>
      </c>
      <c r="B2487" s="1">
        <v>6258.58</v>
      </c>
      <c r="C2487" s="2">
        <f t="shared" si="342"/>
        <v>43782</v>
      </c>
      <c r="D2487" s="1">
        <f t="shared" si="343"/>
        <v>6258.58</v>
      </c>
      <c r="E2487" s="4">
        <f t="shared" si="344"/>
        <v>6059.7086000000008</v>
      </c>
      <c r="F2487" s="3">
        <f t="shared" si="345"/>
        <v>1.0328186408171507</v>
      </c>
      <c r="G2487" s="18">
        <f t="shared" si="346"/>
        <v>1</v>
      </c>
      <c r="H2487" s="3">
        <f t="shared" si="347"/>
        <v>7.4673284393278472E-4</v>
      </c>
      <c r="I2487" s="3">
        <f t="shared" si="348"/>
        <v>7.4673284393278472E-4</v>
      </c>
      <c r="K2487" s="12" t="str">
        <f>IF(AND(G2487=1,G2486&lt;&gt;1),MAX($K$50:K2486)+1,"")</f>
        <v/>
      </c>
      <c r="L2487" s="13" t="str">
        <f>IF(AND(G2487&lt;&gt;1,G2486=1),MAX($L$50:L2486)+1,"")</f>
        <v/>
      </c>
      <c r="M2487" s="13" t="str">
        <f>IF(AND(G2487=-1,G2486&lt;&gt;-1),MAX($M$50:M2486)+1,"")</f>
        <v/>
      </c>
      <c r="N2487" s="13" t="str">
        <f>IF(AND(G2487&lt;&gt;-1,G2486=-1),MAX($N$50:N2486)+1,"")</f>
        <v/>
      </c>
      <c r="T2487" s="7">
        <f t="shared" si="349"/>
        <v>155.23044634153501</v>
      </c>
      <c r="U2487" s="1">
        <f t="shared" si="350"/>
        <v>328.82955303711026</v>
      </c>
    </row>
    <row r="2488" spans="1:21" x14ac:dyDescent="0.3">
      <c r="A2488" s="2">
        <v>43783</v>
      </c>
      <c r="B2488" s="1">
        <v>6265.42</v>
      </c>
      <c r="C2488" s="2">
        <f t="shared" si="342"/>
        <v>43783</v>
      </c>
      <c r="D2488" s="1">
        <f t="shared" si="343"/>
        <v>6265.42</v>
      </c>
      <c r="E2488" s="4">
        <f t="shared" si="344"/>
        <v>6065.0094000000008</v>
      </c>
      <c r="F2488" s="3">
        <f t="shared" si="345"/>
        <v>1.0330437410369058</v>
      </c>
      <c r="G2488" s="18">
        <f t="shared" si="346"/>
        <v>1</v>
      </c>
      <c r="H2488" s="3">
        <f t="shared" si="347"/>
        <v>1.0928996673367219E-3</v>
      </c>
      <c r="I2488" s="3">
        <f t="shared" si="348"/>
        <v>1.0928996673367219E-3</v>
      </c>
      <c r="K2488" s="12" t="str">
        <f>IF(AND(G2488=1,G2487&lt;&gt;1),MAX($K$50:K2487)+1,"")</f>
        <v/>
      </c>
      <c r="L2488" s="13" t="str">
        <f>IF(AND(G2488&lt;&gt;1,G2487=1),MAX($L$50:L2487)+1,"")</f>
        <v/>
      </c>
      <c r="M2488" s="13" t="str">
        <f>IF(AND(G2488=-1,G2487&lt;&gt;-1),MAX($M$50:M2487)+1,"")</f>
        <v/>
      </c>
      <c r="N2488" s="13" t="str">
        <f>IF(AND(G2488&lt;&gt;-1,G2487=-1),MAX($N$50:N2487)+1,"")</f>
        <v/>
      </c>
      <c r="T2488" s="7">
        <f t="shared" si="349"/>
        <v>155.40009764470221</v>
      </c>
      <c r="U2488" s="1">
        <f t="shared" si="350"/>
        <v>329.18893074623497</v>
      </c>
    </row>
    <row r="2489" spans="1:21" x14ac:dyDescent="0.3">
      <c r="A2489" s="2">
        <v>43784</v>
      </c>
      <c r="B2489" s="1">
        <v>6314.74</v>
      </c>
      <c r="C2489" s="2">
        <f t="shared" si="342"/>
        <v>43784</v>
      </c>
      <c r="D2489" s="1">
        <f t="shared" si="343"/>
        <v>6314.74</v>
      </c>
      <c r="E2489" s="4">
        <f t="shared" si="344"/>
        <v>6071.1828000000005</v>
      </c>
      <c r="F2489" s="3">
        <f t="shared" si="345"/>
        <v>1.0401169274626354</v>
      </c>
      <c r="G2489" s="18">
        <f t="shared" si="346"/>
        <v>1</v>
      </c>
      <c r="H2489" s="3">
        <f t="shared" si="347"/>
        <v>7.8717787474742451E-3</v>
      </c>
      <c r="I2489" s="3">
        <f t="shared" si="348"/>
        <v>7.8717787474742451E-3</v>
      </c>
      <c r="K2489" s="12" t="str">
        <f>IF(AND(G2489=1,G2488&lt;&gt;1),MAX($K$50:K2488)+1,"")</f>
        <v/>
      </c>
      <c r="L2489" s="13" t="str">
        <f>IF(AND(G2489&lt;&gt;1,G2488=1),MAX($L$50:L2488)+1,"")</f>
        <v/>
      </c>
      <c r="M2489" s="13" t="str">
        <f>IF(AND(G2489=-1,G2488&lt;&gt;-1),MAX($M$50:M2488)+1,"")</f>
        <v/>
      </c>
      <c r="N2489" s="13" t="str">
        <f>IF(AND(G2489&lt;&gt;-1,G2488=-1),MAX($N$50:N2488)+1,"")</f>
        <v/>
      </c>
      <c r="T2489" s="7">
        <f t="shared" si="349"/>
        <v>156.62337283069721</v>
      </c>
      <c r="U2489" s="1">
        <f t="shared" si="350"/>
        <v>331.78023317518694</v>
      </c>
    </row>
    <row r="2490" spans="1:21" x14ac:dyDescent="0.3">
      <c r="A2490" s="2">
        <v>43787</v>
      </c>
      <c r="B2490" s="1">
        <v>6318.02</v>
      </c>
      <c r="C2490" s="2">
        <f t="shared" si="342"/>
        <v>43787</v>
      </c>
      <c r="D2490" s="1">
        <f t="shared" si="343"/>
        <v>6318.02</v>
      </c>
      <c r="E2490" s="4">
        <f t="shared" si="344"/>
        <v>6077.4234000000006</v>
      </c>
      <c r="F2490" s="3">
        <f t="shared" si="345"/>
        <v>1.0395885861761747</v>
      </c>
      <c r="G2490" s="18">
        <f t="shared" si="346"/>
        <v>1</v>
      </c>
      <c r="H2490" s="3">
        <f t="shared" si="347"/>
        <v>5.1941964356427839E-4</v>
      </c>
      <c r="I2490" s="3">
        <f t="shared" si="348"/>
        <v>5.1941964356427839E-4</v>
      </c>
      <c r="K2490" s="12" t="str">
        <f>IF(AND(G2490=1,G2489&lt;&gt;1),MAX($K$50:K2489)+1,"")</f>
        <v/>
      </c>
      <c r="L2490" s="13" t="str">
        <f>IF(AND(G2490&lt;&gt;1,G2489=1),MAX($L$50:L2489)+1,"")</f>
        <v/>
      </c>
      <c r="M2490" s="13" t="str">
        <f>IF(AND(G2490=-1,G2489&lt;&gt;-1),MAX($M$50:M2489)+1,"")</f>
        <v/>
      </c>
      <c r="N2490" s="13" t="str">
        <f>IF(AND(G2490&lt;&gt;-1,G2489=-1),MAX($N$50:N2489)+1,"")</f>
        <v/>
      </c>
      <c r="T2490" s="7">
        <f t="shared" si="349"/>
        <v>156.70472608718677</v>
      </c>
      <c r="U2490" s="1">
        <f t="shared" si="350"/>
        <v>331.95256634564441</v>
      </c>
    </row>
    <row r="2491" spans="1:21" x14ac:dyDescent="0.3">
      <c r="A2491" s="2">
        <v>43788</v>
      </c>
      <c r="B2491" s="1">
        <v>6314.66</v>
      </c>
      <c r="C2491" s="2">
        <f t="shared" si="342"/>
        <v>43788</v>
      </c>
      <c r="D2491" s="1">
        <f t="shared" si="343"/>
        <v>6314.66</v>
      </c>
      <c r="E2491" s="4">
        <f t="shared" si="344"/>
        <v>6083.5542000000005</v>
      </c>
      <c r="F2491" s="3">
        <f t="shared" si="345"/>
        <v>1.0379886152736175</v>
      </c>
      <c r="G2491" s="18">
        <f t="shared" si="346"/>
        <v>1</v>
      </c>
      <c r="H2491" s="3">
        <f t="shared" si="347"/>
        <v>-5.3181218166464816E-4</v>
      </c>
      <c r="I2491" s="3">
        <f t="shared" si="348"/>
        <v>-5.3181218166464816E-4</v>
      </c>
      <c r="K2491" s="12" t="str">
        <f>IF(AND(G2491=1,G2490&lt;&gt;1),MAX($K$50:K2490)+1,"")</f>
        <v/>
      </c>
      <c r="L2491" s="13" t="str">
        <f>IF(AND(G2491&lt;&gt;1,G2490=1),MAX($L$50:L2490)+1,"")</f>
        <v/>
      </c>
      <c r="M2491" s="13" t="str">
        <f>IF(AND(G2491=-1,G2490&lt;&gt;-1),MAX($M$50:M2490)+1,"")</f>
        <v/>
      </c>
      <c r="N2491" s="13" t="str">
        <f>IF(AND(G2491&lt;&gt;-1,G2490=-1),MAX($N$50:N2490)+1,"")</f>
        <v/>
      </c>
      <c r="T2491" s="7">
        <f t="shared" si="349"/>
        <v>156.62138860492919</v>
      </c>
      <c r="U2491" s="1">
        <f t="shared" si="350"/>
        <v>331.77602992712696</v>
      </c>
    </row>
    <row r="2492" spans="1:21" x14ac:dyDescent="0.3">
      <c r="A2492" s="2">
        <v>43789</v>
      </c>
      <c r="B2492" s="1">
        <v>6292.17</v>
      </c>
      <c r="C2492" s="2">
        <f t="shared" si="342"/>
        <v>43789</v>
      </c>
      <c r="D2492" s="1">
        <f t="shared" si="343"/>
        <v>6292.17</v>
      </c>
      <c r="E2492" s="4">
        <f t="shared" si="344"/>
        <v>6088.3602000000001</v>
      </c>
      <c r="F2492" s="3">
        <f t="shared" si="345"/>
        <v>1.033475319019397</v>
      </c>
      <c r="G2492" s="18">
        <f t="shared" si="346"/>
        <v>1</v>
      </c>
      <c r="H2492" s="3">
        <f t="shared" si="347"/>
        <v>-3.5615535911671659E-3</v>
      </c>
      <c r="I2492" s="3">
        <f t="shared" si="348"/>
        <v>-3.5615535911671659E-3</v>
      </c>
      <c r="K2492" s="12" t="str">
        <f>IF(AND(G2492=1,G2491&lt;&gt;1),MAX($K$50:K2491)+1,"")</f>
        <v/>
      </c>
      <c r="L2492" s="13" t="str">
        <f>IF(AND(G2492&lt;&gt;1,G2491=1),MAX($L$50:L2491)+1,"")</f>
        <v/>
      </c>
      <c r="M2492" s="13" t="str">
        <f>IF(AND(G2492=-1,G2491&lt;&gt;-1),MAX($M$50:M2491)+1,"")</f>
        <v/>
      </c>
      <c r="N2492" s="13" t="str">
        <f>IF(AND(G2492&lt;&gt;-1,G2491=-1),MAX($N$50:N2491)+1,"")</f>
        <v/>
      </c>
      <c r="T2492" s="7">
        <f t="shared" si="349"/>
        <v>156.06357313588973</v>
      </c>
      <c r="U2492" s="1">
        <f t="shared" si="350"/>
        <v>330.59439181627681</v>
      </c>
    </row>
    <row r="2493" spans="1:21" x14ac:dyDescent="0.3">
      <c r="A2493" s="2">
        <v>43790</v>
      </c>
      <c r="B2493" s="1">
        <v>6282.59</v>
      </c>
      <c r="C2493" s="2">
        <f t="shared" si="342"/>
        <v>43790</v>
      </c>
      <c r="D2493" s="1">
        <f t="shared" si="343"/>
        <v>6282.59</v>
      </c>
      <c r="E2493" s="4">
        <f t="shared" si="344"/>
        <v>6092.6073999999999</v>
      </c>
      <c r="F2493" s="3">
        <f t="shared" si="345"/>
        <v>1.0311824786215504</v>
      </c>
      <c r="G2493" s="18">
        <f t="shared" si="346"/>
        <v>1</v>
      </c>
      <c r="H2493" s="3">
        <f t="shared" si="347"/>
        <v>-1.5225272044461224E-3</v>
      </c>
      <c r="I2493" s="3">
        <f t="shared" si="348"/>
        <v>-1.5225272044461224E-3</v>
      </c>
      <c r="K2493" s="12" t="str">
        <f>IF(AND(G2493=1,G2492&lt;&gt;1),MAX($K$50:K2492)+1,"")</f>
        <v/>
      </c>
      <c r="L2493" s="13" t="str">
        <f>IF(AND(G2493&lt;&gt;1,G2492=1),MAX($L$50:L2492)+1,"")</f>
        <v/>
      </c>
      <c r="M2493" s="13" t="str">
        <f>IF(AND(G2493=-1,G2492&lt;&gt;-1),MAX($M$50:M2492)+1,"")</f>
        <v/>
      </c>
      <c r="N2493" s="13" t="str">
        <f>IF(AND(G2493&lt;&gt;-1,G2492=-1),MAX($N$50:N2492)+1,"")</f>
        <v/>
      </c>
      <c r="T2493" s="7">
        <f t="shared" si="349"/>
        <v>155.82596210016726</v>
      </c>
      <c r="U2493" s="1">
        <f t="shared" si="350"/>
        <v>330.09105286109917</v>
      </c>
    </row>
    <row r="2494" spans="1:21" x14ac:dyDescent="0.3">
      <c r="A2494" s="2">
        <v>43791</v>
      </c>
      <c r="B2494" s="1">
        <v>6296.34</v>
      </c>
      <c r="C2494" s="2">
        <f t="shared" si="342"/>
        <v>43791</v>
      </c>
      <c r="D2494" s="1">
        <f t="shared" si="343"/>
        <v>6296.34</v>
      </c>
      <c r="E2494" s="4">
        <f t="shared" si="344"/>
        <v>6097.1842000000006</v>
      </c>
      <c r="F2494" s="3">
        <f t="shared" si="345"/>
        <v>1.032663569521157</v>
      </c>
      <c r="G2494" s="18">
        <f t="shared" si="346"/>
        <v>1</v>
      </c>
      <c r="H2494" s="3">
        <f t="shared" si="347"/>
        <v>2.1885878276315385E-3</v>
      </c>
      <c r="I2494" s="3">
        <f t="shared" si="348"/>
        <v>2.1885878276315385E-3</v>
      </c>
      <c r="K2494" s="12" t="str">
        <f>IF(AND(G2494=1,G2493&lt;&gt;1),MAX($K$50:K2493)+1,"")</f>
        <v/>
      </c>
      <c r="L2494" s="13" t="str">
        <f>IF(AND(G2494&lt;&gt;1,G2493=1),MAX($L$50:L2493)+1,"")</f>
        <v/>
      </c>
      <c r="M2494" s="13" t="str">
        <f>IF(AND(G2494=-1,G2493&lt;&gt;-1),MAX($M$50:M2493)+1,"")</f>
        <v/>
      </c>
      <c r="N2494" s="13" t="str">
        <f>IF(AND(G2494&lt;&gt;-1,G2493=-1),MAX($N$50:N2493)+1,"")</f>
        <v/>
      </c>
      <c r="T2494" s="7">
        <f t="shared" si="349"/>
        <v>156.16700090404865</v>
      </c>
      <c r="U2494" s="1">
        <f t="shared" si="350"/>
        <v>330.81348612140107</v>
      </c>
    </row>
    <row r="2495" spans="1:21" x14ac:dyDescent="0.3">
      <c r="A2495" s="2">
        <v>43794</v>
      </c>
      <c r="B2495" s="1">
        <v>6344.36</v>
      </c>
      <c r="C2495" s="2">
        <f t="shared" si="342"/>
        <v>43794</v>
      </c>
      <c r="D2495" s="1">
        <f t="shared" si="343"/>
        <v>6344.36</v>
      </c>
      <c r="E2495" s="4">
        <f t="shared" si="344"/>
        <v>6103.0980000000009</v>
      </c>
      <c r="F2495" s="3">
        <f t="shared" si="345"/>
        <v>1.0395310709413479</v>
      </c>
      <c r="G2495" s="18">
        <f t="shared" si="346"/>
        <v>1</v>
      </c>
      <c r="H2495" s="3">
        <f t="shared" si="347"/>
        <v>7.626652944408896E-3</v>
      </c>
      <c r="I2495" s="3">
        <f t="shared" si="348"/>
        <v>7.626652944408896E-3</v>
      </c>
      <c r="K2495" s="12" t="str">
        <f>IF(AND(G2495=1,G2494&lt;&gt;1),MAX($K$50:K2494)+1,"")</f>
        <v/>
      </c>
      <c r="L2495" s="13" t="str">
        <f>IF(AND(G2495&lt;&gt;1,G2494=1),MAX($L$50:L2494)+1,"")</f>
        <v/>
      </c>
      <c r="M2495" s="13" t="str">
        <f>IF(AND(G2495=-1,G2494&lt;&gt;-1),MAX($M$50:M2494)+1,"")</f>
        <v/>
      </c>
      <c r="N2495" s="13" t="str">
        <f>IF(AND(G2495&lt;&gt;-1,G2494=-1),MAX($N$50:N2494)+1,"")</f>
        <v/>
      </c>
      <c r="T2495" s="7">
        <f t="shared" si="349"/>
        <v>157.35803242131303</v>
      </c>
      <c r="U2495" s="1">
        <f t="shared" si="350"/>
        <v>333.33648576937901</v>
      </c>
    </row>
    <row r="2496" spans="1:21" x14ac:dyDescent="0.3">
      <c r="A2496" s="2">
        <v>43795</v>
      </c>
      <c r="B2496" s="1">
        <v>6358.46</v>
      </c>
      <c r="C2496" s="2">
        <f t="shared" si="342"/>
        <v>43795</v>
      </c>
      <c r="D2496" s="1">
        <f t="shared" si="343"/>
        <v>6358.46</v>
      </c>
      <c r="E2496" s="4">
        <f t="shared" si="344"/>
        <v>6108.9810000000007</v>
      </c>
      <c r="F2496" s="3">
        <f t="shared" si="345"/>
        <v>1.0408380710301766</v>
      </c>
      <c r="G2496" s="18">
        <f t="shared" si="346"/>
        <v>1</v>
      </c>
      <c r="H2496" s="3">
        <f t="shared" si="347"/>
        <v>2.2224463933320227E-3</v>
      </c>
      <c r="I2496" s="3">
        <f t="shared" si="348"/>
        <v>2.2224463933320227E-3</v>
      </c>
      <c r="K2496" s="12" t="str">
        <f>IF(AND(G2496=1,G2495&lt;&gt;1),MAX($K$50:K2495)+1,"")</f>
        <v/>
      </c>
      <c r="L2496" s="13" t="str">
        <f>IF(AND(G2496&lt;&gt;1,G2495=1),MAX($L$50:L2495)+1,"")</f>
        <v/>
      </c>
      <c r="M2496" s="13" t="str">
        <f>IF(AND(G2496=-1,G2495&lt;&gt;-1),MAX($M$50:M2495)+1,"")</f>
        <v/>
      </c>
      <c r="N2496" s="13" t="str">
        <f>IF(AND(G2496&lt;&gt;-1,G2495=-1),MAX($N$50:N2495)+1,"")</f>
        <v/>
      </c>
      <c r="T2496" s="7">
        <f t="shared" si="349"/>
        <v>157.70775221292959</v>
      </c>
      <c r="U2496" s="1">
        <f t="shared" si="350"/>
        <v>334.07730823994314</v>
      </c>
    </row>
    <row r="2497" spans="1:21" x14ac:dyDescent="0.3">
      <c r="A2497" s="2">
        <v>43796</v>
      </c>
      <c r="B2497" s="1">
        <v>6385.76</v>
      </c>
      <c r="C2497" s="2">
        <f t="shared" si="342"/>
        <v>43796</v>
      </c>
      <c r="D2497" s="1">
        <f t="shared" si="343"/>
        <v>6385.76</v>
      </c>
      <c r="E2497" s="4">
        <f t="shared" si="344"/>
        <v>6115.3678</v>
      </c>
      <c r="F2497" s="3">
        <f t="shared" si="345"/>
        <v>1.044215198307451</v>
      </c>
      <c r="G2497" s="18">
        <f t="shared" si="346"/>
        <v>1</v>
      </c>
      <c r="H2497" s="3">
        <f t="shared" si="347"/>
        <v>4.293492449429559E-3</v>
      </c>
      <c r="I2497" s="3">
        <f t="shared" si="348"/>
        <v>4.293492449429559E-3</v>
      </c>
      <c r="K2497" s="12" t="str">
        <f>IF(AND(G2497=1,G2496&lt;&gt;1),MAX($K$50:K2496)+1,"")</f>
        <v/>
      </c>
      <c r="L2497" s="13" t="str">
        <f>IF(AND(G2497&lt;&gt;1,G2496=1),MAX($L$50:L2496)+1,"")</f>
        <v/>
      </c>
      <c r="M2497" s="13" t="str">
        <f>IF(AND(G2497=-1,G2496&lt;&gt;-1),MAX($M$50:M2496)+1,"")</f>
        <v/>
      </c>
      <c r="N2497" s="13" t="str">
        <f>IF(AND(G2497&lt;&gt;-1,G2496=-1),MAX($N$50:N2496)+1,"")</f>
        <v/>
      </c>
      <c r="T2497" s="7">
        <f t="shared" si="349"/>
        <v>158.38486925627231</v>
      </c>
      <c r="U2497" s="1">
        <f t="shared" si="350"/>
        <v>335.5116666403971</v>
      </c>
    </row>
    <row r="2498" spans="1:21" x14ac:dyDescent="0.3">
      <c r="A2498" s="2">
        <v>43798</v>
      </c>
      <c r="B2498" s="1">
        <v>6361.56</v>
      </c>
      <c r="C2498" s="2">
        <f t="shared" si="342"/>
        <v>43798</v>
      </c>
      <c r="D2498" s="1">
        <f t="shared" si="343"/>
        <v>6361.56</v>
      </c>
      <c r="E2498" s="4">
        <f t="shared" si="344"/>
        <v>6121.2610000000013</v>
      </c>
      <c r="F2498" s="3">
        <f t="shared" si="345"/>
        <v>1.0392564538581184</v>
      </c>
      <c r="G2498" s="18">
        <f t="shared" si="346"/>
        <v>1</v>
      </c>
      <c r="H2498" s="3">
        <f t="shared" si="347"/>
        <v>-3.7896820425445954E-3</v>
      </c>
      <c r="I2498" s="3">
        <f t="shared" si="348"/>
        <v>-3.7896820425445954E-3</v>
      </c>
      <c r="K2498" s="12" t="str">
        <f>IF(AND(G2498=1,G2497&lt;&gt;1),MAX($K$50:K2497)+1,"")</f>
        <v/>
      </c>
      <c r="L2498" s="13" t="str">
        <f>IF(AND(G2498&lt;&gt;1,G2497=1),MAX($L$50:L2497)+1,"")</f>
        <v/>
      </c>
      <c r="M2498" s="13" t="str">
        <f>IF(AND(G2498=-1,G2497&lt;&gt;-1),MAX($M$50:M2497)+1,"")</f>
        <v/>
      </c>
      <c r="N2498" s="13" t="str">
        <f>IF(AND(G2498&lt;&gt;-1,G2497=-1),MAX($N$50:N2497)+1,"")</f>
        <v/>
      </c>
      <c r="T2498" s="7">
        <f t="shared" si="349"/>
        <v>157.78464096144103</v>
      </c>
      <c r="U2498" s="1">
        <f t="shared" si="350"/>
        <v>334.2401841022658</v>
      </c>
    </row>
    <row r="2499" spans="1:21" x14ac:dyDescent="0.3">
      <c r="A2499" s="2">
        <v>43801</v>
      </c>
      <c r="B2499" s="1">
        <v>6306.88</v>
      </c>
      <c r="C2499" s="2">
        <f t="shared" si="342"/>
        <v>43801</v>
      </c>
      <c r="D2499" s="1">
        <f t="shared" si="343"/>
        <v>6306.88</v>
      </c>
      <c r="E2499" s="4">
        <f t="shared" si="344"/>
        <v>6126.6486000000014</v>
      </c>
      <c r="F2499" s="3">
        <f t="shared" si="345"/>
        <v>1.0294176166721882</v>
      </c>
      <c r="G2499" s="18">
        <f t="shared" si="346"/>
        <v>1</v>
      </c>
      <c r="H2499" s="3">
        <f t="shared" si="347"/>
        <v>-8.5953759769616944E-3</v>
      </c>
      <c r="I2499" s="3">
        <f t="shared" si="348"/>
        <v>-8.5953759769616944E-3</v>
      </c>
      <c r="K2499" s="12" t="str">
        <f>IF(AND(G2499=1,G2498&lt;&gt;1),MAX($K$50:K2498)+1,"")</f>
        <v/>
      </c>
      <c r="L2499" s="13" t="str">
        <f>IF(AND(G2499&lt;&gt;1,G2498=1),MAX($L$50:L2498)+1,"")</f>
        <v/>
      </c>
      <c r="M2499" s="13" t="str">
        <f>IF(AND(G2499=-1,G2498&lt;&gt;-1),MAX($M$50:M2498)+1,"")</f>
        <v/>
      </c>
      <c r="N2499" s="13" t="str">
        <f>IF(AND(G2499&lt;&gt;-1,G2498=-1),MAX($N$50:N2498)+1,"")</f>
        <v/>
      </c>
      <c r="T2499" s="7">
        <f t="shared" si="349"/>
        <v>156.42842264898752</v>
      </c>
      <c r="U2499" s="1">
        <f t="shared" si="350"/>
        <v>331.36726405329796</v>
      </c>
    </row>
    <row r="2500" spans="1:21" x14ac:dyDescent="0.3">
      <c r="A2500" s="2">
        <v>43802</v>
      </c>
      <c r="B2500" s="1">
        <v>6265.22</v>
      </c>
      <c r="C2500" s="2">
        <f t="shared" si="342"/>
        <v>43802</v>
      </c>
      <c r="D2500" s="1">
        <f t="shared" si="343"/>
        <v>6265.22</v>
      </c>
      <c r="E2500" s="4">
        <f t="shared" si="344"/>
        <v>6131.2150000000001</v>
      </c>
      <c r="F2500" s="3">
        <f t="shared" si="345"/>
        <v>1.0218561900047545</v>
      </c>
      <c r="G2500" s="18">
        <f t="shared" si="346"/>
        <v>1</v>
      </c>
      <c r="H2500" s="3">
        <f t="shared" si="347"/>
        <v>-6.6054848038966663E-3</v>
      </c>
      <c r="I2500" s="3">
        <f t="shared" si="348"/>
        <v>-6.6054848038966663E-3</v>
      </c>
      <c r="K2500" s="12" t="str">
        <f>IF(AND(G2500=1,G2499&lt;&gt;1),MAX($K$50:K2499)+1,"")</f>
        <v/>
      </c>
      <c r="L2500" s="13" t="str">
        <f>IF(AND(G2500&lt;&gt;1,G2499=1),MAX($L$50:L2499)+1,"")</f>
        <v/>
      </c>
      <c r="M2500" s="13" t="str">
        <f>IF(AND(G2500=-1,G2499&lt;&gt;-1),MAX($M$50:M2499)+1,"")</f>
        <v/>
      </c>
      <c r="N2500" s="13" t="str">
        <f>IF(AND(G2500&lt;&gt;-1,G2499=-1),MAX($N$50:N2499)+1,"")</f>
        <v/>
      </c>
      <c r="T2500" s="7">
        <f t="shared" si="349"/>
        <v>155.3951370802821</v>
      </c>
      <c r="U2500" s="1">
        <f t="shared" si="350"/>
        <v>329.17842262608508</v>
      </c>
    </row>
    <row r="2501" spans="1:21" x14ac:dyDescent="0.3">
      <c r="A2501" s="2">
        <v>43803</v>
      </c>
      <c r="B2501" s="1">
        <v>6305.49</v>
      </c>
      <c r="C2501" s="2">
        <f t="shared" si="342"/>
        <v>43803</v>
      </c>
      <c r="D2501" s="1">
        <f t="shared" si="343"/>
        <v>6305.49</v>
      </c>
      <c r="E2501" s="4">
        <f t="shared" si="344"/>
        <v>6137.5931999999993</v>
      </c>
      <c r="F2501" s="3">
        <f t="shared" si="345"/>
        <v>1.0273554786915498</v>
      </c>
      <c r="G2501" s="18">
        <f t="shared" si="346"/>
        <v>1</v>
      </c>
      <c r="H2501" s="3">
        <f t="shared" si="347"/>
        <v>6.4275476359967332E-3</v>
      </c>
      <c r="I2501" s="3">
        <f t="shared" si="348"/>
        <v>6.4275476359967332E-3</v>
      </c>
      <c r="K2501" s="12" t="str">
        <f>IF(AND(G2501=1,G2500&lt;&gt;1),MAX($K$50:K2500)+1,"")</f>
        <v/>
      </c>
      <c r="L2501" s="13" t="str">
        <f>IF(AND(G2501&lt;&gt;1,G2500=1),MAX($L$50:L2500)+1,"")</f>
        <v/>
      </c>
      <c r="M2501" s="13" t="str">
        <f>IF(AND(G2501=-1,G2500&lt;&gt;-1),MAX($M$50:M2500)+1,"")</f>
        <v/>
      </c>
      <c r="N2501" s="13" t="str">
        <f>IF(AND(G2501&lt;&gt;-1,G2500=-1),MAX($N$50:N2500)+1,"")</f>
        <v/>
      </c>
      <c r="T2501" s="7">
        <f t="shared" si="349"/>
        <v>156.39394672626784</v>
      </c>
      <c r="U2501" s="1">
        <f t="shared" si="350"/>
        <v>331.2942326182565</v>
      </c>
    </row>
    <row r="2502" spans="1:21" x14ac:dyDescent="0.3">
      <c r="A2502" s="2">
        <v>43804</v>
      </c>
      <c r="B2502" s="1">
        <v>6316.69</v>
      </c>
      <c r="C2502" s="2">
        <f t="shared" si="342"/>
        <v>43804</v>
      </c>
      <c r="D2502" s="1">
        <f t="shared" si="343"/>
        <v>6316.69</v>
      </c>
      <c r="E2502" s="4">
        <f t="shared" si="344"/>
        <v>6143.4577999999992</v>
      </c>
      <c r="F2502" s="3">
        <f t="shared" si="345"/>
        <v>1.0281978334741715</v>
      </c>
      <c r="G2502" s="18">
        <f t="shared" si="346"/>
        <v>1</v>
      </c>
      <c r="H2502" s="3">
        <f t="shared" si="347"/>
        <v>1.776229920275707E-3</v>
      </c>
      <c r="I2502" s="3">
        <f t="shared" si="348"/>
        <v>1.776229920275707E-3</v>
      </c>
      <c r="K2502" s="12" t="str">
        <f>IF(AND(G2502=1,G2501&lt;&gt;1),MAX($K$50:K2501)+1,"")</f>
        <v/>
      </c>
      <c r="L2502" s="13" t="str">
        <f>IF(AND(G2502&lt;&gt;1,G2501=1),MAX($L$50:L2501)+1,"")</f>
        <v/>
      </c>
      <c r="M2502" s="13" t="str">
        <f>IF(AND(G2502=-1,G2501&lt;&gt;-1),MAX($M$50:M2501)+1,"")</f>
        <v/>
      </c>
      <c r="N2502" s="13" t="str">
        <f>IF(AND(G2502&lt;&gt;-1,G2501=-1),MAX($N$50:N2501)+1,"")</f>
        <v/>
      </c>
      <c r="T2502" s="7">
        <f t="shared" si="349"/>
        <v>156.67173833379303</v>
      </c>
      <c r="U2502" s="1">
        <f t="shared" si="350"/>
        <v>331.88268734664786</v>
      </c>
    </row>
    <row r="2503" spans="1:21" x14ac:dyDescent="0.3">
      <c r="A2503" s="2">
        <v>43805</v>
      </c>
      <c r="B2503" s="1">
        <v>6374.7</v>
      </c>
      <c r="C2503" s="2">
        <f t="shared" si="342"/>
        <v>43805</v>
      </c>
      <c r="D2503" s="1">
        <f t="shared" si="343"/>
        <v>6374.7</v>
      </c>
      <c r="E2503" s="4">
        <f t="shared" si="344"/>
        <v>6150.7679999999982</v>
      </c>
      <c r="F2503" s="3">
        <f t="shared" si="345"/>
        <v>1.0364071608618635</v>
      </c>
      <c r="G2503" s="18">
        <f t="shared" si="346"/>
        <v>1</v>
      </c>
      <c r="H2503" s="3">
        <f t="shared" si="347"/>
        <v>9.183607237334801E-3</v>
      </c>
      <c r="I2503" s="3">
        <f t="shared" si="348"/>
        <v>9.183607237334801E-3</v>
      </c>
      <c r="K2503" s="12" t="str">
        <f>IF(AND(G2503=1,G2502&lt;&gt;1),MAX($K$50:K2502)+1,"")</f>
        <v/>
      </c>
      <c r="L2503" s="13" t="str">
        <f>IF(AND(G2503&lt;&gt;1,G2502=1),MAX($L$50:L2502)+1,"")</f>
        <v/>
      </c>
      <c r="M2503" s="13" t="str">
        <f>IF(AND(G2503=-1,G2502&lt;&gt;-1),MAX($M$50:M2502)+1,"")</f>
        <v/>
      </c>
      <c r="N2503" s="13" t="str">
        <f>IF(AND(G2503&lt;&gt;-1,G2502=-1),MAX($N$50:N2502)+1,"")</f>
        <v/>
      </c>
      <c r="T2503" s="7">
        <f t="shared" si="349"/>
        <v>158.11055004384107</v>
      </c>
      <c r="U2503" s="1">
        <f t="shared" si="350"/>
        <v>334.93056759611068</v>
      </c>
    </row>
    <row r="2504" spans="1:21" x14ac:dyDescent="0.3">
      <c r="A2504" s="2">
        <v>43808</v>
      </c>
      <c r="B2504" s="1">
        <v>6355.07</v>
      </c>
      <c r="C2504" s="2">
        <f t="shared" si="342"/>
        <v>43808</v>
      </c>
      <c r="D2504" s="1">
        <f t="shared" si="343"/>
        <v>6355.07</v>
      </c>
      <c r="E2504" s="4">
        <f t="shared" si="344"/>
        <v>6158.3071999999984</v>
      </c>
      <c r="F2504" s="3">
        <f t="shared" si="345"/>
        <v>1.0319507932309713</v>
      </c>
      <c r="G2504" s="18">
        <f t="shared" si="346"/>
        <v>1</v>
      </c>
      <c r="H2504" s="3">
        <f t="shared" si="347"/>
        <v>-3.0793605973614691E-3</v>
      </c>
      <c r="I2504" s="3">
        <f t="shared" si="348"/>
        <v>-3.0793605973614691E-3</v>
      </c>
      <c r="K2504" s="12" t="str">
        <f>IF(AND(G2504=1,G2503&lt;&gt;1),MAX($K$50:K2503)+1,"")</f>
        <v/>
      </c>
      <c r="L2504" s="13" t="str">
        <f>IF(AND(G2504&lt;&gt;1,G2503=1),MAX($L$50:L2503)+1,"")</f>
        <v/>
      </c>
      <c r="M2504" s="13" t="str">
        <f>IF(AND(G2504=-1,G2503&lt;&gt;-1),MAX($M$50:M2503)+1,"")</f>
        <v/>
      </c>
      <c r="N2504" s="13" t="str">
        <f>IF(AND(G2504&lt;&gt;-1,G2503=-1),MAX($N$50:N2503)+1,"")</f>
        <v/>
      </c>
      <c r="T2504" s="7">
        <f t="shared" si="349"/>
        <v>157.62367064600892</v>
      </c>
      <c r="U2504" s="1">
        <f t="shared" si="350"/>
        <v>333.89919560340331</v>
      </c>
    </row>
    <row r="2505" spans="1:21" x14ac:dyDescent="0.3">
      <c r="A2505" s="2">
        <v>43809</v>
      </c>
      <c r="B2505" s="1">
        <v>6348.31</v>
      </c>
      <c r="C2505" s="2">
        <f t="shared" si="342"/>
        <v>43809</v>
      </c>
      <c r="D2505" s="1">
        <f t="shared" si="343"/>
        <v>6348.31</v>
      </c>
      <c r="E2505" s="4">
        <f t="shared" si="344"/>
        <v>6165.1015999999991</v>
      </c>
      <c r="F2505" s="3">
        <f t="shared" si="345"/>
        <v>1.0297170122873565</v>
      </c>
      <c r="G2505" s="18">
        <f t="shared" si="346"/>
        <v>1</v>
      </c>
      <c r="H2505" s="3">
        <f t="shared" si="347"/>
        <v>-1.0637176301754314E-3</v>
      </c>
      <c r="I2505" s="3">
        <f t="shared" si="348"/>
        <v>-1.0637176301754314E-3</v>
      </c>
      <c r="K2505" s="12" t="str">
        <f>IF(AND(G2505=1,G2504&lt;&gt;1),MAX($K$50:K2504)+1,"")</f>
        <v/>
      </c>
      <c r="L2505" s="13" t="str">
        <f>IF(AND(G2505&lt;&gt;1,G2504=1),MAX($L$50:L2504)+1,"")</f>
        <v/>
      </c>
      <c r="M2505" s="13" t="str">
        <f>IF(AND(G2505=-1,G2504&lt;&gt;-1),MAX($M$50:M2504)+1,"")</f>
        <v/>
      </c>
      <c r="N2505" s="13" t="str">
        <f>IF(AND(G2505&lt;&gt;-1,G2504=-1),MAX($N$50:N2504)+1,"")</f>
        <v/>
      </c>
      <c r="T2505" s="7">
        <f t="shared" si="349"/>
        <v>157.45600356860979</v>
      </c>
      <c r="U2505" s="1">
        <f t="shared" si="350"/>
        <v>333.54402114233852</v>
      </c>
    </row>
    <row r="2506" spans="1:21" x14ac:dyDescent="0.3">
      <c r="A2506" s="2">
        <v>43810</v>
      </c>
      <c r="B2506" s="1">
        <v>6366.84</v>
      </c>
      <c r="C2506" s="2">
        <f t="shared" si="342"/>
        <v>43810</v>
      </c>
      <c r="D2506" s="1">
        <f t="shared" si="343"/>
        <v>6366.84</v>
      </c>
      <c r="E2506" s="4">
        <f t="shared" si="344"/>
        <v>6173.7343999999985</v>
      </c>
      <c r="F2506" s="3">
        <f t="shared" si="345"/>
        <v>1.031278572657742</v>
      </c>
      <c r="G2506" s="18">
        <f t="shared" si="346"/>
        <v>1</v>
      </c>
      <c r="H2506" s="3">
        <f t="shared" si="347"/>
        <v>2.9188870738825479E-3</v>
      </c>
      <c r="I2506" s="3">
        <f t="shared" si="348"/>
        <v>2.9188870738825479E-3</v>
      </c>
      <c r="K2506" s="12" t="str">
        <f>IF(AND(G2506=1,G2505&lt;&gt;1),MAX($K$50:K2505)+1,"")</f>
        <v/>
      </c>
      <c r="L2506" s="13" t="str">
        <f>IF(AND(G2506&lt;&gt;1,G2505=1),MAX($L$50:L2505)+1,"")</f>
        <v/>
      </c>
      <c r="M2506" s="13" t="str">
        <f>IF(AND(G2506=-1,G2505&lt;&gt;-1),MAX($M$50:M2505)+1,"")</f>
        <v/>
      </c>
      <c r="N2506" s="13" t="str">
        <f>IF(AND(G2506&lt;&gt;-1,G2505=-1),MAX($N$50:N2505)+1,"")</f>
        <v/>
      </c>
      <c r="T2506" s="7">
        <f t="shared" si="349"/>
        <v>157.91559986213142</v>
      </c>
      <c r="U2506" s="1">
        <f t="shared" si="350"/>
        <v>334.5175984742217</v>
      </c>
    </row>
    <row r="2507" spans="1:21" x14ac:dyDescent="0.3">
      <c r="A2507" s="2">
        <v>43811</v>
      </c>
      <c r="B2507" s="1">
        <v>6422.35</v>
      </c>
      <c r="C2507" s="2">
        <f t="shared" si="342"/>
        <v>43811</v>
      </c>
      <c r="D2507" s="1">
        <f t="shared" si="343"/>
        <v>6422.35</v>
      </c>
      <c r="E2507" s="4">
        <f t="shared" si="344"/>
        <v>6185.6027999999988</v>
      </c>
      <c r="F2507" s="3">
        <f t="shared" si="345"/>
        <v>1.0382739092138282</v>
      </c>
      <c r="G2507" s="18">
        <f t="shared" si="346"/>
        <v>1</v>
      </c>
      <c r="H2507" s="3">
        <f t="shared" si="347"/>
        <v>8.718610802219029E-3</v>
      </c>
      <c r="I2507" s="3">
        <f t="shared" si="348"/>
        <v>8.718610802219029E-3</v>
      </c>
      <c r="K2507" s="12" t="str">
        <f>IF(AND(G2507=1,G2506&lt;&gt;1),MAX($K$50:K2506)+1,"")</f>
        <v/>
      </c>
      <c r="L2507" s="13" t="str">
        <f>IF(AND(G2507&lt;&gt;1,G2506=1),MAX($L$50:L2506)+1,"")</f>
        <v/>
      </c>
      <c r="M2507" s="13" t="str">
        <f>IF(AND(G2507=-1,G2506&lt;&gt;-1),MAX($M$50:M2506)+1,"")</f>
        <v/>
      </c>
      <c r="N2507" s="13" t="str">
        <f>IF(AND(G2507&lt;&gt;-1,G2506=-1),MAX($N$50:N2506)+1,"")</f>
        <v/>
      </c>
      <c r="T2507" s="7">
        <f t="shared" si="349"/>
        <v>159.29240451692829</v>
      </c>
      <c r="U2507" s="1">
        <f t="shared" si="350"/>
        <v>337.43412722181137</v>
      </c>
    </row>
    <row r="2508" spans="1:21" x14ac:dyDescent="0.3">
      <c r="A2508" s="2">
        <v>43812</v>
      </c>
      <c r="B2508" s="1">
        <v>6423.93</v>
      </c>
      <c r="C2508" s="2">
        <f t="shared" si="342"/>
        <v>43812</v>
      </c>
      <c r="D2508" s="1">
        <f t="shared" si="343"/>
        <v>6423.93</v>
      </c>
      <c r="E2508" s="4">
        <f t="shared" si="344"/>
        <v>6196.5441999999994</v>
      </c>
      <c r="F2508" s="3">
        <f t="shared" si="345"/>
        <v>1.0366955826765507</v>
      </c>
      <c r="G2508" s="18">
        <f t="shared" si="346"/>
        <v>1</v>
      </c>
      <c r="H2508" s="3">
        <f t="shared" si="347"/>
        <v>2.4601586646633145E-4</v>
      </c>
      <c r="I2508" s="3">
        <f t="shared" si="348"/>
        <v>2.4601586646633145E-4</v>
      </c>
      <c r="K2508" s="12" t="str">
        <f>IF(AND(G2508=1,G2507&lt;&gt;1),MAX($K$50:K2507)+1,"")</f>
        <v/>
      </c>
      <c r="L2508" s="13" t="str">
        <f>IF(AND(G2508&lt;&gt;1,G2507=1),MAX($L$50:L2507)+1,"")</f>
        <v/>
      </c>
      <c r="M2508" s="13" t="str">
        <f>IF(AND(G2508=-1,G2507&lt;&gt;-1),MAX($M$50:M2507)+1,"")</f>
        <v/>
      </c>
      <c r="N2508" s="13" t="str">
        <f>IF(AND(G2508&lt;&gt;-1,G2507=-1),MAX($N$50:N2507)+1,"")</f>
        <v/>
      </c>
      <c r="T2508" s="7">
        <f t="shared" si="349"/>
        <v>159.33159297584703</v>
      </c>
      <c r="U2508" s="1">
        <f t="shared" si="350"/>
        <v>337.51714137099515</v>
      </c>
    </row>
    <row r="2509" spans="1:21" x14ac:dyDescent="0.3">
      <c r="A2509" s="2">
        <v>43815</v>
      </c>
      <c r="B2509" s="1">
        <v>6470.03</v>
      </c>
      <c r="C2509" s="2">
        <f t="shared" si="342"/>
        <v>43815</v>
      </c>
      <c r="D2509" s="1">
        <f t="shared" si="343"/>
        <v>6470.03</v>
      </c>
      <c r="E2509" s="4">
        <f t="shared" si="344"/>
        <v>6206.7362000000003</v>
      </c>
      <c r="F2509" s="3">
        <f t="shared" si="345"/>
        <v>1.042420652580659</v>
      </c>
      <c r="G2509" s="18">
        <f t="shared" si="346"/>
        <v>1</v>
      </c>
      <c r="H2509" s="3">
        <f t="shared" si="347"/>
        <v>7.1762923942195744E-3</v>
      </c>
      <c r="I2509" s="3">
        <f t="shared" si="348"/>
        <v>7.1762923942195744E-3</v>
      </c>
      <c r="K2509" s="12" t="str">
        <f>IF(AND(G2509=1,G2508&lt;&gt;1),MAX($K$50:K2508)+1,"")</f>
        <v/>
      </c>
      <c r="L2509" s="13" t="str">
        <f>IF(AND(G2509&lt;&gt;1,G2508=1),MAX($L$50:L2508)+1,"")</f>
        <v/>
      </c>
      <c r="M2509" s="13" t="str">
        <f>IF(AND(G2509=-1,G2508&lt;&gt;-1),MAX($M$50:M2508)+1,"")</f>
        <v/>
      </c>
      <c r="N2509" s="13" t="str">
        <f>IF(AND(G2509&lt;&gt;-1,G2508=-1),MAX($N$50:N2508)+1,"")</f>
        <v/>
      </c>
      <c r="T2509" s="7">
        <f t="shared" si="349"/>
        <v>160.47500307467848</v>
      </c>
      <c r="U2509" s="1">
        <f t="shared" si="350"/>
        <v>339.93926306553459</v>
      </c>
    </row>
    <row r="2510" spans="1:21" x14ac:dyDescent="0.3">
      <c r="A2510" s="2">
        <v>43816</v>
      </c>
      <c r="B2510" s="1">
        <v>6472.24</v>
      </c>
      <c r="C2510" s="2">
        <f t="shared" si="342"/>
        <v>43816</v>
      </c>
      <c r="D2510" s="1">
        <f t="shared" si="343"/>
        <v>6472.24</v>
      </c>
      <c r="E2510" s="4">
        <f t="shared" si="344"/>
        <v>6217.5057999999981</v>
      </c>
      <c r="F2510" s="3">
        <f t="shared" si="345"/>
        <v>1.0409704804778794</v>
      </c>
      <c r="G2510" s="18">
        <f t="shared" si="346"/>
        <v>1</v>
      </c>
      <c r="H2510" s="3">
        <f t="shared" si="347"/>
        <v>3.4157492314568216E-4</v>
      </c>
      <c r="I2510" s="3">
        <f t="shared" si="348"/>
        <v>3.4157492314568216E-4</v>
      </c>
      <c r="K2510" s="12" t="str">
        <f>IF(AND(G2510=1,G2509&lt;&gt;1),MAX($K$50:K2509)+1,"")</f>
        <v/>
      </c>
      <c r="L2510" s="13" t="str">
        <f>IF(AND(G2510&lt;&gt;1,G2509=1),MAX($L$50:L2509)+1,"")</f>
        <v/>
      </c>
      <c r="M2510" s="13" t="str">
        <f>IF(AND(G2510=-1,G2509&lt;&gt;-1),MAX($M$50:M2509)+1,"")</f>
        <v/>
      </c>
      <c r="N2510" s="13" t="str">
        <f>IF(AND(G2510&lt;&gt;-1,G2509=-1),MAX($N$50:N2509)+1,"")</f>
        <v/>
      </c>
      <c r="T2510" s="7">
        <f t="shared" si="349"/>
        <v>160.52981731152053</v>
      </c>
      <c r="U2510" s="1">
        <f t="shared" si="350"/>
        <v>340.05537779319042</v>
      </c>
    </row>
    <row r="2511" spans="1:21" x14ac:dyDescent="0.3">
      <c r="A2511" s="2">
        <v>43817</v>
      </c>
      <c r="B2511" s="1">
        <v>6470</v>
      </c>
      <c r="C2511" s="2">
        <f t="shared" si="342"/>
        <v>43817</v>
      </c>
      <c r="D2511" s="1">
        <f t="shared" si="343"/>
        <v>6470</v>
      </c>
      <c r="E2511" s="4">
        <f t="shared" si="344"/>
        <v>6230.0743999999995</v>
      </c>
      <c r="F2511" s="3">
        <f t="shared" si="345"/>
        <v>1.0385108723581216</v>
      </c>
      <c r="G2511" s="18">
        <f t="shared" si="346"/>
        <v>1</v>
      </c>
      <c r="H2511" s="3">
        <f t="shared" si="347"/>
        <v>-3.4609346995784218E-4</v>
      </c>
      <c r="I2511" s="3">
        <f t="shared" si="348"/>
        <v>-3.4609346995784218E-4</v>
      </c>
      <c r="K2511" s="12" t="str">
        <f>IF(AND(G2511=1,G2510&lt;&gt;1),MAX($K$50:K2510)+1,"")</f>
        <v/>
      </c>
      <c r="L2511" s="13" t="str">
        <f>IF(AND(G2511&lt;&gt;1,G2510=1),MAX($L$50:L2510)+1,"")</f>
        <v/>
      </c>
      <c r="M2511" s="13" t="str">
        <f>IF(AND(G2511=-1,G2510&lt;&gt;-1),MAX($M$50:M2510)+1,"")</f>
        <v/>
      </c>
      <c r="N2511" s="13" t="str">
        <f>IF(AND(G2511&lt;&gt;-1,G2510=-1),MAX($N$50:N2510)+1,"")</f>
        <v/>
      </c>
      <c r="T2511" s="7">
        <f t="shared" si="349"/>
        <v>160.4742589900155</v>
      </c>
      <c r="U2511" s="1">
        <f t="shared" si="350"/>
        <v>339.93768684751217</v>
      </c>
    </row>
    <row r="2512" spans="1:21" x14ac:dyDescent="0.3">
      <c r="A2512" s="2">
        <v>43818</v>
      </c>
      <c r="B2512" s="1">
        <v>6499.26</v>
      </c>
      <c r="C2512" s="2">
        <f t="shared" si="342"/>
        <v>43818</v>
      </c>
      <c r="D2512" s="1">
        <f t="shared" si="343"/>
        <v>6499.26</v>
      </c>
      <c r="E2512" s="4">
        <f t="shared" si="344"/>
        <v>6242.1275999999998</v>
      </c>
      <c r="F2512" s="3">
        <f t="shared" si="345"/>
        <v>1.0411930701320493</v>
      </c>
      <c r="G2512" s="18">
        <f t="shared" si="346"/>
        <v>1</v>
      </c>
      <c r="H2512" s="3">
        <f t="shared" si="347"/>
        <v>4.5224111282844426E-3</v>
      </c>
      <c r="I2512" s="3">
        <f t="shared" si="348"/>
        <v>4.5224111282844426E-3</v>
      </c>
      <c r="K2512" s="12" t="str">
        <f>IF(AND(G2512=1,G2511&lt;&gt;1),MAX($K$50:K2511)+1,"")</f>
        <v/>
      </c>
      <c r="L2512" s="13" t="str">
        <f>IF(AND(G2512&lt;&gt;1,G2511=1),MAX($L$50:L2511)+1,"")</f>
        <v/>
      </c>
      <c r="M2512" s="13" t="str">
        <f>IF(AND(G2512=-1,G2511&lt;&gt;-1),MAX($M$50:M2511)+1,"")</f>
        <v/>
      </c>
      <c r="N2512" s="13" t="str">
        <f>IF(AND(G2512&lt;&gt;-1,G2511=-1),MAX($N$50:N2511)+1,"")</f>
        <v/>
      </c>
      <c r="T2512" s="7">
        <f t="shared" si="349"/>
        <v>161.19998956467515</v>
      </c>
      <c r="U2512" s="1">
        <f t="shared" si="350"/>
        <v>341.47502482543462</v>
      </c>
    </row>
    <row r="2513" spans="1:21" x14ac:dyDescent="0.3">
      <c r="A2513" s="2">
        <v>43819</v>
      </c>
      <c r="B2513" s="1">
        <v>6531.75</v>
      </c>
      <c r="C2513" s="2">
        <f t="shared" si="342"/>
        <v>43819</v>
      </c>
      <c r="D2513" s="1">
        <f t="shared" si="343"/>
        <v>6531.75</v>
      </c>
      <c r="E2513" s="4">
        <f t="shared" si="344"/>
        <v>6254.0713999999998</v>
      </c>
      <c r="F2513" s="3">
        <f t="shared" si="345"/>
        <v>1.0443996530004438</v>
      </c>
      <c r="G2513" s="18">
        <f t="shared" si="346"/>
        <v>1</v>
      </c>
      <c r="H2513" s="3">
        <f t="shared" si="347"/>
        <v>4.99903065887497E-3</v>
      </c>
      <c r="I2513" s="3">
        <f t="shared" si="348"/>
        <v>4.99903065887497E-3</v>
      </c>
      <c r="K2513" s="12" t="str">
        <f>IF(AND(G2513=1,G2512&lt;&gt;1),MAX($K$50:K2512)+1,"")</f>
        <v/>
      </c>
      <c r="L2513" s="13" t="str">
        <f>IF(AND(G2513&lt;&gt;1,G2512=1),MAX($L$50:L2512)+1,"")</f>
        <v/>
      </c>
      <c r="M2513" s="13" t="str">
        <f>IF(AND(G2513=-1,G2512&lt;&gt;-1),MAX($M$50:M2512)+1,"")</f>
        <v/>
      </c>
      <c r="N2513" s="13" t="str">
        <f>IF(AND(G2513&lt;&gt;-1,G2512=-1),MAX($N$50:N2512)+1,"")</f>
        <v/>
      </c>
      <c r="T2513" s="7">
        <f t="shared" si="349"/>
        <v>162.00583325471928</v>
      </c>
      <c r="U2513" s="1">
        <f t="shared" si="350"/>
        <v>343.18206894377704</v>
      </c>
    </row>
    <row r="2514" spans="1:21" x14ac:dyDescent="0.3">
      <c r="A2514" s="2">
        <v>43822</v>
      </c>
      <c r="B2514" s="1">
        <v>6537.4</v>
      </c>
      <c r="C2514" s="2">
        <f t="shared" si="342"/>
        <v>43822</v>
      </c>
      <c r="D2514" s="1">
        <f t="shared" si="343"/>
        <v>6537.4</v>
      </c>
      <c r="E2514" s="4">
        <f t="shared" si="344"/>
        <v>6264.8185999999996</v>
      </c>
      <c r="F2514" s="3">
        <f t="shared" si="345"/>
        <v>1.0435098631586874</v>
      </c>
      <c r="G2514" s="18">
        <f t="shared" si="346"/>
        <v>1</v>
      </c>
      <c r="H2514" s="3">
        <f t="shared" si="347"/>
        <v>8.6500554981427946E-4</v>
      </c>
      <c r="I2514" s="3">
        <f t="shared" si="348"/>
        <v>8.6500554981427946E-4</v>
      </c>
      <c r="K2514" s="12" t="str">
        <f>IF(AND(G2514=1,G2513&lt;&gt;1),MAX($K$50:K2513)+1,"")</f>
        <v/>
      </c>
      <c r="L2514" s="13" t="str">
        <f>IF(AND(G2514&lt;&gt;1,G2513=1),MAX($L$50:L2513)+1,"")</f>
        <v/>
      </c>
      <c r="M2514" s="13" t="str">
        <f>IF(AND(G2514=-1,G2513&lt;&gt;-1),MAX($M$50:M2513)+1,"")</f>
        <v/>
      </c>
      <c r="N2514" s="13" t="str">
        <f>IF(AND(G2514&lt;&gt;-1,G2513=-1),MAX($N$50:N2513)+1,"")</f>
        <v/>
      </c>
      <c r="T2514" s="7">
        <f t="shared" si="349"/>
        <v>162.14596919958689</v>
      </c>
      <c r="U2514" s="1">
        <f t="shared" si="350"/>
        <v>343.47892333801013</v>
      </c>
    </row>
    <row r="2515" spans="1:21" x14ac:dyDescent="0.3">
      <c r="A2515" s="2">
        <v>43823</v>
      </c>
      <c r="B2515" s="1">
        <v>6536.58</v>
      </c>
      <c r="C2515" s="2">
        <f t="shared" si="342"/>
        <v>43823</v>
      </c>
      <c r="D2515" s="1">
        <f t="shared" si="343"/>
        <v>6536.58</v>
      </c>
      <c r="E2515" s="4">
        <f t="shared" si="344"/>
        <v>6275.7158000000018</v>
      </c>
      <c r="F2515" s="3">
        <f t="shared" si="345"/>
        <v>1.0415672424171913</v>
      </c>
      <c r="G2515" s="18">
        <f t="shared" si="346"/>
        <v>1</v>
      </c>
      <c r="H2515" s="3">
        <f t="shared" si="347"/>
        <v>-1.2543212898086242E-4</v>
      </c>
      <c r="I2515" s="3">
        <f t="shared" si="348"/>
        <v>-1.2543212898086242E-4</v>
      </c>
      <c r="K2515" s="12" t="str">
        <f>IF(AND(G2515=1,G2514&lt;&gt;1),MAX($K$50:K2514)+1,"")</f>
        <v/>
      </c>
      <c r="L2515" s="13" t="str">
        <f>IF(AND(G2515&lt;&gt;1,G2514=1),MAX($L$50:L2514)+1,"")</f>
        <v/>
      </c>
      <c r="M2515" s="13" t="str">
        <f>IF(AND(G2515=-1,G2514&lt;&gt;-1),MAX($M$50:M2514)+1,"")</f>
        <v/>
      </c>
      <c r="N2515" s="13" t="str">
        <f>IF(AND(G2515&lt;&gt;-1,G2514=-1),MAX($N$50:N2514)+1,"")</f>
        <v/>
      </c>
      <c r="T2515" s="7">
        <f t="shared" si="349"/>
        <v>162.12563088546452</v>
      </c>
      <c r="U2515" s="1">
        <f t="shared" si="350"/>
        <v>343.43584004539582</v>
      </c>
    </row>
    <row r="2516" spans="1:21" x14ac:dyDescent="0.3">
      <c r="A2516" s="2">
        <v>43825</v>
      </c>
      <c r="B2516" s="1">
        <v>6570.71</v>
      </c>
      <c r="C2516" s="2">
        <f t="shared" si="342"/>
        <v>43825</v>
      </c>
      <c r="D2516" s="1">
        <f t="shared" si="343"/>
        <v>6570.71</v>
      </c>
      <c r="E2516" s="4">
        <f t="shared" si="344"/>
        <v>6286.1022000000021</v>
      </c>
      <c r="F2516" s="3">
        <f t="shared" si="345"/>
        <v>1.0452757195070734</v>
      </c>
      <c r="G2516" s="18">
        <f t="shared" si="346"/>
        <v>1</v>
      </c>
      <c r="H2516" s="3">
        <f t="shared" si="347"/>
        <v>5.221384883226321E-3</v>
      </c>
      <c r="I2516" s="3">
        <f t="shared" si="348"/>
        <v>5.221384883226321E-3</v>
      </c>
      <c r="K2516" s="12" t="str">
        <f>IF(AND(G2516=1,G2515&lt;&gt;1),MAX($K$50:K2515)+1,"")</f>
        <v/>
      </c>
      <c r="L2516" s="13" t="str">
        <f>IF(AND(G2516&lt;&gt;1,G2515=1),MAX($L$50:L2515)+1,"")</f>
        <v/>
      </c>
      <c r="M2516" s="13" t="str">
        <f>IF(AND(G2516=-1,G2515&lt;&gt;-1),MAX($M$50:M2515)+1,"")</f>
        <v/>
      </c>
      <c r="N2516" s="13" t="str">
        <f>IF(AND(G2516&lt;&gt;-1,G2515=-1),MAX($N$50:N2515)+1,"")</f>
        <v/>
      </c>
      <c r="T2516" s="7">
        <f t="shared" si="349"/>
        <v>162.97215120375341</v>
      </c>
      <c r="U2516" s="1">
        <f t="shared" si="350"/>
        <v>345.22905074896704</v>
      </c>
    </row>
    <row r="2517" spans="1:21" x14ac:dyDescent="0.3">
      <c r="A2517" s="2">
        <v>43826</v>
      </c>
      <c r="B2517" s="1">
        <v>6571.03</v>
      </c>
      <c r="C2517" s="2">
        <f t="shared" si="342"/>
        <v>43826</v>
      </c>
      <c r="D2517" s="1">
        <f t="shared" si="343"/>
        <v>6571.03</v>
      </c>
      <c r="E2517" s="4">
        <f t="shared" si="344"/>
        <v>6296.729000000003</v>
      </c>
      <c r="F2517" s="3">
        <f t="shared" si="345"/>
        <v>1.0435624591752315</v>
      </c>
      <c r="G2517" s="18">
        <f t="shared" si="346"/>
        <v>1</v>
      </c>
      <c r="H2517" s="3">
        <f t="shared" si="347"/>
        <v>4.8700977519855471E-5</v>
      </c>
      <c r="I2517" s="3">
        <f t="shared" si="348"/>
        <v>4.8700977519855471E-5</v>
      </c>
      <c r="K2517" s="12" t="str">
        <f>IF(AND(G2517=1,G2516&lt;&gt;1),MAX($K$50:K2516)+1,"")</f>
        <v/>
      </c>
      <c r="L2517" s="13" t="str">
        <f>IF(AND(G2517&lt;&gt;1,G2516=1),MAX($L$50:L2516)+1,"")</f>
        <v/>
      </c>
      <c r="M2517" s="13" t="str">
        <f>IF(AND(G2517=-1,G2516&lt;&gt;-1),MAX($M$50:M2516)+1,"")</f>
        <v/>
      </c>
      <c r="N2517" s="13" t="str">
        <f>IF(AND(G2517&lt;&gt;-1,G2516=-1),MAX($N$50:N2516)+1,"")</f>
        <v/>
      </c>
      <c r="T2517" s="7">
        <f t="shared" si="349"/>
        <v>162.98008810682555</v>
      </c>
      <c r="U2517" s="1">
        <f t="shared" si="350"/>
        <v>345.24586374120679</v>
      </c>
    </row>
    <row r="2518" spans="1:21" x14ac:dyDescent="0.3">
      <c r="A2518" s="2">
        <v>43829</v>
      </c>
      <c r="B2518" s="1">
        <v>6533.91</v>
      </c>
      <c r="C2518" s="2">
        <f t="shared" si="342"/>
        <v>43829</v>
      </c>
      <c r="D2518" s="1">
        <f t="shared" si="343"/>
        <v>6533.91</v>
      </c>
      <c r="E2518" s="4">
        <f t="shared" si="344"/>
        <v>6306.2704000000012</v>
      </c>
      <c r="F2518" s="3">
        <f t="shared" si="345"/>
        <v>1.0360973420993806</v>
      </c>
      <c r="G2518" s="18">
        <f t="shared" si="346"/>
        <v>1</v>
      </c>
      <c r="H2518" s="3">
        <f t="shared" si="347"/>
        <v>-5.6490382786260618E-3</v>
      </c>
      <c r="I2518" s="3">
        <f t="shared" si="348"/>
        <v>-5.6490382786260618E-3</v>
      </c>
      <c r="K2518" s="12" t="str">
        <f>IF(AND(G2518=1,G2517&lt;&gt;1),MAX($K$50:K2517)+1,"")</f>
        <v/>
      </c>
      <c r="L2518" s="13" t="str">
        <f>IF(AND(G2518&lt;&gt;1,G2517=1),MAX($L$50:L2517)+1,"")</f>
        <v/>
      </c>
      <c r="M2518" s="13" t="str">
        <f>IF(AND(G2518=-1,G2517&lt;&gt;-1),MAX($M$50:M2517)+1,"")</f>
        <v/>
      </c>
      <c r="N2518" s="13" t="str">
        <f>IF(AND(G2518&lt;&gt;-1,G2517=-1),MAX($N$50:N2517)+1,"")</f>
        <v/>
      </c>
      <c r="T2518" s="7">
        <f t="shared" si="349"/>
        <v>162.05940735045624</v>
      </c>
      <c r="U2518" s="1">
        <f t="shared" si="350"/>
        <v>343.29555664139542</v>
      </c>
    </row>
    <row r="2519" spans="1:21" x14ac:dyDescent="0.3">
      <c r="A2519" s="2">
        <v>43830</v>
      </c>
      <c r="B2519" s="1">
        <v>6553.57</v>
      </c>
      <c r="C2519" s="2">
        <f t="shared" si="342"/>
        <v>43830</v>
      </c>
      <c r="D2519" s="1">
        <f t="shared" si="343"/>
        <v>6553.57</v>
      </c>
      <c r="E2519" s="4">
        <f t="shared" si="344"/>
        <v>6316.6766000000016</v>
      </c>
      <c r="F2519" s="3">
        <f t="shared" si="345"/>
        <v>1.0375028539532953</v>
      </c>
      <c r="G2519" s="18">
        <f t="shared" si="346"/>
        <v>1</v>
      </c>
      <c r="H2519" s="3">
        <f t="shared" si="347"/>
        <v>3.0089180903929424E-3</v>
      </c>
      <c r="I2519" s="3">
        <f t="shared" si="348"/>
        <v>3.0089180903929424E-3</v>
      </c>
      <c r="K2519" s="12" t="str">
        <f>IF(AND(G2519=1,G2518&lt;&gt;1),MAX($K$50:K2518)+1,"")</f>
        <v/>
      </c>
      <c r="L2519" s="13" t="str">
        <f>IF(AND(G2519&lt;&gt;1,G2518=1),MAX($L$50:L2518)+1,"")</f>
        <v/>
      </c>
      <c r="M2519" s="13" t="str">
        <f>IF(AND(G2519=-1,G2518&lt;&gt;-1),MAX($M$50:M2518)+1,"")</f>
        <v/>
      </c>
      <c r="N2519" s="13" t="str">
        <f>IF(AND(G2519&lt;&gt;-1,G2518=-1),MAX($N$50:N2518)+1,"")</f>
        <v/>
      </c>
      <c r="T2519" s="7">
        <f t="shared" si="349"/>
        <v>162.54703083295138</v>
      </c>
      <c r="U2519" s="1">
        <f t="shared" si="350"/>
        <v>344.32850485212521</v>
      </c>
    </row>
  </sheetData>
  <conditionalFormatting sqref="G1:G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7A3D-527A-41F4-94B6-4F11857F6926}">
  <dimension ref="A1:Q402"/>
  <sheetViews>
    <sheetView showGridLines="0" workbookViewId="0">
      <selection activeCell="H5" sqref="H5"/>
    </sheetView>
  </sheetViews>
  <sheetFormatPr defaultRowHeight="14.4" x14ac:dyDescent="0.3"/>
  <cols>
    <col min="1" max="1" width="9.109375" style="9"/>
    <col min="2" max="3" width="9.88671875" bestFit="1" customWidth="1"/>
    <col min="5" max="5" width="12.44140625" bestFit="1" customWidth="1"/>
    <col min="6" max="6" width="4.88671875" customWidth="1"/>
    <col min="7" max="8" width="14.21875" style="16" bestFit="1" customWidth="1"/>
    <col min="9" max="9" width="10.44140625" style="9" customWidth="1"/>
    <col min="10" max="10" width="9.109375" style="9"/>
    <col min="11" max="12" width="9.88671875" style="1" bestFit="1" customWidth="1"/>
    <col min="13" max="13" width="9.109375" style="1"/>
    <col min="14" max="14" width="12.44140625" style="1" bestFit="1" customWidth="1"/>
    <col min="15" max="15" width="9.109375" style="1"/>
    <col min="16" max="16" width="15.21875" customWidth="1"/>
    <col min="17" max="17" width="14.5546875" bestFit="1" customWidth="1"/>
  </cols>
  <sheetData>
    <row r="1" spans="1:17" ht="15" thickBot="1" x14ac:dyDescent="0.35">
      <c r="A1" s="33" t="s">
        <v>11</v>
      </c>
      <c r="B1" s="33"/>
      <c r="C1" s="33"/>
      <c r="D1" s="33"/>
      <c r="E1" s="33"/>
      <c r="J1" s="33" t="s">
        <v>18</v>
      </c>
      <c r="K1" s="33"/>
      <c r="L1" s="33"/>
      <c r="M1" s="33"/>
      <c r="N1" s="33"/>
    </row>
    <row r="2" spans="1:17" x14ac:dyDescent="0.3">
      <c r="B2" s="14" t="s">
        <v>12</v>
      </c>
      <c r="C2" s="14" t="s">
        <v>13</v>
      </c>
      <c r="D2" s="14" t="s">
        <v>15</v>
      </c>
      <c r="E2" s="14" t="s">
        <v>14</v>
      </c>
      <c r="G2" s="20" t="s">
        <v>17</v>
      </c>
      <c r="H2" s="21" t="s">
        <v>27</v>
      </c>
      <c r="K2" s="15" t="s">
        <v>12</v>
      </c>
      <c r="L2" s="15" t="s">
        <v>13</v>
      </c>
      <c r="M2" s="15" t="s">
        <v>15</v>
      </c>
      <c r="N2" s="15" t="s">
        <v>14</v>
      </c>
      <c r="P2" s="20" t="s">
        <v>17</v>
      </c>
      <c r="Q2" s="21" t="s">
        <v>32</v>
      </c>
    </row>
    <row r="3" spans="1:17" x14ac:dyDescent="0.3">
      <c r="A3" s="9">
        <v>1</v>
      </c>
      <c r="B3" s="10">
        <f>IFERROR(INDEX(Backtest!C:C,MATCH(Trades!A3,Backtest!K:K,0)),"")</f>
        <v>40249</v>
      </c>
      <c r="C3" s="10">
        <f>IFERROR(INDEX(Backtest!C:C,MATCH(Trades!A3,Backtest!L:L,0)),IF(ISNUMBER(B3),Backtest!$C$2519,""))</f>
        <v>40318</v>
      </c>
      <c r="D3">
        <f>IF(ISNUMBER(B3),NETWORKDAYS(B3,C3),"")</f>
        <v>50</v>
      </c>
      <c r="E3" s="11">
        <f>IFERROR(VLOOKUP(C3,Backtest!C:D,2,FALSE)/VLOOKUP(B3,Backtest!C:D,2,FALSE)-1,"")</f>
        <v>-6.5145090868969024E-2</v>
      </c>
      <c r="G3" s="22">
        <f>COUNTIFS(B3:B402,"&gt;0")</f>
        <v>25</v>
      </c>
      <c r="H3" s="23">
        <f>COUNTIFS(E3:E402,"&gt;0")</f>
        <v>9</v>
      </c>
      <c r="J3" s="9">
        <v>1</v>
      </c>
      <c r="K3" s="10">
        <f>IFERROR(INDEX(Backtest!C:C,MATCH(Trades!A3,Backtest!M:M,0)),"")</f>
        <v>40318</v>
      </c>
      <c r="L3" s="10">
        <f>IFERROR(INDEX(Backtest!C:C,MATCH(Trades!A3,Backtest!N:N,0)),IF(ISNUMBER(K3),Backtest!$C$2519,""))</f>
        <v>40332</v>
      </c>
      <c r="M3" s="1">
        <f>IF(ISNUMBER(K3),NETWORKDAYS(K3,L3),"")</f>
        <v>11</v>
      </c>
      <c r="N3" s="11">
        <f>IFERROR(VLOOKUP(L3,Backtest!C:D,2,FALSE)/VLOOKUP(K3,Backtest!C:D,2,FALSE)-1,"")</f>
        <v>3.0023042769628638E-2</v>
      </c>
      <c r="P3" s="22">
        <f>COUNTIFS(K3:K402,"&gt;0")</f>
        <v>24</v>
      </c>
      <c r="Q3" s="23">
        <f>COUNTIFS(N3:N402,"&lt;0")</f>
        <v>3</v>
      </c>
    </row>
    <row r="4" spans="1:17" x14ac:dyDescent="0.3">
      <c r="A4" s="9">
        <v>2</v>
      </c>
      <c r="B4" s="10">
        <f>IFERROR(INDEX(Backtest!C:C,MATCH(Trades!A4,Backtest!K:K,0)),"")</f>
        <v>40332</v>
      </c>
      <c r="C4" s="10">
        <f>IFERROR(INDEX(Backtest!C:C,MATCH(Trades!A4,Backtest!L:L,0)),IF(ISNUMBER(B4),Backtest!$C$2519,""))</f>
        <v>40333</v>
      </c>
      <c r="D4" s="1">
        <f t="shared" ref="D4:D67" si="0">IF(ISNUMBER(B4),NETWORKDAYS(B4,C4),"")</f>
        <v>2</v>
      </c>
      <c r="E4" s="11">
        <f>IFERROR(VLOOKUP(C4,Backtest!C:D,2,FALSE)/VLOOKUP(B4,Backtest!C:D,2,FALSE)-1,"")</f>
        <v>-3.4375136409271478E-2</v>
      </c>
      <c r="G4" s="24" t="s">
        <v>16</v>
      </c>
      <c r="H4" s="25" t="s">
        <v>26</v>
      </c>
      <c r="J4" s="9">
        <v>2</v>
      </c>
      <c r="K4" s="10">
        <f>IFERROR(INDEX(Backtest!C:C,MATCH(Trades!A4,Backtest!M:M,0)),"")</f>
        <v>40333</v>
      </c>
      <c r="L4" s="10">
        <f>IFERROR(INDEX(Backtest!C:C,MATCH(Trades!A4,Backtest!N:N,0)),IF(ISNUMBER(K4),Backtest!$C$2519,""))</f>
        <v>40340</v>
      </c>
      <c r="M4" s="1">
        <f t="shared" ref="M4:M67" si="1">IF(ISNUMBER(K4),NETWORKDAYS(K4,L4),"")</f>
        <v>6</v>
      </c>
      <c r="N4" s="11">
        <f>IFERROR(VLOOKUP(L4,Backtest!C:D,2,FALSE)/VLOOKUP(K4,Backtest!C:D,2,FALSE)-1,"")</f>
        <v>2.5732884298081071E-2</v>
      </c>
      <c r="P4" s="24" t="s">
        <v>32</v>
      </c>
      <c r="Q4" s="25" t="s">
        <v>31</v>
      </c>
    </row>
    <row r="5" spans="1:17" x14ac:dyDescent="0.3">
      <c r="A5" s="9">
        <v>3</v>
      </c>
      <c r="B5" s="10">
        <f>IFERROR(INDEX(Backtest!C:C,MATCH(Trades!A5,Backtest!K:K,0)),"")</f>
        <v>40340</v>
      </c>
      <c r="C5" s="10">
        <f>IFERROR(INDEX(Backtest!C:C,MATCH(Trades!A5,Backtest!L:L,0)),IF(ISNUMBER(B5),Backtest!$C$2519,""))</f>
        <v>40358</v>
      </c>
      <c r="D5" s="1">
        <f t="shared" si="0"/>
        <v>13</v>
      </c>
      <c r="E5" s="11">
        <f>IFERROR(VLOOKUP(C5,Backtest!C:D,2,FALSE)/VLOOKUP(B5,Backtest!C:D,2,FALSE)-1,"")</f>
        <v>-4.556372089948546E-2</v>
      </c>
      <c r="G5" s="26">
        <f>H3/G3</f>
        <v>0.36</v>
      </c>
      <c r="H5" s="27">
        <f>AVERAGEIFS(E3:E402,E3:E402,"&gt;0")</f>
        <v>0.18508651518025321</v>
      </c>
      <c r="J5" s="9">
        <v>3</v>
      </c>
      <c r="K5" s="10">
        <f>IFERROR(INDEX(Backtest!C:C,MATCH(Trades!A5,Backtest!M:M,0)),"")</f>
        <v>40358</v>
      </c>
      <c r="L5" s="10">
        <f>IFERROR(INDEX(Backtest!C:C,MATCH(Trades!A5,Backtest!N:N,0)),IF(ISNUMBER(K5),Backtest!$C$2519,""))</f>
        <v>40366</v>
      </c>
      <c r="M5" s="1">
        <f t="shared" si="1"/>
        <v>7</v>
      </c>
      <c r="N5" s="11">
        <f>IFERROR(VLOOKUP(L5,Backtest!C:D,2,FALSE)/VLOOKUP(K5,Backtest!C:D,2,FALSE)-1,"")</f>
        <v>1.897203543909276E-2</v>
      </c>
      <c r="P5" s="26">
        <f>Q3/P3</f>
        <v>0.125</v>
      </c>
      <c r="Q5" s="27">
        <f>AVERAGEIFS(N3:N402,N3:N402,"&lt;0")</f>
        <v>-4.2261211825307772E-3</v>
      </c>
    </row>
    <row r="6" spans="1:17" x14ac:dyDescent="0.3">
      <c r="A6" s="9">
        <v>4</v>
      </c>
      <c r="B6" s="10">
        <f>IFERROR(INDEX(Backtest!C:C,MATCH(Trades!A6,Backtest!K:K,0)),"")</f>
        <v>40366</v>
      </c>
      <c r="C6" s="10">
        <f>IFERROR(INDEX(Backtest!C:C,MATCH(Trades!A6,Backtest!L:L,0)),IF(ISNUMBER(B6),Backtest!$C$2519,""))</f>
        <v>40759</v>
      </c>
      <c r="D6" s="1">
        <f t="shared" si="0"/>
        <v>282</v>
      </c>
      <c r="E6" s="11">
        <f>IFERROR(VLOOKUP(C6,Backtest!C:D,2,FALSE)/VLOOKUP(B6,Backtest!C:D,2,FALSE)-1,"")</f>
        <v>0.15564568204733154</v>
      </c>
      <c r="G6" s="24" t="s">
        <v>28</v>
      </c>
      <c r="H6" s="25" t="s">
        <v>31</v>
      </c>
      <c r="J6" s="9">
        <v>4</v>
      </c>
      <c r="K6" s="10">
        <f>IFERROR(INDEX(Backtest!C:C,MATCH(Trades!A6,Backtest!M:M,0)),"")</f>
        <v>40759</v>
      </c>
      <c r="L6" s="10">
        <f>IFERROR(INDEX(Backtest!C:C,MATCH(Trades!A6,Backtest!N:N,0)),IF(ISNUMBER(K6),Backtest!$C$2519,""))</f>
        <v>40784</v>
      </c>
      <c r="M6" s="1">
        <f t="shared" si="1"/>
        <v>18</v>
      </c>
      <c r="N6" s="11">
        <f>IFERROR(VLOOKUP(L6,Backtest!C:D,2,FALSE)/VLOOKUP(K6,Backtest!C:D,2,FALSE)-1,"")</f>
        <v>1.0219586315067142E-2</v>
      </c>
      <c r="P6" s="24" t="s">
        <v>27</v>
      </c>
      <c r="Q6" s="25" t="s">
        <v>31</v>
      </c>
    </row>
    <row r="7" spans="1:17" x14ac:dyDescent="0.3">
      <c r="A7" s="9">
        <v>5</v>
      </c>
      <c r="B7" s="10">
        <f>IFERROR(INDEX(Backtest!C:C,MATCH(Trades!A7,Backtest!K:K,0)),"")</f>
        <v>40784</v>
      </c>
      <c r="C7" s="10">
        <f>IFERROR(INDEX(Backtest!C:C,MATCH(Trades!A7,Backtest!L:L,0)),IF(ISNUMBER(B7),Backtest!$C$2519,""))</f>
        <v>40788</v>
      </c>
      <c r="D7" s="1">
        <f t="shared" si="0"/>
        <v>5</v>
      </c>
      <c r="E7" s="11">
        <f>IFERROR(VLOOKUP(C7,Backtest!C:D,2,FALSE)/VLOOKUP(B7,Backtest!C:D,2,FALSE)-1,"")</f>
        <v>-2.9378229543194134E-2</v>
      </c>
      <c r="G7" s="28">
        <f>1-G5</f>
        <v>0.64</v>
      </c>
      <c r="H7" s="29">
        <f>AVERAGEIFS(E3:E402,E3:E402,"&lt;0")</f>
        <v>-3.4874857987843781E-2</v>
      </c>
      <c r="J7" s="9">
        <v>5</v>
      </c>
      <c r="K7" s="10">
        <f>IFERROR(INDEX(Backtest!C:C,MATCH(Trades!A7,Backtest!M:M,0)),"")</f>
        <v>40788</v>
      </c>
      <c r="L7" s="10">
        <f>IFERROR(INDEX(Backtest!C:C,MATCH(Trades!A7,Backtest!N:N,0)),IF(ISNUMBER(K7),Backtest!$C$2519,""))</f>
        <v>40793</v>
      </c>
      <c r="M7" s="1">
        <f t="shared" si="1"/>
        <v>4</v>
      </c>
      <c r="N7" s="11">
        <f>IFERROR(VLOOKUP(L7,Backtest!C:D,2,FALSE)/VLOOKUP(K7,Backtest!C:D,2,FALSE)-1,"")</f>
        <v>2.1269682579355242E-2</v>
      </c>
      <c r="P7" s="28">
        <f>1-P5</f>
        <v>0.875</v>
      </c>
      <c r="Q7" s="29">
        <f>AVERAGEIFS(N3:N402,N3:N402,"&gt;0")</f>
        <v>1.7625536965773191E-2</v>
      </c>
    </row>
    <row r="8" spans="1:17" x14ac:dyDescent="0.3">
      <c r="A8" s="9">
        <v>6</v>
      </c>
      <c r="B8" s="10">
        <f>IFERROR(INDEX(Backtest!C:C,MATCH(Trades!A8,Backtest!K:K,0)),"")</f>
        <v>40793</v>
      </c>
      <c r="C8" s="10">
        <f>IFERROR(INDEX(Backtest!C:C,MATCH(Trades!A8,Backtest!L:L,0)),IF(ISNUMBER(B8),Backtest!$C$2519,""))</f>
        <v>40795</v>
      </c>
      <c r="D8" s="1">
        <f t="shared" si="0"/>
        <v>3</v>
      </c>
      <c r="E8" s="11">
        <f>IFERROR(VLOOKUP(C8,Backtest!C:D,2,FALSE)/VLOOKUP(B8,Backtest!C:D,2,FALSE)-1,"")</f>
        <v>-3.699371038398469E-2</v>
      </c>
      <c r="G8" s="24" t="s">
        <v>25</v>
      </c>
      <c r="H8" s="25" t="s">
        <v>24</v>
      </c>
      <c r="J8" s="9">
        <v>6</v>
      </c>
      <c r="K8" s="10">
        <f>IFERROR(INDEX(Backtest!C:C,MATCH(Trades!A8,Backtest!M:M,0)),"")</f>
        <v>40795</v>
      </c>
      <c r="L8" s="10">
        <f>IFERROR(INDEX(Backtest!C:C,MATCH(Trades!A8,Backtest!N:N,0)),IF(ISNUMBER(K8),Backtest!$C$2519,""))</f>
        <v>40799</v>
      </c>
      <c r="M8" s="1">
        <f t="shared" si="1"/>
        <v>3</v>
      </c>
      <c r="N8" s="11">
        <f>IFERROR(VLOOKUP(L8,Backtest!C:D,2,FALSE)/VLOOKUP(K8,Backtest!C:D,2,FALSE)-1,"")</f>
        <v>1.6574585635358963E-2</v>
      </c>
      <c r="P8" s="24" t="s">
        <v>25</v>
      </c>
      <c r="Q8" s="25" t="s">
        <v>24</v>
      </c>
    </row>
    <row r="9" spans="1:17" x14ac:dyDescent="0.3">
      <c r="A9" s="9">
        <v>7</v>
      </c>
      <c r="B9" s="10">
        <f>IFERROR(INDEX(Backtest!C:C,MATCH(Trades!A9,Backtest!K:K,0)),"")</f>
        <v>40799</v>
      </c>
      <c r="C9" s="10">
        <f>IFERROR(INDEX(Backtest!C:C,MATCH(Trades!A9,Backtest!L:L,0)),IF(ISNUMBER(B9),Backtest!$C$2519,""))</f>
        <v>40808</v>
      </c>
      <c r="D9" s="1">
        <f t="shared" si="0"/>
        <v>8</v>
      </c>
      <c r="E9" s="11">
        <f>IFERROR(VLOOKUP(C9,Backtest!C:D,2,FALSE)/VLOOKUP(B9,Backtest!C:D,2,FALSE)-1,"")</f>
        <v>-3.6658533658653569E-2</v>
      </c>
      <c r="G9" s="28">
        <f>AVERAGE(E3:E402)</f>
        <v>4.4311236352671132E-2</v>
      </c>
      <c r="H9" s="30">
        <f>AVERAGE(D3:D402)</f>
        <v>98.64</v>
      </c>
      <c r="J9" s="9">
        <v>7</v>
      </c>
      <c r="K9" s="10">
        <f>IFERROR(INDEX(Backtest!C:C,MATCH(Trades!A9,Backtest!M:M,0)),"")</f>
        <v>40808</v>
      </c>
      <c r="L9" s="10">
        <f>IFERROR(INDEX(Backtest!C:C,MATCH(Trades!A9,Backtest!N:N,0)),IF(ISNUMBER(K9),Backtest!$C$2519,""))</f>
        <v>40812</v>
      </c>
      <c r="M9" s="1">
        <f t="shared" si="1"/>
        <v>3</v>
      </c>
      <c r="N9" s="11">
        <f>IFERROR(VLOOKUP(L9,Backtest!C:D,2,FALSE)/VLOOKUP(K9,Backtest!C:D,2,FALSE)-1,"")</f>
        <v>2.9692333243372282E-2</v>
      </c>
      <c r="P9" s="28">
        <f>AVERAGE(N3:N402)</f>
        <v>1.4894079697235196E-2</v>
      </c>
      <c r="Q9" s="30">
        <f>AVERAGE(M3:M402)</f>
        <v>5.833333333333333</v>
      </c>
    </row>
    <row r="10" spans="1:17" x14ac:dyDescent="0.3">
      <c r="A10" s="9">
        <v>8</v>
      </c>
      <c r="B10" s="10">
        <f>IFERROR(INDEX(Backtest!C:C,MATCH(Trades!A10,Backtest!K:K,0)),"")</f>
        <v>40812</v>
      </c>
      <c r="C10" s="10">
        <f>IFERROR(INDEX(Backtest!C:C,MATCH(Trades!A10,Backtest!L:L,0)),IF(ISNUMBER(B10),Backtest!$C$2519,""))</f>
        <v>40816</v>
      </c>
      <c r="D10" s="1">
        <f t="shared" si="0"/>
        <v>5</v>
      </c>
      <c r="E10" s="11">
        <f>IFERROR(VLOOKUP(C10,Backtest!C:D,2,FALSE)/VLOOKUP(B10,Backtest!C:D,2,FALSE)-1,"")</f>
        <v>-2.6804840799004026E-2</v>
      </c>
      <c r="G10" s="24" t="s">
        <v>29</v>
      </c>
      <c r="H10" s="25" t="s">
        <v>30</v>
      </c>
      <c r="J10" s="9">
        <v>8</v>
      </c>
      <c r="K10" s="10">
        <f>IFERROR(INDEX(Backtest!C:C,MATCH(Trades!A10,Backtest!M:M,0)),"")</f>
        <v>40816</v>
      </c>
      <c r="L10" s="10">
        <f>IFERROR(INDEX(Backtest!C:C,MATCH(Trades!A10,Backtest!N:N,0)),IF(ISNUMBER(K10),Backtest!$C$2519,""))</f>
        <v>40821</v>
      </c>
      <c r="M10" s="1">
        <f t="shared" si="1"/>
        <v>4</v>
      </c>
      <c r="N10" s="11">
        <f>IFERROR(VLOOKUP(L10,Backtest!C:D,2,FALSE)/VLOOKUP(K10,Backtest!C:D,2,FALSE)-1,"")</f>
        <v>1.1850071732296241E-2</v>
      </c>
      <c r="P10" s="24" t="s">
        <v>29</v>
      </c>
      <c r="Q10" s="25" t="s">
        <v>30</v>
      </c>
    </row>
    <row r="11" spans="1:17" ht="15" thickBot="1" x14ac:dyDescent="0.35">
      <c r="A11" s="9">
        <v>9</v>
      </c>
      <c r="B11" s="10">
        <f>IFERROR(INDEX(Backtest!C:C,MATCH(Trades!A11,Backtest!K:K,0)),"")</f>
        <v>40821</v>
      </c>
      <c r="C11" s="10">
        <f>IFERROR(INDEX(Backtest!C:C,MATCH(Trades!A11,Backtest!L:L,0)),IF(ISNUMBER(B11),Backtest!$C$2519,""))</f>
        <v>41046</v>
      </c>
      <c r="D11" s="1">
        <f t="shared" si="0"/>
        <v>162</v>
      </c>
      <c r="E11" s="11">
        <f>IFERROR(VLOOKUP(C11,Backtest!C:D,2,FALSE)/VLOOKUP(B11,Backtest!C:D,2,FALSE)-1,"")</f>
        <v>0.15624952013390181</v>
      </c>
      <c r="G11" s="31">
        <f>AVERAGEIFS(D3:D402,E3:E402,"&gt;0")</f>
        <v>255.44444444444446</v>
      </c>
      <c r="H11" s="32">
        <f>AVERAGEIFS(D3:D402,E3:E402,"&lt;0")</f>
        <v>10.4375</v>
      </c>
      <c r="J11" s="9">
        <v>9</v>
      </c>
      <c r="K11" s="10">
        <f>IFERROR(INDEX(Backtest!C:C,MATCH(Trades!A11,Backtest!M:M,0)),"")</f>
        <v>41046</v>
      </c>
      <c r="L11" s="10">
        <f>IFERROR(INDEX(Backtest!C:C,MATCH(Trades!A11,Backtest!N:N,0)),IF(ISNUMBER(K11),Backtest!$C$2519,""))</f>
        <v>41050</v>
      </c>
      <c r="M11" s="1">
        <f t="shared" si="1"/>
        <v>3</v>
      </c>
      <c r="N11" s="11">
        <f>IFERROR(VLOOKUP(L11,Backtest!C:D,2,FALSE)/VLOOKUP(K11,Backtest!C:D,2,FALSE)-1,"")</f>
        <v>8.5482949892206062E-3</v>
      </c>
      <c r="P11" s="31">
        <f>AVERAGEIFS(M3:M402,N3:N402,"&gt;0")</f>
        <v>4.8571428571428568</v>
      </c>
      <c r="Q11" s="32">
        <f>AVERAGEIFS(M3:M402,N3:N402,"&lt;0")</f>
        <v>12.666666666666666</v>
      </c>
    </row>
    <row r="12" spans="1:17" x14ac:dyDescent="0.3">
      <c r="A12" s="9">
        <v>10</v>
      </c>
      <c r="B12" s="10">
        <f>IFERROR(INDEX(Backtest!C:C,MATCH(Trades!A12,Backtest!K:K,0)),"")</f>
        <v>41050</v>
      </c>
      <c r="C12" s="10">
        <f>IFERROR(INDEX(Backtest!C:C,MATCH(Trades!A12,Backtest!L:L,0)),IF(ISNUMBER(B12),Backtest!$C$2519,""))</f>
        <v>41061</v>
      </c>
      <c r="D12" s="1">
        <f t="shared" si="0"/>
        <v>10</v>
      </c>
      <c r="E12" s="11">
        <f>IFERROR(VLOOKUP(C12,Backtest!C:D,2,FALSE)/VLOOKUP(B12,Backtest!C:D,2,FALSE)-1,"")</f>
        <v>-2.8017241379310276E-2</v>
      </c>
      <c r="J12" s="9">
        <v>10</v>
      </c>
      <c r="K12" s="10">
        <f>IFERROR(INDEX(Backtest!C:C,MATCH(Trades!A12,Backtest!M:M,0)),"")</f>
        <v>41061</v>
      </c>
      <c r="L12" s="10">
        <f>IFERROR(INDEX(Backtest!C:C,MATCH(Trades!A12,Backtest!N:N,0)),IF(ISNUMBER(K12),Backtest!$C$2519,""))</f>
        <v>41066</v>
      </c>
      <c r="M12" s="1">
        <f t="shared" si="1"/>
        <v>4</v>
      </c>
      <c r="N12" s="11">
        <f>IFERROR(VLOOKUP(L12,Backtest!C:D,2,FALSE)/VLOOKUP(K12,Backtest!C:D,2,FALSE)-1,"")</f>
        <v>2.9357707019025403E-2</v>
      </c>
    </row>
    <row r="13" spans="1:17" x14ac:dyDescent="0.3">
      <c r="A13" s="9">
        <v>11</v>
      </c>
      <c r="B13" s="10">
        <f>IFERROR(INDEX(Backtest!C:C,MATCH(Trades!A13,Backtest!K:K,0)),"")</f>
        <v>41066</v>
      </c>
      <c r="C13" s="10">
        <f>IFERROR(INDEX(Backtest!C:C,MATCH(Trades!A13,Backtest!L:L,0)),IF(ISNUMBER(B13),Backtest!$C$2519,""))</f>
        <v>41227</v>
      </c>
      <c r="D13" s="1">
        <f t="shared" si="0"/>
        <v>116</v>
      </c>
      <c r="E13" s="11">
        <f>IFERROR(VLOOKUP(C13,Backtest!C:D,2,FALSE)/VLOOKUP(B13,Backtest!C:D,2,FALSE)-1,"")</f>
        <v>4.1027980802133879E-2</v>
      </c>
      <c r="J13" s="9">
        <v>11</v>
      </c>
      <c r="K13" s="10">
        <f>IFERROR(INDEX(Backtest!C:C,MATCH(Trades!A13,Backtest!M:M,0)),"")</f>
        <v>41227</v>
      </c>
      <c r="L13" s="10">
        <f>IFERROR(INDEX(Backtest!C:C,MATCH(Trades!A13,Backtest!N:N,0)),IF(ISNUMBER(K13),Backtest!$C$2519,""))</f>
        <v>41229</v>
      </c>
      <c r="M13" s="1">
        <f t="shared" si="1"/>
        <v>3</v>
      </c>
      <c r="N13" s="11">
        <f>IFERROR(VLOOKUP(L13,Backtest!C:D,2,FALSE)/VLOOKUP(K13,Backtest!C:D,2,FALSE)-1,"")</f>
        <v>3.4050587035492352E-3</v>
      </c>
    </row>
    <row r="14" spans="1:17" x14ac:dyDescent="0.3">
      <c r="A14" s="9">
        <v>12</v>
      </c>
      <c r="B14" s="10">
        <f>IFERROR(INDEX(Backtest!C:C,MATCH(Trades!A14,Backtest!K:K,0)),"")</f>
        <v>41229</v>
      </c>
      <c r="C14" s="10">
        <f>IFERROR(INDEX(Backtest!C:C,MATCH(Trades!A14,Backtest!L:L,0)),IF(ISNUMBER(B14),Backtest!$C$2519,""))</f>
        <v>41927</v>
      </c>
      <c r="D14" s="1">
        <f t="shared" si="0"/>
        <v>499</v>
      </c>
      <c r="E14" s="11">
        <f>IFERROR(VLOOKUP(C14,Backtest!C:D,2,FALSE)/VLOOKUP(B14,Backtest!C:D,2,FALSE)-1,"")</f>
        <v>0.42587210523221142</v>
      </c>
      <c r="J14" s="9">
        <v>12</v>
      </c>
      <c r="K14" s="10">
        <f>IFERROR(INDEX(Backtest!C:C,MATCH(Trades!A14,Backtest!M:M,0)),"")</f>
        <v>41927</v>
      </c>
      <c r="L14" s="10">
        <f>IFERROR(INDEX(Backtest!C:C,MATCH(Trades!A14,Backtest!N:N,0)),IF(ISNUMBER(K14),Backtest!$C$2519,""))</f>
        <v>41929</v>
      </c>
      <c r="M14" s="1">
        <f t="shared" si="1"/>
        <v>3</v>
      </c>
      <c r="N14" s="11">
        <f>IFERROR(VLOOKUP(L14,Backtest!C:D,2,FALSE)/VLOOKUP(K14,Backtest!C:D,2,FALSE)-1,"")</f>
        <v>1.3066158472826439E-2</v>
      </c>
    </row>
    <row r="15" spans="1:17" x14ac:dyDescent="0.3">
      <c r="A15" s="9">
        <v>13</v>
      </c>
      <c r="B15" s="10">
        <f>IFERROR(INDEX(Backtest!C:C,MATCH(Trades!A15,Backtest!K:K,0)),"")</f>
        <v>41929</v>
      </c>
      <c r="C15" s="10">
        <f>IFERROR(INDEX(Backtest!C:C,MATCH(Trades!A15,Backtest!L:L,0)),IF(ISNUMBER(B15),Backtest!$C$2519,""))</f>
        <v>42237</v>
      </c>
      <c r="D15" s="1">
        <f t="shared" si="0"/>
        <v>221</v>
      </c>
      <c r="E15" s="11">
        <f>IFERROR(VLOOKUP(C15,Backtest!C:D,2,FALSE)/VLOOKUP(B15,Backtest!C:D,2,FALSE)-1,"")</f>
        <v>6.317399306272331E-2</v>
      </c>
      <c r="J15" s="9">
        <v>13</v>
      </c>
      <c r="K15" s="10">
        <f>IFERROR(INDEX(Backtest!C:C,MATCH(Trades!A15,Backtest!M:M,0)),"")</f>
        <v>42237</v>
      </c>
      <c r="L15" s="10">
        <f>IFERROR(INDEX(Backtest!C:C,MATCH(Trades!A15,Backtest!N:N,0)),IF(ISNUMBER(K15),Backtest!$C$2519,""))</f>
        <v>42243</v>
      </c>
      <c r="M15" s="1">
        <f t="shared" si="1"/>
        <v>5</v>
      </c>
      <c r="N15" s="11">
        <f>IFERROR(VLOOKUP(L15,Backtest!C:D,2,FALSE)/VLOOKUP(K15,Backtest!C:D,2,FALSE)-1,"")</f>
        <v>8.7319883938117293E-3</v>
      </c>
    </row>
    <row r="16" spans="1:17" x14ac:dyDescent="0.3">
      <c r="A16" s="9">
        <v>14</v>
      </c>
      <c r="B16" s="10">
        <f>IFERROR(INDEX(Backtest!C:C,MATCH(Trades!A16,Backtest!K:K,0)),"")</f>
        <v>42243</v>
      </c>
      <c r="C16" s="10">
        <f>IFERROR(INDEX(Backtest!C:C,MATCH(Trades!A16,Backtest!L:L,0)),IF(ISNUMBER(B16),Backtest!$C$2519,""))</f>
        <v>42248</v>
      </c>
      <c r="D16" s="1">
        <f t="shared" si="0"/>
        <v>4</v>
      </c>
      <c r="E16" s="11">
        <f>IFERROR(VLOOKUP(C16,Backtest!C:D,2,FALSE)/VLOOKUP(B16,Backtest!C:D,2,FALSE)-1,"")</f>
        <v>-3.6856802038713776E-2</v>
      </c>
      <c r="J16" s="9">
        <v>14</v>
      </c>
      <c r="K16" s="10">
        <f>IFERROR(INDEX(Backtest!C:C,MATCH(Trades!A16,Backtest!M:M,0)),"")</f>
        <v>42248</v>
      </c>
      <c r="L16" s="10">
        <f>IFERROR(INDEX(Backtest!C:C,MATCH(Trades!A16,Backtest!N:N,0)),IF(ISNUMBER(K16),Backtest!$C$2519,""))</f>
        <v>42255</v>
      </c>
      <c r="M16" s="1">
        <f t="shared" si="1"/>
        <v>6</v>
      </c>
      <c r="N16" s="11">
        <f>IFERROR(VLOOKUP(L16,Backtest!C:D,2,FALSE)/VLOOKUP(K16,Backtest!C:D,2,FALSE)-1,"")</f>
        <v>2.9462513898076192E-2</v>
      </c>
    </row>
    <row r="17" spans="1:14" x14ac:dyDescent="0.3">
      <c r="A17" s="9">
        <v>15</v>
      </c>
      <c r="B17" s="10">
        <f>IFERROR(INDEX(Backtest!C:C,MATCH(Trades!A17,Backtest!K:K,0)),"")</f>
        <v>42255</v>
      </c>
      <c r="C17" s="10">
        <f>IFERROR(INDEX(Backtest!C:C,MATCH(Trades!A17,Backtest!L:L,0)),IF(ISNUMBER(B17),Backtest!$C$2519,""))</f>
        <v>42256</v>
      </c>
      <c r="D17" s="1">
        <f t="shared" si="0"/>
        <v>2</v>
      </c>
      <c r="E17" s="11">
        <f>IFERROR(VLOOKUP(C17,Backtest!C:D,2,FALSE)/VLOOKUP(B17,Backtest!C:D,2,FALSE)-1,"")</f>
        <v>-1.3813393413756536E-2</v>
      </c>
      <c r="J17" s="9">
        <v>15</v>
      </c>
      <c r="K17" s="10">
        <f>IFERROR(INDEX(Backtest!C:C,MATCH(Trades!A17,Backtest!M:M,0)),"")</f>
        <v>42256</v>
      </c>
      <c r="L17" s="10">
        <f>IFERROR(INDEX(Backtest!C:C,MATCH(Trades!A17,Backtest!N:N,0)),IF(ISNUMBER(K17),Backtest!$C$2519,""))</f>
        <v>42257</v>
      </c>
      <c r="M17" s="1">
        <f t="shared" si="1"/>
        <v>2</v>
      </c>
      <c r="N17" s="11">
        <f>IFERROR(VLOOKUP(L17,Backtest!C:D,2,FALSE)/VLOOKUP(K17,Backtest!C:D,2,FALSE)-1,"")</f>
        <v>5.3620938227791903E-3</v>
      </c>
    </row>
    <row r="18" spans="1:14" x14ac:dyDescent="0.3">
      <c r="A18" s="9">
        <v>16</v>
      </c>
      <c r="B18" s="10">
        <f>IFERROR(INDEX(Backtest!C:C,MATCH(Trades!A18,Backtest!K:K,0)),"")</f>
        <v>42257</v>
      </c>
      <c r="C18" s="10">
        <f>IFERROR(INDEX(Backtest!C:C,MATCH(Trades!A18,Backtest!L:L,0)),IF(ISNUMBER(B18),Backtest!$C$2519,""))</f>
        <v>42275</v>
      </c>
      <c r="D18" s="1">
        <f t="shared" si="0"/>
        <v>13</v>
      </c>
      <c r="E18" s="11">
        <f>IFERROR(VLOOKUP(C18,Backtest!C:D,2,FALSE)/VLOOKUP(B18,Backtest!C:D,2,FALSE)-1,"")</f>
        <v>-3.5169629413094872E-2</v>
      </c>
      <c r="J18" s="9">
        <v>16</v>
      </c>
      <c r="K18" s="10">
        <f>IFERROR(INDEX(Backtest!C:C,MATCH(Trades!A18,Backtest!M:M,0)),"")</f>
        <v>42275</v>
      </c>
      <c r="L18" s="10">
        <f>IFERROR(INDEX(Backtest!C:C,MATCH(Trades!A18,Backtest!N:N,0)),IF(ISNUMBER(K18),Backtest!$C$2519,""))</f>
        <v>42277</v>
      </c>
      <c r="M18" s="1">
        <f t="shared" si="1"/>
        <v>3</v>
      </c>
      <c r="N18" s="11">
        <f>IFERROR(VLOOKUP(L18,Backtest!C:D,2,FALSE)/VLOOKUP(K18,Backtest!C:D,2,FALSE)-1,"")</f>
        <v>2.0453837381131379E-2</v>
      </c>
    </row>
    <row r="19" spans="1:14" x14ac:dyDescent="0.3">
      <c r="A19" s="9">
        <v>17</v>
      </c>
      <c r="B19" s="10">
        <f>IFERROR(INDEX(Backtest!C:C,MATCH(Trades!A19,Backtest!K:K,0)),"")</f>
        <v>42277</v>
      </c>
      <c r="C19" s="10">
        <f>IFERROR(INDEX(Backtest!C:C,MATCH(Trades!A19,Backtest!L:L,0)),IF(ISNUMBER(B19),Backtest!$C$2519,""))</f>
        <v>42376</v>
      </c>
      <c r="D19" s="1">
        <f t="shared" si="0"/>
        <v>72</v>
      </c>
      <c r="E19" s="11">
        <f>IFERROR(VLOOKUP(C19,Backtest!C:D,2,FALSE)/VLOOKUP(B19,Backtest!C:D,2,FALSE)-1,"")</f>
        <v>1.8240027785791701E-2</v>
      </c>
      <c r="J19" s="9">
        <v>17</v>
      </c>
      <c r="K19" s="10">
        <f>IFERROR(INDEX(Backtest!C:C,MATCH(Trades!A19,Backtest!M:M,0)),"")</f>
        <v>42376</v>
      </c>
      <c r="L19" s="10">
        <f>IFERROR(INDEX(Backtest!C:C,MATCH(Trades!A19,Backtest!N:N,0)),IF(ISNUMBER(K19),Backtest!$C$2519,""))</f>
        <v>42398</v>
      </c>
      <c r="M19" s="1">
        <f t="shared" si="1"/>
        <v>17</v>
      </c>
      <c r="N19" s="11">
        <f>IFERROR(VLOOKUP(L19,Backtest!C:D,2,FALSE)/VLOOKUP(K19,Backtest!C:D,2,FALSE)-1,"")</f>
        <v>-9.1602045503935692E-4</v>
      </c>
    </row>
    <row r="20" spans="1:14" x14ac:dyDescent="0.3">
      <c r="A20" s="9">
        <v>18</v>
      </c>
      <c r="B20" s="10">
        <f>IFERROR(INDEX(Backtest!C:C,MATCH(Trades!A20,Backtest!K:K,0)),"")</f>
        <v>42398</v>
      </c>
      <c r="C20" s="10">
        <f>IFERROR(INDEX(Backtest!C:C,MATCH(Trades!A20,Backtest!L:L,0)),IF(ISNUMBER(B20),Backtest!$C$2519,""))</f>
        <v>42405</v>
      </c>
      <c r="D20" s="1">
        <f t="shared" si="0"/>
        <v>6</v>
      </c>
      <c r="E20" s="11">
        <f>IFERROR(VLOOKUP(C20,Backtest!C:D,2,FALSE)/VLOOKUP(B20,Backtest!C:D,2,FALSE)-1,"")</f>
        <v>-3.0385797200409681E-2</v>
      </c>
      <c r="J20" s="9">
        <v>18</v>
      </c>
      <c r="K20" s="10">
        <f>IFERROR(INDEX(Backtest!C:C,MATCH(Trades!A20,Backtest!M:M,0)),"")</f>
        <v>42405</v>
      </c>
      <c r="L20" s="10">
        <f>IFERROR(INDEX(Backtest!C:C,MATCH(Trades!A20,Backtest!N:N,0)),IF(ISNUMBER(K20),Backtest!$C$2519,""))</f>
        <v>42412</v>
      </c>
      <c r="M20" s="1">
        <f t="shared" si="1"/>
        <v>6</v>
      </c>
      <c r="N20" s="11">
        <f>IFERROR(VLOOKUP(L20,Backtest!C:D,2,FALSE)/VLOOKUP(K20,Backtest!C:D,2,FALSE)-1,"")</f>
        <v>-7.1899136756019555E-3</v>
      </c>
    </row>
    <row r="21" spans="1:14" x14ac:dyDescent="0.3">
      <c r="A21" s="9">
        <v>19</v>
      </c>
      <c r="B21" s="10">
        <f>IFERROR(INDEX(Backtest!C:C,MATCH(Trades!A21,Backtest!K:K,0)),"")</f>
        <v>42412</v>
      </c>
      <c r="C21" s="10">
        <f>IFERROR(INDEX(Backtest!C:C,MATCH(Trades!A21,Backtest!L:L,0)),IF(ISNUMBER(B21),Backtest!$C$2519,""))</f>
        <v>43182</v>
      </c>
      <c r="D21" s="1">
        <f t="shared" si="0"/>
        <v>551</v>
      </c>
      <c r="E21" s="11">
        <f>IFERROR(VLOOKUP(C21,Backtest!C:D,2,FALSE)/VLOOKUP(B21,Backtest!C:D,2,FALSE)-1,"")</f>
        <v>0.44983525346940167</v>
      </c>
      <c r="J21" s="9">
        <v>19</v>
      </c>
      <c r="K21" s="10">
        <f>IFERROR(INDEX(Backtest!C:C,MATCH(Trades!A21,Backtest!M:M,0)),"")</f>
        <v>43182</v>
      </c>
      <c r="L21" s="10">
        <f>IFERROR(INDEX(Backtest!C:C,MATCH(Trades!A21,Backtest!N:N,0)),IF(ISNUMBER(K21),Backtest!$C$2519,""))</f>
        <v>43185</v>
      </c>
      <c r="M21" s="1">
        <f t="shared" si="1"/>
        <v>2</v>
      </c>
      <c r="N21" s="11">
        <f>IFERROR(VLOOKUP(L21,Backtest!C:D,2,FALSE)/VLOOKUP(K21,Backtest!C:D,2,FALSE)-1,"")</f>
        <v>2.7157069498503716E-2</v>
      </c>
    </row>
    <row r="22" spans="1:14" x14ac:dyDescent="0.3">
      <c r="A22" s="9">
        <v>20</v>
      </c>
      <c r="B22" s="10">
        <f>IFERROR(INDEX(Backtest!C:C,MATCH(Trades!A22,Backtest!K:K,0)),"")</f>
        <v>43185</v>
      </c>
      <c r="C22" s="10">
        <f>IFERROR(INDEX(Backtest!C:C,MATCH(Trades!A22,Backtest!L:L,0)),IF(ISNUMBER(B22),Backtest!$C$2519,""))</f>
        <v>43192</v>
      </c>
      <c r="D22" s="1">
        <f t="shared" si="0"/>
        <v>6</v>
      </c>
      <c r="E22" s="11">
        <f>IFERROR(VLOOKUP(C22,Backtest!C:D,2,FALSE)/VLOOKUP(B22,Backtest!C:D,2,FALSE)-1,"")</f>
        <v>-2.8617029245067371E-2</v>
      </c>
      <c r="J22" s="9">
        <v>20</v>
      </c>
      <c r="K22" s="10">
        <f>IFERROR(INDEX(Backtest!C:C,MATCH(Trades!A22,Backtest!M:M,0)),"")</f>
        <v>43192</v>
      </c>
      <c r="L22" s="10">
        <f>IFERROR(INDEX(Backtest!C:C,MATCH(Trades!A22,Backtest!N:N,0)),IF(ISNUMBER(K22),Backtest!$C$2519,""))</f>
        <v>43193</v>
      </c>
      <c r="M22" s="1">
        <f t="shared" si="1"/>
        <v>2</v>
      </c>
      <c r="N22" s="11">
        <f>IFERROR(VLOOKUP(L22,Backtest!C:D,2,FALSE)/VLOOKUP(K22,Backtest!C:D,2,FALSE)-1,"")</f>
        <v>1.2655975356338667E-2</v>
      </c>
    </row>
    <row r="23" spans="1:14" x14ac:dyDescent="0.3">
      <c r="A23" s="9">
        <v>21</v>
      </c>
      <c r="B23" s="10">
        <f>IFERROR(INDEX(Backtest!C:C,MATCH(Trades!A23,Backtest!K:K,0)),"")</f>
        <v>43193</v>
      </c>
      <c r="C23" s="10">
        <f>IFERROR(INDEX(Backtest!C:C,MATCH(Trades!A23,Backtest!L:L,0)),IF(ISNUMBER(B23),Backtest!$C$2519,""))</f>
        <v>43384</v>
      </c>
      <c r="D23" s="1">
        <f t="shared" si="0"/>
        <v>138</v>
      </c>
      <c r="E23" s="11">
        <f>IFERROR(VLOOKUP(C23,Backtest!C:D,2,FALSE)/VLOOKUP(B23,Backtest!C:D,2,FALSE)-1,"")</f>
        <v>5.424761309721382E-2</v>
      </c>
      <c r="J23" s="9">
        <v>21</v>
      </c>
      <c r="K23" s="10">
        <f>IFERROR(INDEX(Backtest!C:C,MATCH(Trades!A23,Backtest!M:M,0)),"")</f>
        <v>43384</v>
      </c>
      <c r="L23" s="10">
        <f>IFERROR(INDEX(Backtest!C:C,MATCH(Trades!A23,Backtest!N:N,0)),IF(ISNUMBER(K23),Backtest!$C$2519,""))</f>
        <v>43385</v>
      </c>
      <c r="M23" s="1">
        <f t="shared" si="1"/>
        <v>2</v>
      </c>
      <c r="N23" s="11">
        <f>IFERROR(VLOOKUP(L23,Backtest!C:D,2,FALSE)/VLOOKUP(K23,Backtest!C:D,2,FALSE)-1,"")</f>
        <v>1.4314182319234536E-2</v>
      </c>
    </row>
    <row r="24" spans="1:14" x14ac:dyDescent="0.3">
      <c r="A24" s="9">
        <v>22</v>
      </c>
      <c r="B24" s="10">
        <f>IFERROR(INDEX(Backtest!C:C,MATCH(Trades!A24,Backtest!K:K,0)),"")</f>
        <v>43385</v>
      </c>
      <c r="C24" s="10">
        <f>IFERROR(INDEX(Backtest!C:C,MATCH(Trades!A24,Backtest!L:L,0)),IF(ISNUMBER(B24),Backtest!$C$2519,""))</f>
        <v>43397</v>
      </c>
      <c r="D24" s="1">
        <f t="shared" si="0"/>
        <v>9</v>
      </c>
      <c r="E24" s="11">
        <f>IFERROR(VLOOKUP(C24,Backtest!C:D,2,FALSE)/VLOOKUP(B24,Backtest!C:D,2,FALSE)-1,"")</f>
        <v>-3.9844216453678527E-2</v>
      </c>
      <c r="J24" s="9">
        <v>22</v>
      </c>
      <c r="K24" s="10">
        <f>IFERROR(INDEX(Backtest!C:C,MATCH(Trades!A24,Backtest!M:M,0)),"")</f>
        <v>43397</v>
      </c>
      <c r="L24" s="10">
        <f>IFERROR(INDEX(Backtest!C:C,MATCH(Trades!A24,Backtest!N:N,0)),IF(ISNUMBER(K24),Backtest!$C$2519,""))</f>
        <v>43404</v>
      </c>
      <c r="M24" s="1">
        <f t="shared" si="1"/>
        <v>6</v>
      </c>
      <c r="N24" s="11">
        <f>IFERROR(VLOOKUP(L24,Backtest!C:D,2,FALSE)/VLOOKUP(K24,Backtest!C:D,2,FALSE)-1,"")</f>
        <v>2.1085419911345493E-2</v>
      </c>
    </row>
    <row r="25" spans="1:14" x14ac:dyDescent="0.3">
      <c r="A25" s="9">
        <v>23</v>
      </c>
      <c r="B25" s="10">
        <f>IFERROR(INDEX(Backtest!C:C,MATCH(Trades!A25,Backtest!K:K,0)),"")</f>
        <v>43404</v>
      </c>
      <c r="C25" s="10">
        <f>IFERROR(INDEX(Backtest!C:C,MATCH(Trades!A25,Backtest!L:L,0)),IF(ISNUMBER(B25),Backtest!$C$2519,""))</f>
        <v>43424</v>
      </c>
      <c r="D25" s="1">
        <f t="shared" si="0"/>
        <v>15</v>
      </c>
      <c r="E25" s="11">
        <f>IFERROR(VLOOKUP(C25,Backtest!C:D,2,FALSE)/VLOOKUP(B25,Backtest!C:D,2,FALSE)-1,"")</f>
        <v>-2.407304976822755E-2</v>
      </c>
      <c r="J25" s="9">
        <v>23</v>
      </c>
      <c r="K25" s="10">
        <f>IFERROR(INDEX(Backtest!C:C,MATCH(Trades!A25,Backtest!M:M,0)),"")</f>
        <v>43424</v>
      </c>
      <c r="L25" s="10">
        <f>IFERROR(INDEX(Backtest!C:C,MATCH(Trades!A25,Backtest!N:N,0)),IF(ISNUMBER(K25),Backtest!$C$2519,""))</f>
        <v>43430</v>
      </c>
      <c r="M25" s="1">
        <f t="shared" si="1"/>
        <v>5</v>
      </c>
      <c r="N25" s="11">
        <f>IFERROR(VLOOKUP(L25,Backtest!C:D,2,FALSE)/VLOOKUP(K25,Backtest!C:D,2,FALSE)-1,"")</f>
        <v>1.2201754503142093E-2</v>
      </c>
    </row>
    <row r="26" spans="1:14" x14ac:dyDescent="0.3">
      <c r="A26" s="9">
        <v>24</v>
      </c>
      <c r="B26" s="10">
        <f>IFERROR(INDEX(Backtest!C:C,MATCH(Trades!A26,Backtest!K:K,0)),"")</f>
        <v>43430</v>
      </c>
      <c r="C26" s="10">
        <f>IFERROR(INDEX(Backtest!C:C,MATCH(Trades!A26,Backtest!L:L,0)),IF(ISNUMBER(B26),Backtest!$C$2519,""))</f>
        <v>43451</v>
      </c>
      <c r="D26" s="1">
        <f t="shared" si="0"/>
        <v>16</v>
      </c>
      <c r="E26" s="11">
        <f>IFERROR(VLOOKUP(C26,Backtest!C:D,2,FALSE)/VLOOKUP(B26,Backtest!C:D,2,FALSE)-1,"")</f>
        <v>-4.6301306330679526E-2</v>
      </c>
      <c r="J26" s="9">
        <v>24</v>
      </c>
      <c r="K26" s="10">
        <f>IFERROR(INDEX(Backtest!C:C,MATCH(Trades!A26,Backtest!M:M,0)),"")</f>
        <v>43451</v>
      </c>
      <c r="L26" s="10">
        <f>IFERROR(INDEX(Backtest!C:C,MATCH(Trades!A26,Backtest!N:N,0)),IF(ISNUMBER(K26),Backtest!$C$2519,""))</f>
        <v>43469</v>
      </c>
      <c r="M26" s="1">
        <f t="shared" si="1"/>
        <v>15</v>
      </c>
      <c r="N26" s="11">
        <f>IFERROR(VLOOKUP(L26,Backtest!C:D,2,FALSE)/VLOOKUP(K26,Backtest!C:D,2,FALSE)-1,"")</f>
        <v>-4.5724294169510182E-3</v>
      </c>
    </row>
    <row r="27" spans="1:14" x14ac:dyDescent="0.3">
      <c r="A27" s="9">
        <v>25</v>
      </c>
      <c r="B27" s="10">
        <f>IFERROR(INDEX(Backtest!C:C,MATCH(Trades!A27,Backtest!K:K,0)),"")</f>
        <v>43469</v>
      </c>
      <c r="C27" s="10">
        <f>IFERROR(INDEX(Backtest!C:C,MATCH(Trades!A27,Backtest!L:L,0)),IF(ISNUMBER(B27),Backtest!$C$2519,""))</f>
        <v>43830</v>
      </c>
      <c r="D27" s="1">
        <f t="shared" si="0"/>
        <v>258</v>
      </c>
      <c r="E27" s="11">
        <f>IFERROR(VLOOKUP(C27,Backtest!C:D,2,FALSE)/VLOOKUP(B27,Backtest!C:D,2,FALSE)-1,"")</f>
        <v>0.30148646099156973</v>
      </c>
      <c r="J27" s="9">
        <v>25</v>
      </c>
      <c r="K27" s="10" t="str">
        <f>IFERROR(INDEX(Backtest!C:C,MATCH(Trades!A27,Backtest!M:M,0)),"")</f>
        <v/>
      </c>
      <c r="L27" s="10" t="str">
        <f>IFERROR(INDEX(Backtest!C:C,MATCH(Trades!A27,Backtest!N:N,0)),IF(ISNUMBER(K27),Backtest!$C$2519,""))</f>
        <v/>
      </c>
      <c r="M27" s="1" t="str">
        <f t="shared" si="1"/>
        <v/>
      </c>
      <c r="N27" s="11" t="str">
        <f>IFERROR(VLOOKUP(L27,Backtest!C:D,2,FALSE)/VLOOKUP(K27,Backtest!C:D,2,FALSE)-1,"")</f>
        <v/>
      </c>
    </row>
    <row r="28" spans="1:14" x14ac:dyDescent="0.3">
      <c r="A28" s="9">
        <v>26</v>
      </c>
      <c r="B28" s="10" t="str">
        <f>IFERROR(INDEX(Backtest!C:C,MATCH(Trades!A28,Backtest!K:K,0)),"")</f>
        <v/>
      </c>
      <c r="C28" s="10" t="str">
        <f>IFERROR(INDEX(Backtest!C:C,MATCH(Trades!A28,Backtest!L:L,0)),IF(ISNUMBER(B28),Backtest!$C$2519,""))</f>
        <v/>
      </c>
      <c r="D28" s="1" t="str">
        <f t="shared" si="0"/>
        <v/>
      </c>
      <c r="E28" s="11" t="str">
        <f>IFERROR(VLOOKUP(C28,Backtest!C:D,2,FALSE)/VLOOKUP(B28,Backtest!C:D,2,FALSE)-1,"")</f>
        <v/>
      </c>
      <c r="J28" s="9">
        <v>26</v>
      </c>
      <c r="K28" s="10" t="str">
        <f>IFERROR(INDEX(Backtest!C:C,MATCH(Trades!A28,Backtest!M:M,0)),"")</f>
        <v/>
      </c>
      <c r="L28" s="10" t="str">
        <f>IFERROR(INDEX(Backtest!C:C,MATCH(Trades!A28,Backtest!N:N,0)),IF(ISNUMBER(K28),Backtest!$C$2519,""))</f>
        <v/>
      </c>
      <c r="M28" s="1" t="str">
        <f t="shared" si="1"/>
        <v/>
      </c>
      <c r="N28" s="11" t="str">
        <f>IFERROR(VLOOKUP(L28,Backtest!C:D,2,FALSE)/VLOOKUP(K28,Backtest!C:D,2,FALSE)-1,"")</f>
        <v/>
      </c>
    </row>
    <row r="29" spans="1:14" x14ac:dyDescent="0.3">
      <c r="A29" s="9">
        <v>27</v>
      </c>
      <c r="B29" s="10" t="str">
        <f>IFERROR(INDEX(Backtest!C:C,MATCH(Trades!A29,Backtest!K:K,0)),"")</f>
        <v/>
      </c>
      <c r="C29" s="10" t="str">
        <f>IFERROR(INDEX(Backtest!C:C,MATCH(Trades!A29,Backtest!L:L,0)),IF(ISNUMBER(B29),Backtest!$C$2519,""))</f>
        <v/>
      </c>
      <c r="D29" s="1" t="str">
        <f t="shared" si="0"/>
        <v/>
      </c>
      <c r="E29" s="11" t="str">
        <f>IFERROR(VLOOKUP(C29,Backtest!C:D,2,FALSE)/VLOOKUP(B29,Backtest!C:D,2,FALSE)-1,"")</f>
        <v/>
      </c>
      <c r="J29" s="9">
        <v>27</v>
      </c>
      <c r="K29" s="10" t="str">
        <f>IFERROR(INDEX(Backtest!C:C,MATCH(Trades!A29,Backtest!M:M,0)),"")</f>
        <v/>
      </c>
      <c r="L29" s="10" t="str">
        <f>IFERROR(INDEX(Backtest!C:C,MATCH(Trades!A29,Backtest!N:N,0)),IF(ISNUMBER(K29),Backtest!$C$2519,""))</f>
        <v/>
      </c>
      <c r="M29" s="1" t="str">
        <f t="shared" si="1"/>
        <v/>
      </c>
      <c r="N29" s="11" t="str">
        <f>IFERROR(VLOOKUP(L29,Backtest!C:D,2,FALSE)/VLOOKUP(K29,Backtest!C:D,2,FALSE)-1,"")</f>
        <v/>
      </c>
    </row>
    <row r="30" spans="1:14" x14ac:dyDescent="0.3">
      <c r="A30" s="9">
        <v>28</v>
      </c>
      <c r="B30" s="10" t="str">
        <f>IFERROR(INDEX(Backtest!C:C,MATCH(Trades!A30,Backtest!K:K,0)),"")</f>
        <v/>
      </c>
      <c r="C30" s="10" t="str">
        <f>IFERROR(INDEX(Backtest!C:C,MATCH(Trades!A30,Backtest!L:L,0)),IF(ISNUMBER(B30),Backtest!$C$2519,""))</f>
        <v/>
      </c>
      <c r="D30" s="1" t="str">
        <f t="shared" si="0"/>
        <v/>
      </c>
      <c r="E30" s="11" t="str">
        <f>IFERROR(VLOOKUP(C30,Backtest!C:D,2,FALSE)/VLOOKUP(B30,Backtest!C:D,2,FALSE)-1,"")</f>
        <v/>
      </c>
      <c r="J30" s="9">
        <v>28</v>
      </c>
      <c r="K30" s="10" t="str">
        <f>IFERROR(INDEX(Backtest!C:C,MATCH(Trades!A30,Backtest!M:M,0)),"")</f>
        <v/>
      </c>
      <c r="L30" s="10" t="str">
        <f>IFERROR(INDEX(Backtest!C:C,MATCH(Trades!A30,Backtest!N:N,0)),IF(ISNUMBER(K30),Backtest!$C$2519,""))</f>
        <v/>
      </c>
      <c r="M30" s="1" t="str">
        <f t="shared" si="1"/>
        <v/>
      </c>
      <c r="N30" s="11" t="str">
        <f>IFERROR(VLOOKUP(L30,Backtest!C:D,2,FALSE)/VLOOKUP(K30,Backtest!C:D,2,FALSE)-1,"")</f>
        <v/>
      </c>
    </row>
    <row r="31" spans="1:14" x14ac:dyDescent="0.3">
      <c r="A31" s="9">
        <v>29</v>
      </c>
      <c r="B31" s="10" t="str">
        <f>IFERROR(INDEX(Backtest!C:C,MATCH(Trades!A31,Backtest!K:K,0)),"")</f>
        <v/>
      </c>
      <c r="C31" s="10" t="str">
        <f>IFERROR(INDEX(Backtest!C:C,MATCH(Trades!A31,Backtest!L:L,0)),IF(ISNUMBER(B31),Backtest!$C$2519,""))</f>
        <v/>
      </c>
      <c r="D31" s="1" t="str">
        <f t="shared" si="0"/>
        <v/>
      </c>
      <c r="E31" s="11" t="str">
        <f>IFERROR(VLOOKUP(C31,Backtest!C:D,2,FALSE)/VLOOKUP(B31,Backtest!C:D,2,FALSE)-1,"")</f>
        <v/>
      </c>
      <c r="J31" s="9">
        <v>29</v>
      </c>
      <c r="K31" s="10" t="str">
        <f>IFERROR(INDEX(Backtest!C:C,MATCH(Trades!A31,Backtest!M:M,0)),"")</f>
        <v/>
      </c>
      <c r="L31" s="10" t="str">
        <f>IFERROR(INDEX(Backtest!C:C,MATCH(Trades!A31,Backtest!N:N,0)),IF(ISNUMBER(K31),Backtest!$C$2519,""))</f>
        <v/>
      </c>
      <c r="M31" s="1" t="str">
        <f t="shared" si="1"/>
        <v/>
      </c>
      <c r="N31" s="11" t="str">
        <f>IFERROR(VLOOKUP(L31,Backtest!C:D,2,FALSE)/VLOOKUP(K31,Backtest!C:D,2,FALSE)-1,"")</f>
        <v/>
      </c>
    </row>
    <row r="32" spans="1:14" x14ac:dyDescent="0.3">
      <c r="A32" s="9">
        <v>30</v>
      </c>
      <c r="B32" s="10" t="str">
        <f>IFERROR(INDEX(Backtest!C:C,MATCH(Trades!A32,Backtest!K:K,0)),"")</f>
        <v/>
      </c>
      <c r="C32" s="10" t="str">
        <f>IFERROR(INDEX(Backtest!C:C,MATCH(Trades!A32,Backtest!L:L,0)),IF(ISNUMBER(B32),Backtest!$C$2519,""))</f>
        <v/>
      </c>
      <c r="D32" s="1" t="str">
        <f t="shared" si="0"/>
        <v/>
      </c>
      <c r="E32" s="11" t="str">
        <f>IFERROR(VLOOKUP(C32,Backtest!C:D,2,FALSE)/VLOOKUP(B32,Backtest!C:D,2,FALSE)-1,"")</f>
        <v/>
      </c>
      <c r="J32" s="9">
        <v>30</v>
      </c>
      <c r="K32" s="10" t="str">
        <f>IFERROR(INDEX(Backtest!C:C,MATCH(Trades!A32,Backtest!M:M,0)),"")</f>
        <v/>
      </c>
      <c r="L32" s="10" t="str">
        <f>IFERROR(INDEX(Backtest!C:C,MATCH(Trades!A32,Backtest!N:N,0)),IF(ISNUMBER(K32),Backtest!$C$2519,""))</f>
        <v/>
      </c>
      <c r="M32" s="1" t="str">
        <f t="shared" si="1"/>
        <v/>
      </c>
      <c r="N32" s="11" t="str">
        <f>IFERROR(VLOOKUP(L32,Backtest!C:D,2,FALSE)/VLOOKUP(K32,Backtest!C:D,2,FALSE)-1,"")</f>
        <v/>
      </c>
    </row>
    <row r="33" spans="1:14" x14ac:dyDescent="0.3">
      <c r="A33" s="9">
        <v>31</v>
      </c>
      <c r="B33" s="10" t="str">
        <f>IFERROR(INDEX(Backtest!C:C,MATCH(Trades!A33,Backtest!K:K,0)),"")</f>
        <v/>
      </c>
      <c r="C33" s="10" t="str">
        <f>IFERROR(INDEX(Backtest!C:C,MATCH(Trades!A33,Backtest!L:L,0)),IF(ISNUMBER(B33),Backtest!$C$2519,""))</f>
        <v/>
      </c>
      <c r="D33" s="1" t="str">
        <f t="shared" si="0"/>
        <v/>
      </c>
      <c r="E33" s="11" t="str">
        <f>IFERROR(VLOOKUP(C33,Backtest!C:D,2,FALSE)/VLOOKUP(B33,Backtest!C:D,2,FALSE)-1,"")</f>
        <v/>
      </c>
      <c r="J33" s="9">
        <v>31</v>
      </c>
      <c r="K33" s="10" t="str">
        <f>IFERROR(INDEX(Backtest!C:C,MATCH(Trades!A33,Backtest!M:M,0)),"")</f>
        <v/>
      </c>
      <c r="L33" s="10" t="str">
        <f>IFERROR(INDEX(Backtest!C:C,MATCH(Trades!A33,Backtest!N:N,0)),IF(ISNUMBER(K33),Backtest!$C$2519,""))</f>
        <v/>
      </c>
      <c r="M33" s="1" t="str">
        <f t="shared" si="1"/>
        <v/>
      </c>
      <c r="N33" s="11" t="str">
        <f>IFERROR(VLOOKUP(L33,Backtest!C:D,2,FALSE)/VLOOKUP(K33,Backtest!C:D,2,FALSE)-1,"")</f>
        <v/>
      </c>
    </row>
    <row r="34" spans="1:14" x14ac:dyDescent="0.3">
      <c r="A34" s="9">
        <v>32</v>
      </c>
      <c r="B34" s="10" t="str">
        <f>IFERROR(INDEX(Backtest!C:C,MATCH(Trades!A34,Backtest!K:K,0)),"")</f>
        <v/>
      </c>
      <c r="C34" s="10" t="str">
        <f>IFERROR(INDEX(Backtest!C:C,MATCH(Trades!A34,Backtest!L:L,0)),IF(ISNUMBER(B34),Backtest!$C$2519,""))</f>
        <v/>
      </c>
      <c r="D34" s="1" t="str">
        <f t="shared" si="0"/>
        <v/>
      </c>
      <c r="E34" s="11" t="str">
        <f>IFERROR(VLOOKUP(C34,Backtest!C:D,2,FALSE)/VLOOKUP(B34,Backtest!C:D,2,FALSE)-1,"")</f>
        <v/>
      </c>
      <c r="J34" s="9">
        <v>32</v>
      </c>
      <c r="K34" s="10" t="str">
        <f>IFERROR(INDEX(Backtest!C:C,MATCH(Trades!A34,Backtest!M:M,0)),"")</f>
        <v/>
      </c>
      <c r="L34" s="10" t="str">
        <f>IFERROR(INDEX(Backtest!C:C,MATCH(Trades!A34,Backtest!N:N,0)),IF(ISNUMBER(K34),Backtest!$C$2519,""))</f>
        <v/>
      </c>
      <c r="M34" s="1" t="str">
        <f t="shared" si="1"/>
        <v/>
      </c>
      <c r="N34" s="11" t="str">
        <f>IFERROR(VLOOKUP(L34,Backtest!C:D,2,FALSE)/VLOOKUP(K34,Backtest!C:D,2,FALSE)-1,"")</f>
        <v/>
      </c>
    </row>
    <row r="35" spans="1:14" x14ac:dyDescent="0.3">
      <c r="A35" s="9">
        <v>33</v>
      </c>
      <c r="B35" s="10" t="str">
        <f>IFERROR(INDEX(Backtest!C:C,MATCH(Trades!A35,Backtest!K:K,0)),"")</f>
        <v/>
      </c>
      <c r="C35" s="10" t="str">
        <f>IFERROR(INDEX(Backtest!C:C,MATCH(Trades!A35,Backtest!L:L,0)),IF(ISNUMBER(B35),Backtest!$C$2519,""))</f>
        <v/>
      </c>
      <c r="D35" s="1" t="str">
        <f t="shared" si="0"/>
        <v/>
      </c>
      <c r="E35" s="11" t="str">
        <f>IFERROR(VLOOKUP(C35,Backtest!C:D,2,FALSE)/VLOOKUP(B35,Backtest!C:D,2,FALSE)-1,"")</f>
        <v/>
      </c>
      <c r="J35" s="9">
        <v>33</v>
      </c>
      <c r="K35" s="10" t="str">
        <f>IFERROR(INDEX(Backtest!C:C,MATCH(Trades!A35,Backtest!M:M,0)),"")</f>
        <v/>
      </c>
      <c r="L35" s="10" t="str">
        <f>IFERROR(INDEX(Backtest!C:C,MATCH(Trades!A35,Backtest!N:N,0)),IF(ISNUMBER(K35),Backtest!$C$2519,""))</f>
        <v/>
      </c>
      <c r="M35" s="1" t="str">
        <f t="shared" si="1"/>
        <v/>
      </c>
      <c r="N35" s="11" t="str">
        <f>IFERROR(VLOOKUP(L35,Backtest!C:D,2,FALSE)/VLOOKUP(K35,Backtest!C:D,2,FALSE)-1,"")</f>
        <v/>
      </c>
    </row>
    <row r="36" spans="1:14" x14ac:dyDescent="0.3">
      <c r="A36" s="9">
        <v>34</v>
      </c>
      <c r="B36" s="10" t="str">
        <f>IFERROR(INDEX(Backtest!C:C,MATCH(Trades!A36,Backtest!K:K,0)),"")</f>
        <v/>
      </c>
      <c r="C36" s="10" t="str">
        <f>IFERROR(INDEX(Backtest!C:C,MATCH(Trades!A36,Backtest!L:L,0)),IF(ISNUMBER(B36),Backtest!$C$2519,""))</f>
        <v/>
      </c>
      <c r="D36" s="1" t="str">
        <f t="shared" si="0"/>
        <v/>
      </c>
      <c r="E36" s="11" t="str">
        <f>IFERROR(VLOOKUP(C36,Backtest!C:D,2,FALSE)/VLOOKUP(B36,Backtest!C:D,2,FALSE)-1,"")</f>
        <v/>
      </c>
      <c r="J36" s="9">
        <v>34</v>
      </c>
      <c r="K36" s="10" t="str">
        <f>IFERROR(INDEX(Backtest!C:C,MATCH(Trades!A36,Backtest!M:M,0)),"")</f>
        <v/>
      </c>
      <c r="L36" s="10" t="str">
        <f>IFERROR(INDEX(Backtest!C:C,MATCH(Trades!A36,Backtest!N:N,0)),IF(ISNUMBER(K36),Backtest!$C$2519,""))</f>
        <v/>
      </c>
      <c r="M36" s="1" t="str">
        <f t="shared" si="1"/>
        <v/>
      </c>
      <c r="N36" s="11" t="str">
        <f>IFERROR(VLOOKUP(L36,Backtest!C:D,2,FALSE)/VLOOKUP(K36,Backtest!C:D,2,FALSE)-1,"")</f>
        <v/>
      </c>
    </row>
    <row r="37" spans="1:14" x14ac:dyDescent="0.3">
      <c r="A37" s="9">
        <v>35</v>
      </c>
      <c r="B37" s="10" t="str">
        <f>IFERROR(INDEX(Backtest!C:C,MATCH(Trades!A37,Backtest!K:K,0)),"")</f>
        <v/>
      </c>
      <c r="C37" s="10" t="str">
        <f>IFERROR(INDEX(Backtest!C:C,MATCH(Trades!A37,Backtest!L:L,0)),IF(ISNUMBER(B37),Backtest!$C$2519,""))</f>
        <v/>
      </c>
      <c r="D37" s="1" t="str">
        <f t="shared" si="0"/>
        <v/>
      </c>
      <c r="E37" s="11" t="str">
        <f>IFERROR(VLOOKUP(C37,Backtest!C:D,2,FALSE)/VLOOKUP(B37,Backtest!C:D,2,FALSE)-1,"")</f>
        <v/>
      </c>
      <c r="J37" s="9">
        <v>35</v>
      </c>
      <c r="K37" s="10" t="str">
        <f>IFERROR(INDEX(Backtest!C:C,MATCH(Trades!A37,Backtest!M:M,0)),"")</f>
        <v/>
      </c>
      <c r="L37" s="10" t="str">
        <f>IFERROR(INDEX(Backtest!C:C,MATCH(Trades!A37,Backtest!N:N,0)),IF(ISNUMBER(K37),Backtest!$C$2519,""))</f>
        <v/>
      </c>
      <c r="M37" s="1" t="str">
        <f t="shared" si="1"/>
        <v/>
      </c>
      <c r="N37" s="11" t="str">
        <f>IFERROR(VLOOKUP(L37,Backtest!C:D,2,FALSE)/VLOOKUP(K37,Backtest!C:D,2,FALSE)-1,"")</f>
        <v/>
      </c>
    </row>
    <row r="38" spans="1:14" x14ac:dyDescent="0.3">
      <c r="A38" s="9">
        <v>36</v>
      </c>
      <c r="B38" s="10" t="str">
        <f>IFERROR(INDEX(Backtest!C:C,MATCH(Trades!A38,Backtest!K:K,0)),"")</f>
        <v/>
      </c>
      <c r="C38" s="10" t="str">
        <f>IFERROR(INDEX(Backtest!C:C,MATCH(Trades!A38,Backtest!L:L,0)),IF(ISNUMBER(B38),Backtest!$C$2519,""))</f>
        <v/>
      </c>
      <c r="D38" s="1" t="str">
        <f t="shared" si="0"/>
        <v/>
      </c>
      <c r="E38" s="11" t="str">
        <f>IFERROR(VLOOKUP(C38,Backtest!C:D,2,FALSE)/VLOOKUP(B38,Backtest!C:D,2,FALSE)-1,"")</f>
        <v/>
      </c>
      <c r="J38" s="9">
        <v>36</v>
      </c>
      <c r="K38" s="10" t="str">
        <f>IFERROR(INDEX(Backtest!C:C,MATCH(Trades!A38,Backtest!M:M,0)),"")</f>
        <v/>
      </c>
      <c r="L38" s="10" t="str">
        <f>IFERROR(INDEX(Backtest!C:C,MATCH(Trades!A38,Backtest!N:N,0)),IF(ISNUMBER(K38),Backtest!$C$2519,""))</f>
        <v/>
      </c>
      <c r="M38" s="1" t="str">
        <f t="shared" si="1"/>
        <v/>
      </c>
      <c r="N38" s="11" t="str">
        <f>IFERROR(VLOOKUP(L38,Backtest!C:D,2,FALSE)/VLOOKUP(K38,Backtest!C:D,2,FALSE)-1,"")</f>
        <v/>
      </c>
    </row>
    <row r="39" spans="1:14" x14ac:dyDescent="0.3">
      <c r="A39" s="9">
        <v>37</v>
      </c>
      <c r="B39" s="10" t="str">
        <f>IFERROR(INDEX(Backtest!C:C,MATCH(Trades!A39,Backtest!K:K,0)),"")</f>
        <v/>
      </c>
      <c r="C39" s="10" t="str">
        <f>IFERROR(INDEX(Backtest!C:C,MATCH(Trades!A39,Backtest!L:L,0)),IF(ISNUMBER(B39),Backtest!$C$2519,""))</f>
        <v/>
      </c>
      <c r="D39" s="1" t="str">
        <f t="shared" si="0"/>
        <v/>
      </c>
      <c r="E39" s="11" t="str">
        <f>IFERROR(VLOOKUP(C39,Backtest!C:D,2,FALSE)/VLOOKUP(B39,Backtest!C:D,2,FALSE)-1,"")</f>
        <v/>
      </c>
      <c r="J39" s="9">
        <v>37</v>
      </c>
      <c r="K39" s="10" t="str">
        <f>IFERROR(INDEX(Backtest!C:C,MATCH(Trades!A39,Backtest!M:M,0)),"")</f>
        <v/>
      </c>
      <c r="L39" s="10" t="str">
        <f>IFERROR(INDEX(Backtest!C:C,MATCH(Trades!A39,Backtest!N:N,0)),IF(ISNUMBER(K39),Backtest!$C$2519,""))</f>
        <v/>
      </c>
      <c r="M39" s="1" t="str">
        <f t="shared" si="1"/>
        <v/>
      </c>
      <c r="N39" s="11" t="str">
        <f>IFERROR(VLOOKUP(L39,Backtest!C:D,2,FALSE)/VLOOKUP(K39,Backtest!C:D,2,FALSE)-1,"")</f>
        <v/>
      </c>
    </row>
    <row r="40" spans="1:14" x14ac:dyDescent="0.3">
      <c r="A40" s="9">
        <v>38</v>
      </c>
      <c r="B40" s="10" t="str">
        <f>IFERROR(INDEX(Backtest!C:C,MATCH(Trades!A40,Backtest!K:K,0)),"")</f>
        <v/>
      </c>
      <c r="C40" s="10" t="str">
        <f>IFERROR(INDEX(Backtest!C:C,MATCH(Trades!A40,Backtest!L:L,0)),IF(ISNUMBER(B40),Backtest!$C$2519,""))</f>
        <v/>
      </c>
      <c r="D40" s="1" t="str">
        <f t="shared" si="0"/>
        <v/>
      </c>
      <c r="E40" s="11" t="str">
        <f>IFERROR(VLOOKUP(C40,Backtest!C:D,2,FALSE)/VLOOKUP(B40,Backtest!C:D,2,FALSE)-1,"")</f>
        <v/>
      </c>
      <c r="J40" s="9">
        <v>38</v>
      </c>
      <c r="K40" s="10" t="str">
        <f>IFERROR(INDEX(Backtest!C:C,MATCH(Trades!A40,Backtest!M:M,0)),"")</f>
        <v/>
      </c>
      <c r="L40" s="10" t="str">
        <f>IFERROR(INDEX(Backtest!C:C,MATCH(Trades!A40,Backtest!N:N,0)),IF(ISNUMBER(K40),Backtest!$C$2519,""))</f>
        <v/>
      </c>
      <c r="M40" s="1" t="str">
        <f t="shared" si="1"/>
        <v/>
      </c>
      <c r="N40" s="11" t="str">
        <f>IFERROR(VLOOKUP(L40,Backtest!C:D,2,FALSE)/VLOOKUP(K40,Backtest!C:D,2,FALSE)-1,"")</f>
        <v/>
      </c>
    </row>
    <row r="41" spans="1:14" x14ac:dyDescent="0.3">
      <c r="A41" s="9">
        <v>39</v>
      </c>
      <c r="B41" s="10" t="str">
        <f>IFERROR(INDEX(Backtest!C:C,MATCH(Trades!A41,Backtest!K:K,0)),"")</f>
        <v/>
      </c>
      <c r="C41" s="10" t="str">
        <f>IFERROR(INDEX(Backtest!C:C,MATCH(Trades!A41,Backtest!L:L,0)),IF(ISNUMBER(B41),Backtest!$C$2519,""))</f>
        <v/>
      </c>
      <c r="D41" s="1" t="str">
        <f t="shared" si="0"/>
        <v/>
      </c>
      <c r="E41" s="11" t="str">
        <f>IFERROR(VLOOKUP(C41,Backtest!C:D,2,FALSE)/VLOOKUP(B41,Backtest!C:D,2,FALSE)-1,"")</f>
        <v/>
      </c>
      <c r="J41" s="9">
        <v>39</v>
      </c>
      <c r="K41" s="10" t="str">
        <f>IFERROR(INDEX(Backtest!C:C,MATCH(Trades!A41,Backtest!M:M,0)),"")</f>
        <v/>
      </c>
      <c r="L41" s="10" t="str">
        <f>IFERROR(INDEX(Backtest!C:C,MATCH(Trades!A41,Backtest!N:N,0)),IF(ISNUMBER(K41),Backtest!$C$2519,""))</f>
        <v/>
      </c>
      <c r="M41" s="1" t="str">
        <f t="shared" si="1"/>
        <v/>
      </c>
      <c r="N41" s="11" t="str">
        <f>IFERROR(VLOOKUP(L41,Backtest!C:D,2,FALSE)/VLOOKUP(K41,Backtest!C:D,2,FALSE)-1,"")</f>
        <v/>
      </c>
    </row>
    <row r="42" spans="1:14" x14ac:dyDescent="0.3">
      <c r="A42" s="9">
        <v>40</v>
      </c>
      <c r="B42" s="10" t="str">
        <f>IFERROR(INDEX(Backtest!C:C,MATCH(Trades!A42,Backtest!K:K,0)),"")</f>
        <v/>
      </c>
      <c r="C42" s="10" t="str">
        <f>IFERROR(INDEX(Backtest!C:C,MATCH(Trades!A42,Backtest!L:L,0)),IF(ISNUMBER(B42),Backtest!$C$2519,""))</f>
        <v/>
      </c>
      <c r="D42" s="1" t="str">
        <f t="shared" si="0"/>
        <v/>
      </c>
      <c r="E42" s="11" t="str">
        <f>IFERROR(VLOOKUP(C42,Backtest!C:D,2,FALSE)/VLOOKUP(B42,Backtest!C:D,2,FALSE)-1,"")</f>
        <v/>
      </c>
      <c r="J42" s="9">
        <v>40</v>
      </c>
      <c r="K42" s="10" t="str">
        <f>IFERROR(INDEX(Backtest!C:C,MATCH(Trades!A42,Backtest!M:M,0)),"")</f>
        <v/>
      </c>
      <c r="L42" s="10" t="str">
        <f>IFERROR(INDEX(Backtest!C:C,MATCH(Trades!A42,Backtest!N:N,0)),IF(ISNUMBER(K42),Backtest!$C$2519,""))</f>
        <v/>
      </c>
      <c r="M42" s="1" t="str">
        <f t="shared" si="1"/>
        <v/>
      </c>
      <c r="N42" s="11" t="str">
        <f>IFERROR(VLOOKUP(L42,Backtest!C:D,2,FALSE)/VLOOKUP(K42,Backtest!C:D,2,FALSE)-1,"")</f>
        <v/>
      </c>
    </row>
    <row r="43" spans="1:14" x14ac:dyDescent="0.3">
      <c r="A43" s="9">
        <v>41</v>
      </c>
      <c r="B43" s="10" t="str">
        <f>IFERROR(INDEX(Backtest!C:C,MATCH(Trades!A43,Backtest!K:K,0)),"")</f>
        <v/>
      </c>
      <c r="C43" s="10" t="str">
        <f>IFERROR(INDEX(Backtest!C:C,MATCH(Trades!A43,Backtest!L:L,0)),IF(ISNUMBER(B43),Backtest!$C$2519,""))</f>
        <v/>
      </c>
      <c r="D43" s="1" t="str">
        <f t="shared" si="0"/>
        <v/>
      </c>
      <c r="E43" s="11" t="str">
        <f>IFERROR(VLOOKUP(C43,Backtest!C:D,2,FALSE)/VLOOKUP(B43,Backtest!C:D,2,FALSE)-1,"")</f>
        <v/>
      </c>
      <c r="J43" s="9">
        <v>41</v>
      </c>
      <c r="K43" s="10" t="str">
        <f>IFERROR(INDEX(Backtest!C:C,MATCH(Trades!A43,Backtest!M:M,0)),"")</f>
        <v/>
      </c>
      <c r="L43" s="10" t="str">
        <f>IFERROR(INDEX(Backtest!C:C,MATCH(Trades!A43,Backtest!N:N,0)),IF(ISNUMBER(K43),Backtest!$C$2519,""))</f>
        <v/>
      </c>
      <c r="M43" s="1" t="str">
        <f t="shared" si="1"/>
        <v/>
      </c>
      <c r="N43" s="11" t="str">
        <f>IFERROR(VLOOKUP(L43,Backtest!C:D,2,FALSE)/VLOOKUP(K43,Backtest!C:D,2,FALSE)-1,"")</f>
        <v/>
      </c>
    </row>
    <row r="44" spans="1:14" x14ac:dyDescent="0.3">
      <c r="A44" s="9">
        <v>42</v>
      </c>
      <c r="B44" s="10" t="str">
        <f>IFERROR(INDEX(Backtest!C:C,MATCH(Trades!A44,Backtest!K:K,0)),"")</f>
        <v/>
      </c>
      <c r="C44" s="10" t="str">
        <f>IFERROR(INDEX(Backtest!C:C,MATCH(Trades!A44,Backtest!L:L,0)),IF(ISNUMBER(B44),Backtest!$C$2519,""))</f>
        <v/>
      </c>
      <c r="D44" s="1" t="str">
        <f t="shared" si="0"/>
        <v/>
      </c>
      <c r="E44" s="11" t="str">
        <f>IFERROR(VLOOKUP(C44,Backtest!C:D,2,FALSE)/VLOOKUP(B44,Backtest!C:D,2,FALSE)-1,"")</f>
        <v/>
      </c>
      <c r="J44" s="9">
        <v>42</v>
      </c>
      <c r="K44" s="10" t="str">
        <f>IFERROR(INDEX(Backtest!C:C,MATCH(Trades!A44,Backtest!M:M,0)),"")</f>
        <v/>
      </c>
      <c r="L44" s="10" t="str">
        <f>IFERROR(INDEX(Backtest!C:C,MATCH(Trades!A44,Backtest!N:N,0)),IF(ISNUMBER(K44),Backtest!$C$2519,""))</f>
        <v/>
      </c>
      <c r="M44" s="1" t="str">
        <f t="shared" si="1"/>
        <v/>
      </c>
      <c r="N44" s="11" t="str">
        <f>IFERROR(VLOOKUP(L44,Backtest!C:D,2,FALSE)/VLOOKUP(K44,Backtest!C:D,2,FALSE)-1,"")</f>
        <v/>
      </c>
    </row>
    <row r="45" spans="1:14" x14ac:dyDescent="0.3">
      <c r="A45" s="9">
        <v>43</v>
      </c>
      <c r="B45" s="10" t="str">
        <f>IFERROR(INDEX(Backtest!C:C,MATCH(Trades!A45,Backtest!K:K,0)),"")</f>
        <v/>
      </c>
      <c r="C45" s="10" t="str">
        <f>IFERROR(INDEX(Backtest!C:C,MATCH(Trades!A45,Backtest!L:L,0)),IF(ISNUMBER(B45),Backtest!$C$2519,""))</f>
        <v/>
      </c>
      <c r="D45" s="1" t="str">
        <f t="shared" si="0"/>
        <v/>
      </c>
      <c r="E45" s="11" t="str">
        <f>IFERROR(VLOOKUP(C45,Backtest!C:D,2,FALSE)/VLOOKUP(B45,Backtest!C:D,2,FALSE)-1,"")</f>
        <v/>
      </c>
      <c r="J45" s="9">
        <v>43</v>
      </c>
      <c r="K45" s="10" t="str">
        <f>IFERROR(INDEX(Backtest!C:C,MATCH(Trades!A45,Backtest!M:M,0)),"")</f>
        <v/>
      </c>
      <c r="L45" s="10" t="str">
        <f>IFERROR(INDEX(Backtest!C:C,MATCH(Trades!A45,Backtest!N:N,0)),IF(ISNUMBER(K45),Backtest!$C$2519,""))</f>
        <v/>
      </c>
      <c r="M45" s="1" t="str">
        <f t="shared" si="1"/>
        <v/>
      </c>
      <c r="N45" s="11" t="str">
        <f>IFERROR(VLOOKUP(L45,Backtest!C:D,2,FALSE)/VLOOKUP(K45,Backtest!C:D,2,FALSE)-1,"")</f>
        <v/>
      </c>
    </row>
    <row r="46" spans="1:14" x14ac:dyDescent="0.3">
      <c r="A46" s="9">
        <v>44</v>
      </c>
      <c r="B46" s="10" t="str">
        <f>IFERROR(INDEX(Backtest!C:C,MATCH(Trades!A46,Backtest!K:K,0)),"")</f>
        <v/>
      </c>
      <c r="C46" s="10" t="str">
        <f>IFERROR(INDEX(Backtest!C:C,MATCH(Trades!A46,Backtest!L:L,0)),IF(ISNUMBER(B46),Backtest!$C$2519,""))</f>
        <v/>
      </c>
      <c r="D46" s="1" t="str">
        <f t="shared" si="0"/>
        <v/>
      </c>
      <c r="E46" s="11" t="str">
        <f>IFERROR(VLOOKUP(C46,Backtest!C:D,2,FALSE)/VLOOKUP(B46,Backtest!C:D,2,FALSE)-1,"")</f>
        <v/>
      </c>
      <c r="J46" s="9">
        <v>44</v>
      </c>
      <c r="K46" s="10" t="str">
        <f>IFERROR(INDEX(Backtest!C:C,MATCH(Trades!A46,Backtest!M:M,0)),"")</f>
        <v/>
      </c>
      <c r="L46" s="10" t="str">
        <f>IFERROR(INDEX(Backtest!C:C,MATCH(Trades!A46,Backtest!N:N,0)),IF(ISNUMBER(K46),Backtest!$C$2519,""))</f>
        <v/>
      </c>
      <c r="M46" s="1" t="str">
        <f t="shared" si="1"/>
        <v/>
      </c>
      <c r="N46" s="11" t="str">
        <f>IFERROR(VLOOKUP(L46,Backtest!C:D,2,FALSE)/VLOOKUP(K46,Backtest!C:D,2,FALSE)-1,"")</f>
        <v/>
      </c>
    </row>
    <row r="47" spans="1:14" x14ac:dyDescent="0.3">
      <c r="A47" s="9">
        <v>45</v>
      </c>
      <c r="B47" s="10" t="str">
        <f>IFERROR(INDEX(Backtest!C:C,MATCH(Trades!A47,Backtest!K:K,0)),"")</f>
        <v/>
      </c>
      <c r="C47" s="10" t="str">
        <f>IFERROR(INDEX(Backtest!C:C,MATCH(Trades!A47,Backtest!L:L,0)),IF(ISNUMBER(B47),Backtest!$C$2519,""))</f>
        <v/>
      </c>
      <c r="D47" s="1" t="str">
        <f t="shared" si="0"/>
        <v/>
      </c>
      <c r="E47" s="11" t="str">
        <f>IFERROR(VLOOKUP(C47,Backtest!C:D,2,FALSE)/VLOOKUP(B47,Backtest!C:D,2,FALSE)-1,"")</f>
        <v/>
      </c>
      <c r="J47" s="9">
        <v>45</v>
      </c>
      <c r="K47" s="10" t="str">
        <f>IFERROR(INDEX(Backtest!C:C,MATCH(Trades!A47,Backtest!M:M,0)),"")</f>
        <v/>
      </c>
      <c r="L47" s="10" t="str">
        <f>IFERROR(INDEX(Backtest!C:C,MATCH(Trades!A47,Backtest!N:N,0)),IF(ISNUMBER(K47),Backtest!$C$2519,""))</f>
        <v/>
      </c>
      <c r="M47" s="1" t="str">
        <f t="shared" si="1"/>
        <v/>
      </c>
      <c r="N47" s="11" t="str">
        <f>IFERROR(VLOOKUP(L47,Backtest!C:D,2,FALSE)/VLOOKUP(K47,Backtest!C:D,2,FALSE)-1,"")</f>
        <v/>
      </c>
    </row>
    <row r="48" spans="1:14" x14ac:dyDescent="0.3">
      <c r="A48" s="9">
        <v>46</v>
      </c>
      <c r="B48" s="10" t="str">
        <f>IFERROR(INDEX(Backtest!C:C,MATCH(Trades!A48,Backtest!K:K,0)),"")</f>
        <v/>
      </c>
      <c r="C48" s="10" t="str">
        <f>IFERROR(INDEX(Backtest!C:C,MATCH(Trades!A48,Backtest!L:L,0)),IF(ISNUMBER(B48),Backtest!$C$2519,""))</f>
        <v/>
      </c>
      <c r="D48" s="1" t="str">
        <f t="shared" si="0"/>
        <v/>
      </c>
      <c r="E48" s="11" t="str">
        <f>IFERROR(VLOOKUP(C48,Backtest!C:D,2,FALSE)/VLOOKUP(B48,Backtest!C:D,2,FALSE)-1,"")</f>
        <v/>
      </c>
      <c r="J48" s="9">
        <v>46</v>
      </c>
      <c r="K48" s="10" t="str">
        <f>IFERROR(INDEX(Backtest!C:C,MATCH(Trades!A48,Backtest!M:M,0)),"")</f>
        <v/>
      </c>
      <c r="L48" s="10" t="str">
        <f>IFERROR(INDEX(Backtest!C:C,MATCH(Trades!A48,Backtest!N:N,0)),IF(ISNUMBER(K48),Backtest!$C$2519,""))</f>
        <v/>
      </c>
      <c r="M48" s="1" t="str">
        <f t="shared" si="1"/>
        <v/>
      </c>
      <c r="N48" s="11" t="str">
        <f>IFERROR(VLOOKUP(L48,Backtest!C:D,2,FALSE)/VLOOKUP(K48,Backtest!C:D,2,FALSE)-1,"")</f>
        <v/>
      </c>
    </row>
    <row r="49" spans="1:14" x14ac:dyDescent="0.3">
      <c r="A49" s="9">
        <v>47</v>
      </c>
      <c r="B49" s="10" t="str">
        <f>IFERROR(INDEX(Backtest!C:C,MATCH(Trades!A49,Backtest!K:K,0)),"")</f>
        <v/>
      </c>
      <c r="C49" s="10" t="str">
        <f>IFERROR(INDEX(Backtest!C:C,MATCH(Trades!A49,Backtest!L:L,0)),IF(ISNUMBER(B49),Backtest!$C$2519,""))</f>
        <v/>
      </c>
      <c r="D49" s="1" t="str">
        <f t="shared" si="0"/>
        <v/>
      </c>
      <c r="E49" s="11" t="str">
        <f>IFERROR(VLOOKUP(C49,Backtest!C:D,2,FALSE)/VLOOKUP(B49,Backtest!C:D,2,FALSE)-1,"")</f>
        <v/>
      </c>
      <c r="J49" s="9">
        <v>47</v>
      </c>
      <c r="K49" s="10" t="str">
        <f>IFERROR(INDEX(Backtest!C:C,MATCH(Trades!A49,Backtest!M:M,0)),"")</f>
        <v/>
      </c>
      <c r="L49" s="10" t="str">
        <f>IFERROR(INDEX(Backtest!C:C,MATCH(Trades!A49,Backtest!N:N,0)),IF(ISNUMBER(K49),Backtest!$C$2519,""))</f>
        <v/>
      </c>
      <c r="M49" s="1" t="str">
        <f t="shared" si="1"/>
        <v/>
      </c>
      <c r="N49" s="11" t="str">
        <f>IFERROR(VLOOKUP(L49,Backtest!C:D,2,FALSE)/VLOOKUP(K49,Backtest!C:D,2,FALSE)-1,"")</f>
        <v/>
      </c>
    </row>
    <row r="50" spans="1:14" x14ac:dyDescent="0.3">
      <c r="A50" s="9">
        <v>48</v>
      </c>
      <c r="B50" s="10" t="str">
        <f>IFERROR(INDEX(Backtest!C:C,MATCH(Trades!A50,Backtest!K:K,0)),"")</f>
        <v/>
      </c>
      <c r="C50" s="10" t="str">
        <f>IFERROR(INDEX(Backtest!C:C,MATCH(Trades!A50,Backtest!L:L,0)),IF(ISNUMBER(B50),Backtest!$C$2519,""))</f>
        <v/>
      </c>
      <c r="D50" s="1" t="str">
        <f t="shared" si="0"/>
        <v/>
      </c>
      <c r="E50" s="11" t="str">
        <f>IFERROR(VLOOKUP(C50,Backtest!C:D,2,FALSE)/VLOOKUP(B50,Backtest!C:D,2,FALSE)-1,"")</f>
        <v/>
      </c>
      <c r="J50" s="9">
        <v>48</v>
      </c>
      <c r="K50" s="10" t="str">
        <f>IFERROR(INDEX(Backtest!C:C,MATCH(Trades!A50,Backtest!M:M,0)),"")</f>
        <v/>
      </c>
      <c r="L50" s="10" t="str">
        <f>IFERROR(INDEX(Backtest!C:C,MATCH(Trades!A50,Backtest!N:N,0)),IF(ISNUMBER(K50),Backtest!$C$2519,""))</f>
        <v/>
      </c>
      <c r="M50" s="1" t="str">
        <f t="shared" si="1"/>
        <v/>
      </c>
      <c r="N50" s="11" t="str">
        <f>IFERROR(VLOOKUP(L50,Backtest!C:D,2,FALSE)/VLOOKUP(K50,Backtest!C:D,2,FALSE)-1,"")</f>
        <v/>
      </c>
    </row>
    <row r="51" spans="1:14" x14ac:dyDescent="0.3">
      <c r="A51" s="9">
        <v>49</v>
      </c>
      <c r="B51" s="10" t="str">
        <f>IFERROR(INDEX(Backtest!C:C,MATCH(Trades!A51,Backtest!K:K,0)),"")</f>
        <v/>
      </c>
      <c r="C51" s="10" t="str">
        <f>IFERROR(INDEX(Backtest!C:C,MATCH(Trades!A51,Backtest!L:L,0)),IF(ISNUMBER(B51),Backtest!$C$2519,""))</f>
        <v/>
      </c>
      <c r="D51" s="1" t="str">
        <f t="shared" si="0"/>
        <v/>
      </c>
      <c r="E51" s="11" t="str">
        <f>IFERROR(VLOOKUP(C51,Backtest!C:D,2,FALSE)/VLOOKUP(B51,Backtest!C:D,2,FALSE)-1,"")</f>
        <v/>
      </c>
      <c r="J51" s="9">
        <v>49</v>
      </c>
      <c r="K51" s="10" t="str">
        <f>IFERROR(INDEX(Backtest!C:C,MATCH(Trades!A51,Backtest!M:M,0)),"")</f>
        <v/>
      </c>
      <c r="L51" s="10" t="str">
        <f>IFERROR(INDEX(Backtest!C:C,MATCH(Trades!A51,Backtest!N:N,0)),IF(ISNUMBER(K51),Backtest!$C$2519,""))</f>
        <v/>
      </c>
      <c r="M51" s="1" t="str">
        <f t="shared" si="1"/>
        <v/>
      </c>
      <c r="N51" s="11" t="str">
        <f>IFERROR(VLOOKUP(L51,Backtest!C:D,2,FALSE)/VLOOKUP(K51,Backtest!C:D,2,FALSE)-1,"")</f>
        <v/>
      </c>
    </row>
    <row r="52" spans="1:14" x14ac:dyDescent="0.3">
      <c r="A52" s="9">
        <v>50</v>
      </c>
      <c r="B52" s="10" t="str">
        <f>IFERROR(INDEX(Backtest!C:C,MATCH(Trades!A52,Backtest!K:K,0)),"")</f>
        <v/>
      </c>
      <c r="C52" s="10" t="str">
        <f>IFERROR(INDEX(Backtest!C:C,MATCH(Trades!A52,Backtest!L:L,0)),IF(ISNUMBER(B52),Backtest!$C$2519,""))</f>
        <v/>
      </c>
      <c r="D52" s="1" t="str">
        <f t="shared" si="0"/>
        <v/>
      </c>
      <c r="E52" s="11" t="str">
        <f>IFERROR(VLOOKUP(C52,Backtest!C:D,2,FALSE)/VLOOKUP(B52,Backtest!C:D,2,FALSE)-1,"")</f>
        <v/>
      </c>
      <c r="J52" s="9">
        <v>50</v>
      </c>
      <c r="K52" s="10" t="str">
        <f>IFERROR(INDEX(Backtest!C:C,MATCH(Trades!A52,Backtest!M:M,0)),"")</f>
        <v/>
      </c>
      <c r="L52" s="10" t="str">
        <f>IFERROR(INDEX(Backtest!C:C,MATCH(Trades!A52,Backtest!N:N,0)),IF(ISNUMBER(K52),Backtest!$C$2519,""))</f>
        <v/>
      </c>
      <c r="M52" s="1" t="str">
        <f t="shared" si="1"/>
        <v/>
      </c>
      <c r="N52" s="11" t="str">
        <f>IFERROR(VLOOKUP(L52,Backtest!C:D,2,FALSE)/VLOOKUP(K52,Backtest!C:D,2,FALSE)-1,"")</f>
        <v/>
      </c>
    </row>
    <row r="53" spans="1:14" x14ac:dyDescent="0.3">
      <c r="A53" s="9">
        <v>51</v>
      </c>
      <c r="B53" s="10" t="str">
        <f>IFERROR(INDEX(Backtest!C:C,MATCH(Trades!A53,Backtest!K:K,0)),"")</f>
        <v/>
      </c>
      <c r="C53" s="10" t="str">
        <f>IFERROR(INDEX(Backtest!C:C,MATCH(Trades!A53,Backtest!L:L,0)),IF(ISNUMBER(B53),Backtest!$C$2519,""))</f>
        <v/>
      </c>
      <c r="D53" s="1" t="str">
        <f t="shared" si="0"/>
        <v/>
      </c>
      <c r="E53" s="11" t="str">
        <f>IFERROR(VLOOKUP(C53,Backtest!C:D,2,FALSE)/VLOOKUP(B53,Backtest!C:D,2,FALSE)-1,"")</f>
        <v/>
      </c>
      <c r="J53" s="9">
        <v>51</v>
      </c>
      <c r="K53" s="10" t="str">
        <f>IFERROR(INDEX(Backtest!C:C,MATCH(Trades!A53,Backtest!M:M,0)),"")</f>
        <v/>
      </c>
      <c r="L53" s="10" t="str">
        <f>IFERROR(INDEX(Backtest!C:C,MATCH(Trades!A53,Backtest!N:N,0)),IF(ISNUMBER(K53),Backtest!$C$2519,""))</f>
        <v/>
      </c>
      <c r="M53" s="1" t="str">
        <f t="shared" si="1"/>
        <v/>
      </c>
      <c r="N53" s="11" t="str">
        <f>IFERROR(VLOOKUP(L53,Backtest!C:D,2,FALSE)/VLOOKUP(K53,Backtest!C:D,2,FALSE)-1,"")</f>
        <v/>
      </c>
    </row>
    <row r="54" spans="1:14" x14ac:dyDescent="0.3">
      <c r="A54" s="9">
        <v>52</v>
      </c>
      <c r="B54" s="10" t="str">
        <f>IFERROR(INDEX(Backtest!C:C,MATCH(Trades!A54,Backtest!K:K,0)),"")</f>
        <v/>
      </c>
      <c r="C54" s="10" t="str">
        <f>IFERROR(INDEX(Backtest!C:C,MATCH(Trades!A54,Backtest!L:L,0)),IF(ISNUMBER(B54),Backtest!$C$2519,""))</f>
        <v/>
      </c>
      <c r="D54" s="1" t="str">
        <f t="shared" si="0"/>
        <v/>
      </c>
      <c r="E54" s="11" t="str">
        <f>IFERROR(VLOOKUP(C54,Backtest!C:D,2,FALSE)/VLOOKUP(B54,Backtest!C:D,2,FALSE)-1,"")</f>
        <v/>
      </c>
      <c r="J54" s="9">
        <v>52</v>
      </c>
      <c r="K54" s="10" t="str">
        <f>IFERROR(INDEX(Backtest!C:C,MATCH(Trades!A54,Backtest!M:M,0)),"")</f>
        <v/>
      </c>
      <c r="L54" s="10" t="str">
        <f>IFERROR(INDEX(Backtest!C:C,MATCH(Trades!A54,Backtest!N:N,0)),IF(ISNUMBER(K54),Backtest!$C$2519,""))</f>
        <v/>
      </c>
      <c r="M54" s="1" t="str">
        <f t="shared" si="1"/>
        <v/>
      </c>
      <c r="N54" s="11" t="str">
        <f>IFERROR(VLOOKUP(L54,Backtest!C:D,2,FALSE)/VLOOKUP(K54,Backtest!C:D,2,FALSE)-1,"")</f>
        <v/>
      </c>
    </row>
    <row r="55" spans="1:14" x14ac:dyDescent="0.3">
      <c r="A55" s="9">
        <v>53</v>
      </c>
      <c r="B55" s="10" t="str">
        <f>IFERROR(INDEX(Backtest!C:C,MATCH(Trades!A55,Backtest!K:K,0)),"")</f>
        <v/>
      </c>
      <c r="C55" s="10" t="str">
        <f>IFERROR(INDEX(Backtest!C:C,MATCH(Trades!A55,Backtest!L:L,0)),IF(ISNUMBER(B55),Backtest!$C$2519,""))</f>
        <v/>
      </c>
      <c r="D55" s="1" t="str">
        <f t="shared" si="0"/>
        <v/>
      </c>
      <c r="E55" s="11" t="str">
        <f>IFERROR(VLOOKUP(C55,Backtest!C:D,2,FALSE)/VLOOKUP(B55,Backtest!C:D,2,FALSE)-1,"")</f>
        <v/>
      </c>
      <c r="J55" s="9">
        <v>53</v>
      </c>
      <c r="K55" s="10" t="str">
        <f>IFERROR(INDEX(Backtest!C:C,MATCH(Trades!A55,Backtest!M:M,0)),"")</f>
        <v/>
      </c>
      <c r="L55" s="10" t="str">
        <f>IFERROR(INDEX(Backtest!C:C,MATCH(Trades!A55,Backtest!N:N,0)),IF(ISNUMBER(K55),Backtest!$C$2519,""))</f>
        <v/>
      </c>
      <c r="M55" s="1" t="str">
        <f t="shared" si="1"/>
        <v/>
      </c>
      <c r="N55" s="11" t="str">
        <f>IFERROR(VLOOKUP(L55,Backtest!C:D,2,FALSE)/VLOOKUP(K55,Backtest!C:D,2,FALSE)-1,"")</f>
        <v/>
      </c>
    </row>
    <row r="56" spans="1:14" x14ac:dyDescent="0.3">
      <c r="A56" s="9">
        <v>54</v>
      </c>
      <c r="B56" s="10" t="str">
        <f>IFERROR(INDEX(Backtest!C:C,MATCH(Trades!A56,Backtest!K:K,0)),"")</f>
        <v/>
      </c>
      <c r="C56" s="10" t="str">
        <f>IFERROR(INDEX(Backtest!C:C,MATCH(Trades!A56,Backtest!L:L,0)),IF(ISNUMBER(B56),Backtest!$C$2519,""))</f>
        <v/>
      </c>
      <c r="D56" s="1" t="str">
        <f t="shared" si="0"/>
        <v/>
      </c>
      <c r="E56" s="11" t="str">
        <f>IFERROR(VLOOKUP(C56,Backtest!C:D,2,FALSE)/VLOOKUP(B56,Backtest!C:D,2,FALSE)-1,"")</f>
        <v/>
      </c>
      <c r="J56" s="9">
        <v>54</v>
      </c>
      <c r="K56" s="10" t="str">
        <f>IFERROR(INDEX(Backtest!C:C,MATCH(Trades!A56,Backtest!M:M,0)),"")</f>
        <v/>
      </c>
      <c r="L56" s="10" t="str">
        <f>IFERROR(INDEX(Backtest!C:C,MATCH(Trades!A56,Backtest!N:N,0)),IF(ISNUMBER(K56),Backtest!$C$2519,""))</f>
        <v/>
      </c>
      <c r="M56" s="1" t="str">
        <f t="shared" si="1"/>
        <v/>
      </c>
      <c r="N56" s="11" t="str">
        <f>IFERROR(VLOOKUP(L56,Backtest!C:D,2,FALSE)/VLOOKUP(K56,Backtest!C:D,2,FALSE)-1,"")</f>
        <v/>
      </c>
    </row>
    <row r="57" spans="1:14" x14ac:dyDescent="0.3">
      <c r="A57" s="9">
        <v>55</v>
      </c>
      <c r="B57" s="10" t="str">
        <f>IFERROR(INDEX(Backtest!C:C,MATCH(Trades!A57,Backtest!K:K,0)),"")</f>
        <v/>
      </c>
      <c r="C57" s="10" t="str">
        <f>IFERROR(INDEX(Backtest!C:C,MATCH(Trades!A57,Backtest!L:L,0)),IF(ISNUMBER(B57),Backtest!$C$2519,""))</f>
        <v/>
      </c>
      <c r="D57" s="1" t="str">
        <f t="shared" si="0"/>
        <v/>
      </c>
      <c r="E57" s="11" t="str">
        <f>IFERROR(VLOOKUP(C57,Backtest!C:D,2,FALSE)/VLOOKUP(B57,Backtest!C:D,2,FALSE)-1,"")</f>
        <v/>
      </c>
      <c r="J57" s="9">
        <v>55</v>
      </c>
      <c r="K57" s="10" t="str">
        <f>IFERROR(INDEX(Backtest!C:C,MATCH(Trades!A57,Backtest!M:M,0)),"")</f>
        <v/>
      </c>
      <c r="L57" s="10" t="str">
        <f>IFERROR(INDEX(Backtest!C:C,MATCH(Trades!A57,Backtest!N:N,0)),IF(ISNUMBER(K57),Backtest!$C$2519,""))</f>
        <v/>
      </c>
      <c r="M57" s="1" t="str">
        <f t="shared" si="1"/>
        <v/>
      </c>
      <c r="N57" s="11" t="str">
        <f>IFERROR(VLOOKUP(L57,Backtest!C:D,2,FALSE)/VLOOKUP(K57,Backtest!C:D,2,FALSE)-1,"")</f>
        <v/>
      </c>
    </row>
    <row r="58" spans="1:14" x14ac:dyDescent="0.3">
      <c r="A58" s="9">
        <v>56</v>
      </c>
      <c r="B58" s="10" t="str">
        <f>IFERROR(INDEX(Backtest!C:C,MATCH(Trades!A58,Backtest!K:K,0)),"")</f>
        <v/>
      </c>
      <c r="C58" s="10" t="str">
        <f>IFERROR(INDEX(Backtest!C:C,MATCH(Trades!A58,Backtest!L:L,0)),IF(ISNUMBER(B58),Backtest!$C$2519,""))</f>
        <v/>
      </c>
      <c r="D58" s="1" t="str">
        <f t="shared" si="0"/>
        <v/>
      </c>
      <c r="E58" s="11" t="str">
        <f>IFERROR(VLOOKUP(C58,Backtest!C:D,2,FALSE)/VLOOKUP(B58,Backtest!C:D,2,FALSE)-1,"")</f>
        <v/>
      </c>
      <c r="J58" s="9">
        <v>56</v>
      </c>
      <c r="K58" s="10" t="str">
        <f>IFERROR(INDEX(Backtest!C:C,MATCH(Trades!A58,Backtest!M:M,0)),"")</f>
        <v/>
      </c>
      <c r="L58" s="10" t="str">
        <f>IFERROR(INDEX(Backtest!C:C,MATCH(Trades!A58,Backtest!N:N,0)),IF(ISNUMBER(K58),Backtest!$C$2519,""))</f>
        <v/>
      </c>
      <c r="M58" s="1" t="str">
        <f t="shared" si="1"/>
        <v/>
      </c>
      <c r="N58" s="11" t="str">
        <f>IFERROR(VLOOKUP(L58,Backtest!C:D,2,FALSE)/VLOOKUP(K58,Backtest!C:D,2,FALSE)-1,"")</f>
        <v/>
      </c>
    </row>
    <row r="59" spans="1:14" x14ac:dyDescent="0.3">
      <c r="A59" s="9">
        <v>57</v>
      </c>
      <c r="B59" s="10" t="str">
        <f>IFERROR(INDEX(Backtest!C:C,MATCH(Trades!A59,Backtest!K:K,0)),"")</f>
        <v/>
      </c>
      <c r="C59" s="10" t="str">
        <f>IFERROR(INDEX(Backtest!C:C,MATCH(Trades!A59,Backtest!L:L,0)),IF(ISNUMBER(B59),Backtest!$C$2519,""))</f>
        <v/>
      </c>
      <c r="D59" s="1" t="str">
        <f t="shared" si="0"/>
        <v/>
      </c>
      <c r="E59" s="11" t="str">
        <f>IFERROR(VLOOKUP(C59,Backtest!C:D,2,FALSE)/VLOOKUP(B59,Backtest!C:D,2,FALSE)-1,"")</f>
        <v/>
      </c>
      <c r="J59" s="9">
        <v>57</v>
      </c>
      <c r="K59" s="10" t="str">
        <f>IFERROR(INDEX(Backtest!C:C,MATCH(Trades!A59,Backtest!M:M,0)),"")</f>
        <v/>
      </c>
      <c r="L59" s="10" t="str">
        <f>IFERROR(INDEX(Backtest!C:C,MATCH(Trades!A59,Backtest!N:N,0)),IF(ISNUMBER(K59),Backtest!$C$2519,""))</f>
        <v/>
      </c>
      <c r="M59" s="1" t="str">
        <f t="shared" si="1"/>
        <v/>
      </c>
      <c r="N59" s="11" t="str">
        <f>IFERROR(VLOOKUP(L59,Backtest!C:D,2,FALSE)/VLOOKUP(K59,Backtest!C:D,2,FALSE)-1,"")</f>
        <v/>
      </c>
    </row>
    <row r="60" spans="1:14" x14ac:dyDescent="0.3">
      <c r="A60" s="9">
        <v>58</v>
      </c>
      <c r="B60" s="10" t="str">
        <f>IFERROR(INDEX(Backtest!C:C,MATCH(Trades!A60,Backtest!K:K,0)),"")</f>
        <v/>
      </c>
      <c r="C60" s="10" t="str">
        <f>IFERROR(INDEX(Backtest!C:C,MATCH(Trades!A60,Backtest!L:L,0)),IF(ISNUMBER(B60),Backtest!$C$2519,""))</f>
        <v/>
      </c>
      <c r="D60" s="1" t="str">
        <f t="shared" si="0"/>
        <v/>
      </c>
      <c r="E60" s="11" t="str">
        <f>IFERROR(VLOOKUP(C60,Backtest!C:D,2,FALSE)/VLOOKUP(B60,Backtest!C:D,2,FALSE)-1,"")</f>
        <v/>
      </c>
      <c r="J60" s="9">
        <v>58</v>
      </c>
      <c r="K60" s="10" t="str">
        <f>IFERROR(INDEX(Backtest!C:C,MATCH(Trades!A60,Backtest!M:M,0)),"")</f>
        <v/>
      </c>
      <c r="L60" s="10" t="str">
        <f>IFERROR(INDEX(Backtest!C:C,MATCH(Trades!A60,Backtest!N:N,0)),IF(ISNUMBER(K60),Backtest!$C$2519,""))</f>
        <v/>
      </c>
      <c r="M60" s="1" t="str">
        <f t="shared" si="1"/>
        <v/>
      </c>
      <c r="N60" s="11" t="str">
        <f>IFERROR(VLOOKUP(L60,Backtest!C:D,2,FALSE)/VLOOKUP(K60,Backtest!C:D,2,FALSE)-1,"")</f>
        <v/>
      </c>
    </row>
    <row r="61" spans="1:14" x14ac:dyDescent="0.3">
      <c r="A61" s="9">
        <v>59</v>
      </c>
      <c r="B61" s="10" t="str">
        <f>IFERROR(INDEX(Backtest!C:C,MATCH(Trades!A61,Backtest!K:K,0)),"")</f>
        <v/>
      </c>
      <c r="C61" s="10" t="str">
        <f>IFERROR(INDEX(Backtest!C:C,MATCH(Trades!A61,Backtest!L:L,0)),IF(ISNUMBER(B61),Backtest!$C$2519,""))</f>
        <v/>
      </c>
      <c r="D61" s="1" t="str">
        <f t="shared" si="0"/>
        <v/>
      </c>
      <c r="E61" s="11" t="str">
        <f>IFERROR(VLOOKUP(C61,Backtest!C:D,2,FALSE)/VLOOKUP(B61,Backtest!C:D,2,FALSE)-1,"")</f>
        <v/>
      </c>
      <c r="J61" s="9">
        <v>59</v>
      </c>
      <c r="K61" s="10" t="str">
        <f>IFERROR(INDEX(Backtest!C:C,MATCH(Trades!A61,Backtest!M:M,0)),"")</f>
        <v/>
      </c>
      <c r="L61" s="10" t="str">
        <f>IFERROR(INDEX(Backtest!C:C,MATCH(Trades!A61,Backtest!N:N,0)),IF(ISNUMBER(K61),Backtest!$C$2519,""))</f>
        <v/>
      </c>
      <c r="M61" s="1" t="str">
        <f t="shared" si="1"/>
        <v/>
      </c>
      <c r="N61" s="11" t="str">
        <f>IFERROR(VLOOKUP(L61,Backtest!C:D,2,FALSE)/VLOOKUP(K61,Backtest!C:D,2,FALSE)-1,"")</f>
        <v/>
      </c>
    </row>
    <row r="62" spans="1:14" x14ac:dyDescent="0.3">
      <c r="A62" s="9">
        <v>60</v>
      </c>
      <c r="B62" s="10" t="str">
        <f>IFERROR(INDEX(Backtest!C:C,MATCH(Trades!A62,Backtest!K:K,0)),"")</f>
        <v/>
      </c>
      <c r="C62" s="10" t="str">
        <f>IFERROR(INDEX(Backtest!C:C,MATCH(Trades!A62,Backtest!L:L,0)),IF(ISNUMBER(B62),Backtest!$C$2519,""))</f>
        <v/>
      </c>
      <c r="D62" s="1" t="str">
        <f t="shared" si="0"/>
        <v/>
      </c>
      <c r="E62" s="11" t="str">
        <f>IFERROR(VLOOKUP(C62,Backtest!C:D,2,FALSE)/VLOOKUP(B62,Backtest!C:D,2,FALSE)-1,"")</f>
        <v/>
      </c>
      <c r="J62" s="9">
        <v>60</v>
      </c>
      <c r="K62" s="10" t="str">
        <f>IFERROR(INDEX(Backtest!C:C,MATCH(Trades!A62,Backtest!M:M,0)),"")</f>
        <v/>
      </c>
      <c r="L62" s="10" t="str">
        <f>IFERROR(INDEX(Backtest!C:C,MATCH(Trades!A62,Backtest!N:N,0)),IF(ISNUMBER(K62),Backtest!$C$2519,""))</f>
        <v/>
      </c>
      <c r="M62" s="1" t="str">
        <f t="shared" si="1"/>
        <v/>
      </c>
      <c r="N62" s="11" t="str">
        <f>IFERROR(VLOOKUP(L62,Backtest!C:D,2,FALSE)/VLOOKUP(K62,Backtest!C:D,2,FALSE)-1,"")</f>
        <v/>
      </c>
    </row>
    <row r="63" spans="1:14" x14ac:dyDescent="0.3">
      <c r="A63" s="9">
        <v>61</v>
      </c>
      <c r="B63" s="10" t="str">
        <f>IFERROR(INDEX(Backtest!C:C,MATCH(Trades!A63,Backtest!K:K,0)),"")</f>
        <v/>
      </c>
      <c r="C63" s="10" t="str">
        <f>IFERROR(INDEX(Backtest!C:C,MATCH(Trades!A63,Backtest!L:L,0)),IF(ISNUMBER(B63),Backtest!$C$2519,""))</f>
        <v/>
      </c>
      <c r="D63" s="1" t="str">
        <f t="shared" si="0"/>
        <v/>
      </c>
      <c r="E63" s="11" t="str">
        <f>IFERROR(VLOOKUP(C63,Backtest!C:D,2,FALSE)/VLOOKUP(B63,Backtest!C:D,2,FALSE)-1,"")</f>
        <v/>
      </c>
      <c r="J63" s="9">
        <v>61</v>
      </c>
      <c r="K63" s="10" t="str">
        <f>IFERROR(INDEX(Backtest!C:C,MATCH(Trades!A63,Backtest!M:M,0)),"")</f>
        <v/>
      </c>
      <c r="L63" s="10" t="str">
        <f>IFERROR(INDEX(Backtest!C:C,MATCH(Trades!A63,Backtest!N:N,0)),IF(ISNUMBER(K63),Backtest!$C$2519,""))</f>
        <v/>
      </c>
      <c r="M63" s="1" t="str">
        <f t="shared" si="1"/>
        <v/>
      </c>
      <c r="N63" s="11" t="str">
        <f>IFERROR(VLOOKUP(L63,Backtest!C:D,2,FALSE)/VLOOKUP(K63,Backtest!C:D,2,FALSE)-1,"")</f>
        <v/>
      </c>
    </row>
    <row r="64" spans="1:14" x14ac:dyDescent="0.3">
      <c r="A64" s="9">
        <v>62</v>
      </c>
      <c r="B64" s="10" t="str">
        <f>IFERROR(INDEX(Backtest!C:C,MATCH(Trades!A64,Backtest!K:K,0)),"")</f>
        <v/>
      </c>
      <c r="C64" s="10" t="str">
        <f>IFERROR(INDEX(Backtest!C:C,MATCH(Trades!A64,Backtest!L:L,0)),IF(ISNUMBER(B64),Backtest!$C$2519,""))</f>
        <v/>
      </c>
      <c r="D64" s="1" t="str">
        <f t="shared" si="0"/>
        <v/>
      </c>
      <c r="E64" s="11" t="str">
        <f>IFERROR(VLOOKUP(C64,Backtest!C:D,2,FALSE)/VLOOKUP(B64,Backtest!C:D,2,FALSE)-1,"")</f>
        <v/>
      </c>
      <c r="J64" s="9">
        <v>62</v>
      </c>
      <c r="K64" s="10" t="str">
        <f>IFERROR(INDEX(Backtest!C:C,MATCH(Trades!A64,Backtest!M:M,0)),"")</f>
        <v/>
      </c>
      <c r="L64" s="10" t="str">
        <f>IFERROR(INDEX(Backtest!C:C,MATCH(Trades!A64,Backtest!N:N,0)),IF(ISNUMBER(K64),Backtest!$C$2519,""))</f>
        <v/>
      </c>
      <c r="M64" s="1" t="str">
        <f t="shared" si="1"/>
        <v/>
      </c>
      <c r="N64" s="11" t="str">
        <f>IFERROR(VLOOKUP(L64,Backtest!C:D,2,FALSE)/VLOOKUP(K64,Backtest!C:D,2,FALSE)-1,"")</f>
        <v/>
      </c>
    </row>
    <row r="65" spans="1:14" x14ac:dyDescent="0.3">
      <c r="A65" s="9">
        <v>63</v>
      </c>
      <c r="B65" s="10" t="str">
        <f>IFERROR(INDEX(Backtest!C:C,MATCH(Trades!A65,Backtest!K:K,0)),"")</f>
        <v/>
      </c>
      <c r="C65" s="10" t="str">
        <f>IFERROR(INDEX(Backtest!C:C,MATCH(Trades!A65,Backtest!L:L,0)),IF(ISNUMBER(B65),Backtest!$C$2519,""))</f>
        <v/>
      </c>
      <c r="D65" s="1" t="str">
        <f t="shared" si="0"/>
        <v/>
      </c>
      <c r="E65" s="11" t="str">
        <f>IFERROR(VLOOKUP(C65,Backtest!C:D,2,FALSE)/VLOOKUP(B65,Backtest!C:D,2,FALSE)-1,"")</f>
        <v/>
      </c>
      <c r="J65" s="9">
        <v>63</v>
      </c>
      <c r="K65" s="10" t="str">
        <f>IFERROR(INDEX(Backtest!C:C,MATCH(Trades!A65,Backtest!M:M,0)),"")</f>
        <v/>
      </c>
      <c r="L65" s="10" t="str">
        <f>IFERROR(INDEX(Backtest!C:C,MATCH(Trades!A65,Backtest!N:N,0)),IF(ISNUMBER(K65),Backtest!$C$2519,""))</f>
        <v/>
      </c>
      <c r="M65" s="1" t="str">
        <f t="shared" si="1"/>
        <v/>
      </c>
      <c r="N65" s="11" t="str">
        <f>IFERROR(VLOOKUP(L65,Backtest!C:D,2,FALSE)/VLOOKUP(K65,Backtest!C:D,2,FALSE)-1,"")</f>
        <v/>
      </c>
    </row>
    <row r="66" spans="1:14" x14ac:dyDescent="0.3">
      <c r="A66" s="9">
        <v>64</v>
      </c>
      <c r="B66" s="10" t="str">
        <f>IFERROR(INDEX(Backtest!C:C,MATCH(Trades!A66,Backtest!K:K,0)),"")</f>
        <v/>
      </c>
      <c r="C66" s="10" t="str">
        <f>IFERROR(INDEX(Backtest!C:C,MATCH(Trades!A66,Backtest!L:L,0)),IF(ISNUMBER(B66),Backtest!$C$2519,""))</f>
        <v/>
      </c>
      <c r="D66" s="1" t="str">
        <f t="shared" si="0"/>
        <v/>
      </c>
      <c r="E66" s="11" t="str">
        <f>IFERROR(VLOOKUP(C66,Backtest!C:D,2,FALSE)/VLOOKUP(B66,Backtest!C:D,2,FALSE)-1,"")</f>
        <v/>
      </c>
      <c r="J66" s="9">
        <v>64</v>
      </c>
      <c r="K66" s="10" t="str">
        <f>IFERROR(INDEX(Backtest!C:C,MATCH(Trades!A66,Backtest!M:M,0)),"")</f>
        <v/>
      </c>
      <c r="L66" s="10" t="str">
        <f>IFERROR(INDEX(Backtest!C:C,MATCH(Trades!A66,Backtest!N:N,0)),IF(ISNUMBER(K66),Backtest!$C$2519,""))</f>
        <v/>
      </c>
      <c r="M66" s="1" t="str">
        <f t="shared" si="1"/>
        <v/>
      </c>
      <c r="N66" s="11" t="str">
        <f>IFERROR(VLOOKUP(L66,Backtest!C:D,2,FALSE)/VLOOKUP(K66,Backtest!C:D,2,FALSE)-1,"")</f>
        <v/>
      </c>
    </row>
    <row r="67" spans="1:14" x14ac:dyDescent="0.3">
      <c r="A67" s="9">
        <v>65</v>
      </c>
      <c r="B67" s="10" t="str">
        <f>IFERROR(INDEX(Backtest!C:C,MATCH(Trades!A67,Backtest!K:K,0)),"")</f>
        <v/>
      </c>
      <c r="C67" s="10" t="str">
        <f>IFERROR(INDEX(Backtest!C:C,MATCH(Trades!A67,Backtest!L:L,0)),IF(ISNUMBER(B67),Backtest!$C$2519,""))</f>
        <v/>
      </c>
      <c r="D67" s="1" t="str">
        <f t="shared" si="0"/>
        <v/>
      </c>
      <c r="E67" s="11" t="str">
        <f>IFERROR(VLOOKUP(C67,Backtest!C:D,2,FALSE)/VLOOKUP(B67,Backtest!C:D,2,FALSE)-1,"")</f>
        <v/>
      </c>
      <c r="J67" s="9">
        <v>65</v>
      </c>
      <c r="K67" s="10" t="str">
        <f>IFERROR(INDEX(Backtest!C:C,MATCH(Trades!A67,Backtest!M:M,0)),"")</f>
        <v/>
      </c>
      <c r="L67" s="10" t="str">
        <f>IFERROR(INDEX(Backtest!C:C,MATCH(Trades!A67,Backtest!N:N,0)),IF(ISNUMBER(K67),Backtest!$C$2519,""))</f>
        <v/>
      </c>
      <c r="M67" s="1" t="str">
        <f t="shared" si="1"/>
        <v/>
      </c>
      <c r="N67" s="11" t="str">
        <f>IFERROR(VLOOKUP(L67,Backtest!C:D,2,FALSE)/VLOOKUP(K67,Backtest!C:D,2,FALSE)-1,"")</f>
        <v/>
      </c>
    </row>
    <row r="68" spans="1:14" x14ac:dyDescent="0.3">
      <c r="A68" s="9">
        <v>66</v>
      </c>
      <c r="B68" s="10" t="str">
        <f>IFERROR(INDEX(Backtest!C:C,MATCH(Trades!A68,Backtest!K:K,0)),"")</f>
        <v/>
      </c>
      <c r="C68" s="10" t="str">
        <f>IFERROR(INDEX(Backtest!C:C,MATCH(Trades!A68,Backtest!L:L,0)),IF(ISNUMBER(B68),Backtest!$C$2519,""))</f>
        <v/>
      </c>
      <c r="D68" s="1" t="str">
        <f t="shared" ref="D68:D131" si="2">IF(ISNUMBER(B68),NETWORKDAYS(B68,C68),"")</f>
        <v/>
      </c>
      <c r="E68" s="11" t="str">
        <f>IFERROR(VLOOKUP(C68,Backtest!C:D,2,FALSE)/VLOOKUP(B68,Backtest!C:D,2,FALSE)-1,"")</f>
        <v/>
      </c>
      <c r="J68" s="9">
        <v>66</v>
      </c>
      <c r="K68" s="10" t="str">
        <f>IFERROR(INDEX(Backtest!C:C,MATCH(Trades!A68,Backtest!M:M,0)),"")</f>
        <v/>
      </c>
      <c r="L68" s="10" t="str">
        <f>IFERROR(INDEX(Backtest!C:C,MATCH(Trades!A68,Backtest!N:N,0)),IF(ISNUMBER(K68),Backtest!$C$2519,""))</f>
        <v/>
      </c>
      <c r="M68" s="1" t="str">
        <f t="shared" ref="M68:M131" si="3">IF(ISNUMBER(K68),NETWORKDAYS(K68,L68),"")</f>
        <v/>
      </c>
      <c r="N68" s="11" t="str">
        <f>IFERROR(VLOOKUP(L68,Backtest!C:D,2,FALSE)/VLOOKUP(K68,Backtest!C:D,2,FALSE)-1,"")</f>
        <v/>
      </c>
    </row>
    <row r="69" spans="1:14" x14ac:dyDescent="0.3">
      <c r="A69" s="9">
        <v>67</v>
      </c>
      <c r="B69" s="10" t="str">
        <f>IFERROR(INDEX(Backtest!C:C,MATCH(Trades!A69,Backtest!K:K,0)),"")</f>
        <v/>
      </c>
      <c r="C69" s="10" t="str">
        <f>IFERROR(INDEX(Backtest!C:C,MATCH(Trades!A69,Backtest!L:L,0)),IF(ISNUMBER(B69),Backtest!$C$2519,""))</f>
        <v/>
      </c>
      <c r="D69" s="1" t="str">
        <f t="shared" si="2"/>
        <v/>
      </c>
      <c r="E69" s="11" t="str">
        <f>IFERROR(VLOOKUP(C69,Backtest!C:D,2,FALSE)/VLOOKUP(B69,Backtest!C:D,2,FALSE)-1,"")</f>
        <v/>
      </c>
      <c r="J69" s="9">
        <v>67</v>
      </c>
      <c r="K69" s="10" t="str">
        <f>IFERROR(INDEX(Backtest!C:C,MATCH(Trades!A69,Backtest!M:M,0)),"")</f>
        <v/>
      </c>
      <c r="L69" s="10" t="str">
        <f>IFERROR(INDEX(Backtest!C:C,MATCH(Trades!A69,Backtest!N:N,0)),IF(ISNUMBER(K69),Backtest!$C$2519,""))</f>
        <v/>
      </c>
      <c r="M69" s="1" t="str">
        <f t="shared" si="3"/>
        <v/>
      </c>
      <c r="N69" s="11" t="str">
        <f>IFERROR(VLOOKUP(L69,Backtest!C:D,2,FALSE)/VLOOKUP(K69,Backtest!C:D,2,FALSE)-1,"")</f>
        <v/>
      </c>
    </row>
    <row r="70" spans="1:14" x14ac:dyDescent="0.3">
      <c r="A70" s="9">
        <v>68</v>
      </c>
      <c r="B70" s="10" t="str">
        <f>IFERROR(INDEX(Backtest!C:C,MATCH(Trades!A70,Backtest!K:K,0)),"")</f>
        <v/>
      </c>
      <c r="C70" s="10" t="str">
        <f>IFERROR(INDEX(Backtest!C:C,MATCH(Trades!A70,Backtest!L:L,0)),IF(ISNUMBER(B70),Backtest!$C$2519,""))</f>
        <v/>
      </c>
      <c r="D70" s="1" t="str">
        <f t="shared" si="2"/>
        <v/>
      </c>
      <c r="E70" s="11" t="str">
        <f>IFERROR(VLOOKUP(C70,Backtest!C:D,2,FALSE)/VLOOKUP(B70,Backtest!C:D,2,FALSE)-1,"")</f>
        <v/>
      </c>
      <c r="J70" s="9">
        <v>68</v>
      </c>
      <c r="K70" s="10" t="str">
        <f>IFERROR(INDEX(Backtest!C:C,MATCH(Trades!A70,Backtest!M:M,0)),"")</f>
        <v/>
      </c>
      <c r="L70" s="10" t="str">
        <f>IFERROR(INDEX(Backtest!C:C,MATCH(Trades!A70,Backtest!N:N,0)),IF(ISNUMBER(K70),Backtest!$C$2519,""))</f>
        <v/>
      </c>
      <c r="M70" s="1" t="str">
        <f t="shared" si="3"/>
        <v/>
      </c>
      <c r="N70" s="11" t="str">
        <f>IFERROR(VLOOKUP(L70,Backtest!C:D,2,FALSE)/VLOOKUP(K70,Backtest!C:D,2,FALSE)-1,"")</f>
        <v/>
      </c>
    </row>
    <row r="71" spans="1:14" x14ac:dyDescent="0.3">
      <c r="A71" s="9">
        <v>69</v>
      </c>
      <c r="B71" s="10" t="str">
        <f>IFERROR(INDEX(Backtest!C:C,MATCH(Trades!A71,Backtest!K:K,0)),"")</f>
        <v/>
      </c>
      <c r="C71" s="10" t="str">
        <f>IFERROR(INDEX(Backtest!C:C,MATCH(Trades!A71,Backtest!L:L,0)),IF(ISNUMBER(B71),Backtest!$C$2519,""))</f>
        <v/>
      </c>
      <c r="D71" s="1" t="str">
        <f t="shared" si="2"/>
        <v/>
      </c>
      <c r="E71" s="11" t="str">
        <f>IFERROR(VLOOKUP(C71,Backtest!C:D,2,FALSE)/VLOOKUP(B71,Backtest!C:D,2,FALSE)-1,"")</f>
        <v/>
      </c>
      <c r="J71" s="9">
        <v>69</v>
      </c>
      <c r="K71" s="10" t="str">
        <f>IFERROR(INDEX(Backtest!C:C,MATCH(Trades!A71,Backtest!M:M,0)),"")</f>
        <v/>
      </c>
      <c r="L71" s="10" t="str">
        <f>IFERROR(INDEX(Backtest!C:C,MATCH(Trades!A71,Backtest!N:N,0)),IF(ISNUMBER(K71),Backtest!$C$2519,""))</f>
        <v/>
      </c>
      <c r="M71" s="1" t="str">
        <f t="shared" si="3"/>
        <v/>
      </c>
      <c r="N71" s="11" t="str">
        <f>IFERROR(VLOOKUP(L71,Backtest!C:D,2,FALSE)/VLOOKUP(K71,Backtest!C:D,2,FALSE)-1,"")</f>
        <v/>
      </c>
    </row>
    <row r="72" spans="1:14" x14ac:dyDescent="0.3">
      <c r="A72" s="9">
        <v>70</v>
      </c>
      <c r="B72" s="10" t="str">
        <f>IFERROR(INDEX(Backtest!C:C,MATCH(Trades!A72,Backtest!K:K,0)),"")</f>
        <v/>
      </c>
      <c r="C72" s="10" t="str">
        <f>IFERROR(INDEX(Backtest!C:C,MATCH(Trades!A72,Backtest!L:L,0)),IF(ISNUMBER(B72),Backtest!$C$2519,""))</f>
        <v/>
      </c>
      <c r="D72" s="1" t="str">
        <f t="shared" si="2"/>
        <v/>
      </c>
      <c r="E72" s="11" t="str">
        <f>IFERROR(VLOOKUP(C72,Backtest!C:D,2,FALSE)/VLOOKUP(B72,Backtest!C:D,2,FALSE)-1,"")</f>
        <v/>
      </c>
      <c r="J72" s="9">
        <v>70</v>
      </c>
      <c r="K72" s="10" t="str">
        <f>IFERROR(INDEX(Backtest!C:C,MATCH(Trades!A72,Backtest!M:M,0)),"")</f>
        <v/>
      </c>
      <c r="L72" s="10" t="str">
        <f>IFERROR(INDEX(Backtest!C:C,MATCH(Trades!A72,Backtest!N:N,0)),IF(ISNUMBER(K72),Backtest!$C$2519,""))</f>
        <v/>
      </c>
      <c r="M72" s="1" t="str">
        <f t="shared" si="3"/>
        <v/>
      </c>
      <c r="N72" s="11" t="str">
        <f>IFERROR(VLOOKUP(L72,Backtest!C:D,2,FALSE)/VLOOKUP(K72,Backtest!C:D,2,FALSE)-1,"")</f>
        <v/>
      </c>
    </row>
    <row r="73" spans="1:14" x14ac:dyDescent="0.3">
      <c r="A73" s="9">
        <v>71</v>
      </c>
      <c r="B73" s="10" t="str">
        <f>IFERROR(INDEX(Backtest!C:C,MATCH(Trades!A73,Backtest!K:K,0)),"")</f>
        <v/>
      </c>
      <c r="C73" s="10" t="str">
        <f>IFERROR(INDEX(Backtest!C:C,MATCH(Trades!A73,Backtest!L:L,0)),IF(ISNUMBER(B73),Backtest!$C$2519,""))</f>
        <v/>
      </c>
      <c r="D73" s="1" t="str">
        <f t="shared" si="2"/>
        <v/>
      </c>
      <c r="E73" s="11" t="str">
        <f>IFERROR(VLOOKUP(C73,Backtest!C:D,2,FALSE)/VLOOKUP(B73,Backtest!C:D,2,FALSE)-1,"")</f>
        <v/>
      </c>
      <c r="J73" s="9">
        <v>71</v>
      </c>
      <c r="K73" s="10" t="str">
        <f>IFERROR(INDEX(Backtest!C:C,MATCH(Trades!A73,Backtest!M:M,0)),"")</f>
        <v/>
      </c>
      <c r="L73" s="10" t="str">
        <f>IFERROR(INDEX(Backtest!C:C,MATCH(Trades!A73,Backtest!N:N,0)),IF(ISNUMBER(K73),Backtest!$C$2519,""))</f>
        <v/>
      </c>
      <c r="M73" s="1" t="str">
        <f t="shared" si="3"/>
        <v/>
      </c>
      <c r="N73" s="11" t="str">
        <f>IFERROR(VLOOKUP(L73,Backtest!C:D,2,FALSE)/VLOOKUP(K73,Backtest!C:D,2,FALSE)-1,"")</f>
        <v/>
      </c>
    </row>
    <row r="74" spans="1:14" x14ac:dyDescent="0.3">
      <c r="A74" s="9">
        <v>72</v>
      </c>
      <c r="B74" s="10" t="str">
        <f>IFERROR(INDEX(Backtest!C:C,MATCH(Trades!A74,Backtest!K:K,0)),"")</f>
        <v/>
      </c>
      <c r="C74" s="10" t="str">
        <f>IFERROR(INDEX(Backtest!C:C,MATCH(Trades!A74,Backtest!L:L,0)),IF(ISNUMBER(B74),Backtest!$C$2519,""))</f>
        <v/>
      </c>
      <c r="D74" s="1" t="str">
        <f t="shared" si="2"/>
        <v/>
      </c>
      <c r="E74" s="11" t="str">
        <f>IFERROR(VLOOKUP(C74,Backtest!C:D,2,FALSE)/VLOOKUP(B74,Backtest!C:D,2,FALSE)-1,"")</f>
        <v/>
      </c>
      <c r="J74" s="9">
        <v>72</v>
      </c>
      <c r="K74" s="10" t="str">
        <f>IFERROR(INDEX(Backtest!C:C,MATCH(Trades!A74,Backtest!M:M,0)),"")</f>
        <v/>
      </c>
      <c r="L74" s="10" t="str">
        <f>IFERROR(INDEX(Backtest!C:C,MATCH(Trades!A74,Backtest!N:N,0)),IF(ISNUMBER(K74),Backtest!$C$2519,""))</f>
        <v/>
      </c>
      <c r="M74" s="1" t="str">
        <f t="shared" si="3"/>
        <v/>
      </c>
      <c r="N74" s="11" t="str">
        <f>IFERROR(VLOOKUP(L74,Backtest!C:D,2,FALSE)/VLOOKUP(K74,Backtest!C:D,2,FALSE)-1,"")</f>
        <v/>
      </c>
    </row>
    <row r="75" spans="1:14" x14ac:dyDescent="0.3">
      <c r="A75" s="9">
        <v>73</v>
      </c>
      <c r="B75" s="10" t="str">
        <f>IFERROR(INDEX(Backtest!C:C,MATCH(Trades!A75,Backtest!K:K,0)),"")</f>
        <v/>
      </c>
      <c r="C75" s="10" t="str">
        <f>IFERROR(INDEX(Backtest!C:C,MATCH(Trades!A75,Backtest!L:L,0)),IF(ISNUMBER(B75),Backtest!$C$2519,""))</f>
        <v/>
      </c>
      <c r="D75" s="1" t="str">
        <f t="shared" si="2"/>
        <v/>
      </c>
      <c r="E75" s="11" t="str">
        <f>IFERROR(VLOOKUP(C75,Backtest!C:D,2,FALSE)/VLOOKUP(B75,Backtest!C:D,2,FALSE)-1,"")</f>
        <v/>
      </c>
      <c r="J75" s="9">
        <v>73</v>
      </c>
      <c r="K75" s="10" t="str">
        <f>IFERROR(INDEX(Backtest!C:C,MATCH(Trades!A75,Backtest!M:M,0)),"")</f>
        <v/>
      </c>
      <c r="L75" s="10" t="str">
        <f>IFERROR(INDEX(Backtest!C:C,MATCH(Trades!A75,Backtest!N:N,0)),IF(ISNUMBER(K75),Backtest!$C$2519,""))</f>
        <v/>
      </c>
      <c r="M75" s="1" t="str">
        <f t="shared" si="3"/>
        <v/>
      </c>
      <c r="N75" s="11" t="str">
        <f>IFERROR(VLOOKUP(L75,Backtest!C:D,2,FALSE)/VLOOKUP(K75,Backtest!C:D,2,FALSE)-1,"")</f>
        <v/>
      </c>
    </row>
    <row r="76" spans="1:14" x14ac:dyDescent="0.3">
      <c r="A76" s="9">
        <v>74</v>
      </c>
      <c r="B76" s="10" t="str">
        <f>IFERROR(INDEX(Backtest!C:C,MATCH(Trades!A76,Backtest!K:K,0)),"")</f>
        <v/>
      </c>
      <c r="C76" s="10" t="str">
        <f>IFERROR(INDEX(Backtest!C:C,MATCH(Trades!A76,Backtest!L:L,0)),IF(ISNUMBER(B76),Backtest!$C$2519,""))</f>
        <v/>
      </c>
      <c r="D76" s="1" t="str">
        <f t="shared" si="2"/>
        <v/>
      </c>
      <c r="E76" s="11" t="str">
        <f>IFERROR(VLOOKUP(C76,Backtest!C:D,2,FALSE)/VLOOKUP(B76,Backtest!C:D,2,FALSE)-1,"")</f>
        <v/>
      </c>
      <c r="J76" s="9">
        <v>74</v>
      </c>
      <c r="K76" s="10" t="str">
        <f>IFERROR(INDEX(Backtest!C:C,MATCH(Trades!A76,Backtest!M:M,0)),"")</f>
        <v/>
      </c>
      <c r="L76" s="10" t="str">
        <f>IFERROR(INDEX(Backtest!C:C,MATCH(Trades!A76,Backtest!N:N,0)),IF(ISNUMBER(K76),Backtest!$C$2519,""))</f>
        <v/>
      </c>
      <c r="M76" s="1" t="str">
        <f t="shared" si="3"/>
        <v/>
      </c>
      <c r="N76" s="11" t="str">
        <f>IFERROR(VLOOKUP(L76,Backtest!C:D,2,FALSE)/VLOOKUP(K76,Backtest!C:D,2,FALSE)-1,"")</f>
        <v/>
      </c>
    </row>
    <row r="77" spans="1:14" x14ac:dyDescent="0.3">
      <c r="A77" s="9">
        <v>75</v>
      </c>
      <c r="B77" s="10" t="str">
        <f>IFERROR(INDEX(Backtest!C:C,MATCH(Trades!A77,Backtest!K:K,0)),"")</f>
        <v/>
      </c>
      <c r="C77" s="10" t="str">
        <f>IFERROR(INDEX(Backtest!C:C,MATCH(Trades!A77,Backtest!L:L,0)),IF(ISNUMBER(B77),Backtest!$C$2519,""))</f>
        <v/>
      </c>
      <c r="D77" s="1" t="str">
        <f t="shared" si="2"/>
        <v/>
      </c>
      <c r="E77" s="11" t="str">
        <f>IFERROR(VLOOKUP(C77,Backtest!C:D,2,FALSE)/VLOOKUP(B77,Backtest!C:D,2,FALSE)-1,"")</f>
        <v/>
      </c>
      <c r="J77" s="9">
        <v>75</v>
      </c>
      <c r="K77" s="10" t="str">
        <f>IFERROR(INDEX(Backtest!C:C,MATCH(Trades!A77,Backtest!M:M,0)),"")</f>
        <v/>
      </c>
      <c r="L77" s="10" t="str">
        <f>IFERROR(INDEX(Backtest!C:C,MATCH(Trades!A77,Backtest!N:N,0)),IF(ISNUMBER(K77),Backtest!$C$2519,""))</f>
        <v/>
      </c>
      <c r="M77" s="1" t="str">
        <f t="shared" si="3"/>
        <v/>
      </c>
      <c r="N77" s="11" t="str">
        <f>IFERROR(VLOOKUP(L77,Backtest!C:D,2,FALSE)/VLOOKUP(K77,Backtest!C:D,2,FALSE)-1,"")</f>
        <v/>
      </c>
    </row>
    <row r="78" spans="1:14" x14ac:dyDescent="0.3">
      <c r="A78" s="9">
        <v>76</v>
      </c>
      <c r="B78" s="10" t="str">
        <f>IFERROR(INDEX(Backtest!C:C,MATCH(Trades!A78,Backtest!K:K,0)),"")</f>
        <v/>
      </c>
      <c r="C78" s="10" t="str">
        <f>IFERROR(INDEX(Backtest!C:C,MATCH(Trades!A78,Backtest!L:L,0)),IF(ISNUMBER(B78),Backtest!$C$2519,""))</f>
        <v/>
      </c>
      <c r="D78" s="1" t="str">
        <f t="shared" si="2"/>
        <v/>
      </c>
      <c r="E78" s="11" t="str">
        <f>IFERROR(VLOOKUP(C78,Backtest!C:D,2,FALSE)/VLOOKUP(B78,Backtest!C:D,2,FALSE)-1,"")</f>
        <v/>
      </c>
      <c r="J78" s="9">
        <v>76</v>
      </c>
      <c r="K78" s="10" t="str">
        <f>IFERROR(INDEX(Backtest!C:C,MATCH(Trades!A78,Backtest!M:M,0)),"")</f>
        <v/>
      </c>
      <c r="L78" s="10" t="str">
        <f>IFERROR(INDEX(Backtest!C:C,MATCH(Trades!A78,Backtest!N:N,0)),IF(ISNUMBER(K78),Backtest!$C$2519,""))</f>
        <v/>
      </c>
      <c r="M78" s="1" t="str">
        <f t="shared" si="3"/>
        <v/>
      </c>
      <c r="N78" s="11" t="str">
        <f>IFERROR(VLOOKUP(L78,Backtest!C:D,2,FALSE)/VLOOKUP(K78,Backtest!C:D,2,FALSE)-1,"")</f>
        <v/>
      </c>
    </row>
    <row r="79" spans="1:14" x14ac:dyDescent="0.3">
      <c r="A79" s="9">
        <v>77</v>
      </c>
      <c r="B79" s="10" t="str">
        <f>IFERROR(INDEX(Backtest!C:C,MATCH(Trades!A79,Backtest!K:K,0)),"")</f>
        <v/>
      </c>
      <c r="C79" s="10" t="str">
        <f>IFERROR(INDEX(Backtest!C:C,MATCH(Trades!A79,Backtest!L:L,0)),IF(ISNUMBER(B79),Backtest!$C$2519,""))</f>
        <v/>
      </c>
      <c r="D79" s="1" t="str">
        <f t="shared" si="2"/>
        <v/>
      </c>
      <c r="E79" s="11" t="str">
        <f>IFERROR(VLOOKUP(C79,Backtest!C:D,2,FALSE)/VLOOKUP(B79,Backtest!C:D,2,FALSE)-1,"")</f>
        <v/>
      </c>
      <c r="J79" s="9">
        <v>77</v>
      </c>
      <c r="K79" s="10" t="str">
        <f>IFERROR(INDEX(Backtest!C:C,MATCH(Trades!A79,Backtest!M:M,0)),"")</f>
        <v/>
      </c>
      <c r="L79" s="10" t="str">
        <f>IFERROR(INDEX(Backtest!C:C,MATCH(Trades!A79,Backtest!N:N,0)),IF(ISNUMBER(K79),Backtest!$C$2519,""))</f>
        <v/>
      </c>
      <c r="M79" s="1" t="str">
        <f t="shared" si="3"/>
        <v/>
      </c>
      <c r="N79" s="11" t="str">
        <f>IFERROR(VLOOKUP(L79,Backtest!C:D,2,FALSE)/VLOOKUP(K79,Backtest!C:D,2,FALSE)-1,"")</f>
        <v/>
      </c>
    </row>
    <row r="80" spans="1:14" x14ac:dyDescent="0.3">
      <c r="A80" s="9">
        <v>78</v>
      </c>
      <c r="B80" s="10" t="str">
        <f>IFERROR(INDEX(Backtest!C:C,MATCH(Trades!A80,Backtest!K:K,0)),"")</f>
        <v/>
      </c>
      <c r="C80" s="10" t="str">
        <f>IFERROR(INDEX(Backtest!C:C,MATCH(Trades!A80,Backtest!L:L,0)),IF(ISNUMBER(B80),Backtest!$C$2519,""))</f>
        <v/>
      </c>
      <c r="D80" s="1" t="str">
        <f t="shared" si="2"/>
        <v/>
      </c>
      <c r="E80" s="11" t="str">
        <f>IFERROR(VLOOKUP(C80,Backtest!C:D,2,FALSE)/VLOOKUP(B80,Backtest!C:D,2,FALSE)-1,"")</f>
        <v/>
      </c>
      <c r="J80" s="9">
        <v>78</v>
      </c>
      <c r="K80" s="10" t="str">
        <f>IFERROR(INDEX(Backtest!C:C,MATCH(Trades!A80,Backtest!M:M,0)),"")</f>
        <v/>
      </c>
      <c r="L80" s="10" t="str">
        <f>IFERROR(INDEX(Backtest!C:C,MATCH(Trades!A80,Backtest!N:N,0)),IF(ISNUMBER(K80),Backtest!$C$2519,""))</f>
        <v/>
      </c>
      <c r="M80" s="1" t="str">
        <f t="shared" si="3"/>
        <v/>
      </c>
      <c r="N80" s="11" t="str">
        <f>IFERROR(VLOOKUP(L80,Backtest!C:D,2,FALSE)/VLOOKUP(K80,Backtest!C:D,2,FALSE)-1,"")</f>
        <v/>
      </c>
    </row>
    <row r="81" spans="1:14" x14ac:dyDescent="0.3">
      <c r="A81" s="9">
        <v>79</v>
      </c>
      <c r="B81" s="10" t="str">
        <f>IFERROR(INDEX(Backtest!C:C,MATCH(Trades!A81,Backtest!K:K,0)),"")</f>
        <v/>
      </c>
      <c r="C81" s="10" t="str">
        <f>IFERROR(INDEX(Backtest!C:C,MATCH(Trades!A81,Backtest!L:L,0)),IF(ISNUMBER(B81),Backtest!$C$2519,""))</f>
        <v/>
      </c>
      <c r="D81" s="1" t="str">
        <f t="shared" si="2"/>
        <v/>
      </c>
      <c r="E81" s="11" t="str">
        <f>IFERROR(VLOOKUP(C81,Backtest!C:D,2,FALSE)/VLOOKUP(B81,Backtest!C:D,2,FALSE)-1,"")</f>
        <v/>
      </c>
      <c r="J81" s="9">
        <v>79</v>
      </c>
      <c r="K81" s="10" t="str">
        <f>IFERROR(INDEX(Backtest!C:C,MATCH(Trades!A81,Backtest!M:M,0)),"")</f>
        <v/>
      </c>
      <c r="L81" s="10" t="str">
        <f>IFERROR(INDEX(Backtest!C:C,MATCH(Trades!A81,Backtest!N:N,0)),IF(ISNUMBER(K81),Backtest!$C$2519,""))</f>
        <v/>
      </c>
      <c r="M81" s="1" t="str">
        <f t="shared" si="3"/>
        <v/>
      </c>
      <c r="N81" s="11" t="str">
        <f>IFERROR(VLOOKUP(L81,Backtest!C:D,2,FALSE)/VLOOKUP(K81,Backtest!C:D,2,FALSE)-1,"")</f>
        <v/>
      </c>
    </row>
    <row r="82" spans="1:14" x14ac:dyDescent="0.3">
      <c r="A82" s="9">
        <v>80</v>
      </c>
      <c r="B82" s="10" t="str">
        <f>IFERROR(INDEX(Backtest!C:C,MATCH(Trades!A82,Backtest!K:K,0)),"")</f>
        <v/>
      </c>
      <c r="C82" s="10" t="str">
        <f>IFERROR(INDEX(Backtest!C:C,MATCH(Trades!A82,Backtest!L:L,0)),IF(ISNUMBER(B82),Backtest!$C$2519,""))</f>
        <v/>
      </c>
      <c r="D82" s="1" t="str">
        <f t="shared" si="2"/>
        <v/>
      </c>
      <c r="E82" s="11" t="str">
        <f>IFERROR(VLOOKUP(C82,Backtest!C:D,2,FALSE)/VLOOKUP(B82,Backtest!C:D,2,FALSE)-1,"")</f>
        <v/>
      </c>
      <c r="J82" s="9">
        <v>80</v>
      </c>
      <c r="K82" s="10" t="str">
        <f>IFERROR(INDEX(Backtest!C:C,MATCH(Trades!A82,Backtest!M:M,0)),"")</f>
        <v/>
      </c>
      <c r="L82" s="10" t="str">
        <f>IFERROR(INDEX(Backtest!C:C,MATCH(Trades!A82,Backtest!N:N,0)),IF(ISNUMBER(K82),Backtest!$C$2519,""))</f>
        <v/>
      </c>
      <c r="M82" s="1" t="str">
        <f t="shared" si="3"/>
        <v/>
      </c>
      <c r="N82" s="11" t="str">
        <f>IFERROR(VLOOKUP(L82,Backtest!C:D,2,FALSE)/VLOOKUP(K82,Backtest!C:D,2,FALSE)-1,"")</f>
        <v/>
      </c>
    </row>
    <row r="83" spans="1:14" x14ac:dyDescent="0.3">
      <c r="A83" s="9">
        <v>81</v>
      </c>
      <c r="B83" s="10" t="str">
        <f>IFERROR(INDEX(Backtest!C:C,MATCH(Trades!A83,Backtest!K:K,0)),"")</f>
        <v/>
      </c>
      <c r="C83" s="10" t="str">
        <f>IFERROR(INDEX(Backtest!C:C,MATCH(Trades!A83,Backtest!L:L,0)),IF(ISNUMBER(B83),Backtest!$C$2519,""))</f>
        <v/>
      </c>
      <c r="D83" s="1" t="str">
        <f t="shared" si="2"/>
        <v/>
      </c>
      <c r="E83" s="11" t="str">
        <f>IFERROR(VLOOKUP(C83,Backtest!C:D,2,FALSE)/VLOOKUP(B83,Backtest!C:D,2,FALSE)-1,"")</f>
        <v/>
      </c>
      <c r="J83" s="9">
        <v>81</v>
      </c>
      <c r="K83" s="10" t="str">
        <f>IFERROR(INDEX(Backtest!C:C,MATCH(Trades!A83,Backtest!M:M,0)),"")</f>
        <v/>
      </c>
      <c r="L83" s="10" t="str">
        <f>IFERROR(INDEX(Backtest!C:C,MATCH(Trades!A83,Backtest!N:N,0)),IF(ISNUMBER(K83),Backtest!$C$2519,""))</f>
        <v/>
      </c>
      <c r="M83" s="1" t="str">
        <f t="shared" si="3"/>
        <v/>
      </c>
      <c r="N83" s="11" t="str">
        <f>IFERROR(VLOOKUP(L83,Backtest!C:D,2,FALSE)/VLOOKUP(K83,Backtest!C:D,2,FALSE)-1,"")</f>
        <v/>
      </c>
    </row>
    <row r="84" spans="1:14" x14ac:dyDescent="0.3">
      <c r="A84" s="9">
        <v>82</v>
      </c>
      <c r="B84" s="10" t="str">
        <f>IFERROR(INDEX(Backtest!C:C,MATCH(Trades!A84,Backtest!K:K,0)),"")</f>
        <v/>
      </c>
      <c r="C84" s="10" t="str">
        <f>IFERROR(INDEX(Backtest!C:C,MATCH(Trades!A84,Backtest!L:L,0)),IF(ISNUMBER(B84),Backtest!$C$2519,""))</f>
        <v/>
      </c>
      <c r="D84" s="1" t="str">
        <f t="shared" si="2"/>
        <v/>
      </c>
      <c r="E84" s="11" t="str">
        <f>IFERROR(VLOOKUP(C84,Backtest!C:D,2,FALSE)/VLOOKUP(B84,Backtest!C:D,2,FALSE)-1,"")</f>
        <v/>
      </c>
      <c r="J84" s="9">
        <v>82</v>
      </c>
      <c r="K84" s="10" t="str">
        <f>IFERROR(INDEX(Backtest!C:C,MATCH(Trades!A84,Backtest!M:M,0)),"")</f>
        <v/>
      </c>
      <c r="L84" s="10" t="str">
        <f>IFERROR(INDEX(Backtest!C:C,MATCH(Trades!A84,Backtest!N:N,0)),IF(ISNUMBER(K84),Backtest!$C$2519,""))</f>
        <v/>
      </c>
      <c r="M84" s="1" t="str">
        <f t="shared" si="3"/>
        <v/>
      </c>
      <c r="N84" s="11" t="str">
        <f>IFERROR(VLOOKUP(L84,Backtest!C:D,2,FALSE)/VLOOKUP(K84,Backtest!C:D,2,FALSE)-1,"")</f>
        <v/>
      </c>
    </row>
    <row r="85" spans="1:14" x14ac:dyDescent="0.3">
      <c r="A85" s="9">
        <v>83</v>
      </c>
      <c r="B85" s="10" t="str">
        <f>IFERROR(INDEX(Backtest!C:C,MATCH(Trades!A85,Backtest!K:K,0)),"")</f>
        <v/>
      </c>
      <c r="C85" s="10" t="str">
        <f>IFERROR(INDEX(Backtest!C:C,MATCH(Trades!A85,Backtest!L:L,0)),IF(ISNUMBER(B85),Backtest!$C$2519,""))</f>
        <v/>
      </c>
      <c r="D85" s="1" t="str">
        <f t="shared" si="2"/>
        <v/>
      </c>
      <c r="E85" s="11" t="str">
        <f>IFERROR(VLOOKUP(C85,Backtest!C:D,2,FALSE)/VLOOKUP(B85,Backtest!C:D,2,FALSE)-1,"")</f>
        <v/>
      </c>
      <c r="J85" s="9">
        <v>83</v>
      </c>
      <c r="K85" s="10" t="str">
        <f>IFERROR(INDEX(Backtest!C:C,MATCH(Trades!A85,Backtest!M:M,0)),"")</f>
        <v/>
      </c>
      <c r="L85" s="10" t="str">
        <f>IFERROR(INDEX(Backtest!C:C,MATCH(Trades!A85,Backtest!N:N,0)),IF(ISNUMBER(K85),Backtest!$C$2519,""))</f>
        <v/>
      </c>
      <c r="M85" s="1" t="str">
        <f t="shared" si="3"/>
        <v/>
      </c>
      <c r="N85" s="11" t="str">
        <f>IFERROR(VLOOKUP(L85,Backtest!C:D,2,FALSE)/VLOOKUP(K85,Backtest!C:D,2,FALSE)-1,"")</f>
        <v/>
      </c>
    </row>
    <row r="86" spans="1:14" x14ac:dyDescent="0.3">
      <c r="A86" s="9">
        <v>84</v>
      </c>
      <c r="B86" s="10" t="str">
        <f>IFERROR(INDEX(Backtest!C:C,MATCH(Trades!A86,Backtest!K:K,0)),"")</f>
        <v/>
      </c>
      <c r="C86" s="10" t="str">
        <f>IFERROR(INDEX(Backtest!C:C,MATCH(Trades!A86,Backtest!L:L,0)),IF(ISNUMBER(B86),Backtest!$C$2519,""))</f>
        <v/>
      </c>
      <c r="D86" s="1" t="str">
        <f t="shared" si="2"/>
        <v/>
      </c>
      <c r="E86" s="11" t="str">
        <f>IFERROR(VLOOKUP(C86,Backtest!C:D,2,FALSE)/VLOOKUP(B86,Backtest!C:D,2,FALSE)-1,"")</f>
        <v/>
      </c>
      <c r="J86" s="9">
        <v>84</v>
      </c>
      <c r="K86" s="10" t="str">
        <f>IFERROR(INDEX(Backtest!C:C,MATCH(Trades!A86,Backtest!M:M,0)),"")</f>
        <v/>
      </c>
      <c r="L86" s="10" t="str">
        <f>IFERROR(INDEX(Backtest!C:C,MATCH(Trades!A86,Backtest!N:N,0)),IF(ISNUMBER(K86),Backtest!$C$2519,""))</f>
        <v/>
      </c>
      <c r="M86" s="1" t="str">
        <f t="shared" si="3"/>
        <v/>
      </c>
      <c r="N86" s="11" t="str">
        <f>IFERROR(VLOOKUP(L86,Backtest!C:D,2,FALSE)/VLOOKUP(K86,Backtest!C:D,2,FALSE)-1,"")</f>
        <v/>
      </c>
    </row>
    <row r="87" spans="1:14" x14ac:dyDescent="0.3">
      <c r="A87" s="9">
        <v>85</v>
      </c>
      <c r="B87" s="10" t="str">
        <f>IFERROR(INDEX(Backtest!C:C,MATCH(Trades!A87,Backtest!K:K,0)),"")</f>
        <v/>
      </c>
      <c r="C87" s="10" t="str">
        <f>IFERROR(INDEX(Backtest!C:C,MATCH(Trades!A87,Backtest!L:L,0)),IF(ISNUMBER(B87),Backtest!$C$2519,""))</f>
        <v/>
      </c>
      <c r="D87" s="1" t="str">
        <f t="shared" si="2"/>
        <v/>
      </c>
      <c r="E87" s="11" t="str">
        <f>IFERROR(VLOOKUP(C87,Backtest!C:D,2,FALSE)/VLOOKUP(B87,Backtest!C:D,2,FALSE)-1,"")</f>
        <v/>
      </c>
      <c r="J87" s="9">
        <v>85</v>
      </c>
      <c r="K87" s="10" t="str">
        <f>IFERROR(INDEX(Backtest!C:C,MATCH(Trades!A87,Backtest!M:M,0)),"")</f>
        <v/>
      </c>
      <c r="L87" s="10" t="str">
        <f>IFERROR(INDEX(Backtest!C:C,MATCH(Trades!A87,Backtest!N:N,0)),IF(ISNUMBER(K87),Backtest!$C$2519,""))</f>
        <v/>
      </c>
      <c r="M87" s="1" t="str">
        <f t="shared" si="3"/>
        <v/>
      </c>
      <c r="N87" s="11" t="str">
        <f>IFERROR(VLOOKUP(L87,Backtest!C:D,2,FALSE)/VLOOKUP(K87,Backtest!C:D,2,FALSE)-1,"")</f>
        <v/>
      </c>
    </row>
    <row r="88" spans="1:14" x14ac:dyDescent="0.3">
      <c r="A88" s="9">
        <v>86</v>
      </c>
      <c r="B88" s="10" t="str">
        <f>IFERROR(INDEX(Backtest!C:C,MATCH(Trades!A88,Backtest!K:K,0)),"")</f>
        <v/>
      </c>
      <c r="C88" s="10" t="str">
        <f>IFERROR(INDEX(Backtest!C:C,MATCH(Trades!A88,Backtest!L:L,0)),IF(ISNUMBER(B88),Backtest!$C$2519,""))</f>
        <v/>
      </c>
      <c r="D88" s="1" t="str">
        <f t="shared" si="2"/>
        <v/>
      </c>
      <c r="E88" s="11" t="str">
        <f>IFERROR(VLOOKUP(C88,Backtest!C:D,2,FALSE)/VLOOKUP(B88,Backtest!C:D,2,FALSE)-1,"")</f>
        <v/>
      </c>
      <c r="J88" s="9">
        <v>86</v>
      </c>
      <c r="K88" s="10" t="str">
        <f>IFERROR(INDEX(Backtest!C:C,MATCH(Trades!A88,Backtest!M:M,0)),"")</f>
        <v/>
      </c>
      <c r="L88" s="10" t="str">
        <f>IFERROR(INDEX(Backtest!C:C,MATCH(Trades!A88,Backtest!N:N,0)),IF(ISNUMBER(K88),Backtest!$C$2519,""))</f>
        <v/>
      </c>
      <c r="M88" s="1" t="str">
        <f t="shared" si="3"/>
        <v/>
      </c>
      <c r="N88" s="11" t="str">
        <f>IFERROR(VLOOKUP(L88,Backtest!C:D,2,FALSE)/VLOOKUP(K88,Backtest!C:D,2,FALSE)-1,"")</f>
        <v/>
      </c>
    </row>
    <row r="89" spans="1:14" x14ac:dyDescent="0.3">
      <c r="A89" s="9">
        <v>87</v>
      </c>
      <c r="B89" s="10" t="str">
        <f>IFERROR(INDEX(Backtest!C:C,MATCH(Trades!A89,Backtest!K:K,0)),"")</f>
        <v/>
      </c>
      <c r="C89" s="10" t="str">
        <f>IFERROR(INDEX(Backtest!C:C,MATCH(Trades!A89,Backtest!L:L,0)),IF(ISNUMBER(B89),Backtest!$C$2519,""))</f>
        <v/>
      </c>
      <c r="D89" s="1" t="str">
        <f t="shared" si="2"/>
        <v/>
      </c>
      <c r="E89" s="11" t="str">
        <f>IFERROR(VLOOKUP(C89,Backtest!C:D,2,FALSE)/VLOOKUP(B89,Backtest!C:D,2,FALSE)-1,"")</f>
        <v/>
      </c>
      <c r="J89" s="9">
        <v>87</v>
      </c>
      <c r="K89" s="10" t="str">
        <f>IFERROR(INDEX(Backtest!C:C,MATCH(Trades!A89,Backtest!M:M,0)),"")</f>
        <v/>
      </c>
      <c r="L89" s="10" t="str">
        <f>IFERROR(INDEX(Backtest!C:C,MATCH(Trades!A89,Backtest!N:N,0)),IF(ISNUMBER(K89),Backtest!$C$2519,""))</f>
        <v/>
      </c>
      <c r="M89" s="1" t="str">
        <f t="shared" si="3"/>
        <v/>
      </c>
      <c r="N89" s="11" t="str">
        <f>IFERROR(VLOOKUP(L89,Backtest!C:D,2,FALSE)/VLOOKUP(K89,Backtest!C:D,2,FALSE)-1,"")</f>
        <v/>
      </c>
    </row>
    <row r="90" spans="1:14" x14ac:dyDescent="0.3">
      <c r="A90" s="9">
        <v>88</v>
      </c>
      <c r="B90" s="10" t="str">
        <f>IFERROR(INDEX(Backtest!C:C,MATCH(Trades!A90,Backtest!K:K,0)),"")</f>
        <v/>
      </c>
      <c r="C90" s="10" t="str">
        <f>IFERROR(INDEX(Backtest!C:C,MATCH(Trades!A90,Backtest!L:L,0)),IF(ISNUMBER(B90),Backtest!$C$2519,""))</f>
        <v/>
      </c>
      <c r="D90" s="1" t="str">
        <f t="shared" si="2"/>
        <v/>
      </c>
      <c r="E90" s="11" t="str">
        <f>IFERROR(VLOOKUP(C90,Backtest!C:D,2,FALSE)/VLOOKUP(B90,Backtest!C:D,2,FALSE)-1,"")</f>
        <v/>
      </c>
      <c r="J90" s="9">
        <v>88</v>
      </c>
      <c r="K90" s="10" t="str">
        <f>IFERROR(INDEX(Backtest!C:C,MATCH(Trades!A90,Backtest!M:M,0)),"")</f>
        <v/>
      </c>
      <c r="L90" s="10" t="str">
        <f>IFERROR(INDEX(Backtest!C:C,MATCH(Trades!A90,Backtest!N:N,0)),IF(ISNUMBER(K90),Backtest!$C$2519,""))</f>
        <v/>
      </c>
      <c r="M90" s="1" t="str">
        <f t="shared" si="3"/>
        <v/>
      </c>
      <c r="N90" s="11" t="str">
        <f>IFERROR(VLOOKUP(L90,Backtest!C:D,2,FALSE)/VLOOKUP(K90,Backtest!C:D,2,FALSE)-1,"")</f>
        <v/>
      </c>
    </row>
    <row r="91" spans="1:14" x14ac:dyDescent="0.3">
      <c r="A91" s="9">
        <v>89</v>
      </c>
      <c r="B91" s="10" t="str">
        <f>IFERROR(INDEX(Backtest!C:C,MATCH(Trades!A91,Backtest!K:K,0)),"")</f>
        <v/>
      </c>
      <c r="C91" s="10" t="str">
        <f>IFERROR(INDEX(Backtest!C:C,MATCH(Trades!A91,Backtest!L:L,0)),IF(ISNUMBER(B91),Backtest!$C$2519,""))</f>
        <v/>
      </c>
      <c r="D91" s="1" t="str">
        <f t="shared" si="2"/>
        <v/>
      </c>
      <c r="E91" s="11" t="str">
        <f>IFERROR(VLOOKUP(C91,Backtest!C:D,2,FALSE)/VLOOKUP(B91,Backtest!C:D,2,FALSE)-1,"")</f>
        <v/>
      </c>
      <c r="J91" s="9">
        <v>89</v>
      </c>
      <c r="K91" s="10" t="str">
        <f>IFERROR(INDEX(Backtest!C:C,MATCH(Trades!A91,Backtest!M:M,0)),"")</f>
        <v/>
      </c>
      <c r="L91" s="10" t="str">
        <f>IFERROR(INDEX(Backtest!C:C,MATCH(Trades!A91,Backtest!N:N,0)),IF(ISNUMBER(K91),Backtest!$C$2519,""))</f>
        <v/>
      </c>
      <c r="M91" s="1" t="str">
        <f t="shared" si="3"/>
        <v/>
      </c>
      <c r="N91" s="11" t="str">
        <f>IFERROR(VLOOKUP(L91,Backtest!C:D,2,FALSE)/VLOOKUP(K91,Backtest!C:D,2,FALSE)-1,"")</f>
        <v/>
      </c>
    </row>
    <row r="92" spans="1:14" x14ac:dyDescent="0.3">
      <c r="A92" s="9">
        <v>90</v>
      </c>
      <c r="B92" s="10" t="str">
        <f>IFERROR(INDEX(Backtest!C:C,MATCH(Trades!A92,Backtest!K:K,0)),"")</f>
        <v/>
      </c>
      <c r="C92" s="10" t="str">
        <f>IFERROR(INDEX(Backtest!C:C,MATCH(Trades!A92,Backtest!L:L,0)),IF(ISNUMBER(B92),Backtest!$C$2519,""))</f>
        <v/>
      </c>
      <c r="D92" s="1" t="str">
        <f t="shared" si="2"/>
        <v/>
      </c>
      <c r="E92" s="11" t="str">
        <f>IFERROR(VLOOKUP(C92,Backtest!C:D,2,FALSE)/VLOOKUP(B92,Backtest!C:D,2,FALSE)-1,"")</f>
        <v/>
      </c>
      <c r="J92" s="9">
        <v>90</v>
      </c>
      <c r="K92" s="10" t="str">
        <f>IFERROR(INDEX(Backtest!C:C,MATCH(Trades!A92,Backtest!M:M,0)),"")</f>
        <v/>
      </c>
      <c r="L92" s="10" t="str">
        <f>IFERROR(INDEX(Backtest!C:C,MATCH(Trades!A92,Backtest!N:N,0)),IF(ISNUMBER(K92),Backtest!$C$2519,""))</f>
        <v/>
      </c>
      <c r="M92" s="1" t="str">
        <f t="shared" si="3"/>
        <v/>
      </c>
      <c r="N92" s="11" t="str">
        <f>IFERROR(VLOOKUP(L92,Backtest!C:D,2,FALSE)/VLOOKUP(K92,Backtest!C:D,2,FALSE)-1,"")</f>
        <v/>
      </c>
    </row>
    <row r="93" spans="1:14" x14ac:dyDescent="0.3">
      <c r="A93" s="9">
        <v>91</v>
      </c>
      <c r="B93" s="10" t="str">
        <f>IFERROR(INDEX(Backtest!C:C,MATCH(Trades!A93,Backtest!K:K,0)),"")</f>
        <v/>
      </c>
      <c r="C93" s="10" t="str">
        <f>IFERROR(INDEX(Backtest!C:C,MATCH(Trades!A93,Backtest!L:L,0)),IF(ISNUMBER(B93),Backtest!$C$2519,""))</f>
        <v/>
      </c>
      <c r="D93" s="1" t="str">
        <f t="shared" si="2"/>
        <v/>
      </c>
      <c r="E93" s="11" t="str">
        <f>IFERROR(VLOOKUP(C93,Backtest!C:D,2,FALSE)/VLOOKUP(B93,Backtest!C:D,2,FALSE)-1,"")</f>
        <v/>
      </c>
      <c r="J93" s="9">
        <v>91</v>
      </c>
      <c r="K93" s="10" t="str">
        <f>IFERROR(INDEX(Backtest!C:C,MATCH(Trades!A93,Backtest!M:M,0)),"")</f>
        <v/>
      </c>
      <c r="L93" s="10" t="str">
        <f>IFERROR(INDEX(Backtest!C:C,MATCH(Trades!A93,Backtest!N:N,0)),IF(ISNUMBER(K93),Backtest!$C$2519,""))</f>
        <v/>
      </c>
      <c r="M93" s="1" t="str">
        <f t="shared" si="3"/>
        <v/>
      </c>
      <c r="N93" s="11" t="str">
        <f>IFERROR(VLOOKUP(L93,Backtest!C:D,2,FALSE)/VLOOKUP(K93,Backtest!C:D,2,FALSE)-1,"")</f>
        <v/>
      </c>
    </row>
    <row r="94" spans="1:14" x14ac:dyDescent="0.3">
      <c r="A94" s="9">
        <v>92</v>
      </c>
      <c r="B94" s="10" t="str">
        <f>IFERROR(INDEX(Backtest!C:C,MATCH(Trades!A94,Backtest!K:K,0)),"")</f>
        <v/>
      </c>
      <c r="C94" s="10" t="str">
        <f>IFERROR(INDEX(Backtest!C:C,MATCH(Trades!A94,Backtest!L:L,0)),IF(ISNUMBER(B94),Backtest!$C$2519,""))</f>
        <v/>
      </c>
      <c r="D94" s="1" t="str">
        <f t="shared" si="2"/>
        <v/>
      </c>
      <c r="E94" s="11" t="str">
        <f>IFERROR(VLOOKUP(C94,Backtest!C:D,2,FALSE)/VLOOKUP(B94,Backtest!C:D,2,FALSE)-1,"")</f>
        <v/>
      </c>
      <c r="J94" s="9">
        <v>92</v>
      </c>
      <c r="K94" s="10" t="str">
        <f>IFERROR(INDEX(Backtest!C:C,MATCH(Trades!A94,Backtest!M:M,0)),"")</f>
        <v/>
      </c>
      <c r="L94" s="10" t="str">
        <f>IFERROR(INDEX(Backtest!C:C,MATCH(Trades!A94,Backtest!N:N,0)),IF(ISNUMBER(K94),Backtest!$C$2519,""))</f>
        <v/>
      </c>
      <c r="M94" s="1" t="str">
        <f t="shared" si="3"/>
        <v/>
      </c>
      <c r="N94" s="11" t="str">
        <f>IFERROR(VLOOKUP(L94,Backtest!C:D,2,FALSE)/VLOOKUP(K94,Backtest!C:D,2,FALSE)-1,"")</f>
        <v/>
      </c>
    </row>
    <row r="95" spans="1:14" x14ac:dyDescent="0.3">
      <c r="A95" s="9">
        <v>93</v>
      </c>
      <c r="B95" s="10" t="str">
        <f>IFERROR(INDEX(Backtest!C:C,MATCH(Trades!A95,Backtest!K:K,0)),"")</f>
        <v/>
      </c>
      <c r="C95" s="10" t="str">
        <f>IFERROR(INDEX(Backtest!C:C,MATCH(Trades!A95,Backtest!L:L,0)),IF(ISNUMBER(B95),Backtest!$C$2519,""))</f>
        <v/>
      </c>
      <c r="D95" s="1" t="str">
        <f t="shared" si="2"/>
        <v/>
      </c>
      <c r="E95" s="11" t="str">
        <f>IFERROR(VLOOKUP(C95,Backtest!C:D,2,FALSE)/VLOOKUP(B95,Backtest!C:D,2,FALSE)-1,"")</f>
        <v/>
      </c>
      <c r="J95" s="9">
        <v>93</v>
      </c>
      <c r="K95" s="10" t="str">
        <f>IFERROR(INDEX(Backtest!C:C,MATCH(Trades!A95,Backtest!M:M,0)),"")</f>
        <v/>
      </c>
      <c r="L95" s="10" t="str">
        <f>IFERROR(INDEX(Backtest!C:C,MATCH(Trades!A95,Backtest!N:N,0)),IF(ISNUMBER(K95),Backtest!$C$2519,""))</f>
        <v/>
      </c>
      <c r="M95" s="1" t="str">
        <f t="shared" si="3"/>
        <v/>
      </c>
      <c r="N95" s="11" t="str">
        <f>IFERROR(VLOOKUP(L95,Backtest!C:D,2,FALSE)/VLOOKUP(K95,Backtest!C:D,2,FALSE)-1,"")</f>
        <v/>
      </c>
    </row>
    <row r="96" spans="1:14" x14ac:dyDescent="0.3">
      <c r="A96" s="9">
        <v>94</v>
      </c>
      <c r="B96" s="10" t="str">
        <f>IFERROR(INDEX(Backtest!C:C,MATCH(Trades!A96,Backtest!K:K,0)),"")</f>
        <v/>
      </c>
      <c r="C96" s="10" t="str">
        <f>IFERROR(INDEX(Backtest!C:C,MATCH(Trades!A96,Backtest!L:L,0)),IF(ISNUMBER(B96),Backtest!$C$2519,""))</f>
        <v/>
      </c>
      <c r="D96" s="1" t="str">
        <f t="shared" si="2"/>
        <v/>
      </c>
      <c r="E96" s="11" t="str">
        <f>IFERROR(VLOOKUP(C96,Backtest!C:D,2,FALSE)/VLOOKUP(B96,Backtest!C:D,2,FALSE)-1,"")</f>
        <v/>
      </c>
      <c r="J96" s="9">
        <v>94</v>
      </c>
      <c r="K96" s="10" t="str">
        <f>IFERROR(INDEX(Backtest!C:C,MATCH(Trades!A96,Backtest!M:M,0)),"")</f>
        <v/>
      </c>
      <c r="L96" s="10" t="str">
        <f>IFERROR(INDEX(Backtest!C:C,MATCH(Trades!A96,Backtest!N:N,0)),IF(ISNUMBER(K96),Backtest!$C$2519,""))</f>
        <v/>
      </c>
      <c r="M96" s="1" t="str">
        <f t="shared" si="3"/>
        <v/>
      </c>
      <c r="N96" s="11" t="str">
        <f>IFERROR(VLOOKUP(L96,Backtest!C:D,2,FALSE)/VLOOKUP(K96,Backtest!C:D,2,FALSE)-1,"")</f>
        <v/>
      </c>
    </row>
    <row r="97" spans="1:14" x14ac:dyDescent="0.3">
      <c r="A97" s="9">
        <v>95</v>
      </c>
      <c r="B97" s="10" t="str">
        <f>IFERROR(INDEX(Backtest!C:C,MATCH(Trades!A97,Backtest!K:K,0)),"")</f>
        <v/>
      </c>
      <c r="C97" s="10" t="str">
        <f>IFERROR(INDEX(Backtest!C:C,MATCH(Trades!A97,Backtest!L:L,0)),IF(ISNUMBER(B97),Backtest!$C$2519,""))</f>
        <v/>
      </c>
      <c r="D97" s="1" t="str">
        <f t="shared" si="2"/>
        <v/>
      </c>
      <c r="E97" s="11" t="str">
        <f>IFERROR(VLOOKUP(C97,Backtest!C:D,2,FALSE)/VLOOKUP(B97,Backtest!C:D,2,FALSE)-1,"")</f>
        <v/>
      </c>
      <c r="J97" s="9">
        <v>95</v>
      </c>
      <c r="K97" s="10" t="str">
        <f>IFERROR(INDEX(Backtest!C:C,MATCH(Trades!A97,Backtest!M:M,0)),"")</f>
        <v/>
      </c>
      <c r="L97" s="10" t="str">
        <f>IFERROR(INDEX(Backtest!C:C,MATCH(Trades!A97,Backtest!N:N,0)),IF(ISNUMBER(K97),Backtest!$C$2519,""))</f>
        <v/>
      </c>
      <c r="M97" s="1" t="str">
        <f t="shared" si="3"/>
        <v/>
      </c>
      <c r="N97" s="11" t="str">
        <f>IFERROR(VLOOKUP(L97,Backtest!C:D,2,FALSE)/VLOOKUP(K97,Backtest!C:D,2,FALSE)-1,"")</f>
        <v/>
      </c>
    </row>
    <row r="98" spans="1:14" x14ac:dyDescent="0.3">
      <c r="A98" s="9">
        <v>96</v>
      </c>
      <c r="B98" s="10" t="str">
        <f>IFERROR(INDEX(Backtest!C:C,MATCH(Trades!A98,Backtest!K:K,0)),"")</f>
        <v/>
      </c>
      <c r="C98" s="10" t="str">
        <f>IFERROR(INDEX(Backtest!C:C,MATCH(Trades!A98,Backtest!L:L,0)),IF(ISNUMBER(B98),Backtest!$C$2519,""))</f>
        <v/>
      </c>
      <c r="D98" s="1" t="str">
        <f t="shared" si="2"/>
        <v/>
      </c>
      <c r="E98" s="11" t="str">
        <f>IFERROR(VLOOKUP(C98,Backtest!C:D,2,FALSE)/VLOOKUP(B98,Backtest!C:D,2,FALSE)-1,"")</f>
        <v/>
      </c>
      <c r="J98" s="9">
        <v>96</v>
      </c>
      <c r="K98" s="10" t="str">
        <f>IFERROR(INDEX(Backtest!C:C,MATCH(Trades!A98,Backtest!M:M,0)),"")</f>
        <v/>
      </c>
      <c r="L98" s="10" t="str">
        <f>IFERROR(INDEX(Backtest!C:C,MATCH(Trades!A98,Backtest!N:N,0)),IF(ISNUMBER(K98),Backtest!$C$2519,""))</f>
        <v/>
      </c>
      <c r="M98" s="1" t="str">
        <f t="shared" si="3"/>
        <v/>
      </c>
      <c r="N98" s="11" t="str">
        <f>IFERROR(VLOOKUP(L98,Backtest!C:D,2,FALSE)/VLOOKUP(K98,Backtest!C:D,2,FALSE)-1,"")</f>
        <v/>
      </c>
    </row>
    <row r="99" spans="1:14" x14ac:dyDescent="0.3">
      <c r="A99" s="9">
        <v>97</v>
      </c>
      <c r="B99" s="10" t="str">
        <f>IFERROR(INDEX(Backtest!C:C,MATCH(Trades!A99,Backtest!K:K,0)),"")</f>
        <v/>
      </c>
      <c r="C99" s="10" t="str">
        <f>IFERROR(INDEX(Backtest!C:C,MATCH(Trades!A99,Backtest!L:L,0)),IF(ISNUMBER(B99),Backtest!$C$2519,""))</f>
        <v/>
      </c>
      <c r="D99" s="1" t="str">
        <f t="shared" si="2"/>
        <v/>
      </c>
      <c r="E99" s="11" t="str">
        <f>IFERROR(VLOOKUP(C99,Backtest!C:D,2,FALSE)/VLOOKUP(B99,Backtest!C:D,2,FALSE)-1,"")</f>
        <v/>
      </c>
      <c r="J99" s="9">
        <v>97</v>
      </c>
      <c r="K99" s="10" t="str">
        <f>IFERROR(INDEX(Backtest!C:C,MATCH(Trades!A99,Backtest!M:M,0)),"")</f>
        <v/>
      </c>
      <c r="L99" s="10" t="str">
        <f>IFERROR(INDEX(Backtest!C:C,MATCH(Trades!A99,Backtest!N:N,0)),IF(ISNUMBER(K99),Backtest!$C$2519,""))</f>
        <v/>
      </c>
      <c r="M99" s="1" t="str">
        <f t="shared" si="3"/>
        <v/>
      </c>
      <c r="N99" s="11" t="str">
        <f>IFERROR(VLOOKUP(L99,Backtest!C:D,2,FALSE)/VLOOKUP(K99,Backtest!C:D,2,FALSE)-1,"")</f>
        <v/>
      </c>
    </row>
    <row r="100" spans="1:14" x14ac:dyDescent="0.3">
      <c r="A100" s="9">
        <v>98</v>
      </c>
      <c r="B100" s="10" t="str">
        <f>IFERROR(INDEX(Backtest!C:C,MATCH(Trades!A100,Backtest!K:K,0)),"")</f>
        <v/>
      </c>
      <c r="C100" s="10" t="str">
        <f>IFERROR(INDEX(Backtest!C:C,MATCH(Trades!A100,Backtest!L:L,0)),IF(ISNUMBER(B100),Backtest!$C$2519,""))</f>
        <v/>
      </c>
      <c r="D100" s="1" t="str">
        <f t="shared" si="2"/>
        <v/>
      </c>
      <c r="E100" s="11" t="str">
        <f>IFERROR(VLOOKUP(C100,Backtest!C:D,2,FALSE)/VLOOKUP(B100,Backtest!C:D,2,FALSE)-1,"")</f>
        <v/>
      </c>
      <c r="J100" s="9">
        <v>98</v>
      </c>
      <c r="K100" s="10" t="str">
        <f>IFERROR(INDEX(Backtest!C:C,MATCH(Trades!A100,Backtest!M:M,0)),"")</f>
        <v/>
      </c>
      <c r="L100" s="10" t="str">
        <f>IFERROR(INDEX(Backtest!C:C,MATCH(Trades!A100,Backtest!N:N,0)),IF(ISNUMBER(K100),Backtest!$C$2519,""))</f>
        <v/>
      </c>
      <c r="M100" s="1" t="str">
        <f t="shared" si="3"/>
        <v/>
      </c>
      <c r="N100" s="11" t="str">
        <f>IFERROR(VLOOKUP(L100,Backtest!C:D,2,FALSE)/VLOOKUP(K100,Backtest!C:D,2,FALSE)-1,"")</f>
        <v/>
      </c>
    </row>
    <row r="101" spans="1:14" x14ac:dyDescent="0.3">
      <c r="A101" s="9">
        <v>99</v>
      </c>
      <c r="B101" s="10" t="str">
        <f>IFERROR(INDEX(Backtest!C:C,MATCH(Trades!A101,Backtest!K:K,0)),"")</f>
        <v/>
      </c>
      <c r="C101" s="10" t="str">
        <f>IFERROR(INDEX(Backtest!C:C,MATCH(Trades!A101,Backtest!L:L,0)),IF(ISNUMBER(B101),Backtest!$C$2519,""))</f>
        <v/>
      </c>
      <c r="D101" s="1" t="str">
        <f t="shared" si="2"/>
        <v/>
      </c>
      <c r="E101" s="11" t="str">
        <f>IFERROR(VLOOKUP(C101,Backtest!C:D,2,FALSE)/VLOOKUP(B101,Backtest!C:D,2,FALSE)-1,"")</f>
        <v/>
      </c>
      <c r="J101" s="9">
        <v>99</v>
      </c>
      <c r="K101" s="10" t="str">
        <f>IFERROR(INDEX(Backtest!C:C,MATCH(Trades!A101,Backtest!M:M,0)),"")</f>
        <v/>
      </c>
      <c r="L101" s="10" t="str">
        <f>IFERROR(INDEX(Backtest!C:C,MATCH(Trades!A101,Backtest!N:N,0)),IF(ISNUMBER(K101),Backtest!$C$2519,""))</f>
        <v/>
      </c>
      <c r="M101" s="1" t="str">
        <f t="shared" si="3"/>
        <v/>
      </c>
      <c r="N101" s="11" t="str">
        <f>IFERROR(VLOOKUP(L101,Backtest!C:D,2,FALSE)/VLOOKUP(K101,Backtest!C:D,2,FALSE)-1,"")</f>
        <v/>
      </c>
    </row>
    <row r="102" spans="1:14" x14ac:dyDescent="0.3">
      <c r="A102" s="9">
        <v>100</v>
      </c>
      <c r="B102" s="10" t="str">
        <f>IFERROR(INDEX(Backtest!C:C,MATCH(Trades!A102,Backtest!K:K,0)),"")</f>
        <v/>
      </c>
      <c r="C102" s="10" t="str">
        <f>IFERROR(INDEX(Backtest!C:C,MATCH(Trades!A102,Backtest!L:L,0)),IF(ISNUMBER(B102),Backtest!$C$2519,""))</f>
        <v/>
      </c>
      <c r="D102" s="1" t="str">
        <f t="shared" si="2"/>
        <v/>
      </c>
      <c r="E102" s="11" t="str">
        <f>IFERROR(VLOOKUP(C102,Backtest!C:D,2,FALSE)/VLOOKUP(B102,Backtest!C:D,2,FALSE)-1,"")</f>
        <v/>
      </c>
      <c r="J102" s="9">
        <v>100</v>
      </c>
      <c r="K102" s="10" t="str">
        <f>IFERROR(INDEX(Backtest!C:C,MATCH(Trades!A102,Backtest!M:M,0)),"")</f>
        <v/>
      </c>
      <c r="L102" s="10" t="str">
        <f>IFERROR(INDEX(Backtest!C:C,MATCH(Trades!A102,Backtest!N:N,0)),IF(ISNUMBER(K102),Backtest!$C$2519,""))</f>
        <v/>
      </c>
      <c r="M102" s="1" t="str">
        <f t="shared" si="3"/>
        <v/>
      </c>
      <c r="N102" s="11" t="str">
        <f>IFERROR(VLOOKUP(L102,Backtest!C:D,2,FALSE)/VLOOKUP(K102,Backtest!C:D,2,FALSE)-1,"")</f>
        <v/>
      </c>
    </row>
    <row r="103" spans="1:14" x14ac:dyDescent="0.3">
      <c r="A103" s="9">
        <v>101</v>
      </c>
      <c r="B103" s="10" t="str">
        <f>IFERROR(INDEX(Backtest!C:C,MATCH(Trades!A103,Backtest!K:K,0)),"")</f>
        <v/>
      </c>
      <c r="C103" s="10" t="str">
        <f>IFERROR(INDEX(Backtest!C:C,MATCH(Trades!A103,Backtest!L:L,0)),IF(ISNUMBER(B103),Backtest!$C$2519,""))</f>
        <v/>
      </c>
      <c r="D103" s="1" t="str">
        <f t="shared" si="2"/>
        <v/>
      </c>
      <c r="E103" s="11" t="str">
        <f>IFERROR(VLOOKUP(C103,Backtest!C:D,2,FALSE)/VLOOKUP(B103,Backtest!C:D,2,FALSE)-1,"")</f>
        <v/>
      </c>
      <c r="J103" s="9">
        <v>101</v>
      </c>
      <c r="K103" s="10" t="str">
        <f>IFERROR(INDEX(Backtest!C:C,MATCH(Trades!A103,Backtest!M:M,0)),"")</f>
        <v/>
      </c>
      <c r="L103" s="10" t="str">
        <f>IFERROR(INDEX(Backtest!C:C,MATCH(Trades!A103,Backtest!N:N,0)),IF(ISNUMBER(K103),Backtest!$C$2519,""))</f>
        <v/>
      </c>
      <c r="M103" s="1" t="str">
        <f t="shared" si="3"/>
        <v/>
      </c>
      <c r="N103" s="11" t="str">
        <f>IFERROR(VLOOKUP(L103,Backtest!C:D,2,FALSE)/VLOOKUP(K103,Backtest!C:D,2,FALSE)-1,"")</f>
        <v/>
      </c>
    </row>
    <row r="104" spans="1:14" x14ac:dyDescent="0.3">
      <c r="A104" s="9">
        <v>102</v>
      </c>
      <c r="B104" s="10" t="str">
        <f>IFERROR(INDEX(Backtest!C:C,MATCH(Trades!A104,Backtest!K:K,0)),"")</f>
        <v/>
      </c>
      <c r="C104" s="10" t="str">
        <f>IFERROR(INDEX(Backtest!C:C,MATCH(Trades!A104,Backtest!L:L,0)),IF(ISNUMBER(B104),Backtest!$C$2519,""))</f>
        <v/>
      </c>
      <c r="D104" s="1" t="str">
        <f t="shared" si="2"/>
        <v/>
      </c>
      <c r="E104" s="11" t="str">
        <f>IFERROR(VLOOKUP(C104,Backtest!C:D,2,FALSE)/VLOOKUP(B104,Backtest!C:D,2,FALSE)-1,"")</f>
        <v/>
      </c>
      <c r="J104" s="9">
        <v>102</v>
      </c>
      <c r="K104" s="10" t="str">
        <f>IFERROR(INDEX(Backtest!C:C,MATCH(Trades!A104,Backtest!M:M,0)),"")</f>
        <v/>
      </c>
      <c r="L104" s="10" t="str">
        <f>IFERROR(INDEX(Backtest!C:C,MATCH(Trades!A104,Backtest!N:N,0)),IF(ISNUMBER(K104),Backtest!$C$2519,""))</f>
        <v/>
      </c>
      <c r="M104" s="1" t="str">
        <f t="shared" si="3"/>
        <v/>
      </c>
      <c r="N104" s="11" t="str">
        <f>IFERROR(VLOOKUP(L104,Backtest!C:D,2,FALSE)/VLOOKUP(K104,Backtest!C:D,2,FALSE)-1,"")</f>
        <v/>
      </c>
    </row>
    <row r="105" spans="1:14" x14ac:dyDescent="0.3">
      <c r="A105" s="9">
        <v>103</v>
      </c>
      <c r="B105" s="10" t="str">
        <f>IFERROR(INDEX(Backtest!C:C,MATCH(Trades!A105,Backtest!K:K,0)),"")</f>
        <v/>
      </c>
      <c r="C105" s="10" t="str">
        <f>IFERROR(INDEX(Backtest!C:C,MATCH(Trades!A105,Backtest!L:L,0)),IF(ISNUMBER(B105),Backtest!$C$2519,""))</f>
        <v/>
      </c>
      <c r="D105" s="1" t="str">
        <f t="shared" si="2"/>
        <v/>
      </c>
      <c r="E105" s="11" t="str">
        <f>IFERROR(VLOOKUP(C105,Backtest!C:D,2,FALSE)/VLOOKUP(B105,Backtest!C:D,2,FALSE)-1,"")</f>
        <v/>
      </c>
      <c r="J105" s="9">
        <v>103</v>
      </c>
      <c r="K105" s="10" t="str">
        <f>IFERROR(INDEX(Backtest!C:C,MATCH(Trades!A105,Backtest!M:M,0)),"")</f>
        <v/>
      </c>
      <c r="L105" s="10" t="str">
        <f>IFERROR(INDEX(Backtest!C:C,MATCH(Trades!A105,Backtest!N:N,0)),IF(ISNUMBER(K105),Backtest!$C$2519,""))</f>
        <v/>
      </c>
      <c r="M105" s="1" t="str">
        <f t="shared" si="3"/>
        <v/>
      </c>
      <c r="N105" s="11" t="str">
        <f>IFERROR(VLOOKUP(L105,Backtest!C:D,2,FALSE)/VLOOKUP(K105,Backtest!C:D,2,FALSE)-1,"")</f>
        <v/>
      </c>
    </row>
    <row r="106" spans="1:14" x14ac:dyDescent="0.3">
      <c r="A106" s="9">
        <v>104</v>
      </c>
      <c r="B106" s="10" t="str">
        <f>IFERROR(INDEX(Backtest!C:C,MATCH(Trades!A106,Backtest!K:K,0)),"")</f>
        <v/>
      </c>
      <c r="C106" s="10" t="str">
        <f>IFERROR(INDEX(Backtest!C:C,MATCH(Trades!A106,Backtest!L:L,0)),IF(ISNUMBER(B106),Backtest!$C$2519,""))</f>
        <v/>
      </c>
      <c r="D106" s="1" t="str">
        <f t="shared" si="2"/>
        <v/>
      </c>
      <c r="E106" s="11" t="str">
        <f>IFERROR(VLOOKUP(C106,Backtest!C:D,2,FALSE)/VLOOKUP(B106,Backtest!C:D,2,FALSE)-1,"")</f>
        <v/>
      </c>
      <c r="J106" s="9">
        <v>104</v>
      </c>
      <c r="K106" s="10" t="str">
        <f>IFERROR(INDEX(Backtest!C:C,MATCH(Trades!A106,Backtest!M:M,0)),"")</f>
        <v/>
      </c>
      <c r="L106" s="10" t="str">
        <f>IFERROR(INDEX(Backtest!C:C,MATCH(Trades!A106,Backtest!N:N,0)),IF(ISNUMBER(K106),Backtest!$C$2519,""))</f>
        <v/>
      </c>
      <c r="M106" s="1" t="str">
        <f t="shared" si="3"/>
        <v/>
      </c>
      <c r="N106" s="11" t="str">
        <f>IFERROR(VLOOKUP(L106,Backtest!C:D,2,FALSE)/VLOOKUP(K106,Backtest!C:D,2,FALSE)-1,"")</f>
        <v/>
      </c>
    </row>
    <row r="107" spans="1:14" x14ac:dyDescent="0.3">
      <c r="A107" s="9">
        <v>105</v>
      </c>
      <c r="B107" s="10" t="str">
        <f>IFERROR(INDEX(Backtest!C:C,MATCH(Trades!A107,Backtest!K:K,0)),"")</f>
        <v/>
      </c>
      <c r="C107" s="10" t="str">
        <f>IFERROR(INDEX(Backtest!C:C,MATCH(Trades!A107,Backtest!L:L,0)),IF(ISNUMBER(B107),Backtest!$C$2519,""))</f>
        <v/>
      </c>
      <c r="D107" s="1" t="str">
        <f t="shared" si="2"/>
        <v/>
      </c>
      <c r="E107" s="11" t="str">
        <f>IFERROR(VLOOKUP(C107,Backtest!C:D,2,FALSE)/VLOOKUP(B107,Backtest!C:D,2,FALSE)-1,"")</f>
        <v/>
      </c>
      <c r="J107" s="9">
        <v>105</v>
      </c>
      <c r="K107" s="10" t="str">
        <f>IFERROR(INDEX(Backtest!C:C,MATCH(Trades!A107,Backtest!M:M,0)),"")</f>
        <v/>
      </c>
      <c r="L107" s="10" t="str">
        <f>IFERROR(INDEX(Backtest!C:C,MATCH(Trades!A107,Backtest!N:N,0)),IF(ISNUMBER(K107),Backtest!$C$2519,""))</f>
        <v/>
      </c>
      <c r="M107" s="1" t="str">
        <f t="shared" si="3"/>
        <v/>
      </c>
      <c r="N107" s="11" t="str">
        <f>IFERROR(VLOOKUP(L107,Backtest!C:D,2,FALSE)/VLOOKUP(K107,Backtest!C:D,2,FALSE)-1,"")</f>
        <v/>
      </c>
    </row>
    <row r="108" spans="1:14" x14ac:dyDescent="0.3">
      <c r="A108" s="9">
        <v>106</v>
      </c>
      <c r="B108" s="10" t="str">
        <f>IFERROR(INDEX(Backtest!C:C,MATCH(Trades!A108,Backtest!K:K,0)),"")</f>
        <v/>
      </c>
      <c r="C108" s="10" t="str">
        <f>IFERROR(INDEX(Backtest!C:C,MATCH(Trades!A108,Backtest!L:L,0)),IF(ISNUMBER(B108),Backtest!$C$2519,""))</f>
        <v/>
      </c>
      <c r="D108" s="1" t="str">
        <f t="shared" si="2"/>
        <v/>
      </c>
      <c r="E108" s="11" t="str">
        <f>IFERROR(VLOOKUP(C108,Backtest!C:D,2,FALSE)/VLOOKUP(B108,Backtest!C:D,2,FALSE)-1,"")</f>
        <v/>
      </c>
      <c r="J108" s="9">
        <v>106</v>
      </c>
      <c r="K108" s="10" t="str">
        <f>IFERROR(INDEX(Backtest!C:C,MATCH(Trades!A108,Backtest!M:M,0)),"")</f>
        <v/>
      </c>
      <c r="L108" s="10" t="str">
        <f>IFERROR(INDEX(Backtest!C:C,MATCH(Trades!A108,Backtest!N:N,0)),IF(ISNUMBER(K108),Backtest!$C$2519,""))</f>
        <v/>
      </c>
      <c r="M108" s="1" t="str">
        <f t="shared" si="3"/>
        <v/>
      </c>
      <c r="N108" s="11" t="str">
        <f>IFERROR(VLOOKUP(L108,Backtest!C:D,2,FALSE)/VLOOKUP(K108,Backtest!C:D,2,FALSE)-1,"")</f>
        <v/>
      </c>
    </row>
    <row r="109" spans="1:14" x14ac:dyDescent="0.3">
      <c r="A109" s="9">
        <v>107</v>
      </c>
      <c r="B109" s="10" t="str">
        <f>IFERROR(INDEX(Backtest!C:C,MATCH(Trades!A109,Backtest!K:K,0)),"")</f>
        <v/>
      </c>
      <c r="C109" s="10" t="str">
        <f>IFERROR(INDEX(Backtest!C:C,MATCH(Trades!A109,Backtest!L:L,0)),IF(ISNUMBER(B109),Backtest!$C$2519,""))</f>
        <v/>
      </c>
      <c r="D109" s="1" t="str">
        <f t="shared" si="2"/>
        <v/>
      </c>
      <c r="E109" s="11" t="str">
        <f>IFERROR(VLOOKUP(C109,Backtest!C:D,2,FALSE)/VLOOKUP(B109,Backtest!C:D,2,FALSE)-1,"")</f>
        <v/>
      </c>
      <c r="J109" s="9">
        <v>107</v>
      </c>
      <c r="K109" s="10" t="str">
        <f>IFERROR(INDEX(Backtest!C:C,MATCH(Trades!A109,Backtest!M:M,0)),"")</f>
        <v/>
      </c>
      <c r="L109" s="10" t="str">
        <f>IFERROR(INDEX(Backtest!C:C,MATCH(Trades!A109,Backtest!N:N,0)),IF(ISNUMBER(K109),Backtest!$C$2519,""))</f>
        <v/>
      </c>
      <c r="M109" s="1" t="str">
        <f t="shared" si="3"/>
        <v/>
      </c>
      <c r="N109" s="11" t="str">
        <f>IFERROR(VLOOKUP(L109,Backtest!C:D,2,FALSE)/VLOOKUP(K109,Backtest!C:D,2,FALSE)-1,"")</f>
        <v/>
      </c>
    </row>
    <row r="110" spans="1:14" x14ac:dyDescent="0.3">
      <c r="A110" s="9">
        <v>108</v>
      </c>
      <c r="B110" s="10" t="str">
        <f>IFERROR(INDEX(Backtest!C:C,MATCH(Trades!A110,Backtest!K:K,0)),"")</f>
        <v/>
      </c>
      <c r="C110" s="10" t="str">
        <f>IFERROR(INDEX(Backtest!C:C,MATCH(Trades!A110,Backtest!L:L,0)),IF(ISNUMBER(B110),Backtest!$C$2519,""))</f>
        <v/>
      </c>
      <c r="D110" s="1" t="str">
        <f t="shared" si="2"/>
        <v/>
      </c>
      <c r="E110" s="11" t="str">
        <f>IFERROR(VLOOKUP(C110,Backtest!C:D,2,FALSE)/VLOOKUP(B110,Backtest!C:D,2,FALSE)-1,"")</f>
        <v/>
      </c>
      <c r="J110" s="9">
        <v>108</v>
      </c>
      <c r="K110" s="10" t="str">
        <f>IFERROR(INDEX(Backtest!C:C,MATCH(Trades!A110,Backtest!M:M,0)),"")</f>
        <v/>
      </c>
      <c r="L110" s="10" t="str">
        <f>IFERROR(INDEX(Backtest!C:C,MATCH(Trades!A110,Backtest!N:N,0)),IF(ISNUMBER(K110),Backtest!$C$2519,""))</f>
        <v/>
      </c>
      <c r="M110" s="1" t="str">
        <f t="shared" si="3"/>
        <v/>
      </c>
      <c r="N110" s="11" t="str">
        <f>IFERROR(VLOOKUP(L110,Backtest!C:D,2,FALSE)/VLOOKUP(K110,Backtest!C:D,2,FALSE)-1,"")</f>
        <v/>
      </c>
    </row>
    <row r="111" spans="1:14" x14ac:dyDescent="0.3">
      <c r="A111" s="9">
        <v>109</v>
      </c>
      <c r="B111" s="10" t="str">
        <f>IFERROR(INDEX(Backtest!C:C,MATCH(Trades!A111,Backtest!K:K,0)),"")</f>
        <v/>
      </c>
      <c r="C111" s="10" t="str">
        <f>IFERROR(INDEX(Backtest!C:C,MATCH(Trades!A111,Backtest!L:L,0)),IF(ISNUMBER(B111),Backtest!$C$2519,""))</f>
        <v/>
      </c>
      <c r="D111" s="1" t="str">
        <f t="shared" si="2"/>
        <v/>
      </c>
      <c r="E111" s="11" t="str">
        <f>IFERROR(VLOOKUP(C111,Backtest!C:D,2,FALSE)/VLOOKUP(B111,Backtest!C:D,2,FALSE)-1,"")</f>
        <v/>
      </c>
      <c r="J111" s="9">
        <v>109</v>
      </c>
      <c r="K111" s="10" t="str">
        <f>IFERROR(INDEX(Backtest!C:C,MATCH(Trades!A111,Backtest!M:M,0)),"")</f>
        <v/>
      </c>
      <c r="L111" s="10" t="str">
        <f>IFERROR(INDEX(Backtest!C:C,MATCH(Trades!A111,Backtest!N:N,0)),IF(ISNUMBER(K111),Backtest!$C$2519,""))</f>
        <v/>
      </c>
      <c r="M111" s="1" t="str">
        <f t="shared" si="3"/>
        <v/>
      </c>
      <c r="N111" s="11" t="str">
        <f>IFERROR(VLOOKUP(L111,Backtest!C:D,2,FALSE)/VLOOKUP(K111,Backtest!C:D,2,FALSE)-1,"")</f>
        <v/>
      </c>
    </row>
    <row r="112" spans="1:14" x14ac:dyDescent="0.3">
      <c r="A112" s="9">
        <v>110</v>
      </c>
      <c r="B112" s="10" t="str">
        <f>IFERROR(INDEX(Backtest!C:C,MATCH(Trades!A112,Backtest!K:K,0)),"")</f>
        <v/>
      </c>
      <c r="C112" s="10" t="str">
        <f>IFERROR(INDEX(Backtest!C:C,MATCH(Trades!A112,Backtest!L:L,0)),IF(ISNUMBER(B112),Backtest!$C$2519,""))</f>
        <v/>
      </c>
      <c r="D112" s="1" t="str">
        <f t="shared" si="2"/>
        <v/>
      </c>
      <c r="E112" s="11" t="str">
        <f>IFERROR(VLOOKUP(C112,Backtest!C:D,2,FALSE)/VLOOKUP(B112,Backtest!C:D,2,FALSE)-1,"")</f>
        <v/>
      </c>
      <c r="J112" s="9">
        <v>110</v>
      </c>
      <c r="K112" s="10" t="str">
        <f>IFERROR(INDEX(Backtest!C:C,MATCH(Trades!A112,Backtest!M:M,0)),"")</f>
        <v/>
      </c>
      <c r="L112" s="10" t="str">
        <f>IFERROR(INDEX(Backtest!C:C,MATCH(Trades!A112,Backtest!N:N,0)),IF(ISNUMBER(K112),Backtest!$C$2519,""))</f>
        <v/>
      </c>
      <c r="M112" s="1" t="str">
        <f t="shared" si="3"/>
        <v/>
      </c>
      <c r="N112" s="11" t="str">
        <f>IFERROR(VLOOKUP(L112,Backtest!C:D,2,FALSE)/VLOOKUP(K112,Backtest!C:D,2,FALSE)-1,"")</f>
        <v/>
      </c>
    </row>
    <row r="113" spans="1:14" x14ac:dyDescent="0.3">
      <c r="A113" s="9">
        <v>111</v>
      </c>
      <c r="B113" s="10" t="str">
        <f>IFERROR(INDEX(Backtest!C:C,MATCH(Trades!A113,Backtest!K:K,0)),"")</f>
        <v/>
      </c>
      <c r="C113" s="10" t="str">
        <f>IFERROR(INDEX(Backtest!C:C,MATCH(Trades!A113,Backtest!L:L,0)),IF(ISNUMBER(B113),Backtest!$C$2519,""))</f>
        <v/>
      </c>
      <c r="D113" s="1" t="str">
        <f t="shared" si="2"/>
        <v/>
      </c>
      <c r="E113" s="11" t="str">
        <f>IFERROR(VLOOKUP(C113,Backtest!C:D,2,FALSE)/VLOOKUP(B113,Backtest!C:D,2,FALSE)-1,"")</f>
        <v/>
      </c>
      <c r="J113" s="9">
        <v>111</v>
      </c>
      <c r="K113" s="10" t="str">
        <f>IFERROR(INDEX(Backtest!C:C,MATCH(Trades!A113,Backtest!M:M,0)),"")</f>
        <v/>
      </c>
      <c r="L113" s="10" t="str">
        <f>IFERROR(INDEX(Backtest!C:C,MATCH(Trades!A113,Backtest!N:N,0)),IF(ISNUMBER(K113),Backtest!$C$2519,""))</f>
        <v/>
      </c>
      <c r="M113" s="1" t="str">
        <f t="shared" si="3"/>
        <v/>
      </c>
      <c r="N113" s="11" t="str">
        <f>IFERROR(VLOOKUP(L113,Backtest!C:D,2,FALSE)/VLOOKUP(K113,Backtest!C:D,2,FALSE)-1,"")</f>
        <v/>
      </c>
    </row>
    <row r="114" spans="1:14" x14ac:dyDescent="0.3">
      <c r="A114" s="9">
        <v>112</v>
      </c>
      <c r="B114" s="10" t="str">
        <f>IFERROR(INDEX(Backtest!C:C,MATCH(Trades!A114,Backtest!K:K,0)),"")</f>
        <v/>
      </c>
      <c r="C114" s="10" t="str">
        <f>IFERROR(INDEX(Backtest!C:C,MATCH(Trades!A114,Backtest!L:L,0)),IF(ISNUMBER(B114),Backtest!$C$2519,""))</f>
        <v/>
      </c>
      <c r="D114" s="1" t="str">
        <f t="shared" si="2"/>
        <v/>
      </c>
      <c r="E114" s="11" t="str">
        <f>IFERROR(VLOOKUP(C114,Backtest!C:D,2,FALSE)/VLOOKUP(B114,Backtest!C:D,2,FALSE)-1,"")</f>
        <v/>
      </c>
      <c r="J114" s="9">
        <v>112</v>
      </c>
      <c r="K114" s="10" t="str">
        <f>IFERROR(INDEX(Backtest!C:C,MATCH(Trades!A114,Backtest!M:M,0)),"")</f>
        <v/>
      </c>
      <c r="L114" s="10" t="str">
        <f>IFERROR(INDEX(Backtest!C:C,MATCH(Trades!A114,Backtest!N:N,0)),IF(ISNUMBER(K114),Backtest!$C$2519,""))</f>
        <v/>
      </c>
      <c r="M114" s="1" t="str">
        <f t="shared" si="3"/>
        <v/>
      </c>
      <c r="N114" s="11" t="str">
        <f>IFERROR(VLOOKUP(L114,Backtest!C:D,2,FALSE)/VLOOKUP(K114,Backtest!C:D,2,FALSE)-1,"")</f>
        <v/>
      </c>
    </row>
    <row r="115" spans="1:14" x14ac:dyDescent="0.3">
      <c r="A115" s="9">
        <v>113</v>
      </c>
      <c r="B115" s="10" t="str">
        <f>IFERROR(INDEX(Backtest!C:C,MATCH(Trades!A115,Backtest!K:K,0)),"")</f>
        <v/>
      </c>
      <c r="C115" s="10" t="str">
        <f>IFERROR(INDEX(Backtest!C:C,MATCH(Trades!A115,Backtest!L:L,0)),IF(ISNUMBER(B115),Backtest!$C$2519,""))</f>
        <v/>
      </c>
      <c r="D115" s="1" t="str">
        <f t="shared" si="2"/>
        <v/>
      </c>
      <c r="E115" s="11" t="str">
        <f>IFERROR(VLOOKUP(C115,Backtest!C:D,2,FALSE)/VLOOKUP(B115,Backtest!C:D,2,FALSE)-1,"")</f>
        <v/>
      </c>
      <c r="J115" s="9">
        <v>113</v>
      </c>
      <c r="K115" s="10" t="str">
        <f>IFERROR(INDEX(Backtest!C:C,MATCH(Trades!A115,Backtest!M:M,0)),"")</f>
        <v/>
      </c>
      <c r="L115" s="10" t="str">
        <f>IFERROR(INDEX(Backtest!C:C,MATCH(Trades!A115,Backtest!N:N,0)),IF(ISNUMBER(K115),Backtest!$C$2519,""))</f>
        <v/>
      </c>
      <c r="M115" s="1" t="str">
        <f t="shared" si="3"/>
        <v/>
      </c>
      <c r="N115" s="11" t="str">
        <f>IFERROR(VLOOKUP(L115,Backtest!C:D,2,FALSE)/VLOOKUP(K115,Backtest!C:D,2,FALSE)-1,"")</f>
        <v/>
      </c>
    </row>
    <row r="116" spans="1:14" x14ac:dyDescent="0.3">
      <c r="A116" s="9">
        <v>114</v>
      </c>
      <c r="B116" s="10" t="str">
        <f>IFERROR(INDEX(Backtest!C:C,MATCH(Trades!A116,Backtest!K:K,0)),"")</f>
        <v/>
      </c>
      <c r="C116" s="10" t="str">
        <f>IFERROR(INDEX(Backtest!C:C,MATCH(Trades!A116,Backtest!L:L,0)),IF(ISNUMBER(B116),Backtest!$C$2519,""))</f>
        <v/>
      </c>
      <c r="D116" s="1" t="str">
        <f t="shared" si="2"/>
        <v/>
      </c>
      <c r="E116" s="11" t="str">
        <f>IFERROR(VLOOKUP(C116,Backtest!C:D,2,FALSE)/VLOOKUP(B116,Backtest!C:D,2,FALSE)-1,"")</f>
        <v/>
      </c>
      <c r="J116" s="9">
        <v>114</v>
      </c>
      <c r="K116" s="10" t="str">
        <f>IFERROR(INDEX(Backtest!C:C,MATCH(Trades!A116,Backtest!M:M,0)),"")</f>
        <v/>
      </c>
      <c r="L116" s="10" t="str">
        <f>IFERROR(INDEX(Backtest!C:C,MATCH(Trades!A116,Backtest!N:N,0)),IF(ISNUMBER(K116),Backtest!$C$2519,""))</f>
        <v/>
      </c>
      <c r="M116" s="1" t="str">
        <f t="shared" si="3"/>
        <v/>
      </c>
      <c r="N116" s="11" t="str">
        <f>IFERROR(VLOOKUP(L116,Backtest!C:D,2,FALSE)/VLOOKUP(K116,Backtest!C:D,2,FALSE)-1,"")</f>
        <v/>
      </c>
    </row>
    <row r="117" spans="1:14" x14ac:dyDescent="0.3">
      <c r="A117" s="9">
        <v>115</v>
      </c>
      <c r="B117" s="10" t="str">
        <f>IFERROR(INDEX(Backtest!C:C,MATCH(Trades!A117,Backtest!K:K,0)),"")</f>
        <v/>
      </c>
      <c r="C117" s="10" t="str">
        <f>IFERROR(INDEX(Backtest!C:C,MATCH(Trades!A117,Backtest!L:L,0)),IF(ISNUMBER(B117),Backtest!$C$2519,""))</f>
        <v/>
      </c>
      <c r="D117" s="1" t="str">
        <f t="shared" si="2"/>
        <v/>
      </c>
      <c r="E117" s="11" t="str">
        <f>IFERROR(VLOOKUP(C117,Backtest!C:D,2,FALSE)/VLOOKUP(B117,Backtest!C:D,2,FALSE)-1,"")</f>
        <v/>
      </c>
      <c r="J117" s="9">
        <v>115</v>
      </c>
      <c r="K117" s="10" t="str">
        <f>IFERROR(INDEX(Backtest!C:C,MATCH(Trades!A117,Backtest!M:M,0)),"")</f>
        <v/>
      </c>
      <c r="L117" s="10" t="str">
        <f>IFERROR(INDEX(Backtest!C:C,MATCH(Trades!A117,Backtest!N:N,0)),IF(ISNUMBER(K117),Backtest!$C$2519,""))</f>
        <v/>
      </c>
      <c r="M117" s="1" t="str">
        <f t="shared" si="3"/>
        <v/>
      </c>
      <c r="N117" s="11" t="str">
        <f>IFERROR(VLOOKUP(L117,Backtest!C:D,2,FALSE)/VLOOKUP(K117,Backtest!C:D,2,FALSE)-1,"")</f>
        <v/>
      </c>
    </row>
    <row r="118" spans="1:14" x14ac:dyDescent="0.3">
      <c r="A118" s="9">
        <v>116</v>
      </c>
      <c r="B118" s="10" t="str">
        <f>IFERROR(INDEX(Backtest!C:C,MATCH(Trades!A118,Backtest!K:K,0)),"")</f>
        <v/>
      </c>
      <c r="C118" s="10" t="str">
        <f>IFERROR(INDEX(Backtest!C:C,MATCH(Trades!A118,Backtest!L:L,0)),IF(ISNUMBER(B118),Backtest!$C$2519,""))</f>
        <v/>
      </c>
      <c r="D118" s="1" t="str">
        <f t="shared" si="2"/>
        <v/>
      </c>
      <c r="E118" s="11" t="str">
        <f>IFERROR(VLOOKUP(C118,Backtest!C:D,2,FALSE)/VLOOKUP(B118,Backtest!C:D,2,FALSE)-1,"")</f>
        <v/>
      </c>
      <c r="J118" s="9">
        <v>116</v>
      </c>
      <c r="K118" s="10" t="str">
        <f>IFERROR(INDEX(Backtest!C:C,MATCH(Trades!A118,Backtest!M:M,0)),"")</f>
        <v/>
      </c>
      <c r="L118" s="10" t="str">
        <f>IFERROR(INDEX(Backtest!C:C,MATCH(Trades!A118,Backtest!N:N,0)),IF(ISNUMBER(K118),Backtest!$C$2519,""))</f>
        <v/>
      </c>
      <c r="M118" s="1" t="str">
        <f t="shared" si="3"/>
        <v/>
      </c>
      <c r="N118" s="11" t="str">
        <f>IFERROR(VLOOKUP(L118,Backtest!C:D,2,FALSE)/VLOOKUP(K118,Backtest!C:D,2,FALSE)-1,"")</f>
        <v/>
      </c>
    </row>
    <row r="119" spans="1:14" x14ac:dyDescent="0.3">
      <c r="A119" s="9">
        <v>117</v>
      </c>
      <c r="B119" s="10" t="str">
        <f>IFERROR(INDEX(Backtest!C:C,MATCH(Trades!A119,Backtest!K:K,0)),"")</f>
        <v/>
      </c>
      <c r="C119" s="10" t="str">
        <f>IFERROR(INDEX(Backtest!C:C,MATCH(Trades!A119,Backtest!L:L,0)),IF(ISNUMBER(B119),Backtest!$C$2519,""))</f>
        <v/>
      </c>
      <c r="D119" s="1" t="str">
        <f t="shared" si="2"/>
        <v/>
      </c>
      <c r="E119" s="11" t="str">
        <f>IFERROR(VLOOKUP(C119,Backtest!C:D,2,FALSE)/VLOOKUP(B119,Backtest!C:D,2,FALSE)-1,"")</f>
        <v/>
      </c>
      <c r="J119" s="9">
        <v>117</v>
      </c>
      <c r="K119" s="10" t="str">
        <f>IFERROR(INDEX(Backtest!C:C,MATCH(Trades!A119,Backtest!M:M,0)),"")</f>
        <v/>
      </c>
      <c r="L119" s="10" t="str">
        <f>IFERROR(INDEX(Backtest!C:C,MATCH(Trades!A119,Backtest!N:N,0)),IF(ISNUMBER(K119),Backtest!$C$2519,""))</f>
        <v/>
      </c>
      <c r="M119" s="1" t="str">
        <f t="shared" si="3"/>
        <v/>
      </c>
      <c r="N119" s="11" t="str">
        <f>IFERROR(VLOOKUP(L119,Backtest!C:D,2,FALSE)/VLOOKUP(K119,Backtest!C:D,2,FALSE)-1,"")</f>
        <v/>
      </c>
    </row>
    <row r="120" spans="1:14" x14ac:dyDescent="0.3">
      <c r="A120" s="9">
        <v>118</v>
      </c>
      <c r="B120" s="10" t="str">
        <f>IFERROR(INDEX(Backtest!C:C,MATCH(Trades!A120,Backtest!K:K,0)),"")</f>
        <v/>
      </c>
      <c r="C120" s="10" t="str">
        <f>IFERROR(INDEX(Backtest!C:C,MATCH(Trades!A120,Backtest!L:L,0)),IF(ISNUMBER(B120),Backtest!$C$2519,""))</f>
        <v/>
      </c>
      <c r="D120" s="1" t="str">
        <f t="shared" si="2"/>
        <v/>
      </c>
      <c r="E120" s="11" t="str">
        <f>IFERROR(VLOOKUP(C120,Backtest!C:D,2,FALSE)/VLOOKUP(B120,Backtest!C:D,2,FALSE)-1,"")</f>
        <v/>
      </c>
      <c r="J120" s="9">
        <v>118</v>
      </c>
      <c r="K120" s="10" t="str">
        <f>IFERROR(INDEX(Backtest!C:C,MATCH(Trades!A120,Backtest!M:M,0)),"")</f>
        <v/>
      </c>
      <c r="L120" s="10" t="str">
        <f>IFERROR(INDEX(Backtest!C:C,MATCH(Trades!A120,Backtest!N:N,0)),IF(ISNUMBER(K120),Backtest!$C$2519,""))</f>
        <v/>
      </c>
      <c r="M120" s="1" t="str">
        <f t="shared" si="3"/>
        <v/>
      </c>
      <c r="N120" s="11" t="str">
        <f>IFERROR(VLOOKUP(L120,Backtest!C:D,2,FALSE)/VLOOKUP(K120,Backtest!C:D,2,FALSE)-1,"")</f>
        <v/>
      </c>
    </row>
    <row r="121" spans="1:14" x14ac:dyDescent="0.3">
      <c r="A121" s="9">
        <v>119</v>
      </c>
      <c r="B121" s="10" t="str">
        <f>IFERROR(INDEX(Backtest!C:C,MATCH(Trades!A121,Backtest!K:K,0)),"")</f>
        <v/>
      </c>
      <c r="C121" s="10" t="str">
        <f>IFERROR(INDEX(Backtest!C:C,MATCH(Trades!A121,Backtest!L:L,0)),IF(ISNUMBER(B121),Backtest!$C$2519,""))</f>
        <v/>
      </c>
      <c r="D121" s="1" t="str">
        <f t="shared" si="2"/>
        <v/>
      </c>
      <c r="E121" s="11" t="str">
        <f>IFERROR(VLOOKUP(C121,Backtest!C:D,2,FALSE)/VLOOKUP(B121,Backtest!C:D,2,FALSE)-1,"")</f>
        <v/>
      </c>
      <c r="J121" s="9">
        <v>119</v>
      </c>
      <c r="K121" s="10" t="str">
        <f>IFERROR(INDEX(Backtest!C:C,MATCH(Trades!A121,Backtest!M:M,0)),"")</f>
        <v/>
      </c>
      <c r="L121" s="10" t="str">
        <f>IFERROR(INDEX(Backtest!C:C,MATCH(Trades!A121,Backtest!N:N,0)),IF(ISNUMBER(K121),Backtest!$C$2519,""))</f>
        <v/>
      </c>
      <c r="M121" s="1" t="str">
        <f t="shared" si="3"/>
        <v/>
      </c>
      <c r="N121" s="11" t="str">
        <f>IFERROR(VLOOKUP(L121,Backtest!C:D,2,FALSE)/VLOOKUP(K121,Backtest!C:D,2,FALSE)-1,"")</f>
        <v/>
      </c>
    </row>
    <row r="122" spans="1:14" x14ac:dyDescent="0.3">
      <c r="A122" s="9">
        <v>120</v>
      </c>
      <c r="B122" s="10" t="str">
        <f>IFERROR(INDEX(Backtest!C:C,MATCH(Trades!A122,Backtest!K:K,0)),"")</f>
        <v/>
      </c>
      <c r="C122" s="10" t="str">
        <f>IFERROR(INDEX(Backtest!C:C,MATCH(Trades!A122,Backtest!L:L,0)),IF(ISNUMBER(B122),Backtest!$C$2519,""))</f>
        <v/>
      </c>
      <c r="D122" s="1" t="str">
        <f t="shared" si="2"/>
        <v/>
      </c>
      <c r="E122" s="11" t="str">
        <f>IFERROR(VLOOKUP(C122,Backtest!C:D,2,FALSE)/VLOOKUP(B122,Backtest!C:D,2,FALSE)-1,"")</f>
        <v/>
      </c>
      <c r="J122" s="9">
        <v>120</v>
      </c>
      <c r="K122" s="10" t="str">
        <f>IFERROR(INDEX(Backtest!C:C,MATCH(Trades!A122,Backtest!M:M,0)),"")</f>
        <v/>
      </c>
      <c r="L122" s="10" t="str">
        <f>IFERROR(INDEX(Backtest!C:C,MATCH(Trades!A122,Backtest!N:N,0)),IF(ISNUMBER(K122),Backtest!$C$2519,""))</f>
        <v/>
      </c>
      <c r="M122" s="1" t="str">
        <f t="shared" si="3"/>
        <v/>
      </c>
      <c r="N122" s="11" t="str">
        <f>IFERROR(VLOOKUP(L122,Backtest!C:D,2,FALSE)/VLOOKUP(K122,Backtest!C:D,2,FALSE)-1,"")</f>
        <v/>
      </c>
    </row>
    <row r="123" spans="1:14" x14ac:dyDescent="0.3">
      <c r="A123" s="9">
        <v>121</v>
      </c>
      <c r="B123" s="10" t="str">
        <f>IFERROR(INDEX(Backtest!C:C,MATCH(Trades!A123,Backtest!K:K,0)),"")</f>
        <v/>
      </c>
      <c r="C123" s="10" t="str">
        <f>IFERROR(INDEX(Backtest!C:C,MATCH(Trades!A123,Backtest!L:L,0)),IF(ISNUMBER(B123),Backtest!$C$2519,""))</f>
        <v/>
      </c>
      <c r="D123" s="1" t="str">
        <f t="shared" si="2"/>
        <v/>
      </c>
      <c r="E123" s="11" t="str">
        <f>IFERROR(VLOOKUP(C123,Backtest!C:D,2,FALSE)/VLOOKUP(B123,Backtest!C:D,2,FALSE)-1,"")</f>
        <v/>
      </c>
      <c r="J123" s="9">
        <v>121</v>
      </c>
      <c r="K123" s="10" t="str">
        <f>IFERROR(INDEX(Backtest!C:C,MATCH(Trades!A123,Backtest!M:M,0)),"")</f>
        <v/>
      </c>
      <c r="L123" s="10" t="str">
        <f>IFERROR(INDEX(Backtest!C:C,MATCH(Trades!A123,Backtest!N:N,0)),IF(ISNUMBER(K123),Backtest!$C$2519,""))</f>
        <v/>
      </c>
      <c r="M123" s="1" t="str">
        <f t="shared" si="3"/>
        <v/>
      </c>
      <c r="N123" s="11" t="str">
        <f>IFERROR(VLOOKUP(L123,Backtest!C:D,2,FALSE)/VLOOKUP(K123,Backtest!C:D,2,FALSE)-1,"")</f>
        <v/>
      </c>
    </row>
    <row r="124" spans="1:14" x14ac:dyDescent="0.3">
      <c r="A124" s="9">
        <v>122</v>
      </c>
      <c r="B124" s="10" t="str">
        <f>IFERROR(INDEX(Backtest!C:C,MATCH(Trades!A124,Backtest!K:K,0)),"")</f>
        <v/>
      </c>
      <c r="C124" s="10" t="str">
        <f>IFERROR(INDEX(Backtest!C:C,MATCH(Trades!A124,Backtest!L:L,0)),IF(ISNUMBER(B124),Backtest!$C$2519,""))</f>
        <v/>
      </c>
      <c r="D124" s="1" t="str">
        <f t="shared" si="2"/>
        <v/>
      </c>
      <c r="E124" s="11" t="str">
        <f>IFERROR(VLOOKUP(C124,Backtest!C:D,2,FALSE)/VLOOKUP(B124,Backtest!C:D,2,FALSE)-1,"")</f>
        <v/>
      </c>
      <c r="J124" s="9">
        <v>122</v>
      </c>
      <c r="K124" s="10" t="str">
        <f>IFERROR(INDEX(Backtest!C:C,MATCH(Trades!A124,Backtest!M:M,0)),"")</f>
        <v/>
      </c>
      <c r="L124" s="10" t="str">
        <f>IFERROR(INDEX(Backtest!C:C,MATCH(Trades!A124,Backtest!N:N,0)),IF(ISNUMBER(K124),Backtest!$C$2519,""))</f>
        <v/>
      </c>
      <c r="M124" s="1" t="str">
        <f t="shared" si="3"/>
        <v/>
      </c>
      <c r="N124" s="11" t="str">
        <f>IFERROR(VLOOKUP(L124,Backtest!C:D,2,FALSE)/VLOOKUP(K124,Backtest!C:D,2,FALSE)-1,"")</f>
        <v/>
      </c>
    </row>
    <row r="125" spans="1:14" x14ac:dyDescent="0.3">
      <c r="A125" s="9">
        <v>123</v>
      </c>
      <c r="B125" s="10" t="str">
        <f>IFERROR(INDEX(Backtest!C:C,MATCH(Trades!A125,Backtest!K:K,0)),"")</f>
        <v/>
      </c>
      <c r="C125" s="10" t="str">
        <f>IFERROR(INDEX(Backtest!C:C,MATCH(Trades!A125,Backtest!L:L,0)),IF(ISNUMBER(B125),Backtest!$C$2519,""))</f>
        <v/>
      </c>
      <c r="D125" s="1" t="str">
        <f t="shared" si="2"/>
        <v/>
      </c>
      <c r="E125" s="11" t="str">
        <f>IFERROR(VLOOKUP(C125,Backtest!C:D,2,FALSE)/VLOOKUP(B125,Backtest!C:D,2,FALSE)-1,"")</f>
        <v/>
      </c>
      <c r="J125" s="9">
        <v>123</v>
      </c>
      <c r="K125" s="10" t="str">
        <f>IFERROR(INDEX(Backtest!C:C,MATCH(Trades!A125,Backtest!M:M,0)),"")</f>
        <v/>
      </c>
      <c r="L125" s="10" t="str">
        <f>IFERROR(INDEX(Backtest!C:C,MATCH(Trades!A125,Backtest!N:N,0)),IF(ISNUMBER(K125),Backtest!$C$2519,""))</f>
        <v/>
      </c>
      <c r="M125" s="1" t="str">
        <f t="shared" si="3"/>
        <v/>
      </c>
      <c r="N125" s="11" t="str">
        <f>IFERROR(VLOOKUP(L125,Backtest!C:D,2,FALSE)/VLOOKUP(K125,Backtest!C:D,2,FALSE)-1,"")</f>
        <v/>
      </c>
    </row>
    <row r="126" spans="1:14" x14ac:dyDescent="0.3">
      <c r="A126" s="9">
        <v>124</v>
      </c>
      <c r="B126" s="10" t="str">
        <f>IFERROR(INDEX(Backtest!C:C,MATCH(Trades!A126,Backtest!K:K,0)),"")</f>
        <v/>
      </c>
      <c r="C126" s="10" t="str">
        <f>IFERROR(INDEX(Backtest!C:C,MATCH(Trades!A126,Backtest!L:L,0)),IF(ISNUMBER(B126),Backtest!$C$2519,""))</f>
        <v/>
      </c>
      <c r="D126" s="1" t="str">
        <f t="shared" si="2"/>
        <v/>
      </c>
      <c r="E126" s="11" t="str">
        <f>IFERROR(VLOOKUP(C126,Backtest!C:D,2,FALSE)/VLOOKUP(B126,Backtest!C:D,2,FALSE)-1,"")</f>
        <v/>
      </c>
      <c r="J126" s="9">
        <v>124</v>
      </c>
      <c r="K126" s="10" t="str">
        <f>IFERROR(INDEX(Backtest!C:C,MATCH(Trades!A126,Backtest!M:M,0)),"")</f>
        <v/>
      </c>
      <c r="L126" s="10" t="str">
        <f>IFERROR(INDEX(Backtest!C:C,MATCH(Trades!A126,Backtest!N:N,0)),IF(ISNUMBER(K126),Backtest!$C$2519,""))</f>
        <v/>
      </c>
      <c r="M126" s="1" t="str">
        <f t="shared" si="3"/>
        <v/>
      </c>
      <c r="N126" s="11" t="str">
        <f>IFERROR(VLOOKUP(L126,Backtest!C:D,2,FALSE)/VLOOKUP(K126,Backtest!C:D,2,FALSE)-1,"")</f>
        <v/>
      </c>
    </row>
    <row r="127" spans="1:14" x14ac:dyDescent="0.3">
      <c r="A127" s="9">
        <v>125</v>
      </c>
      <c r="B127" s="10" t="str">
        <f>IFERROR(INDEX(Backtest!C:C,MATCH(Trades!A127,Backtest!K:K,0)),"")</f>
        <v/>
      </c>
      <c r="C127" s="10" t="str">
        <f>IFERROR(INDEX(Backtest!C:C,MATCH(Trades!A127,Backtest!L:L,0)),IF(ISNUMBER(B127),Backtest!$C$2519,""))</f>
        <v/>
      </c>
      <c r="D127" s="1" t="str">
        <f t="shared" si="2"/>
        <v/>
      </c>
      <c r="E127" s="11" t="str">
        <f>IFERROR(VLOOKUP(C127,Backtest!C:D,2,FALSE)/VLOOKUP(B127,Backtest!C:D,2,FALSE)-1,"")</f>
        <v/>
      </c>
      <c r="J127" s="9">
        <v>125</v>
      </c>
      <c r="K127" s="10" t="str">
        <f>IFERROR(INDEX(Backtest!C:C,MATCH(Trades!A127,Backtest!M:M,0)),"")</f>
        <v/>
      </c>
      <c r="L127" s="10" t="str">
        <f>IFERROR(INDEX(Backtest!C:C,MATCH(Trades!A127,Backtest!N:N,0)),IF(ISNUMBER(K127),Backtest!$C$2519,""))</f>
        <v/>
      </c>
      <c r="M127" s="1" t="str">
        <f t="shared" si="3"/>
        <v/>
      </c>
      <c r="N127" s="11" t="str">
        <f>IFERROR(VLOOKUP(L127,Backtest!C:D,2,FALSE)/VLOOKUP(K127,Backtest!C:D,2,FALSE)-1,"")</f>
        <v/>
      </c>
    </row>
    <row r="128" spans="1:14" x14ac:dyDescent="0.3">
      <c r="A128" s="9">
        <v>126</v>
      </c>
      <c r="B128" s="10" t="str">
        <f>IFERROR(INDEX(Backtest!C:C,MATCH(Trades!A128,Backtest!K:K,0)),"")</f>
        <v/>
      </c>
      <c r="C128" s="10" t="str">
        <f>IFERROR(INDEX(Backtest!C:C,MATCH(Trades!A128,Backtest!L:L,0)),IF(ISNUMBER(B128),Backtest!$C$2519,""))</f>
        <v/>
      </c>
      <c r="D128" s="1" t="str">
        <f t="shared" si="2"/>
        <v/>
      </c>
      <c r="E128" s="11" t="str">
        <f>IFERROR(VLOOKUP(C128,Backtest!C:D,2,FALSE)/VLOOKUP(B128,Backtest!C:D,2,FALSE)-1,"")</f>
        <v/>
      </c>
      <c r="J128" s="9">
        <v>126</v>
      </c>
      <c r="K128" s="10" t="str">
        <f>IFERROR(INDEX(Backtest!C:C,MATCH(Trades!A128,Backtest!M:M,0)),"")</f>
        <v/>
      </c>
      <c r="L128" s="10" t="str">
        <f>IFERROR(INDEX(Backtest!C:C,MATCH(Trades!A128,Backtest!N:N,0)),IF(ISNUMBER(K128),Backtest!$C$2519,""))</f>
        <v/>
      </c>
      <c r="M128" s="1" t="str">
        <f t="shared" si="3"/>
        <v/>
      </c>
      <c r="N128" s="11" t="str">
        <f>IFERROR(VLOOKUP(L128,Backtest!C:D,2,FALSE)/VLOOKUP(K128,Backtest!C:D,2,FALSE)-1,"")</f>
        <v/>
      </c>
    </row>
    <row r="129" spans="1:14" x14ac:dyDescent="0.3">
      <c r="A129" s="9">
        <v>127</v>
      </c>
      <c r="B129" s="10" t="str">
        <f>IFERROR(INDEX(Backtest!C:C,MATCH(Trades!A129,Backtest!K:K,0)),"")</f>
        <v/>
      </c>
      <c r="C129" s="10" t="str">
        <f>IFERROR(INDEX(Backtest!C:C,MATCH(Trades!A129,Backtest!L:L,0)),IF(ISNUMBER(B129),Backtest!$C$2519,""))</f>
        <v/>
      </c>
      <c r="D129" s="1" t="str">
        <f t="shared" si="2"/>
        <v/>
      </c>
      <c r="E129" s="11" t="str">
        <f>IFERROR(VLOOKUP(C129,Backtest!C:D,2,FALSE)/VLOOKUP(B129,Backtest!C:D,2,FALSE)-1,"")</f>
        <v/>
      </c>
      <c r="J129" s="9">
        <v>127</v>
      </c>
      <c r="K129" s="10" t="str">
        <f>IFERROR(INDEX(Backtest!C:C,MATCH(Trades!A129,Backtest!M:M,0)),"")</f>
        <v/>
      </c>
      <c r="L129" s="10" t="str">
        <f>IFERROR(INDEX(Backtest!C:C,MATCH(Trades!A129,Backtest!N:N,0)),IF(ISNUMBER(K129),Backtest!$C$2519,""))</f>
        <v/>
      </c>
      <c r="M129" s="1" t="str">
        <f t="shared" si="3"/>
        <v/>
      </c>
      <c r="N129" s="11" t="str">
        <f>IFERROR(VLOOKUP(L129,Backtest!C:D,2,FALSE)/VLOOKUP(K129,Backtest!C:D,2,FALSE)-1,"")</f>
        <v/>
      </c>
    </row>
    <row r="130" spans="1:14" x14ac:dyDescent="0.3">
      <c r="A130" s="9">
        <v>128</v>
      </c>
      <c r="B130" s="10" t="str">
        <f>IFERROR(INDEX(Backtest!C:C,MATCH(Trades!A130,Backtest!K:K,0)),"")</f>
        <v/>
      </c>
      <c r="C130" s="10" t="str">
        <f>IFERROR(INDEX(Backtest!C:C,MATCH(Trades!A130,Backtest!L:L,0)),IF(ISNUMBER(B130),Backtest!$C$2519,""))</f>
        <v/>
      </c>
      <c r="D130" s="1" t="str">
        <f t="shared" si="2"/>
        <v/>
      </c>
      <c r="E130" s="11" t="str">
        <f>IFERROR(VLOOKUP(C130,Backtest!C:D,2,FALSE)/VLOOKUP(B130,Backtest!C:D,2,FALSE)-1,"")</f>
        <v/>
      </c>
      <c r="J130" s="9">
        <v>128</v>
      </c>
      <c r="K130" s="10" t="str">
        <f>IFERROR(INDEX(Backtest!C:C,MATCH(Trades!A130,Backtest!M:M,0)),"")</f>
        <v/>
      </c>
      <c r="L130" s="10" t="str">
        <f>IFERROR(INDEX(Backtest!C:C,MATCH(Trades!A130,Backtest!N:N,0)),IF(ISNUMBER(K130),Backtest!$C$2519,""))</f>
        <v/>
      </c>
      <c r="M130" s="1" t="str">
        <f t="shared" si="3"/>
        <v/>
      </c>
      <c r="N130" s="11" t="str">
        <f>IFERROR(VLOOKUP(L130,Backtest!C:D,2,FALSE)/VLOOKUP(K130,Backtest!C:D,2,FALSE)-1,"")</f>
        <v/>
      </c>
    </row>
    <row r="131" spans="1:14" x14ac:dyDescent="0.3">
      <c r="A131" s="9">
        <v>129</v>
      </c>
      <c r="B131" s="10" t="str">
        <f>IFERROR(INDEX(Backtest!C:C,MATCH(Trades!A131,Backtest!K:K,0)),"")</f>
        <v/>
      </c>
      <c r="C131" s="10" t="str">
        <f>IFERROR(INDEX(Backtest!C:C,MATCH(Trades!A131,Backtest!L:L,0)),IF(ISNUMBER(B131),Backtest!$C$2519,""))</f>
        <v/>
      </c>
      <c r="D131" s="1" t="str">
        <f t="shared" si="2"/>
        <v/>
      </c>
      <c r="E131" s="11" t="str">
        <f>IFERROR(VLOOKUP(C131,Backtest!C:D,2,FALSE)/VLOOKUP(B131,Backtest!C:D,2,FALSE)-1,"")</f>
        <v/>
      </c>
      <c r="J131" s="9">
        <v>129</v>
      </c>
      <c r="K131" s="10" t="str">
        <f>IFERROR(INDEX(Backtest!C:C,MATCH(Trades!A131,Backtest!M:M,0)),"")</f>
        <v/>
      </c>
      <c r="L131" s="10" t="str">
        <f>IFERROR(INDEX(Backtest!C:C,MATCH(Trades!A131,Backtest!N:N,0)),IF(ISNUMBER(K131),Backtest!$C$2519,""))</f>
        <v/>
      </c>
      <c r="M131" s="1" t="str">
        <f t="shared" si="3"/>
        <v/>
      </c>
      <c r="N131" s="11" t="str">
        <f>IFERROR(VLOOKUP(L131,Backtest!C:D,2,FALSE)/VLOOKUP(K131,Backtest!C:D,2,FALSE)-1,"")</f>
        <v/>
      </c>
    </row>
    <row r="132" spans="1:14" x14ac:dyDescent="0.3">
      <c r="A132" s="9">
        <v>130</v>
      </c>
      <c r="B132" s="10" t="str">
        <f>IFERROR(INDEX(Backtest!C:C,MATCH(Trades!A132,Backtest!K:K,0)),"")</f>
        <v/>
      </c>
      <c r="C132" s="10" t="str">
        <f>IFERROR(INDEX(Backtest!C:C,MATCH(Trades!A132,Backtest!L:L,0)),IF(ISNUMBER(B132),Backtest!$C$2519,""))</f>
        <v/>
      </c>
      <c r="D132" s="1" t="str">
        <f t="shared" ref="D132:D195" si="4">IF(ISNUMBER(B132),NETWORKDAYS(B132,C132),"")</f>
        <v/>
      </c>
      <c r="E132" s="11" t="str">
        <f>IFERROR(VLOOKUP(C132,Backtest!C:D,2,FALSE)/VLOOKUP(B132,Backtest!C:D,2,FALSE)-1,"")</f>
        <v/>
      </c>
      <c r="J132" s="9">
        <v>130</v>
      </c>
      <c r="K132" s="10" t="str">
        <f>IFERROR(INDEX(Backtest!C:C,MATCH(Trades!A132,Backtest!M:M,0)),"")</f>
        <v/>
      </c>
      <c r="L132" s="10" t="str">
        <f>IFERROR(INDEX(Backtest!C:C,MATCH(Trades!A132,Backtest!N:N,0)),IF(ISNUMBER(K132),Backtest!$C$2519,""))</f>
        <v/>
      </c>
      <c r="M132" s="1" t="str">
        <f t="shared" ref="M132:M195" si="5">IF(ISNUMBER(K132),NETWORKDAYS(K132,L132),"")</f>
        <v/>
      </c>
      <c r="N132" s="11" t="str">
        <f>IFERROR(VLOOKUP(L132,Backtest!C:D,2,FALSE)/VLOOKUP(K132,Backtest!C:D,2,FALSE)-1,"")</f>
        <v/>
      </c>
    </row>
    <row r="133" spans="1:14" x14ac:dyDescent="0.3">
      <c r="A133" s="9">
        <v>131</v>
      </c>
      <c r="B133" s="10" t="str">
        <f>IFERROR(INDEX(Backtest!C:C,MATCH(Trades!A133,Backtest!K:K,0)),"")</f>
        <v/>
      </c>
      <c r="C133" s="10" t="str">
        <f>IFERROR(INDEX(Backtest!C:C,MATCH(Trades!A133,Backtest!L:L,0)),IF(ISNUMBER(B133),Backtest!$C$2519,""))</f>
        <v/>
      </c>
      <c r="D133" s="1" t="str">
        <f t="shared" si="4"/>
        <v/>
      </c>
      <c r="E133" s="11" t="str">
        <f>IFERROR(VLOOKUP(C133,Backtest!C:D,2,FALSE)/VLOOKUP(B133,Backtest!C:D,2,FALSE)-1,"")</f>
        <v/>
      </c>
      <c r="J133" s="9">
        <v>131</v>
      </c>
      <c r="K133" s="10" t="str">
        <f>IFERROR(INDEX(Backtest!C:C,MATCH(Trades!A133,Backtest!M:M,0)),"")</f>
        <v/>
      </c>
      <c r="L133" s="10" t="str">
        <f>IFERROR(INDEX(Backtest!C:C,MATCH(Trades!A133,Backtest!N:N,0)),IF(ISNUMBER(K133),Backtest!$C$2519,""))</f>
        <v/>
      </c>
      <c r="M133" s="1" t="str">
        <f t="shared" si="5"/>
        <v/>
      </c>
      <c r="N133" s="11" t="str">
        <f>IFERROR(VLOOKUP(L133,Backtest!C:D,2,FALSE)/VLOOKUP(K133,Backtest!C:D,2,FALSE)-1,"")</f>
        <v/>
      </c>
    </row>
    <row r="134" spans="1:14" x14ac:dyDescent="0.3">
      <c r="A134" s="9">
        <v>132</v>
      </c>
      <c r="B134" s="10" t="str">
        <f>IFERROR(INDEX(Backtest!C:C,MATCH(Trades!A134,Backtest!K:K,0)),"")</f>
        <v/>
      </c>
      <c r="C134" s="10" t="str">
        <f>IFERROR(INDEX(Backtest!C:C,MATCH(Trades!A134,Backtest!L:L,0)),IF(ISNUMBER(B134),Backtest!$C$2519,""))</f>
        <v/>
      </c>
      <c r="D134" s="1" t="str">
        <f t="shared" si="4"/>
        <v/>
      </c>
      <c r="E134" s="11" t="str">
        <f>IFERROR(VLOOKUP(C134,Backtest!C:D,2,FALSE)/VLOOKUP(B134,Backtest!C:D,2,FALSE)-1,"")</f>
        <v/>
      </c>
      <c r="J134" s="9">
        <v>132</v>
      </c>
      <c r="K134" s="10" t="str">
        <f>IFERROR(INDEX(Backtest!C:C,MATCH(Trades!A134,Backtest!M:M,0)),"")</f>
        <v/>
      </c>
      <c r="L134" s="10" t="str">
        <f>IFERROR(INDEX(Backtest!C:C,MATCH(Trades!A134,Backtest!N:N,0)),IF(ISNUMBER(K134),Backtest!$C$2519,""))</f>
        <v/>
      </c>
      <c r="M134" s="1" t="str">
        <f t="shared" si="5"/>
        <v/>
      </c>
      <c r="N134" s="11" t="str">
        <f>IFERROR(VLOOKUP(L134,Backtest!C:D,2,FALSE)/VLOOKUP(K134,Backtest!C:D,2,FALSE)-1,"")</f>
        <v/>
      </c>
    </row>
    <row r="135" spans="1:14" x14ac:dyDescent="0.3">
      <c r="A135" s="9">
        <v>133</v>
      </c>
      <c r="B135" s="10" t="str">
        <f>IFERROR(INDEX(Backtest!C:C,MATCH(Trades!A135,Backtest!K:K,0)),"")</f>
        <v/>
      </c>
      <c r="C135" s="10" t="str">
        <f>IFERROR(INDEX(Backtest!C:C,MATCH(Trades!A135,Backtest!L:L,0)),IF(ISNUMBER(B135),Backtest!$C$2519,""))</f>
        <v/>
      </c>
      <c r="D135" s="1" t="str">
        <f t="shared" si="4"/>
        <v/>
      </c>
      <c r="E135" s="11" t="str">
        <f>IFERROR(VLOOKUP(C135,Backtest!C:D,2,FALSE)/VLOOKUP(B135,Backtest!C:D,2,FALSE)-1,"")</f>
        <v/>
      </c>
      <c r="J135" s="9">
        <v>133</v>
      </c>
      <c r="K135" s="10" t="str">
        <f>IFERROR(INDEX(Backtest!C:C,MATCH(Trades!A135,Backtest!M:M,0)),"")</f>
        <v/>
      </c>
      <c r="L135" s="10" t="str">
        <f>IFERROR(INDEX(Backtest!C:C,MATCH(Trades!A135,Backtest!N:N,0)),IF(ISNUMBER(K135),Backtest!$C$2519,""))</f>
        <v/>
      </c>
      <c r="M135" s="1" t="str">
        <f t="shared" si="5"/>
        <v/>
      </c>
      <c r="N135" s="11" t="str">
        <f>IFERROR(VLOOKUP(L135,Backtest!C:D,2,FALSE)/VLOOKUP(K135,Backtest!C:D,2,FALSE)-1,"")</f>
        <v/>
      </c>
    </row>
    <row r="136" spans="1:14" x14ac:dyDescent="0.3">
      <c r="A136" s="9">
        <v>134</v>
      </c>
      <c r="B136" s="10" t="str">
        <f>IFERROR(INDEX(Backtest!C:C,MATCH(Trades!A136,Backtest!K:K,0)),"")</f>
        <v/>
      </c>
      <c r="C136" s="10" t="str">
        <f>IFERROR(INDEX(Backtest!C:C,MATCH(Trades!A136,Backtest!L:L,0)),IF(ISNUMBER(B136),Backtest!$C$2519,""))</f>
        <v/>
      </c>
      <c r="D136" s="1" t="str">
        <f t="shared" si="4"/>
        <v/>
      </c>
      <c r="E136" s="11" t="str">
        <f>IFERROR(VLOOKUP(C136,Backtest!C:D,2,FALSE)/VLOOKUP(B136,Backtest!C:D,2,FALSE)-1,"")</f>
        <v/>
      </c>
      <c r="J136" s="9">
        <v>134</v>
      </c>
      <c r="K136" s="10" t="str">
        <f>IFERROR(INDEX(Backtest!C:C,MATCH(Trades!A136,Backtest!M:M,0)),"")</f>
        <v/>
      </c>
      <c r="L136" s="10" t="str">
        <f>IFERROR(INDEX(Backtest!C:C,MATCH(Trades!A136,Backtest!N:N,0)),IF(ISNUMBER(K136),Backtest!$C$2519,""))</f>
        <v/>
      </c>
      <c r="M136" s="1" t="str">
        <f t="shared" si="5"/>
        <v/>
      </c>
      <c r="N136" s="11" t="str">
        <f>IFERROR(VLOOKUP(L136,Backtest!C:D,2,FALSE)/VLOOKUP(K136,Backtest!C:D,2,FALSE)-1,"")</f>
        <v/>
      </c>
    </row>
    <row r="137" spans="1:14" x14ac:dyDescent="0.3">
      <c r="A137" s="9">
        <v>135</v>
      </c>
      <c r="B137" s="10" t="str">
        <f>IFERROR(INDEX(Backtest!C:C,MATCH(Trades!A137,Backtest!K:K,0)),"")</f>
        <v/>
      </c>
      <c r="C137" s="10" t="str">
        <f>IFERROR(INDEX(Backtest!C:C,MATCH(Trades!A137,Backtest!L:L,0)),IF(ISNUMBER(B137),Backtest!$C$2519,""))</f>
        <v/>
      </c>
      <c r="D137" s="1" t="str">
        <f t="shared" si="4"/>
        <v/>
      </c>
      <c r="E137" s="11" t="str">
        <f>IFERROR(VLOOKUP(C137,Backtest!C:D,2,FALSE)/VLOOKUP(B137,Backtest!C:D,2,FALSE)-1,"")</f>
        <v/>
      </c>
      <c r="J137" s="9">
        <v>135</v>
      </c>
      <c r="K137" s="10" t="str">
        <f>IFERROR(INDEX(Backtest!C:C,MATCH(Trades!A137,Backtest!M:M,0)),"")</f>
        <v/>
      </c>
      <c r="L137" s="10" t="str">
        <f>IFERROR(INDEX(Backtest!C:C,MATCH(Trades!A137,Backtest!N:N,0)),IF(ISNUMBER(K137),Backtest!$C$2519,""))</f>
        <v/>
      </c>
      <c r="M137" s="1" t="str">
        <f t="shared" si="5"/>
        <v/>
      </c>
      <c r="N137" s="11" t="str">
        <f>IFERROR(VLOOKUP(L137,Backtest!C:D,2,FALSE)/VLOOKUP(K137,Backtest!C:D,2,FALSE)-1,"")</f>
        <v/>
      </c>
    </row>
    <row r="138" spans="1:14" x14ac:dyDescent="0.3">
      <c r="A138" s="9">
        <v>136</v>
      </c>
      <c r="B138" s="10" t="str">
        <f>IFERROR(INDEX(Backtest!C:C,MATCH(Trades!A138,Backtest!K:K,0)),"")</f>
        <v/>
      </c>
      <c r="C138" s="10" t="str">
        <f>IFERROR(INDEX(Backtest!C:C,MATCH(Trades!A138,Backtest!L:L,0)),IF(ISNUMBER(B138),Backtest!$C$2519,""))</f>
        <v/>
      </c>
      <c r="D138" s="1" t="str">
        <f t="shared" si="4"/>
        <v/>
      </c>
      <c r="E138" s="11" t="str">
        <f>IFERROR(VLOOKUP(C138,Backtest!C:D,2,FALSE)/VLOOKUP(B138,Backtest!C:D,2,FALSE)-1,"")</f>
        <v/>
      </c>
      <c r="J138" s="9">
        <v>136</v>
      </c>
      <c r="K138" s="10" t="str">
        <f>IFERROR(INDEX(Backtest!C:C,MATCH(Trades!A138,Backtest!M:M,0)),"")</f>
        <v/>
      </c>
      <c r="L138" s="10" t="str">
        <f>IFERROR(INDEX(Backtest!C:C,MATCH(Trades!A138,Backtest!N:N,0)),IF(ISNUMBER(K138),Backtest!$C$2519,""))</f>
        <v/>
      </c>
      <c r="M138" s="1" t="str">
        <f t="shared" si="5"/>
        <v/>
      </c>
      <c r="N138" s="11" t="str">
        <f>IFERROR(VLOOKUP(L138,Backtest!C:D,2,FALSE)/VLOOKUP(K138,Backtest!C:D,2,FALSE)-1,"")</f>
        <v/>
      </c>
    </row>
    <row r="139" spans="1:14" x14ac:dyDescent="0.3">
      <c r="A139" s="9">
        <v>137</v>
      </c>
      <c r="B139" s="10" t="str">
        <f>IFERROR(INDEX(Backtest!C:C,MATCH(Trades!A139,Backtest!K:K,0)),"")</f>
        <v/>
      </c>
      <c r="C139" s="10" t="str">
        <f>IFERROR(INDEX(Backtest!C:C,MATCH(Trades!A139,Backtest!L:L,0)),IF(ISNUMBER(B139),Backtest!$C$2519,""))</f>
        <v/>
      </c>
      <c r="D139" s="1" t="str">
        <f t="shared" si="4"/>
        <v/>
      </c>
      <c r="E139" s="11" t="str">
        <f>IFERROR(VLOOKUP(C139,Backtest!C:D,2,FALSE)/VLOOKUP(B139,Backtest!C:D,2,FALSE)-1,"")</f>
        <v/>
      </c>
      <c r="J139" s="9">
        <v>137</v>
      </c>
      <c r="K139" s="10" t="str">
        <f>IFERROR(INDEX(Backtest!C:C,MATCH(Trades!A139,Backtest!M:M,0)),"")</f>
        <v/>
      </c>
      <c r="L139" s="10" t="str">
        <f>IFERROR(INDEX(Backtest!C:C,MATCH(Trades!A139,Backtest!N:N,0)),IF(ISNUMBER(K139),Backtest!$C$2519,""))</f>
        <v/>
      </c>
      <c r="M139" s="1" t="str">
        <f t="shared" si="5"/>
        <v/>
      </c>
      <c r="N139" s="11" t="str">
        <f>IFERROR(VLOOKUP(L139,Backtest!C:D,2,FALSE)/VLOOKUP(K139,Backtest!C:D,2,FALSE)-1,"")</f>
        <v/>
      </c>
    </row>
    <row r="140" spans="1:14" x14ac:dyDescent="0.3">
      <c r="A140" s="9">
        <v>138</v>
      </c>
      <c r="B140" s="10" t="str">
        <f>IFERROR(INDEX(Backtest!C:C,MATCH(Trades!A140,Backtest!K:K,0)),"")</f>
        <v/>
      </c>
      <c r="C140" s="10" t="str">
        <f>IFERROR(INDEX(Backtest!C:C,MATCH(Trades!A140,Backtest!L:L,0)),IF(ISNUMBER(B140),Backtest!$C$2519,""))</f>
        <v/>
      </c>
      <c r="D140" s="1" t="str">
        <f t="shared" si="4"/>
        <v/>
      </c>
      <c r="E140" s="11" t="str">
        <f>IFERROR(VLOOKUP(C140,Backtest!C:D,2,FALSE)/VLOOKUP(B140,Backtest!C:D,2,FALSE)-1,"")</f>
        <v/>
      </c>
      <c r="J140" s="9">
        <v>138</v>
      </c>
      <c r="K140" s="10" t="str">
        <f>IFERROR(INDEX(Backtest!C:C,MATCH(Trades!A140,Backtest!M:M,0)),"")</f>
        <v/>
      </c>
      <c r="L140" s="10" t="str">
        <f>IFERROR(INDEX(Backtest!C:C,MATCH(Trades!A140,Backtest!N:N,0)),IF(ISNUMBER(K140),Backtest!$C$2519,""))</f>
        <v/>
      </c>
      <c r="M140" s="1" t="str">
        <f t="shared" si="5"/>
        <v/>
      </c>
      <c r="N140" s="11" t="str">
        <f>IFERROR(VLOOKUP(L140,Backtest!C:D,2,FALSE)/VLOOKUP(K140,Backtest!C:D,2,FALSE)-1,"")</f>
        <v/>
      </c>
    </row>
    <row r="141" spans="1:14" x14ac:dyDescent="0.3">
      <c r="A141" s="9">
        <v>139</v>
      </c>
      <c r="B141" s="10" t="str">
        <f>IFERROR(INDEX(Backtest!C:C,MATCH(Trades!A141,Backtest!K:K,0)),"")</f>
        <v/>
      </c>
      <c r="C141" s="10" t="str">
        <f>IFERROR(INDEX(Backtest!C:C,MATCH(Trades!A141,Backtest!L:L,0)),IF(ISNUMBER(B141),Backtest!$C$2519,""))</f>
        <v/>
      </c>
      <c r="D141" s="1" t="str">
        <f t="shared" si="4"/>
        <v/>
      </c>
      <c r="E141" s="11" t="str">
        <f>IFERROR(VLOOKUP(C141,Backtest!C:D,2,FALSE)/VLOOKUP(B141,Backtest!C:D,2,FALSE)-1,"")</f>
        <v/>
      </c>
      <c r="J141" s="9">
        <v>139</v>
      </c>
      <c r="K141" s="10" t="str">
        <f>IFERROR(INDEX(Backtest!C:C,MATCH(Trades!A141,Backtest!M:M,0)),"")</f>
        <v/>
      </c>
      <c r="L141" s="10" t="str">
        <f>IFERROR(INDEX(Backtest!C:C,MATCH(Trades!A141,Backtest!N:N,0)),IF(ISNUMBER(K141),Backtest!$C$2519,""))</f>
        <v/>
      </c>
      <c r="M141" s="1" t="str">
        <f t="shared" si="5"/>
        <v/>
      </c>
      <c r="N141" s="11" t="str">
        <f>IFERROR(VLOOKUP(L141,Backtest!C:D,2,FALSE)/VLOOKUP(K141,Backtest!C:D,2,FALSE)-1,"")</f>
        <v/>
      </c>
    </row>
    <row r="142" spans="1:14" x14ac:dyDescent="0.3">
      <c r="A142" s="9">
        <v>140</v>
      </c>
      <c r="B142" s="10" t="str">
        <f>IFERROR(INDEX(Backtest!C:C,MATCH(Trades!A142,Backtest!K:K,0)),"")</f>
        <v/>
      </c>
      <c r="C142" s="10" t="str">
        <f>IFERROR(INDEX(Backtest!C:C,MATCH(Trades!A142,Backtest!L:L,0)),IF(ISNUMBER(B142),Backtest!$C$2519,""))</f>
        <v/>
      </c>
      <c r="D142" s="1" t="str">
        <f t="shared" si="4"/>
        <v/>
      </c>
      <c r="E142" s="11" t="str">
        <f>IFERROR(VLOOKUP(C142,Backtest!C:D,2,FALSE)/VLOOKUP(B142,Backtest!C:D,2,FALSE)-1,"")</f>
        <v/>
      </c>
      <c r="J142" s="9">
        <v>140</v>
      </c>
      <c r="K142" s="10" t="str">
        <f>IFERROR(INDEX(Backtest!C:C,MATCH(Trades!A142,Backtest!M:M,0)),"")</f>
        <v/>
      </c>
      <c r="L142" s="10" t="str">
        <f>IFERROR(INDEX(Backtest!C:C,MATCH(Trades!A142,Backtest!N:N,0)),IF(ISNUMBER(K142),Backtest!$C$2519,""))</f>
        <v/>
      </c>
      <c r="M142" s="1" t="str">
        <f t="shared" si="5"/>
        <v/>
      </c>
      <c r="N142" s="11" t="str">
        <f>IFERROR(VLOOKUP(L142,Backtest!C:D,2,FALSE)/VLOOKUP(K142,Backtest!C:D,2,FALSE)-1,"")</f>
        <v/>
      </c>
    </row>
    <row r="143" spans="1:14" x14ac:dyDescent="0.3">
      <c r="A143" s="9">
        <v>141</v>
      </c>
      <c r="B143" s="10" t="str">
        <f>IFERROR(INDEX(Backtest!C:C,MATCH(Trades!A143,Backtest!K:K,0)),"")</f>
        <v/>
      </c>
      <c r="C143" s="10" t="str">
        <f>IFERROR(INDEX(Backtest!C:C,MATCH(Trades!A143,Backtest!L:L,0)),IF(ISNUMBER(B143),Backtest!$C$2519,""))</f>
        <v/>
      </c>
      <c r="D143" s="1" t="str">
        <f t="shared" si="4"/>
        <v/>
      </c>
      <c r="E143" s="11" t="str">
        <f>IFERROR(VLOOKUP(C143,Backtest!C:D,2,FALSE)/VLOOKUP(B143,Backtest!C:D,2,FALSE)-1,"")</f>
        <v/>
      </c>
      <c r="J143" s="9">
        <v>141</v>
      </c>
      <c r="K143" s="10" t="str">
        <f>IFERROR(INDEX(Backtest!C:C,MATCH(Trades!A143,Backtest!M:M,0)),"")</f>
        <v/>
      </c>
      <c r="L143" s="10" t="str">
        <f>IFERROR(INDEX(Backtest!C:C,MATCH(Trades!A143,Backtest!N:N,0)),IF(ISNUMBER(K143),Backtest!$C$2519,""))</f>
        <v/>
      </c>
      <c r="M143" s="1" t="str">
        <f t="shared" si="5"/>
        <v/>
      </c>
      <c r="N143" s="11" t="str">
        <f>IFERROR(VLOOKUP(L143,Backtest!C:D,2,FALSE)/VLOOKUP(K143,Backtest!C:D,2,FALSE)-1,"")</f>
        <v/>
      </c>
    </row>
    <row r="144" spans="1:14" x14ac:dyDescent="0.3">
      <c r="A144" s="9">
        <v>142</v>
      </c>
      <c r="B144" s="10" t="str">
        <f>IFERROR(INDEX(Backtest!C:C,MATCH(Trades!A144,Backtest!K:K,0)),"")</f>
        <v/>
      </c>
      <c r="C144" s="10" t="str">
        <f>IFERROR(INDEX(Backtest!C:C,MATCH(Trades!A144,Backtest!L:L,0)),IF(ISNUMBER(B144),Backtest!$C$2519,""))</f>
        <v/>
      </c>
      <c r="D144" s="1" t="str">
        <f t="shared" si="4"/>
        <v/>
      </c>
      <c r="E144" s="11" t="str">
        <f>IFERROR(VLOOKUP(C144,Backtest!C:D,2,FALSE)/VLOOKUP(B144,Backtest!C:D,2,FALSE)-1,"")</f>
        <v/>
      </c>
      <c r="J144" s="9">
        <v>142</v>
      </c>
      <c r="K144" s="10" t="str">
        <f>IFERROR(INDEX(Backtest!C:C,MATCH(Trades!A144,Backtest!M:M,0)),"")</f>
        <v/>
      </c>
      <c r="L144" s="10" t="str">
        <f>IFERROR(INDEX(Backtest!C:C,MATCH(Trades!A144,Backtest!N:N,0)),IF(ISNUMBER(K144),Backtest!$C$2519,""))</f>
        <v/>
      </c>
      <c r="M144" s="1" t="str">
        <f t="shared" si="5"/>
        <v/>
      </c>
      <c r="N144" s="11" t="str">
        <f>IFERROR(VLOOKUP(L144,Backtest!C:D,2,FALSE)/VLOOKUP(K144,Backtest!C:D,2,FALSE)-1,"")</f>
        <v/>
      </c>
    </row>
    <row r="145" spans="1:14" x14ac:dyDescent="0.3">
      <c r="A145" s="9">
        <v>143</v>
      </c>
      <c r="B145" s="10" t="str">
        <f>IFERROR(INDEX(Backtest!C:C,MATCH(Trades!A145,Backtest!K:K,0)),"")</f>
        <v/>
      </c>
      <c r="C145" s="10" t="str">
        <f>IFERROR(INDEX(Backtest!C:C,MATCH(Trades!A145,Backtest!L:L,0)),IF(ISNUMBER(B145),Backtest!$C$2519,""))</f>
        <v/>
      </c>
      <c r="D145" s="1" t="str">
        <f t="shared" si="4"/>
        <v/>
      </c>
      <c r="E145" s="11" t="str">
        <f>IFERROR(VLOOKUP(C145,Backtest!C:D,2,FALSE)/VLOOKUP(B145,Backtest!C:D,2,FALSE)-1,"")</f>
        <v/>
      </c>
      <c r="J145" s="9">
        <v>143</v>
      </c>
      <c r="K145" s="10" t="str">
        <f>IFERROR(INDEX(Backtest!C:C,MATCH(Trades!A145,Backtest!M:M,0)),"")</f>
        <v/>
      </c>
      <c r="L145" s="10" t="str">
        <f>IFERROR(INDEX(Backtest!C:C,MATCH(Trades!A145,Backtest!N:N,0)),IF(ISNUMBER(K145),Backtest!$C$2519,""))</f>
        <v/>
      </c>
      <c r="M145" s="1" t="str">
        <f t="shared" si="5"/>
        <v/>
      </c>
      <c r="N145" s="11" t="str">
        <f>IFERROR(VLOOKUP(L145,Backtest!C:D,2,FALSE)/VLOOKUP(K145,Backtest!C:D,2,FALSE)-1,"")</f>
        <v/>
      </c>
    </row>
    <row r="146" spans="1:14" x14ac:dyDescent="0.3">
      <c r="A146" s="9">
        <v>144</v>
      </c>
      <c r="B146" s="10" t="str">
        <f>IFERROR(INDEX(Backtest!C:C,MATCH(Trades!A146,Backtest!K:K,0)),"")</f>
        <v/>
      </c>
      <c r="C146" s="10" t="str">
        <f>IFERROR(INDEX(Backtest!C:C,MATCH(Trades!A146,Backtest!L:L,0)),IF(ISNUMBER(B146),Backtest!$C$2519,""))</f>
        <v/>
      </c>
      <c r="D146" s="1" t="str">
        <f t="shared" si="4"/>
        <v/>
      </c>
      <c r="E146" s="11" t="str">
        <f>IFERROR(VLOOKUP(C146,Backtest!C:D,2,FALSE)/VLOOKUP(B146,Backtest!C:D,2,FALSE)-1,"")</f>
        <v/>
      </c>
      <c r="J146" s="9">
        <v>144</v>
      </c>
      <c r="K146" s="10" t="str">
        <f>IFERROR(INDEX(Backtest!C:C,MATCH(Trades!A146,Backtest!M:M,0)),"")</f>
        <v/>
      </c>
      <c r="L146" s="10" t="str">
        <f>IFERROR(INDEX(Backtest!C:C,MATCH(Trades!A146,Backtest!N:N,0)),IF(ISNUMBER(K146),Backtest!$C$2519,""))</f>
        <v/>
      </c>
      <c r="M146" s="1" t="str">
        <f t="shared" si="5"/>
        <v/>
      </c>
      <c r="N146" s="11" t="str">
        <f>IFERROR(VLOOKUP(L146,Backtest!C:D,2,FALSE)/VLOOKUP(K146,Backtest!C:D,2,FALSE)-1,"")</f>
        <v/>
      </c>
    </row>
    <row r="147" spans="1:14" x14ac:dyDescent="0.3">
      <c r="A147" s="9">
        <v>145</v>
      </c>
      <c r="B147" s="10" t="str">
        <f>IFERROR(INDEX(Backtest!C:C,MATCH(Trades!A147,Backtest!K:K,0)),"")</f>
        <v/>
      </c>
      <c r="C147" s="10" t="str">
        <f>IFERROR(INDEX(Backtest!C:C,MATCH(Trades!A147,Backtest!L:L,0)),IF(ISNUMBER(B147),Backtest!$C$2519,""))</f>
        <v/>
      </c>
      <c r="D147" s="1" t="str">
        <f t="shared" si="4"/>
        <v/>
      </c>
      <c r="E147" s="11" t="str">
        <f>IFERROR(VLOOKUP(C147,Backtest!C:D,2,FALSE)/VLOOKUP(B147,Backtest!C:D,2,FALSE)-1,"")</f>
        <v/>
      </c>
      <c r="J147" s="9">
        <v>145</v>
      </c>
      <c r="K147" s="10" t="str">
        <f>IFERROR(INDEX(Backtest!C:C,MATCH(Trades!A147,Backtest!M:M,0)),"")</f>
        <v/>
      </c>
      <c r="L147" s="10" t="str">
        <f>IFERROR(INDEX(Backtest!C:C,MATCH(Trades!A147,Backtest!N:N,0)),IF(ISNUMBER(K147),Backtest!$C$2519,""))</f>
        <v/>
      </c>
      <c r="M147" s="1" t="str">
        <f t="shared" si="5"/>
        <v/>
      </c>
      <c r="N147" s="11" t="str">
        <f>IFERROR(VLOOKUP(L147,Backtest!C:D,2,FALSE)/VLOOKUP(K147,Backtest!C:D,2,FALSE)-1,"")</f>
        <v/>
      </c>
    </row>
    <row r="148" spans="1:14" x14ac:dyDescent="0.3">
      <c r="A148" s="9">
        <v>146</v>
      </c>
      <c r="B148" s="10" t="str">
        <f>IFERROR(INDEX(Backtest!C:C,MATCH(Trades!A148,Backtest!K:K,0)),"")</f>
        <v/>
      </c>
      <c r="C148" s="10" t="str">
        <f>IFERROR(INDEX(Backtest!C:C,MATCH(Trades!A148,Backtest!L:L,0)),IF(ISNUMBER(B148),Backtest!$C$2519,""))</f>
        <v/>
      </c>
      <c r="D148" s="1" t="str">
        <f t="shared" si="4"/>
        <v/>
      </c>
      <c r="E148" s="11" t="str">
        <f>IFERROR(VLOOKUP(C148,Backtest!C:D,2,FALSE)/VLOOKUP(B148,Backtest!C:D,2,FALSE)-1,"")</f>
        <v/>
      </c>
      <c r="J148" s="9">
        <v>146</v>
      </c>
      <c r="K148" s="10" t="str">
        <f>IFERROR(INDEX(Backtest!C:C,MATCH(Trades!A148,Backtest!M:M,0)),"")</f>
        <v/>
      </c>
      <c r="L148" s="10" t="str">
        <f>IFERROR(INDEX(Backtest!C:C,MATCH(Trades!A148,Backtest!N:N,0)),IF(ISNUMBER(K148),Backtest!$C$2519,""))</f>
        <v/>
      </c>
      <c r="M148" s="1" t="str">
        <f t="shared" si="5"/>
        <v/>
      </c>
      <c r="N148" s="11" t="str">
        <f>IFERROR(VLOOKUP(L148,Backtest!C:D,2,FALSE)/VLOOKUP(K148,Backtest!C:D,2,FALSE)-1,"")</f>
        <v/>
      </c>
    </row>
    <row r="149" spans="1:14" x14ac:dyDescent="0.3">
      <c r="A149" s="9">
        <v>147</v>
      </c>
      <c r="B149" s="10" t="str">
        <f>IFERROR(INDEX(Backtest!C:C,MATCH(Trades!A149,Backtest!K:K,0)),"")</f>
        <v/>
      </c>
      <c r="C149" s="10" t="str">
        <f>IFERROR(INDEX(Backtest!C:C,MATCH(Trades!A149,Backtest!L:L,0)),IF(ISNUMBER(B149),Backtest!$C$2519,""))</f>
        <v/>
      </c>
      <c r="D149" s="1" t="str">
        <f t="shared" si="4"/>
        <v/>
      </c>
      <c r="E149" s="11" t="str">
        <f>IFERROR(VLOOKUP(C149,Backtest!C:D,2,FALSE)/VLOOKUP(B149,Backtest!C:D,2,FALSE)-1,"")</f>
        <v/>
      </c>
      <c r="J149" s="9">
        <v>147</v>
      </c>
      <c r="K149" s="10" t="str">
        <f>IFERROR(INDEX(Backtest!C:C,MATCH(Trades!A149,Backtest!M:M,0)),"")</f>
        <v/>
      </c>
      <c r="L149" s="10" t="str">
        <f>IFERROR(INDEX(Backtest!C:C,MATCH(Trades!A149,Backtest!N:N,0)),IF(ISNUMBER(K149),Backtest!$C$2519,""))</f>
        <v/>
      </c>
      <c r="M149" s="1" t="str">
        <f t="shared" si="5"/>
        <v/>
      </c>
      <c r="N149" s="11" t="str">
        <f>IFERROR(VLOOKUP(L149,Backtest!C:D,2,FALSE)/VLOOKUP(K149,Backtest!C:D,2,FALSE)-1,"")</f>
        <v/>
      </c>
    </row>
    <row r="150" spans="1:14" x14ac:dyDescent="0.3">
      <c r="A150" s="9">
        <v>148</v>
      </c>
      <c r="B150" s="10" t="str">
        <f>IFERROR(INDEX(Backtest!C:C,MATCH(Trades!A150,Backtest!K:K,0)),"")</f>
        <v/>
      </c>
      <c r="C150" s="10" t="str">
        <f>IFERROR(INDEX(Backtest!C:C,MATCH(Trades!A150,Backtest!L:L,0)),IF(ISNUMBER(B150),Backtest!$C$2519,""))</f>
        <v/>
      </c>
      <c r="D150" s="1" t="str">
        <f t="shared" si="4"/>
        <v/>
      </c>
      <c r="E150" s="11" t="str">
        <f>IFERROR(VLOOKUP(C150,Backtest!C:D,2,FALSE)/VLOOKUP(B150,Backtest!C:D,2,FALSE)-1,"")</f>
        <v/>
      </c>
      <c r="J150" s="9">
        <v>148</v>
      </c>
      <c r="K150" s="10" t="str">
        <f>IFERROR(INDEX(Backtest!C:C,MATCH(Trades!A150,Backtest!M:M,0)),"")</f>
        <v/>
      </c>
      <c r="L150" s="10" t="str">
        <f>IFERROR(INDEX(Backtest!C:C,MATCH(Trades!A150,Backtest!N:N,0)),IF(ISNUMBER(K150),Backtest!$C$2519,""))</f>
        <v/>
      </c>
      <c r="M150" s="1" t="str">
        <f t="shared" si="5"/>
        <v/>
      </c>
      <c r="N150" s="11" t="str">
        <f>IFERROR(VLOOKUP(L150,Backtest!C:D,2,FALSE)/VLOOKUP(K150,Backtest!C:D,2,FALSE)-1,"")</f>
        <v/>
      </c>
    </row>
    <row r="151" spans="1:14" x14ac:dyDescent="0.3">
      <c r="A151" s="9">
        <v>149</v>
      </c>
      <c r="B151" s="10" t="str">
        <f>IFERROR(INDEX(Backtest!C:C,MATCH(Trades!A151,Backtest!K:K,0)),"")</f>
        <v/>
      </c>
      <c r="C151" s="10" t="str">
        <f>IFERROR(INDEX(Backtest!C:C,MATCH(Trades!A151,Backtest!L:L,0)),IF(ISNUMBER(B151),Backtest!$C$2519,""))</f>
        <v/>
      </c>
      <c r="D151" s="1" t="str">
        <f t="shared" si="4"/>
        <v/>
      </c>
      <c r="E151" s="11" t="str">
        <f>IFERROR(VLOOKUP(C151,Backtest!C:D,2,FALSE)/VLOOKUP(B151,Backtest!C:D,2,FALSE)-1,"")</f>
        <v/>
      </c>
      <c r="J151" s="9">
        <v>149</v>
      </c>
      <c r="K151" s="10" t="str">
        <f>IFERROR(INDEX(Backtest!C:C,MATCH(Trades!A151,Backtest!M:M,0)),"")</f>
        <v/>
      </c>
      <c r="L151" s="10" t="str">
        <f>IFERROR(INDEX(Backtest!C:C,MATCH(Trades!A151,Backtest!N:N,0)),IF(ISNUMBER(K151),Backtest!$C$2519,""))</f>
        <v/>
      </c>
      <c r="M151" s="1" t="str">
        <f t="shared" si="5"/>
        <v/>
      </c>
      <c r="N151" s="11" t="str">
        <f>IFERROR(VLOOKUP(L151,Backtest!C:D,2,FALSE)/VLOOKUP(K151,Backtest!C:D,2,FALSE)-1,"")</f>
        <v/>
      </c>
    </row>
    <row r="152" spans="1:14" x14ac:dyDescent="0.3">
      <c r="A152" s="9">
        <v>150</v>
      </c>
      <c r="B152" s="10" t="str">
        <f>IFERROR(INDEX(Backtest!C:C,MATCH(Trades!A152,Backtest!K:K,0)),"")</f>
        <v/>
      </c>
      <c r="C152" s="10" t="str">
        <f>IFERROR(INDEX(Backtest!C:C,MATCH(Trades!A152,Backtest!L:L,0)),IF(ISNUMBER(B152),Backtest!$C$2519,""))</f>
        <v/>
      </c>
      <c r="D152" s="1" t="str">
        <f t="shared" si="4"/>
        <v/>
      </c>
      <c r="E152" s="11" t="str">
        <f>IFERROR(VLOOKUP(C152,Backtest!C:D,2,FALSE)/VLOOKUP(B152,Backtest!C:D,2,FALSE)-1,"")</f>
        <v/>
      </c>
      <c r="J152" s="9">
        <v>150</v>
      </c>
      <c r="K152" s="10" t="str">
        <f>IFERROR(INDEX(Backtest!C:C,MATCH(Trades!A152,Backtest!M:M,0)),"")</f>
        <v/>
      </c>
      <c r="L152" s="10" t="str">
        <f>IFERROR(INDEX(Backtest!C:C,MATCH(Trades!A152,Backtest!N:N,0)),IF(ISNUMBER(K152),Backtest!$C$2519,""))</f>
        <v/>
      </c>
      <c r="M152" s="1" t="str">
        <f t="shared" si="5"/>
        <v/>
      </c>
      <c r="N152" s="11" t="str">
        <f>IFERROR(VLOOKUP(L152,Backtest!C:D,2,FALSE)/VLOOKUP(K152,Backtest!C:D,2,FALSE)-1,"")</f>
        <v/>
      </c>
    </row>
    <row r="153" spans="1:14" x14ac:dyDescent="0.3">
      <c r="A153" s="9">
        <v>151</v>
      </c>
      <c r="B153" s="10" t="str">
        <f>IFERROR(INDEX(Backtest!C:C,MATCH(Trades!A153,Backtest!K:K,0)),"")</f>
        <v/>
      </c>
      <c r="C153" s="10" t="str">
        <f>IFERROR(INDEX(Backtest!C:C,MATCH(Trades!A153,Backtest!L:L,0)),IF(ISNUMBER(B153),Backtest!$C$2519,""))</f>
        <v/>
      </c>
      <c r="D153" s="1" t="str">
        <f t="shared" si="4"/>
        <v/>
      </c>
      <c r="E153" s="11" t="str">
        <f>IFERROR(VLOOKUP(C153,Backtest!C:D,2,FALSE)/VLOOKUP(B153,Backtest!C:D,2,FALSE)-1,"")</f>
        <v/>
      </c>
      <c r="J153" s="9">
        <v>151</v>
      </c>
      <c r="K153" s="10" t="str">
        <f>IFERROR(INDEX(Backtest!C:C,MATCH(Trades!A153,Backtest!M:M,0)),"")</f>
        <v/>
      </c>
      <c r="L153" s="10" t="str">
        <f>IFERROR(INDEX(Backtest!C:C,MATCH(Trades!A153,Backtest!N:N,0)),IF(ISNUMBER(K153),Backtest!$C$2519,""))</f>
        <v/>
      </c>
      <c r="M153" s="1" t="str">
        <f t="shared" si="5"/>
        <v/>
      </c>
      <c r="N153" s="11" t="str">
        <f>IFERROR(VLOOKUP(L153,Backtest!C:D,2,FALSE)/VLOOKUP(K153,Backtest!C:D,2,FALSE)-1,"")</f>
        <v/>
      </c>
    </row>
    <row r="154" spans="1:14" x14ac:dyDescent="0.3">
      <c r="A154" s="9">
        <v>152</v>
      </c>
      <c r="B154" s="10" t="str">
        <f>IFERROR(INDEX(Backtest!C:C,MATCH(Trades!A154,Backtest!K:K,0)),"")</f>
        <v/>
      </c>
      <c r="C154" s="10" t="str">
        <f>IFERROR(INDEX(Backtest!C:C,MATCH(Trades!A154,Backtest!L:L,0)),IF(ISNUMBER(B154),Backtest!$C$2519,""))</f>
        <v/>
      </c>
      <c r="D154" s="1" t="str">
        <f t="shared" si="4"/>
        <v/>
      </c>
      <c r="E154" s="11" t="str">
        <f>IFERROR(VLOOKUP(C154,Backtest!C:D,2,FALSE)/VLOOKUP(B154,Backtest!C:D,2,FALSE)-1,"")</f>
        <v/>
      </c>
      <c r="J154" s="9">
        <v>152</v>
      </c>
      <c r="K154" s="10" t="str">
        <f>IFERROR(INDEX(Backtest!C:C,MATCH(Trades!A154,Backtest!M:M,0)),"")</f>
        <v/>
      </c>
      <c r="L154" s="10" t="str">
        <f>IFERROR(INDEX(Backtest!C:C,MATCH(Trades!A154,Backtest!N:N,0)),IF(ISNUMBER(K154),Backtest!$C$2519,""))</f>
        <v/>
      </c>
      <c r="M154" s="1" t="str">
        <f t="shared" si="5"/>
        <v/>
      </c>
      <c r="N154" s="11" t="str">
        <f>IFERROR(VLOOKUP(L154,Backtest!C:D,2,FALSE)/VLOOKUP(K154,Backtest!C:D,2,FALSE)-1,"")</f>
        <v/>
      </c>
    </row>
    <row r="155" spans="1:14" x14ac:dyDescent="0.3">
      <c r="A155" s="9">
        <v>153</v>
      </c>
      <c r="B155" s="10" t="str">
        <f>IFERROR(INDEX(Backtest!C:C,MATCH(Trades!A155,Backtest!K:K,0)),"")</f>
        <v/>
      </c>
      <c r="C155" s="10" t="str">
        <f>IFERROR(INDEX(Backtest!C:C,MATCH(Trades!A155,Backtest!L:L,0)),IF(ISNUMBER(B155),Backtest!$C$2519,""))</f>
        <v/>
      </c>
      <c r="D155" s="1" t="str">
        <f t="shared" si="4"/>
        <v/>
      </c>
      <c r="E155" s="11" t="str">
        <f>IFERROR(VLOOKUP(C155,Backtest!C:D,2,FALSE)/VLOOKUP(B155,Backtest!C:D,2,FALSE)-1,"")</f>
        <v/>
      </c>
      <c r="J155" s="9">
        <v>153</v>
      </c>
      <c r="K155" s="10" t="str">
        <f>IFERROR(INDEX(Backtest!C:C,MATCH(Trades!A155,Backtest!M:M,0)),"")</f>
        <v/>
      </c>
      <c r="L155" s="10" t="str">
        <f>IFERROR(INDEX(Backtest!C:C,MATCH(Trades!A155,Backtest!N:N,0)),IF(ISNUMBER(K155),Backtest!$C$2519,""))</f>
        <v/>
      </c>
      <c r="M155" s="1" t="str">
        <f t="shared" si="5"/>
        <v/>
      </c>
      <c r="N155" s="11" t="str">
        <f>IFERROR(VLOOKUP(L155,Backtest!C:D,2,FALSE)/VLOOKUP(K155,Backtest!C:D,2,FALSE)-1,"")</f>
        <v/>
      </c>
    </row>
    <row r="156" spans="1:14" x14ac:dyDescent="0.3">
      <c r="A156" s="9">
        <v>154</v>
      </c>
      <c r="B156" s="10" t="str">
        <f>IFERROR(INDEX(Backtest!C:C,MATCH(Trades!A156,Backtest!K:K,0)),"")</f>
        <v/>
      </c>
      <c r="C156" s="10" t="str">
        <f>IFERROR(INDEX(Backtest!C:C,MATCH(Trades!A156,Backtest!L:L,0)),IF(ISNUMBER(B156),Backtest!$C$2519,""))</f>
        <v/>
      </c>
      <c r="D156" s="1" t="str">
        <f t="shared" si="4"/>
        <v/>
      </c>
      <c r="E156" s="11" t="str">
        <f>IFERROR(VLOOKUP(C156,Backtest!C:D,2,FALSE)/VLOOKUP(B156,Backtest!C:D,2,FALSE)-1,"")</f>
        <v/>
      </c>
      <c r="J156" s="9">
        <v>154</v>
      </c>
      <c r="K156" s="10" t="str">
        <f>IFERROR(INDEX(Backtest!C:C,MATCH(Trades!A156,Backtest!M:M,0)),"")</f>
        <v/>
      </c>
      <c r="L156" s="10" t="str">
        <f>IFERROR(INDEX(Backtest!C:C,MATCH(Trades!A156,Backtest!N:N,0)),IF(ISNUMBER(K156),Backtest!$C$2519,""))</f>
        <v/>
      </c>
      <c r="M156" s="1" t="str">
        <f t="shared" si="5"/>
        <v/>
      </c>
      <c r="N156" s="11" t="str">
        <f>IFERROR(VLOOKUP(L156,Backtest!C:D,2,FALSE)/VLOOKUP(K156,Backtest!C:D,2,FALSE)-1,"")</f>
        <v/>
      </c>
    </row>
    <row r="157" spans="1:14" x14ac:dyDescent="0.3">
      <c r="A157" s="9">
        <v>155</v>
      </c>
      <c r="B157" s="10" t="str">
        <f>IFERROR(INDEX(Backtest!C:C,MATCH(Trades!A157,Backtest!K:K,0)),"")</f>
        <v/>
      </c>
      <c r="C157" s="10" t="str">
        <f>IFERROR(INDEX(Backtest!C:C,MATCH(Trades!A157,Backtest!L:L,0)),IF(ISNUMBER(B157),Backtest!$C$2519,""))</f>
        <v/>
      </c>
      <c r="D157" s="1" t="str">
        <f t="shared" si="4"/>
        <v/>
      </c>
      <c r="E157" s="11" t="str">
        <f>IFERROR(VLOOKUP(C157,Backtest!C:D,2,FALSE)/VLOOKUP(B157,Backtest!C:D,2,FALSE)-1,"")</f>
        <v/>
      </c>
      <c r="J157" s="9">
        <v>155</v>
      </c>
      <c r="K157" s="10" t="str">
        <f>IFERROR(INDEX(Backtest!C:C,MATCH(Trades!A157,Backtest!M:M,0)),"")</f>
        <v/>
      </c>
      <c r="L157" s="10" t="str">
        <f>IFERROR(INDEX(Backtest!C:C,MATCH(Trades!A157,Backtest!N:N,0)),IF(ISNUMBER(K157),Backtest!$C$2519,""))</f>
        <v/>
      </c>
      <c r="M157" s="1" t="str">
        <f t="shared" si="5"/>
        <v/>
      </c>
      <c r="N157" s="11" t="str">
        <f>IFERROR(VLOOKUP(L157,Backtest!C:D,2,FALSE)/VLOOKUP(K157,Backtest!C:D,2,FALSE)-1,"")</f>
        <v/>
      </c>
    </row>
    <row r="158" spans="1:14" x14ac:dyDescent="0.3">
      <c r="A158" s="9">
        <v>156</v>
      </c>
      <c r="B158" s="10" t="str">
        <f>IFERROR(INDEX(Backtest!C:C,MATCH(Trades!A158,Backtest!K:K,0)),"")</f>
        <v/>
      </c>
      <c r="C158" s="10" t="str">
        <f>IFERROR(INDEX(Backtest!C:C,MATCH(Trades!A158,Backtest!L:L,0)),IF(ISNUMBER(B158),Backtest!$C$2519,""))</f>
        <v/>
      </c>
      <c r="D158" s="1" t="str">
        <f t="shared" si="4"/>
        <v/>
      </c>
      <c r="E158" s="11" t="str">
        <f>IFERROR(VLOOKUP(C158,Backtest!C:D,2,FALSE)/VLOOKUP(B158,Backtest!C:D,2,FALSE)-1,"")</f>
        <v/>
      </c>
      <c r="J158" s="9">
        <v>156</v>
      </c>
      <c r="K158" s="10" t="str">
        <f>IFERROR(INDEX(Backtest!C:C,MATCH(Trades!A158,Backtest!M:M,0)),"")</f>
        <v/>
      </c>
      <c r="L158" s="10" t="str">
        <f>IFERROR(INDEX(Backtest!C:C,MATCH(Trades!A158,Backtest!N:N,0)),IF(ISNUMBER(K158),Backtest!$C$2519,""))</f>
        <v/>
      </c>
      <c r="M158" s="1" t="str">
        <f t="shared" si="5"/>
        <v/>
      </c>
      <c r="N158" s="11" t="str">
        <f>IFERROR(VLOOKUP(L158,Backtest!C:D,2,FALSE)/VLOOKUP(K158,Backtest!C:D,2,FALSE)-1,"")</f>
        <v/>
      </c>
    </row>
    <row r="159" spans="1:14" x14ac:dyDescent="0.3">
      <c r="A159" s="9">
        <v>157</v>
      </c>
      <c r="B159" s="10" t="str">
        <f>IFERROR(INDEX(Backtest!C:C,MATCH(Trades!A159,Backtest!K:K,0)),"")</f>
        <v/>
      </c>
      <c r="C159" s="10" t="str">
        <f>IFERROR(INDEX(Backtest!C:C,MATCH(Trades!A159,Backtest!L:L,0)),IF(ISNUMBER(B159),Backtest!$C$2519,""))</f>
        <v/>
      </c>
      <c r="D159" s="1" t="str">
        <f t="shared" si="4"/>
        <v/>
      </c>
      <c r="E159" s="11" t="str">
        <f>IFERROR(VLOOKUP(C159,Backtest!C:D,2,FALSE)/VLOOKUP(B159,Backtest!C:D,2,FALSE)-1,"")</f>
        <v/>
      </c>
      <c r="J159" s="9">
        <v>157</v>
      </c>
      <c r="K159" s="10" t="str">
        <f>IFERROR(INDEX(Backtest!C:C,MATCH(Trades!A159,Backtest!M:M,0)),"")</f>
        <v/>
      </c>
      <c r="L159" s="10" t="str">
        <f>IFERROR(INDEX(Backtest!C:C,MATCH(Trades!A159,Backtest!N:N,0)),IF(ISNUMBER(K159),Backtest!$C$2519,""))</f>
        <v/>
      </c>
      <c r="M159" s="1" t="str">
        <f t="shared" si="5"/>
        <v/>
      </c>
      <c r="N159" s="11" t="str">
        <f>IFERROR(VLOOKUP(L159,Backtest!C:D,2,FALSE)/VLOOKUP(K159,Backtest!C:D,2,FALSE)-1,"")</f>
        <v/>
      </c>
    </row>
    <row r="160" spans="1:14" x14ac:dyDescent="0.3">
      <c r="A160" s="9">
        <v>158</v>
      </c>
      <c r="B160" s="10" t="str">
        <f>IFERROR(INDEX(Backtest!C:C,MATCH(Trades!A160,Backtest!K:K,0)),"")</f>
        <v/>
      </c>
      <c r="C160" s="10" t="str">
        <f>IFERROR(INDEX(Backtest!C:C,MATCH(Trades!A160,Backtest!L:L,0)),IF(ISNUMBER(B160),Backtest!$C$2519,""))</f>
        <v/>
      </c>
      <c r="D160" s="1" t="str">
        <f t="shared" si="4"/>
        <v/>
      </c>
      <c r="E160" s="11" t="str">
        <f>IFERROR(VLOOKUP(C160,Backtest!C:D,2,FALSE)/VLOOKUP(B160,Backtest!C:D,2,FALSE)-1,"")</f>
        <v/>
      </c>
      <c r="J160" s="9">
        <v>158</v>
      </c>
      <c r="K160" s="10" t="str">
        <f>IFERROR(INDEX(Backtest!C:C,MATCH(Trades!A160,Backtest!M:M,0)),"")</f>
        <v/>
      </c>
      <c r="L160" s="10" t="str">
        <f>IFERROR(INDEX(Backtest!C:C,MATCH(Trades!A160,Backtest!N:N,0)),IF(ISNUMBER(K160),Backtest!$C$2519,""))</f>
        <v/>
      </c>
      <c r="M160" s="1" t="str">
        <f t="shared" si="5"/>
        <v/>
      </c>
      <c r="N160" s="11" t="str">
        <f>IFERROR(VLOOKUP(L160,Backtest!C:D,2,FALSE)/VLOOKUP(K160,Backtest!C:D,2,FALSE)-1,"")</f>
        <v/>
      </c>
    </row>
    <row r="161" spans="1:14" x14ac:dyDescent="0.3">
      <c r="A161" s="9">
        <v>159</v>
      </c>
      <c r="B161" s="10" t="str">
        <f>IFERROR(INDEX(Backtest!C:C,MATCH(Trades!A161,Backtest!K:K,0)),"")</f>
        <v/>
      </c>
      <c r="C161" s="10" t="str">
        <f>IFERROR(INDEX(Backtest!C:C,MATCH(Trades!A161,Backtest!L:L,0)),IF(ISNUMBER(B161),Backtest!$C$2519,""))</f>
        <v/>
      </c>
      <c r="D161" s="1" t="str">
        <f t="shared" si="4"/>
        <v/>
      </c>
      <c r="E161" s="11" t="str">
        <f>IFERROR(VLOOKUP(C161,Backtest!C:D,2,FALSE)/VLOOKUP(B161,Backtest!C:D,2,FALSE)-1,"")</f>
        <v/>
      </c>
      <c r="J161" s="9">
        <v>159</v>
      </c>
      <c r="K161" s="10" t="str">
        <f>IFERROR(INDEX(Backtest!C:C,MATCH(Trades!A161,Backtest!M:M,0)),"")</f>
        <v/>
      </c>
      <c r="L161" s="10" t="str">
        <f>IFERROR(INDEX(Backtest!C:C,MATCH(Trades!A161,Backtest!N:N,0)),IF(ISNUMBER(K161),Backtest!$C$2519,""))</f>
        <v/>
      </c>
      <c r="M161" s="1" t="str">
        <f t="shared" si="5"/>
        <v/>
      </c>
      <c r="N161" s="11" t="str">
        <f>IFERROR(VLOOKUP(L161,Backtest!C:D,2,FALSE)/VLOOKUP(K161,Backtest!C:D,2,FALSE)-1,"")</f>
        <v/>
      </c>
    </row>
    <row r="162" spans="1:14" x14ac:dyDescent="0.3">
      <c r="A162" s="9">
        <v>160</v>
      </c>
      <c r="B162" s="10" t="str">
        <f>IFERROR(INDEX(Backtest!C:C,MATCH(Trades!A162,Backtest!K:K,0)),"")</f>
        <v/>
      </c>
      <c r="C162" s="10" t="str">
        <f>IFERROR(INDEX(Backtest!C:C,MATCH(Trades!A162,Backtest!L:L,0)),IF(ISNUMBER(B162),Backtest!$C$2519,""))</f>
        <v/>
      </c>
      <c r="D162" s="1" t="str">
        <f t="shared" si="4"/>
        <v/>
      </c>
      <c r="E162" s="11" t="str">
        <f>IFERROR(VLOOKUP(C162,Backtest!C:D,2,FALSE)/VLOOKUP(B162,Backtest!C:D,2,FALSE)-1,"")</f>
        <v/>
      </c>
      <c r="J162" s="9">
        <v>160</v>
      </c>
      <c r="K162" s="10" t="str">
        <f>IFERROR(INDEX(Backtest!C:C,MATCH(Trades!A162,Backtest!M:M,0)),"")</f>
        <v/>
      </c>
      <c r="L162" s="10" t="str">
        <f>IFERROR(INDEX(Backtest!C:C,MATCH(Trades!A162,Backtest!N:N,0)),IF(ISNUMBER(K162),Backtest!$C$2519,""))</f>
        <v/>
      </c>
      <c r="M162" s="1" t="str">
        <f t="shared" si="5"/>
        <v/>
      </c>
      <c r="N162" s="11" t="str">
        <f>IFERROR(VLOOKUP(L162,Backtest!C:D,2,FALSE)/VLOOKUP(K162,Backtest!C:D,2,FALSE)-1,"")</f>
        <v/>
      </c>
    </row>
    <row r="163" spans="1:14" x14ac:dyDescent="0.3">
      <c r="A163" s="9">
        <v>161</v>
      </c>
      <c r="B163" s="10" t="str">
        <f>IFERROR(INDEX(Backtest!C:C,MATCH(Trades!A163,Backtest!K:K,0)),"")</f>
        <v/>
      </c>
      <c r="C163" s="10" t="str">
        <f>IFERROR(INDEX(Backtest!C:C,MATCH(Trades!A163,Backtest!L:L,0)),IF(ISNUMBER(B163),Backtest!$C$2519,""))</f>
        <v/>
      </c>
      <c r="D163" s="1" t="str">
        <f t="shared" si="4"/>
        <v/>
      </c>
      <c r="E163" s="11" t="str">
        <f>IFERROR(VLOOKUP(C163,Backtest!C:D,2,FALSE)/VLOOKUP(B163,Backtest!C:D,2,FALSE)-1,"")</f>
        <v/>
      </c>
      <c r="J163" s="9">
        <v>161</v>
      </c>
      <c r="K163" s="10" t="str">
        <f>IFERROR(INDEX(Backtest!C:C,MATCH(Trades!A163,Backtest!M:M,0)),"")</f>
        <v/>
      </c>
      <c r="L163" s="10" t="str">
        <f>IFERROR(INDEX(Backtest!C:C,MATCH(Trades!A163,Backtest!N:N,0)),IF(ISNUMBER(K163),Backtest!$C$2519,""))</f>
        <v/>
      </c>
      <c r="M163" s="1" t="str">
        <f t="shared" si="5"/>
        <v/>
      </c>
      <c r="N163" s="11" t="str">
        <f>IFERROR(VLOOKUP(L163,Backtest!C:D,2,FALSE)/VLOOKUP(K163,Backtest!C:D,2,FALSE)-1,"")</f>
        <v/>
      </c>
    </row>
    <row r="164" spans="1:14" x14ac:dyDescent="0.3">
      <c r="A164" s="9">
        <v>162</v>
      </c>
      <c r="B164" s="10" t="str">
        <f>IFERROR(INDEX(Backtest!C:C,MATCH(Trades!A164,Backtest!K:K,0)),"")</f>
        <v/>
      </c>
      <c r="C164" s="10" t="str">
        <f>IFERROR(INDEX(Backtest!C:C,MATCH(Trades!A164,Backtest!L:L,0)),IF(ISNUMBER(B164),Backtest!$C$2519,""))</f>
        <v/>
      </c>
      <c r="D164" s="1" t="str">
        <f t="shared" si="4"/>
        <v/>
      </c>
      <c r="E164" s="11" t="str">
        <f>IFERROR(VLOOKUP(C164,Backtest!C:D,2,FALSE)/VLOOKUP(B164,Backtest!C:D,2,FALSE)-1,"")</f>
        <v/>
      </c>
      <c r="J164" s="9">
        <v>162</v>
      </c>
      <c r="K164" s="10" t="str">
        <f>IFERROR(INDEX(Backtest!C:C,MATCH(Trades!A164,Backtest!M:M,0)),"")</f>
        <v/>
      </c>
      <c r="L164" s="10" t="str">
        <f>IFERROR(INDEX(Backtest!C:C,MATCH(Trades!A164,Backtest!N:N,0)),IF(ISNUMBER(K164),Backtest!$C$2519,""))</f>
        <v/>
      </c>
      <c r="M164" s="1" t="str">
        <f t="shared" si="5"/>
        <v/>
      </c>
      <c r="N164" s="11" t="str">
        <f>IFERROR(VLOOKUP(L164,Backtest!C:D,2,FALSE)/VLOOKUP(K164,Backtest!C:D,2,FALSE)-1,"")</f>
        <v/>
      </c>
    </row>
    <row r="165" spans="1:14" x14ac:dyDescent="0.3">
      <c r="A165" s="9">
        <v>163</v>
      </c>
      <c r="B165" s="10" t="str">
        <f>IFERROR(INDEX(Backtest!C:C,MATCH(Trades!A165,Backtest!K:K,0)),"")</f>
        <v/>
      </c>
      <c r="C165" s="10" t="str">
        <f>IFERROR(INDEX(Backtest!C:C,MATCH(Trades!A165,Backtest!L:L,0)),IF(ISNUMBER(B165),Backtest!$C$2519,""))</f>
        <v/>
      </c>
      <c r="D165" s="1" t="str">
        <f t="shared" si="4"/>
        <v/>
      </c>
      <c r="E165" s="11" t="str">
        <f>IFERROR(VLOOKUP(C165,Backtest!C:D,2,FALSE)/VLOOKUP(B165,Backtest!C:D,2,FALSE)-1,"")</f>
        <v/>
      </c>
      <c r="J165" s="9">
        <v>163</v>
      </c>
      <c r="K165" s="10" t="str">
        <f>IFERROR(INDEX(Backtest!C:C,MATCH(Trades!A165,Backtest!M:M,0)),"")</f>
        <v/>
      </c>
      <c r="L165" s="10" t="str">
        <f>IFERROR(INDEX(Backtest!C:C,MATCH(Trades!A165,Backtest!N:N,0)),IF(ISNUMBER(K165),Backtest!$C$2519,""))</f>
        <v/>
      </c>
      <c r="M165" s="1" t="str">
        <f t="shared" si="5"/>
        <v/>
      </c>
      <c r="N165" s="11" t="str">
        <f>IFERROR(VLOOKUP(L165,Backtest!C:D,2,FALSE)/VLOOKUP(K165,Backtest!C:D,2,FALSE)-1,"")</f>
        <v/>
      </c>
    </row>
    <row r="166" spans="1:14" x14ac:dyDescent="0.3">
      <c r="A166" s="9">
        <v>164</v>
      </c>
      <c r="B166" s="10" t="str">
        <f>IFERROR(INDEX(Backtest!C:C,MATCH(Trades!A166,Backtest!K:K,0)),"")</f>
        <v/>
      </c>
      <c r="C166" s="10" t="str">
        <f>IFERROR(INDEX(Backtest!C:C,MATCH(Trades!A166,Backtest!L:L,0)),IF(ISNUMBER(B166),Backtest!$C$2519,""))</f>
        <v/>
      </c>
      <c r="D166" s="1" t="str">
        <f t="shared" si="4"/>
        <v/>
      </c>
      <c r="E166" s="11" t="str">
        <f>IFERROR(VLOOKUP(C166,Backtest!C:D,2,FALSE)/VLOOKUP(B166,Backtest!C:D,2,FALSE)-1,"")</f>
        <v/>
      </c>
      <c r="J166" s="9">
        <v>164</v>
      </c>
      <c r="K166" s="10" t="str">
        <f>IFERROR(INDEX(Backtest!C:C,MATCH(Trades!A166,Backtest!M:M,0)),"")</f>
        <v/>
      </c>
      <c r="L166" s="10" t="str">
        <f>IFERROR(INDEX(Backtest!C:C,MATCH(Trades!A166,Backtest!N:N,0)),IF(ISNUMBER(K166),Backtest!$C$2519,""))</f>
        <v/>
      </c>
      <c r="M166" s="1" t="str">
        <f t="shared" si="5"/>
        <v/>
      </c>
      <c r="N166" s="11" t="str">
        <f>IFERROR(VLOOKUP(L166,Backtest!C:D,2,FALSE)/VLOOKUP(K166,Backtest!C:D,2,FALSE)-1,"")</f>
        <v/>
      </c>
    </row>
    <row r="167" spans="1:14" x14ac:dyDescent="0.3">
      <c r="A167" s="9">
        <v>165</v>
      </c>
      <c r="B167" s="10" t="str">
        <f>IFERROR(INDEX(Backtest!C:C,MATCH(Trades!A167,Backtest!K:K,0)),"")</f>
        <v/>
      </c>
      <c r="C167" s="10" t="str">
        <f>IFERROR(INDEX(Backtest!C:C,MATCH(Trades!A167,Backtest!L:L,0)),IF(ISNUMBER(B167),Backtest!$C$2519,""))</f>
        <v/>
      </c>
      <c r="D167" s="1" t="str">
        <f t="shared" si="4"/>
        <v/>
      </c>
      <c r="E167" s="11" t="str">
        <f>IFERROR(VLOOKUP(C167,Backtest!C:D,2,FALSE)/VLOOKUP(B167,Backtest!C:D,2,FALSE)-1,"")</f>
        <v/>
      </c>
      <c r="J167" s="9">
        <v>165</v>
      </c>
      <c r="K167" s="10" t="str">
        <f>IFERROR(INDEX(Backtest!C:C,MATCH(Trades!A167,Backtest!M:M,0)),"")</f>
        <v/>
      </c>
      <c r="L167" s="10" t="str">
        <f>IFERROR(INDEX(Backtest!C:C,MATCH(Trades!A167,Backtest!N:N,0)),IF(ISNUMBER(K167),Backtest!$C$2519,""))</f>
        <v/>
      </c>
      <c r="M167" s="1" t="str">
        <f t="shared" si="5"/>
        <v/>
      </c>
      <c r="N167" s="11" t="str">
        <f>IFERROR(VLOOKUP(L167,Backtest!C:D,2,FALSE)/VLOOKUP(K167,Backtest!C:D,2,FALSE)-1,"")</f>
        <v/>
      </c>
    </row>
    <row r="168" spans="1:14" x14ac:dyDescent="0.3">
      <c r="A168" s="9">
        <v>166</v>
      </c>
      <c r="B168" s="10" t="str">
        <f>IFERROR(INDEX(Backtest!C:C,MATCH(Trades!A168,Backtest!K:K,0)),"")</f>
        <v/>
      </c>
      <c r="C168" s="10" t="str">
        <f>IFERROR(INDEX(Backtest!C:C,MATCH(Trades!A168,Backtest!L:L,0)),IF(ISNUMBER(B168),Backtest!$C$2519,""))</f>
        <v/>
      </c>
      <c r="D168" s="1" t="str">
        <f t="shared" si="4"/>
        <v/>
      </c>
      <c r="E168" s="11" t="str">
        <f>IFERROR(VLOOKUP(C168,Backtest!C:D,2,FALSE)/VLOOKUP(B168,Backtest!C:D,2,FALSE)-1,"")</f>
        <v/>
      </c>
      <c r="J168" s="9">
        <v>166</v>
      </c>
      <c r="K168" s="10" t="str">
        <f>IFERROR(INDEX(Backtest!C:C,MATCH(Trades!A168,Backtest!M:M,0)),"")</f>
        <v/>
      </c>
      <c r="L168" s="10" t="str">
        <f>IFERROR(INDEX(Backtest!C:C,MATCH(Trades!A168,Backtest!N:N,0)),IF(ISNUMBER(K168),Backtest!$C$2519,""))</f>
        <v/>
      </c>
      <c r="M168" s="1" t="str">
        <f t="shared" si="5"/>
        <v/>
      </c>
      <c r="N168" s="11" t="str">
        <f>IFERROR(VLOOKUP(L168,Backtest!C:D,2,FALSE)/VLOOKUP(K168,Backtest!C:D,2,FALSE)-1,"")</f>
        <v/>
      </c>
    </row>
    <row r="169" spans="1:14" x14ac:dyDescent="0.3">
      <c r="A169" s="9">
        <v>167</v>
      </c>
      <c r="B169" s="10" t="str">
        <f>IFERROR(INDEX(Backtest!C:C,MATCH(Trades!A169,Backtest!K:K,0)),"")</f>
        <v/>
      </c>
      <c r="C169" s="10" t="str">
        <f>IFERROR(INDEX(Backtest!C:C,MATCH(Trades!A169,Backtest!L:L,0)),IF(ISNUMBER(B169),Backtest!$C$2519,""))</f>
        <v/>
      </c>
      <c r="D169" s="1" t="str">
        <f t="shared" si="4"/>
        <v/>
      </c>
      <c r="E169" s="11" t="str">
        <f>IFERROR(VLOOKUP(C169,Backtest!C:D,2,FALSE)/VLOOKUP(B169,Backtest!C:D,2,FALSE)-1,"")</f>
        <v/>
      </c>
      <c r="J169" s="9">
        <v>167</v>
      </c>
      <c r="K169" s="10" t="str">
        <f>IFERROR(INDEX(Backtest!C:C,MATCH(Trades!A169,Backtest!M:M,0)),"")</f>
        <v/>
      </c>
      <c r="L169" s="10" t="str">
        <f>IFERROR(INDEX(Backtest!C:C,MATCH(Trades!A169,Backtest!N:N,0)),IF(ISNUMBER(K169),Backtest!$C$2519,""))</f>
        <v/>
      </c>
      <c r="M169" s="1" t="str">
        <f t="shared" si="5"/>
        <v/>
      </c>
      <c r="N169" s="11" t="str">
        <f>IFERROR(VLOOKUP(L169,Backtest!C:D,2,FALSE)/VLOOKUP(K169,Backtest!C:D,2,FALSE)-1,"")</f>
        <v/>
      </c>
    </row>
    <row r="170" spans="1:14" x14ac:dyDescent="0.3">
      <c r="A170" s="9">
        <v>168</v>
      </c>
      <c r="B170" s="10" t="str">
        <f>IFERROR(INDEX(Backtest!C:C,MATCH(Trades!A170,Backtest!K:K,0)),"")</f>
        <v/>
      </c>
      <c r="C170" s="10" t="str">
        <f>IFERROR(INDEX(Backtest!C:C,MATCH(Trades!A170,Backtest!L:L,0)),IF(ISNUMBER(B170),Backtest!$C$2519,""))</f>
        <v/>
      </c>
      <c r="D170" s="1" t="str">
        <f t="shared" si="4"/>
        <v/>
      </c>
      <c r="E170" s="11" t="str">
        <f>IFERROR(VLOOKUP(C170,Backtest!C:D,2,FALSE)/VLOOKUP(B170,Backtest!C:D,2,FALSE)-1,"")</f>
        <v/>
      </c>
      <c r="J170" s="9">
        <v>168</v>
      </c>
      <c r="K170" s="10" t="str">
        <f>IFERROR(INDEX(Backtest!C:C,MATCH(Trades!A170,Backtest!M:M,0)),"")</f>
        <v/>
      </c>
      <c r="L170" s="10" t="str">
        <f>IFERROR(INDEX(Backtest!C:C,MATCH(Trades!A170,Backtest!N:N,0)),IF(ISNUMBER(K170),Backtest!$C$2519,""))</f>
        <v/>
      </c>
      <c r="M170" s="1" t="str">
        <f t="shared" si="5"/>
        <v/>
      </c>
      <c r="N170" s="11" t="str">
        <f>IFERROR(VLOOKUP(L170,Backtest!C:D,2,FALSE)/VLOOKUP(K170,Backtest!C:D,2,FALSE)-1,"")</f>
        <v/>
      </c>
    </row>
    <row r="171" spans="1:14" x14ac:dyDescent="0.3">
      <c r="A171" s="9">
        <v>169</v>
      </c>
      <c r="B171" s="10" t="str">
        <f>IFERROR(INDEX(Backtest!C:C,MATCH(Trades!A171,Backtest!K:K,0)),"")</f>
        <v/>
      </c>
      <c r="C171" s="10" t="str">
        <f>IFERROR(INDEX(Backtest!C:C,MATCH(Trades!A171,Backtest!L:L,0)),IF(ISNUMBER(B171),Backtest!$C$2519,""))</f>
        <v/>
      </c>
      <c r="D171" s="1" t="str">
        <f t="shared" si="4"/>
        <v/>
      </c>
      <c r="E171" s="11" t="str">
        <f>IFERROR(VLOOKUP(C171,Backtest!C:D,2,FALSE)/VLOOKUP(B171,Backtest!C:D,2,FALSE)-1,"")</f>
        <v/>
      </c>
      <c r="J171" s="9">
        <v>169</v>
      </c>
      <c r="K171" s="10" t="str">
        <f>IFERROR(INDEX(Backtest!C:C,MATCH(Trades!A171,Backtest!M:M,0)),"")</f>
        <v/>
      </c>
      <c r="L171" s="10" t="str">
        <f>IFERROR(INDEX(Backtest!C:C,MATCH(Trades!A171,Backtest!N:N,0)),IF(ISNUMBER(K171),Backtest!$C$2519,""))</f>
        <v/>
      </c>
      <c r="M171" s="1" t="str">
        <f t="shared" si="5"/>
        <v/>
      </c>
      <c r="N171" s="11" t="str">
        <f>IFERROR(VLOOKUP(L171,Backtest!C:D,2,FALSE)/VLOOKUP(K171,Backtest!C:D,2,FALSE)-1,"")</f>
        <v/>
      </c>
    </row>
    <row r="172" spans="1:14" x14ac:dyDescent="0.3">
      <c r="A172" s="9">
        <v>170</v>
      </c>
      <c r="B172" s="10" t="str">
        <f>IFERROR(INDEX(Backtest!C:C,MATCH(Trades!A172,Backtest!K:K,0)),"")</f>
        <v/>
      </c>
      <c r="C172" s="10" t="str">
        <f>IFERROR(INDEX(Backtest!C:C,MATCH(Trades!A172,Backtest!L:L,0)),IF(ISNUMBER(B172),Backtest!$C$2519,""))</f>
        <v/>
      </c>
      <c r="D172" s="1" t="str">
        <f t="shared" si="4"/>
        <v/>
      </c>
      <c r="E172" s="11" t="str">
        <f>IFERROR(VLOOKUP(C172,Backtest!C:D,2,FALSE)/VLOOKUP(B172,Backtest!C:D,2,FALSE)-1,"")</f>
        <v/>
      </c>
      <c r="J172" s="9">
        <v>170</v>
      </c>
      <c r="K172" s="10" t="str">
        <f>IFERROR(INDEX(Backtest!C:C,MATCH(Trades!A172,Backtest!M:M,0)),"")</f>
        <v/>
      </c>
      <c r="L172" s="10" t="str">
        <f>IFERROR(INDEX(Backtest!C:C,MATCH(Trades!A172,Backtest!N:N,0)),IF(ISNUMBER(K172),Backtest!$C$2519,""))</f>
        <v/>
      </c>
      <c r="M172" s="1" t="str">
        <f t="shared" si="5"/>
        <v/>
      </c>
      <c r="N172" s="11" t="str">
        <f>IFERROR(VLOOKUP(L172,Backtest!C:D,2,FALSE)/VLOOKUP(K172,Backtest!C:D,2,FALSE)-1,"")</f>
        <v/>
      </c>
    </row>
    <row r="173" spans="1:14" x14ac:dyDescent="0.3">
      <c r="A173" s="9">
        <v>171</v>
      </c>
      <c r="B173" s="10" t="str">
        <f>IFERROR(INDEX(Backtest!C:C,MATCH(Trades!A173,Backtest!K:K,0)),"")</f>
        <v/>
      </c>
      <c r="C173" s="10" t="str">
        <f>IFERROR(INDEX(Backtest!C:C,MATCH(Trades!A173,Backtest!L:L,0)),IF(ISNUMBER(B173),Backtest!$C$2519,""))</f>
        <v/>
      </c>
      <c r="D173" s="1" t="str">
        <f t="shared" si="4"/>
        <v/>
      </c>
      <c r="E173" s="11" t="str">
        <f>IFERROR(VLOOKUP(C173,Backtest!C:D,2,FALSE)/VLOOKUP(B173,Backtest!C:D,2,FALSE)-1,"")</f>
        <v/>
      </c>
      <c r="J173" s="9">
        <v>171</v>
      </c>
      <c r="K173" s="10" t="str">
        <f>IFERROR(INDEX(Backtest!C:C,MATCH(Trades!A173,Backtest!M:M,0)),"")</f>
        <v/>
      </c>
      <c r="L173" s="10" t="str">
        <f>IFERROR(INDEX(Backtest!C:C,MATCH(Trades!A173,Backtest!N:N,0)),IF(ISNUMBER(K173),Backtest!$C$2519,""))</f>
        <v/>
      </c>
      <c r="M173" s="1" t="str">
        <f t="shared" si="5"/>
        <v/>
      </c>
      <c r="N173" s="11" t="str">
        <f>IFERROR(VLOOKUP(L173,Backtest!C:D,2,FALSE)/VLOOKUP(K173,Backtest!C:D,2,FALSE)-1,"")</f>
        <v/>
      </c>
    </row>
    <row r="174" spans="1:14" x14ac:dyDescent="0.3">
      <c r="A174" s="9">
        <v>172</v>
      </c>
      <c r="B174" s="10" t="str">
        <f>IFERROR(INDEX(Backtest!C:C,MATCH(Trades!A174,Backtest!K:K,0)),"")</f>
        <v/>
      </c>
      <c r="C174" s="10" t="str">
        <f>IFERROR(INDEX(Backtest!C:C,MATCH(Trades!A174,Backtest!L:L,0)),IF(ISNUMBER(B174),Backtest!$C$2519,""))</f>
        <v/>
      </c>
      <c r="D174" s="1" t="str">
        <f t="shared" si="4"/>
        <v/>
      </c>
      <c r="E174" s="11" t="str">
        <f>IFERROR(VLOOKUP(C174,Backtest!C:D,2,FALSE)/VLOOKUP(B174,Backtest!C:D,2,FALSE)-1,"")</f>
        <v/>
      </c>
      <c r="J174" s="9">
        <v>172</v>
      </c>
      <c r="K174" s="10" t="str">
        <f>IFERROR(INDEX(Backtest!C:C,MATCH(Trades!A174,Backtest!M:M,0)),"")</f>
        <v/>
      </c>
      <c r="L174" s="10" t="str">
        <f>IFERROR(INDEX(Backtest!C:C,MATCH(Trades!A174,Backtest!N:N,0)),IF(ISNUMBER(K174),Backtest!$C$2519,""))</f>
        <v/>
      </c>
      <c r="M174" s="1" t="str">
        <f t="shared" si="5"/>
        <v/>
      </c>
      <c r="N174" s="11" t="str">
        <f>IFERROR(VLOOKUP(L174,Backtest!C:D,2,FALSE)/VLOOKUP(K174,Backtest!C:D,2,FALSE)-1,"")</f>
        <v/>
      </c>
    </row>
    <row r="175" spans="1:14" x14ac:dyDescent="0.3">
      <c r="A175" s="9">
        <v>173</v>
      </c>
      <c r="B175" s="10" t="str">
        <f>IFERROR(INDEX(Backtest!C:C,MATCH(Trades!A175,Backtest!K:K,0)),"")</f>
        <v/>
      </c>
      <c r="C175" s="10" t="str">
        <f>IFERROR(INDEX(Backtest!C:C,MATCH(Trades!A175,Backtest!L:L,0)),IF(ISNUMBER(B175),Backtest!$C$2519,""))</f>
        <v/>
      </c>
      <c r="D175" s="1" t="str">
        <f t="shared" si="4"/>
        <v/>
      </c>
      <c r="E175" s="11" t="str">
        <f>IFERROR(VLOOKUP(C175,Backtest!C:D,2,FALSE)/VLOOKUP(B175,Backtest!C:D,2,FALSE)-1,"")</f>
        <v/>
      </c>
      <c r="J175" s="9">
        <v>173</v>
      </c>
      <c r="K175" s="10" t="str">
        <f>IFERROR(INDEX(Backtest!C:C,MATCH(Trades!A175,Backtest!M:M,0)),"")</f>
        <v/>
      </c>
      <c r="L175" s="10" t="str">
        <f>IFERROR(INDEX(Backtest!C:C,MATCH(Trades!A175,Backtest!N:N,0)),IF(ISNUMBER(K175),Backtest!$C$2519,""))</f>
        <v/>
      </c>
      <c r="M175" s="1" t="str">
        <f t="shared" si="5"/>
        <v/>
      </c>
      <c r="N175" s="11" t="str">
        <f>IFERROR(VLOOKUP(L175,Backtest!C:D,2,FALSE)/VLOOKUP(K175,Backtest!C:D,2,FALSE)-1,"")</f>
        <v/>
      </c>
    </row>
    <row r="176" spans="1:14" x14ac:dyDescent="0.3">
      <c r="A176" s="9">
        <v>174</v>
      </c>
      <c r="B176" s="10" t="str">
        <f>IFERROR(INDEX(Backtest!C:C,MATCH(Trades!A176,Backtest!K:K,0)),"")</f>
        <v/>
      </c>
      <c r="C176" s="10" t="str">
        <f>IFERROR(INDEX(Backtest!C:C,MATCH(Trades!A176,Backtest!L:L,0)),IF(ISNUMBER(B176),Backtest!$C$2519,""))</f>
        <v/>
      </c>
      <c r="D176" s="1" t="str">
        <f t="shared" si="4"/>
        <v/>
      </c>
      <c r="E176" s="11" t="str">
        <f>IFERROR(VLOOKUP(C176,Backtest!C:D,2,FALSE)/VLOOKUP(B176,Backtest!C:D,2,FALSE)-1,"")</f>
        <v/>
      </c>
      <c r="J176" s="9">
        <v>174</v>
      </c>
      <c r="K176" s="10" t="str">
        <f>IFERROR(INDEX(Backtest!C:C,MATCH(Trades!A176,Backtest!M:M,0)),"")</f>
        <v/>
      </c>
      <c r="L176" s="10" t="str">
        <f>IFERROR(INDEX(Backtest!C:C,MATCH(Trades!A176,Backtest!N:N,0)),IF(ISNUMBER(K176),Backtest!$C$2519,""))</f>
        <v/>
      </c>
      <c r="M176" s="1" t="str">
        <f t="shared" si="5"/>
        <v/>
      </c>
      <c r="N176" s="11" t="str">
        <f>IFERROR(VLOOKUP(L176,Backtest!C:D,2,FALSE)/VLOOKUP(K176,Backtest!C:D,2,FALSE)-1,"")</f>
        <v/>
      </c>
    </row>
    <row r="177" spans="1:14" x14ac:dyDescent="0.3">
      <c r="A177" s="9">
        <v>175</v>
      </c>
      <c r="B177" s="10" t="str">
        <f>IFERROR(INDEX(Backtest!C:C,MATCH(Trades!A177,Backtest!K:K,0)),"")</f>
        <v/>
      </c>
      <c r="C177" s="10" t="str">
        <f>IFERROR(INDEX(Backtest!C:C,MATCH(Trades!A177,Backtest!L:L,0)),IF(ISNUMBER(B177),Backtest!$C$2519,""))</f>
        <v/>
      </c>
      <c r="D177" s="1" t="str">
        <f t="shared" si="4"/>
        <v/>
      </c>
      <c r="E177" s="11" t="str">
        <f>IFERROR(VLOOKUP(C177,Backtest!C:D,2,FALSE)/VLOOKUP(B177,Backtest!C:D,2,FALSE)-1,"")</f>
        <v/>
      </c>
      <c r="J177" s="9">
        <v>175</v>
      </c>
      <c r="K177" s="10" t="str">
        <f>IFERROR(INDEX(Backtest!C:C,MATCH(Trades!A177,Backtest!M:M,0)),"")</f>
        <v/>
      </c>
      <c r="L177" s="10" t="str">
        <f>IFERROR(INDEX(Backtest!C:C,MATCH(Trades!A177,Backtest!N:N,0)),IF(ISNUMBER(K177),Backtest!$C$2519,""))</f>
        <v/>
      </c>
      <c r="M177" s="1" t="str">
        <f t="shared" si="5"/>
        <v/>
      </c>
      <c r="N177" s="11" t="str">
        <f>IFERROR(VLOOKUP(L177,Backtest!C:D,2,FALSE)/VLOOKUP(K177,Backtest!C:D,2,FALSE)-1,"")</f>
        <v/>
      </c>
    </row>
    <row r="178" spans="1:14" x14ac:dyDescent="0.3">
      <c r="A178" s="9">
        <v>176</v>
      </c>
      <c r="B178" s="10" t="str">
        <f>IFERROR(INDEX(Backtest!C:C,MATCH(Trades!A178,Backtest!K:K,0)),"")</f>
        <v/>
      </c>
      <c r="C178" s="10" t="str">
        <f>IFERROR(INDEX(Backtest!C:C,MATCH(Trades!A178,Backtest!L:L,0)),IF(ISNUMBER(B178),Backtest!$C$2519,""))</f>
        <v/>
      </c>
      <c r="D178" s="1" t="str">
        <f t="shared" si="4"/>
        <v/>
      </c>
      <c r="E178" s="11" t="str">
        <f>IFERROR(VLOOKUP(C178,Backtest!C:D,2,FALSE)/VLOOKUP(B178,Backtest!C:D,2,FALSE)-1,"")</f>
        <v/>
      </c>
      <c r="J178" s="9">
        <v>176</v>
      </c>
      <c r="K178" s="10" t="str">
        <f>IFERROR(INDEX(Backtest!C:C,MATCH(Trades!A178,Backtest!M:M,0)),"")</f>
        <v/>
      </c>
      <c r="L178" s="10" t="str">
        <f>IFERROR(INDEX(Backtest!C:C,MATCH(Trades!A178,Backtest!N:N,0)),IF(ISNUMBER(K178),Backtest!$C$2519,""))</f>
        <v/>
      </c>
      <c r="M178" s="1" t="str">
        <f t="shared" si="5"/>
        <v/>
      </c>
      <c r="N178" s="11" t="str">
        <f>IFERROR(VLOOKUP(L178,Backtest!C:D,2,FALSE)/VLOOKUP(K178,Backtest!C:D,2,FALSE)-1,"")</f>
        <v/>
      </c>
    </row>
    <row r="179" spans="1:14" x14ac:dyDescent="0.3">
      <c r="A179" s="9">
        <v>177</v>
      </c>
      <c r="B179" s="10" t="str">
        <f>IFERROR(INDEX(Backtest!C:C,MATCH(Trades!A179,Backtest!K:K,0)),"")</f>
        <v/>
      </c>
      <c r="C179" s="10" t="str">
        <f>IFERROR(INDEX(Backtest!C:C,MATCH(Trades!A179,Backtest!L:L,0)),IF(ISNUMBER(B179),Backtest!$C$2519,""))</f>
        <v/>
      </c>
      <c r="D179" s="1" t="str">
        <f t="shared" si="4"/>
        <v/>
      </c>
      <c r="E179" s="11" t="str">
        <f>IFERROR(VLOOKUP(C179,Backtest!C:D,2,FALSE)/VLOOKUP(B179,Backtest!C:D,2,FALSE)-1,"")</f>
        <v/>
      </c>
      <c r="J179" s="9">
        <v>177</v>
      </c>
      <c r="K179" s="10" t="str">
        <f>IFERROR(INDEX(Backtest!C:C,MATCH(Trades!A179,Backtest!M:M,0)),"")</f>
        <v/>
      </c>
      <c r="L179" s="10" t="str">
        <f>IFERROR(INDEX(Backtest!C:C,MATCH(Trades!A179,Backtest!N:N,0)),IF(ISNUMBER(K179),Backtest!$C$2519,""))</f>
        <v/>
      </c>
      <c r="M179" s="1" t="str">
        <f t="shared" si="5"/>
        <v/>
      </c>
      <c r="N179" s="11" t="str">
        <f>IFERROR(VLOOKUP(L179,Backtest!C:D,2,FALSE)/VLOOKUP(K179,Backtest!C:D,2,FALSE)-1,"")</f>
        <v/>
      </c>
    </row>
    <row r="180" spans="1:14" x14ac:dyDescent="0.3">
      <c r="A180" s="9">
        <v>178</v>
      </c>
      <c r="B180" s="10" t="str">
        <f>IFERROR(INDEX(Backtest!C:C,MATCH(Trades!A180,Backtest!K:K,0)),"")</f>
        <v/>
      </c>
      <c r="C180" s="10" t="str">
        <f>IFERROR(INDEX(Backtest!C:C,MATCH(Trades!A180,Backtest!L:L,0)),IF(ISNUMBER(B180),Backtest!$C$2519,""))</f>
        <v/>
      </c>
      <c r="D180" s="1" t="str">
        <f t="shared" si="4"/>
        <v/>
      </c>
      <c r="E180" s="11" t="str">
        <f>IFERROR(VLOOKUP(C180,Backtest!C:D,2,FALSE)/VLOOKUP(B180,Backtest!C:D,2,FALSE)-1,"")</f>
        <v/>
      </c>
      <c r="J180" s="9">
        <v>178</v>
      </c>
      <c r="K180" s="10" t="str">
        <f>IFERROR(INDEX(Backtest!C:C,MATCH(Trades!A180,Backtest!M:M,0)),"")</f>
        <v/>
      </c>
      <c r="L180" s="10" t="str">
        <f>IFERROR(INDEX(Backtest!C:C,MATCH(Trades!A180,Backtest!N:N,0)),IF(ISNUMBER(K180),Backtest!$C$2519,""))</f>
        <v/>
      </c>
      <c r="M180" s="1" t="str">
        <f t="shared" si="5"/>
        <v/>
      </c>
      <c r="N180" s="11" t="str">
        <f>IFERROR(VLOOKUP(L180,Backtest!C:D,2,FALSE)/VLOOKUP(K180,Backtest!C:D,2,FALSE)-1,"")</f>
        <v/>
      </c>
    </row>
    <row r="181" spans="1:14" x14ac:dyDescent="0.3">
      <c r="A181" s="9">
        <v>179</v>
      </c>
      <c r="B181" s="10" t="str">
        <f>IFERROR(INDEX(Backtest!C:C,MATCH(Trades!A181,Backtest!K:K,0)),"")</f>
        <v/>
      </c>
      <c r="C181" s="10" t="str">
        <f>IFERROR(INDEX(Backtest!C:C,MATCH(Trades!A181,Backtest!L:L,0)),IF(ISNUMBER(B181),Backtest!$C$2519,""))</f>
        <v/>
      </c>
      <c r="D181" s="1" t="str">
        <f t="shared" si="4"/>
        <v/>
      </c>
      <c r="E181" s="11" t="str">
        <f>IFERROR(VLOOKUP(C181,Backtest!C:D,2,FALSE)/VLOOKUP(B181,Backtest!C:D,2,FALSE)-1,"")</f>
        <v/>
      </c>
      <c r="J181" s="9">
        <v>179</v>
      </c>
      <c r="K181" s="10" t="str">
        <f>IFERROR(INDEX(Backtest!C:C,MATCH(Trades!A181,Backtest!M:M,0)),"")</f>
        <v/>
      </c>
      <c r="L181" s="10" t="str">
        <f>IFERROR(INDEX(Backtest!C:C,MATCH(Trades!A181,Backtest!N:N,0)),IF(ISNUMBER(K181),Backtest!$C$2519,""))</f>
        <v/>
      </c>
      <c r="M181" s="1" t="str">
        <f t="shared" si="5"/>
        <v/>
      </c>
      <c r="N181" s="11" t="str">
        <f>IFERROR(VLOOKUP(L181,Backtest!C:D,2,FALSE)/VLOOKUP(K181,Backtest!C:D,2,FALSE)-1,"")</f>
        <v/>
      </c>
    </row>
    <row r="182" spans="1:14" x14ac:dyDescent="0.3">
      <c r="A182" s="9">
        <v>180</v>
      </c>
      <c r="B182" s="10" t="str">
        <f>IFERROR(INDEX(Backtest!C:C,MATCH(Trades!A182,Backtest!K:K,0)),"")</f>
        <v/>
      </c>
      <c r="C182" s="10" t="str">
        <f>IFERROR(INDEX(Backtest!C:C,MATCH(Trades!A182,Backtest!L:L,0)),IF(ISNUMBER(B182),Backtest!$C$2519,""))</f>
        <v/>
      </c>
      <c r="D182" s="1" t="str">
        <f t="shared" si="4"/>
        <v/>
      </c>
      <c r="E182" s="11" t="str">
        <f>IFERROR(VLOOKUP(C182,Backtest!C:D,2,FALSE)/VLOOKUP(B182,Backtest!C:D,2,FALSE)-1,"")</f>
        <v/>
      </c>
      <c r="J182" s="9">
        <v>180</v>
      </c>
      <c r="K182" s="10" t="str">
        <f>IFERROR(INDEX(Backtest!C:C,MATCH(Trades!A182,Backtest!M:M,0)),"")</f>
        <v/>
      </c>
      <c r="L182" s="10" t="str">
        <f>IFERROR(INDEX(Backtest!C:C,MATCH(Trades!A182,Backtest!N:N,0)),IF(ISNUMBER(K182),Backtest!$C$2519,""))</f>
        <v/>
      </c>
      <c r="M182" s="1" t="str">
        <f t="shared" si="5"/>
        <v/>
      </c>
      <c r="N182" s="11" t="str">
        <f>IFERROR(VLOOKUP(L182,Backtest!C:D,2,FALSE)/VLOOKUP(K182,Backtest!C:D,2,FALSE)-1,"")</f>
        <v/>
      </c>
    </row>
    <row r="183" spans="1:14" x14ac:dyDescent="0.3">
      <c r="A183" s="9">
        <v>181</v>
      </c>
      <c r="B183" s="10" t="str">
        <f>IFERROR(INDEX(Backtest!C:C,MATCH(Trades!A183,Backtest!K:K,0)),"")</f>
        <v/>
      </c>
      <c r="C183" s="10" t="str">
        <f>IFERROR(INDEX(Backtest!C:C,MATCH(Trades!A183,Backtest!L:L,0)),IF(ISNUMBER(B183),Backtest!$C$2519,""))</f>
        <v/>
      </c>
      <c r="D183" s="1" t="str">
        <f t="shared" si="4"/>
        <v/>
      </c>
      <c r="E183" s="11" t="str">
        <f>IFERROR(VLOOKUP(C183,Backtest!C:D,2,FALSE)/VLOOKUP(B183,Backtest!C:D,2,FALSE)-1,"")</f>
        <v/>
      </c>
      <c r="J183" s="9">
        <v>181</v>
      </c>
      <c r="K183" s="10" t="str">
        <f>IFERROR(INDEX(Backtest!C:C,MATCH(Trades!A183,Backtest!M:M,0)),"")</f>
        <v/>
      </c>
      <c r="L183" s="10" t="str">
        <f>IFERROR(INDEX(Backtest!C:C,MATCH(Trades!A183,Backtest!N:N,0)),IF(ISNUMBER(K183),Backtest!$C$2519,""))</f>
        <v/>
      </c>
      <c r="M183" s="1" t="str">
        <f t="shared" si="5"/>
        <v/>
      </c>
      <c r="N183" s="11" t="str">
        <f>IFERROR(VLOOKUP(L183,Backtest!C:D,2,FALSE)/VLOOKUP(K183,Backtest!C:D,2,FALSE)-1,"")</f>
        <v/>
      </c>
    </row>
    <row r="184" spans="1:14" x14ac:dyDescent="0.3">
      <c r="A184" s="9">
        <v>182</v>
      </c>
      <c r="B184" s="10" t="str">
        <f>IFERROR(INDEX(Backtest!C:C,MATCH(Trades!A184,Backtest!K:K,0)),"")</f>
        <v/>
      </c>
      <c r="C184" s="10" t="str">
        <f>IFERROR(INDEX(Backtest!C:C,MATCH(Trades!A184,Backtest!L:L,0)),IF(ISNUMBER(B184),Backtest!$C$2519,""))</f>
        <v/>
      </c>
      <c r="D184" s="1" t="str">
        <f t="shared" si="4"/>
        <v/>
      </c>
      <c r="E184" s="11" t="str">
        <f>IFERROR(VLOOKUP(C184,Backtest!C:D,2,FALSE)/VLOOKUP(B184,Backtest!C:D,2,FALSE)-1,"")</f>
        <v/>
      </c>
      <c r="J184" s="9">
        <v>182</v>
      </c>
      <c r="K184" s="10" t="str">
        <f>IFERROR(INDEX(Backtest!C:C,MATCH(Trades!A184,Backtest!M:M,0)),"")</f>
        <v/>
      </c>
      <c r="L184" s="10" t="str">
        <f>IFERROR(INDEX(Backtest!C:C,MATCH(Trades!A184,Backtest!N:N,0)),IF(ISNUMBER(K184),Backtest!$C$2519,""))</f>
        <v/>
      </c>
      <c r="M184" s="1" t="str">
        <f t="shared" si="5"/>
        <v/>
      </c>
      <c r="N184" s="11" t="str">
        <f>IFERROR(VLOOKUP(L184,Backtest!C:D,2,FALSE)/VLOOKUP(K184,Backtest!C:D,2,FALSE)-1,"")</f>
        <v/>
      </c>
    </row>
    <row r="185" spans="1:14" x14ac:dyDescent="0.3">
      <c r="A185" s="9">
        <v>183</v>
      </c>
      <c r="B185" s="10" t="str">
        <f>IFERROR(INDEX(Backtest!C:C,MATCH(Trades!A185,Backtest!K:K,0)),"")</f>
        <v/>
      </c>
      <c r="C185" s="10" t="str">
        <f>IFERROR(INDEX(Backtest!C:C,MATCH(Trades!A185,Backtest!L:L,0)),IF(ISNUMBER(B185),Backtest!$C$2519,""))</f>
        <v/>
      </c>
      <c r="D185" s="1" t="str">
        <f t="shared" si="4"/>
        <v/>
      </c>
      <c r="E185" s="11" t="str">
        <f>IFERROR(VLOOKUP(C185,Backtest!C:D,2,FALSE)/VLOOKUP(B185,Backtest!C:D,2,FALSE)-1,"")</f>
        <v/>
      </c>
      <c r="J185" s="9">
        <v>183</v>
      </c>
      <c r="K185" s="10" t="str">
        <f>IFERROR(INDEX(Backtest!C:C,MATCH(Trades!A185,Backtest!M:M,0)),"")</f>
        <v/>
      </c>
      <c r="L185" s="10" t="str">
        <f>IFERROR(INDEX(Backtest!C:C,MATCH(Trades!A185,Backtest!N:N,0)),IF(ISNUMBER(K185),Backtest!$C$2519,""))</f>
        <v/>
      </c>
      <c r="M185" s="1" t="str">
        <f t="shared" si="5"/>
        <v/>
      </c>
      <c r="N185" s="11" t="str">
        <f>IFERROR(VLOOKUP(L185,Backtest!C:D,2,FALSE)/VLOOKUP(K185,Backtest!C:D,2,FALSE)-1,"")</f>
        <v/>
      </c>
    </row>
    <row r="186" spans="1:14" x14ac:dyDescent="0.3">
      <c r="A186" s="9">
        <v>184</v>
      </c>
      <c r="B186" s="10" t="str">
        <f>IFERROR(INDEX(Backtest!C:C,MATCH(Trades!A186,Backtest!K:K,0)),"")</f>
        <v/>
      </c>
      <c r="C186" s="10" t="str">
        <f>IFERROR(INDEX(Backtest!C:C,MATCH(Trades!A186,Backtest!L:L,0)),IF(ISNUMBER(B186),Backtest!$C$2519,""))</f>
        <v/>
      </c>
      <c r="D186" s="1" t="str">
        <f t="shared" si="4"/>
        <v/>
      </c>
      <c r="E186" s="11" t="str">
        <f>IFERROR(VLOOKUP(C186,Backtest!C:D,2,FALSE)/VLOOKUP(B186,Backtest!C:D,2,FALSE)-1,"")</f>
        <v/>
      </c>
      <c r="J186" s="9">
        <v>184</v>
      </c>
      <c r="K186" s="10" t="str">
        <f>IFERROR(INDEX(Backtest!C:C,MATCH(Trades!A186,Backtest!M:M,0)),"")</f>
        <v/>
      </c>
      <c r="L186" s="10" t="str">
        <f>IFERROR(INDEX(Backtest!C:C,MATCH(Trades!A186,Backtest!N:N,0)),IF(ISNUMBER(K186),Backtest!$C$2519,""))</f>
        <v/>
      </c>
      <c r="M186" s="1" t="str">
        <f t="shared" si="5"/>
        <v/>
      </c>
      <c r="N186" s="11" t="str">
        <f>IFERROR(VLOOKUP(L186,Backtest!C:D,2,FALSE)/VLOOKUP(K186,Backtest!C:D,2,FALSE)-1,"")</f>
        <v/>
      </c>
    </row>
    <row r="187" spans="1:14" x14ac:dyDescent="0.3">
      <c r="A187" s="9">
        <v>185</v>
      </c>
      <c r="B187" s="10" t="str">
        <f>IFERROR(INDEX(Backtest!C:C,MATCH(Trades!A187,Backtest!K:K,0)),"")</f>
        <v/>
      </c>
      <c r="C187" s="10" t="str">
        <f>IFERROR(INDEX(Backtest!C:C,MATCH(Trades!A187,Backtest!L:L,0)),IF(ISNUMBER(B187),Backtest!$C$2519,""))</f>
        <v/>
      </c>
      <c r="D187" s="1" t="str">
        <f t="shared" si="4"/>
        <v/>
      </c>
      <c r="E187" s="11" t="str">
        <f>IFERROR(VLOOKUP(C187,Backtest!C:D,2,FALSE)/VLOOKUP(B187,Backtest!C:D,2,FALSE)-1,"")</f>
        <v/>
      </c>
      <c r="J187" s="9">
        <v>185</v>
      </c>
      <c r="K187" s="10" t="str">
        <f>IFERROR(INDEX(Backtest!C:C,MATCH(Trades!A187,Backtest!M:M,0)),"")</f>
        <v/>
      </c>
      <c r="L187" s="10" t="str">
        <f>IFERROR(INDEX(Backtest!C:C,MATCH(Trades!A187,Backtest!N:N,0)),IF(ISNUMBER(K187),Backtest!$C$2519,""))</f>
        <v/>
      </c>
      <c r="M187" s="1" t="str">
        <f t="shared" si="5"/>
        <v/>
      </c>
      <c r="N187" s="11" t="str">
        <f>IFERROR(VLOOKUP(L187,Backtest!C:D,2,FALSE)/VLOOKUP(K187,Backtest!C:D,2,FALSE)-1,"")</f>
        <v/>
      </c>
    </row>
    <row r="188" spans="1:14" x14ac:dyDescent="0.3">
      <c r="A188" s="9">
        <v>186</v>
      </c>
      <c r="B188" s="10" t="str">
        <f>IFERROR(INDEX(Backtest!C:C,MATCH(Trades!A188,Backtest!K:K,0)),"")</f>
        <v/>
      </c>
      <c r="C188" s="10" t="str">
        <f>IFERROR(INDEX(Backtest!C:C,MATCH(Trades!A188,Backtest!L:L,0)),IF(ISNUMBER(B188),Backtest!$C$2519,""))</f>
        <v/>
      </c>
      <c r="D188" s="1" t="str">
        <f t="shared" si="4"/>
        <v/>
      </c>
      <c r="E188" s="11" t="str">
        <f>IFERROR(VLOOKUP(C188,Backtest!C:D,2,FALSE)/VLOOKUP(B188,Backtest!C:D,2,FALSE)-1,"")</f>
        <v/>
      </c>
      <c r="J188" s="9">
        <v>186</v>
      </c>
      <c r="K188" s="10" t="str">
        <f>IFERROR(INDEX(Backtest!C:C,MATCH(Trades!A188,Backtest!M:M,0)),"")</f>
        <v/>
      </c>
      <c r="L188" s="10" t="str">
        <f>IFERROR(INDEX(Backtest!C:C,MATCH(Trades!A188,Backtest!N:N,0)),IF(ISNUMBER(K188),Backtest!$C$2519,""))</f>
        <v/>
      </c>
      <c r="M188" s="1" t="str">
        <f t="shared" si="5"/>
        <v/>
      </c>
      <c r="N188" s="11" t="str">
        <f>IFERROR(VLOOKUP(L188,Backtest!C:D,2,FALSE)/VLOOKUP(K188,Backtest!C:D,2,FALSE)-1,"")</f>
        <v/>
      </c>
    </row>
    <row r="189" spans="1:14" x14ac:dyDescent="0.3">
      <c r="A189" s="9">
        <v>187</v>
      </c>
      <c r="B189" s="10" t="str">
        <f>IFERROR(INDEX(Backtest!C:C,MATCH(Trades!A189,Backtest!K:K,0)),"")</f>
        <v/>
      </c>
      <c r="C189" s="10" t="str">
        <f>IFERROR(INDEX(Backtest!C:C,MATCH(Trades!A189,Backtest!L:L,0)),IF(ISNUMBER(B189),Backtest!$C$2519,""))</f>
        <v/>
      </c>
      <c r="D189" s="1" t="str">
        <f t="shared" si="4"/>
        <v/>
      </c>
      <c r="E189" s="11" t="str">
        <f>IFERROR(VLOOKUP(C189,Backtest!C:D,2,FALSE)/VLOOKUP(B189,Backtest!C:D,2,FALSE)-1,"")</f>
        <v/>
      </c>
      <c r="J189" s="9">
        <v>187</v>
      </c>
      <c r="K189" s="10" t="str">
        <f>IFERROR(INDEX(Backtest!C:C,MATCH(Trades!A189,Backtest!M:M,0)),"")</f>
        <v/>
      </c>
      <c r="L189" s="10" t="str">
        <f>IFERROR(INDEX(Backtest!C:C,MATCH(Trades!A189,Backtest!N:N,0)),IF(ISNUMBER(K189),Backtest!$C$2519,""))</f>
        <v/>
      </c>
      <c r="M189" s="1" t="str">
        <f t="shared" si="5"/>
        <v/>
      </c>
      <c r="N189" s="11" t="str">
        <f>IFERROR(VLOOKUP(L189,Backtest!C:D,2,FALSE)/VLOOKUP(K189,Backtest!C:D,2,FALSE)-1,"")</f>
        <v/>
      </c>
    </row>
    <row r="190" spans="1:14" x14ac:dyDescent="0.3">
      <c r="A190" s="9">
        <v>188</v>
      </c>
      <c r="B190" s="10" t="str">
        <f>IFERROR(INDEX(Backtest!C:C,MATCH(Trades!A190,Backtest!K:K,0)),"")</f>
        <v/>
      </c>
      <c r="C190" s="10" t="str">
        <f>IFERROR(INDEX(Backtest!C:C,MATCH(Trades!A190,Backtest!L:L,0)),IF(ISNUMBER(B190),Backtest!$C$2519,""))</f>
        <v/>
      </c>
      <c r="D190" s="1" t="str">
        <f t="shared" si="4"/>
        <v/>
      </c>
      <c r="E190" s="11" t="str">
        <f>IFERROR(VLOOKUP(C190,Backtest!C:D,2,FALSE)/VLOOKUP(B190,Backtest!C:D,2,FALSE)-1,"")</f>
        <v/>
      </c>
      <c r="J190" s="9">
        <v>188</v>
      </c>
      <c r="K190" s="10" t="str">
        <f>IFERROR(INDEX(Backtest!C:C,MATCH(Trades!A190,Backtest!M:M,0)),"")</f>
        <v/>
      </c>
      <c r="L190" s="10" t="str">
        <f>IFERROR(INDEX(Backtest!C:C,MATCH(Trades!A190,Backtest!N:N,0)),IF(ISNUMBER(K190),Backtest!$C$2519,""))</f>
        <v/>
      </c>
      <c r="M190" s="1" t="str">
        <f t="shared" si="5"/>
        <v/>
      </c>
      <c r="N190" s="11" t="str">
        <f>IFERROR(VLOOKUP(L190,Backtest!C:D,2,FALSE)/VLOOKUP(K190,Backtest!C:D,2,FALSE)-1,"")</f>
        <v/>
      </c>
    </row>
    <row r="191" spans="1:14" x14ac:dyDescent="0.3">
      <c r="A191" s="9">
        <v>189</v>
      </c>
      <c r="B191" s="10" t="str">
        <f>IFERROR(INDEX(Backtest!C:C,MATCH(Trades!A191,Backtest!K:K,0)),"")</f>
        <v/>
      </c>
      <c r="C191" s="10" t="str">
        <f>IFERROR(INDEX(Backtest!C:C,MATCH(Trades!A191,Backtest!L:L,0)),IF(ISNUMBER(B191),Backtest!$C$2519,""))</f>
        <v/>
      </c>
      <c r="D191" s="1" t="str">
        <f t="shared" si="4"/>
        <v/>
      </c>
      <c r="E191" s="11" t="str">
        <f>IFERROR(VLOOKUP(C191,Backtest!C:D,2,FALSE)/VLOOKUP(B191,Backtest!C:D,2,FALSE)-1,"")</f>
        <v/>
      </c>
      <c r="J191" s="9">
        <v>189</v>
      </c>
      <c r="K191" s="10" t="str">
        <f>IFERROR(INDEX(Backtest!C:C,MATCH(Trades!A191,Backtest!M:M,0)),"")</f>
        <v/>
      </c>
      <c r="L191" s="10" t="str">
        <f>IFERROR(INDEX(Backtest!C:C,MATCH(Trades!A191,Backtest!N:N,0)),IF(ISNUMBER(K191),Backtest!$C$2519,""))</f>
        <v/>
      </c>
      <c r="M191" s="1" t="str">
        <f t="shared" si="5"/>
        <v/>
      </c>
      <c r="N191" s="11" t="str">
        <f>IFERROR(VLOOKUP(L191,Backtest!C:D,2,FALSE)/VLOOKUP(K191,Backtest!C:D,2,FALSE)-1,"")</f>
        <v/>
      </c>
    </row>
    <row r="192" spans="1:14" x14ac:dyDescent="0.3">
      <c r="A192" s="9">
        <v>190</v>
      </c>
      <c r="B192" s="10" t="str">
        <f>IFERROR(INDEX(Backtest!C:C,MATCH(Trades!A192,Backtest!K:K,0)),"")</f>
        <v/>
      </c>
      <c r="C192" s="10" t="str">
        <f>IFERROR(INDEX(Backtest!C:C,MATCH(Trades!A192,Backtest!L:L,0)),IF(ISNUMBER(B192),Backtest!$C$2519,""))</f>
        <v/>
      </c>
      <c r="D192" s="1" t="str">
        <f t="shared" si="4"/>
        <v/>
      </c>
      <c r="E192" s="11" t="str">
        <f>IFERROR(VLOOKUP(C192,Backtest!C:D,2,FALSE)/VLOOKUP(B192,Backtest!C:D,2,FALSE)-1,"")</f>
        <v/>
      </c>
      <c r="J192" s="9">
        <v>190</v>
      </c>
      <c r="K192" s="10" t="str">
        <f>IFERROR(INDEX(Backtest!C:C,MATCH(Trades!A192,Backtest!M:M,0)),"")</f>
        <v/>
      </c>
      <c r="L192" s="10" t="str">
        <f>IFERROR(INDEX(Backtest!C:C,MATCH(Trades!A192,Backtest!N:N,0)),IF(ISNUMBER(K192),Backtest!$C$2519,""))</f>
        <v/>
      </c>
      <c r="M192" s="1" t="str">
        <f t="shared" si="5"/>
        <v/>
      </c>
      <c r="N192" s="11" t="str">
        <f>IFERROR(VLOOKUP(L192,Backtest!C:D,2,FALSE)/VLOOKUP(K192,Backtest!C:D,2,FALSE)-1,"")</f>
        <v/>
      </c>
    </row>
    <row r="193" spans="1:14" x14ac:dyDescent="0.3">
      <c r="A193" s="9">
        <v>191</v>
      </c>
      <c r="B193" s="10" t="str">
        <f>IFERROR(INDEX(Backtest!C:C,MATCH(Trades!A193,Backtest!K:K,0)),"")</f>
        <v/>
      </c>
      <c r="C193" s="10" t="str">
        <f>IFERROR(INDEX(Backtest!C:C,MATCH(Trades!A193,Backtest!L:L,0)),IF(ISNUMBER(B193),Backtest!$C$2519,""))</f>
        <v/>
      </c>
      <c r="D193" s="1" t="str">
        <f t="shared" si="4"/>
        <v/>
      </c>
      <c r="E193" s="11" t="str">
        <f>IFERROR(VLOOKUP(C193,Backtest!C:D,2,FALSE)/VLOOKUP(B193,Backtest!C:D,2,FALSE)-1,"")</f>
        <v/>
      </c>
      <c r="J193" s="9">
        <v>191</v>
      </c>
      <c r="K193" s="10" t="str">
        <f>IFERROR(INDEX(Backtest!C:C,MATCH(Trades!A193,Backtest!M:M,0)),"")</f>
        <v/>
      </c>
      <c r="L193" s="10" t="str">
        <f>IFERROR(INDEX(Backtest!C:C,MATCH(Trades!A193,Backtest!N:N,0)),IF(ISNUMBER(K193),Backtest!$C$2519,""))</f>
        <v/>
      </c>
      <c r="M193" s="1" t="str">
        <f t="shared" si="5"/>
        <v/>
      </c>
      <c r="N193" s="11" t="str">
        <f>IFERROR(VLOOKUP(L193,Backtest!C:D,2,FALSE)/VLOOKUP(K193,Backtest!C:D,2,FALSE)-1,"")</f>
        <v/>
      </c>
    </row>
    <row r="194" spans="1:14" x14ac:dyDescent="0.3">
      <c r="A194" s="9">
        <v>192</v>
      </c>
      <c r="B194" s="10" t="str">
        <f>IFERROR(INDEX(Backtest!C:C,MATCH(Trades!A194,Backtest!K:K,0)),"")</f>
        <v/>
      </c>
      <c r="C194" s="10" t="str">
        <f>IFERROR(INDEX(Backtest!C:C,MATCH(Trades!A194,Backtest!L:L,0)),IF(ISNUMBER(B194),Backtest!$C$2519,""))</f>
        <v/>
      </c>
      <c r="D194" s="1" t="str">
        <f t="shared" si="4"/>
        <v/>
      </c>
      <c r="E194" s="11" t="str">
        <f>IFERROR(VLOOKUP(C194,Backtest!C:D,2,FALSE)/VLOOKUP(B194,Backtest!C:D,2,FALSE)-1,"")</f>
        <v/>
      </c>
      <c r="J194" s="9">
        <v>192</v>
      </c>
      <c r="K194" s="10" t="str">
        <f>IFERROR(INDEX(Backtest!C:C,MATCH(Trades!A194,Backtest!M:M,0)),"")</f>
        <v/>
      </c>
      <c r="L194" s="10" t="str">
        <f>IFERROR(INDEX(Backtest!C:C,MATCH(Trades!A194,Backtest!N:N,0)),IF(ISNUMBER(K194),Backtest!$C$2519,""))</f>
        <v/>
      </c>
      <c r="M194" s="1" t="str">
        <f t="shared" si="5"/>
        <v/>
      </c>
      <c r="N194" s="11" t="str">
        <f>IFERROR(VLOOKUP(L194,Backtest!C:D,2,FALSE)/VLOOKUP(K194,Backtest!C:D,2,FALSE)-1,"")</f>
        <v/>
      </c>
    </row>
    <row r="195" spans="1:14" x14ac:dyDescent="0.3">
      <c r="A195" s="9">
        <v>193</v>
      </c>
      <c r="B195" s="10" t="str">
        <f>IFERROR(INDEX(Backtest!C:C,MATCH(Trades!A195,Backtest!K:K,0)),"")</f>
        <v/>
      </c>
      <c r="C195" s="10" t="str">
        <f>IFERROR(INDEX(Backtest!C:C,MATCH(Trades!A195,Backtest!L:L,0)),IF(ISNUMBER(B195),Backtest!$C$2519,""))</f>
        <v/>
      </c>
      <c r="D195" s="1" t="str">
        <f t="shared" si="4"/>
        <v/>
      </c>
      <c r="E195" s="11" t="str">
        <f>IFERROR(VLOOKUP(C195,Backtest!C:D,2,FALSE)/VLOOKUP(B195,Backtest!C:D,2,FALSE)-1,"")</f>
        <v/>
      </c>
      <c r="J195" s="9">
        <v>193</v>
      </c>
      <c r="K195" s="10" t="str">
        <f>IFERROR(INDEX(Backtest!C:C,MATCH(Trades!A195,Backtest!M:M,0)),"")</f>
        <v/>
      </c>
      <c r="L195" s="10" t="str">
        <f>IFERROR(INDEX(Backtest!C:C,MATCH(Trades!A195,Backtest!N:N,0)),IF(ISNUMBER(K195),Backtest!$C$2519,""))</f>
        <v/>
      </c>
      <c r="M195" s="1" t="str">
        <f t="shared" si="5"/>
        <v/>
      </c>
      <c r="N195" s="11" t="str">
        <f>IFERROR(VLOOKUP(L195,Backtest!C:D,2,FALSE)/VLOOKUP(K195,Backtest!C:D,2,FALSE)-1,"")</f>
        <v/>
      </c>
    </row>
    <row r="196" spans="1:14" x14ac:dyDescent="0.3">
      <c r="A196" s="9">
        <v>194</v>
      </c>
      <c r="B196" s="10" t="str">
        <f>IFERROR(INDEX(Backtest!C:C,MATCH(Trades!A196,Backtest!K:K,0)),"")</f>
        <v/>
      </c>
      <c r="C196" s="10" t="str">
        <f>IFERROR(INDEX(Backtest!C:C,MATCH(Trades!A196,Backtest!L:L,0)),IF(ISNUMBER(B196),Backtest!$C$2519,""))</f>
        <v/>
      </c>
      <c r="D196" s="1" t="str">
        <f t="shared" ref="D196:D259" si="6">IF(ISNUMBER(B196),NETWORKDAYS(B196,C196),"")</f>
        <v/>
      </c>
      <c r="E196" s="11" t="str">
        <f>IFERROR(VLOOKUP(C196,Backtest!C:D,2,FALSE)/VLOOKUP(B196,Backtest!C:D,2,FALSE)-1,"")</f>
        <v/>
      </c>
      <c r="J196" s="9">
        <v>194</v>
      </c>
      <c r="K196" s="10" t="str">
        <f>IFERROR(INDEX(Backtest!C:C,MATCH(Trades!A196,Backtest!M:M,0)),"")</f>
        <v/>
      </c>
      <c r="L196" s="10" t="str">
        <f>IFERROR(INDEX(Backtest!C:C,MATCH(Trades!A196,Backtest!N:N,0)),IF(ISNUMBER(K196),Backtest!$C$2519,""))</f>
        <v/>
      </c>
      <c r="M196" s="1" t="str">
        <f t="shared" ref="M196:M259" si="7">IF(ISNUMBER(K196),NETWORKDAYS(K196,L196),"")</f>
        <v/>
      </c>
      <c r="N196" s="11" t="str">
        <f>IFERROR(VLOOKUP(L196,Backtest!C:D,2,FALSE)/VLOOKUP(K196,Backtest!C:D,2,FALSE)-1,"")</f>
        <v/>
      </c>
    </row>
    <row r="197" spans="1:14" x14ac:dyDescent="0.3">
      <c r="A197" s="9">
        <v>195</v>
      </c>
      <c r="B197" s="10" t="str">
        <f>IFERROR(INDEX(Backtest!C:C,MATCH(Trades!A197,Backtest!K:K,0)),"")</f>
        <v/>
      </c>
      <c r="C197" s="10" t="str">
        <f>IFERROR(INDEX(Backtest!C:C,MATCH(Trades!A197,Backtest!L:L,0)),IF(ISNUMBER(B197),Backtest!$C$2519,""))</f>
        <v/>
      </c>
      <c r="D197" s="1" t="str">
        <f t="shared" si="6"/>
        <v/>
      </c>
      <c r="E197" s="11" t="str">
        <f>IFERROR(VLOOKUP(C197,Backtest!C:D,2,FALSE)/VLOOKUP(B197,Backtest!C:D,2,FALSE)-1,"")</f>
        <v/>
      </c>
      <c r="J197" s="9">
        <v>195</v>
      </c>
      <c r="K197" s="10" t="str">
        <f>IFERROR(INDEX(Backtest!C:C,MATCH(Trades!A197,Backtest!M:M,0)),"")</f>
        <v/>
      </c>
      <c r="L197" s="10" t="str">
        <f>IFERROR(INDEX(Backtest!C:C,MATCH(Trades!A197,Backtest!N:N,0)),IF(ISNUMBER(K197),Backtest!$C$2519,""))</f>
        <v/>
      </c>
      <c r="M197" s="1" t="str">
        <f t="shared" si="7"/>
        <v/>
      </c>
      <c r="N197" s="11" t="str">
        <f>IFERROR(VLOOKUP(L197,Backtest!C:D,2,FALSE)/VLOOKUP(K197,Backtest!C:D,2,FALSE)-1,"")</f>
        <v/>
      </c>
    </row>
    <row r="198" spans="1:14" x14ac:dyDescent="0.3">
      <c r="A198" s="9">
        <v>196</v>
      </c>
      <c r="B198" s="10" t="str">
        <f>IFERROR(INDEX(Backtest!C:C,MATCH(Trades!A198,Backtest!K:K,0)),"")</f>
        <v/>
      </c>
      <c r="C198" s="10" t="str">
        <f>IFERROR(INDEX(Backtest!C:C,MATCH(Trades!A198,Backtest!L:L,0)),IF(ISNUMBER(B198),Backtest!$C$2519,""))</f>
        <v/>
      </c>
      <c r="D198" s="1" t="str">
        <f t="shared" si="6"/>
        <v/>
      </c>
      <c r="E198" s="11" t="str">
        <f>IFERROR(VLOOKUP(C198,Backtest!C:D,2,FALSE)/VLOOKUP(B198,Backtest!C:D,2,FALSE)-1,"")</f>
        <v/>
      </c>
      <c r="J198" s="9">
        <v>196</v>
      </c>
      <c r="K198" s="10" t="str">
        <f>IFERROR(INDEX(Backtest!C:C,MATCH(Trades!A198,Backtest!M:M,0)),"")</f>
        <v/>
      </c>
      <c r="L198" s="10" t="str">
        <f>IFERROR(INDEX(Backtest!C:C,MATCH(Trades!A198,Backtest!N:N,0)),IF(ISNUMBER(K198),Backtest!$C$2519,""))</f>
        <v/>
      </c>
      <c r="M198" s="1" t="str">
        <f t="shared" si="7"/>
        <v/>
      </c>
      <c r="N198" s="11" t="str">
        <f>IFERROR(VLOOKUP(L198,Backtest!C:D,2,FALSE)/VLOOKUP(K198,Backtest!C:D,2,FALSE)-1,"")</f>
        <v/>
      </c>
    </row>
    <row r="199" spans="1:14" x14ac:dyDescent="0.3">
      <c r="A199" s="9">
        <v>197</v>
      </c>
      <c r="B199" s="10" t="str">
        <f>IFERROR(INDEX(Backtest!C:C,MATCH(Trades!A199,Backtest!K:K,0)),"")</f>
        <v/>
      </c>
      <c r="C199" s="10" t="str">
        <f>IFERROR(INDEX(Backtest!C:C,MATCH(Trades!A199,Backtest!L:L,0)),IF(ISNUMBER(B199),Backtest!$C$2519,""))</f>
        <v/>
      </c>
      <c r="D199" s="1" t="str">
        <f t="shared" si="6"/>
        <v/>
      </c>
      <c r="E199" s="11" t="str">
        <f>IFERROR(VLOOKUP(C199,Backtest!C:D,2,FALSE)/VLOOKUP(B199,Backtest!C:D,2,FALSE)-1,"")</f>
        <v/>
      </c>
      <c r="J199" s="9">
        <v>197</v>
      </c>
      <c r="K199" s="10" t="str">
        <f>IFERROR(INDEX(Backtest!C:C,MATCH(Trades!A199,Backtest!M:M,0)),"")</f>
        <v/>
      </c>
      <c r="L199" s="10" t="str">
        <f>IFERROR(INDEX(Backtest!C:C,MATCH(Trades!A199,Backtest!N:N,0)),IF(ISNUMBER(K199),Backtest!$C$2519,""))</f>
        <v/>
      </c>
      <c r="M199" s="1" t="str">
        <f t="shared" si="7"/>
        <v/>
      </c>
      <c r="N199" s="11" t="str">
        <f>IFERROR(VLOOKUP(L199,Backtest!C:D,2,FALSE)/VLOOKUP(K199,Backtest!C:D,2,FALSE)-1,"")</f>
        <v/>
      </c>
    </row>
    <row r="200" spans="1:14" x14ac:dyDescent="0.3">
      <c r="A200" s="9">
        <v>198</v>
      </c>
      <c r="B200" s="10" t="str">
        <f>IFERROR(INDEX(Backtest!C:C,MATCH(Trades!A200,Backtest!K:K,0)),"")</f>
        <v/>
      </c>
      <c r="C200" s="10" t="str">
        <f>IFERROR(INDEX(Backtest!C:C,MATCH(Trades!A200,Backtest!L:L,0)),IF(ISNUMBER(B200),Backtest!$C$2519,""))</f>
        <v/>
      </c>
      <c r="D200" s="1" t="str">
        <f t="shared" si="6"/>
        <v/>
      </c>
      <c r="E200" s="11" t="str">
        <f>IFERROR(VLOOKUP(C200,Backtest!C:D,2,FALSE)/VLOOKUP(B200,Backtest!C:D,2,FALSE)-1,"")</f>
        <v/>
      </c>
      <c r="J200" s="9">
        <v>198</v>
      </c>
      <c r="K200" s="10" t="str">
        <f>IFERROR(INDEX(Backtest!C:C,MATCH(Trades!A200,Backtest!M:M,0)),"")</f>
        <v/>
      </c>
      <c r="L200" s="10" t="str">
        <f>IFERROR(INDEX(Backtest!C:C,MATCH(Trades!A200,Backtest!N:N,0)),IF(ISNUMBER(K200),Backtest!$C$2519,""))</f>
        <v/>
      </c>
      <c r="M200" s="1" t="str">
        <f t="shared" si="7"/>
        <v/>
      </c>
      <c r="N200" s="11" t="str">
        <f>IFERROR(VLOOKUP(L200,Backtest!C:D,2,FALSE)/VLOOKUP(K200,Backtest!C:D,2,FALSE)-1,"")</f>
        <v/>
      </c>
    </row>
    <row r="201" spans="1:14" x14ac:dyDescent="0.3">
      <c r="A201" s="9">
        <v>199</v>
      </c>
      <c r="B201" s="10" t="str">
        <f>IFERROR(INDEX(Backtest!C:C,MATCH(Trades!A201,Backtest!K:K,0)),"")</f>
        <v/>
      </c>
      <c r="C201" s="10" t="str">
        <f>IFERROR(INDEX(Backtest!C:C,MATCH(Trades!A201,Backtest!L:L,0)),IF(ISNUMBER(B201),Backtest!$C$2519,""))</f>
        <v/>
      </c>
      <c r="D201" s="1" t="str">
        <f t="shared" si="6"/>
        <v/>
      </c>
      <c r="E201" s="11" t="str">
        <f>IFERROR(VLOOKUP(C201,Backtest!C:D,2,FALSE)/VLOOKUP(B201,Backtest!C:D,2,FALSE)-1,"")</f>
        <v/>
      </c>
      <c r="J201" s="9">
        <v>199</v>
      </c>
      <c r="K201" s="10" t="str">
        <f>IFERROR(INDEX(Backtest!C:C,MATCH(Trades!A201,Backtest!M:M,0)),"")</f>
        <v/>
      </c>
      <c r="L201" s="10" t="str">
        <f>IFERROR(INDEX(Backtest!C:C,MATCH(Trades!A201,Backtest!N:N,0)),IF(ISNUMBER(K201),Backtest!$C$2519,""))</f>
        <v/>
      </c>
      <c r="M201" s="1" t="str">
        <f t="shared" si="7"/>
        <v/>
      </c>
      <c r="N201" s="11" t="str">
        <f>IFERROR(VLOOKUP(L201,Backtest!C:D,2,FALSE)/VLOOKUP(K201,Backtest!C:D,2,FALSE)-1,"")</f>
        <v/>
      </c>
    </row>
    <row r="202" spans="1:14" x14ac:dyDescent="0.3">
      <c r="A202" s="9">
        <v>200</v>
      </c>
      <c r="B202" s="10" t="str">
        <f>IFERROR(INDEX(Backtest!C:C,MATCH(Trades!A202,Backtest!K:K,0)),"")</f>
        <v/>
      </c>
      <c r="C202" s="10" t="str">
        <f>IFERROR(INDEX(Backtest!C:C,MATCH(Trades!A202,Backtest!L:L,0)),IF(ISNUMBER(B202),Backtest!$C$2519,""))</f>
        <v/>
      </c>
      <c r="D202" s="1" t="str">
        <f t="shared" si="6"/>
        <v/>
      </c>
      <c r="E202" s="11" t="str">
        <f>IFERROR(VLOOKUP(C202,Backtest!C:D,2,FALSE)/VLOOKUP(B202,Backtest!C:D,2,FALSE)-1,"")</f>
        <v/>
      </c>
      <c r="J202" s="9">
        <v>200</v>
      </c>
      <c r="K202" s="10" t="str">
        <f>IFERROR(INDEX(Backtest!C:C,MATCH(Trades!A202,Backtest!M:M,0)),"")</f>
        <v/>
      </c>
      <c r="L202" s="10" t="str">
        <f>IFERROR(INDEX(Backtest!C:C,MATCH(Trades!A202,Backtest!N:N,0)),IF(ISNUMBER(K202),Backtest!$C$2519,""))</f>
        <v/>
      </c>
      <c r="M202" s="1" t="str">
        <f t="shared" si="7"/>
        <v/>
      </c>
      <c r="N202" s="11" t="str">
        <f>IFERROR(VLOOKUP(L202,Backtest!C:D,2,FALSE)/VLOOKUP(K202,Backtest!C:D,2,FALSE)-1,"")</f>
        <v/>
      </c>
    </row>
    <row r="203" spans="1:14" x14ac:dyDescent="0.3">
      <c r="A203" s="9">
        <v>201</v>
      </c>
      <c r="B203" s="10" t="str">
        <f>IFERROR(INDEX(Backtest!C:C,MATCH(Trades!A203,Backtest!K:K,0)),"")</f>
        <v/>
      </c>
      <c r="C203" s="10" t="str">
        <f>IFERROR(INDEX(Backtest!C:C,MATCH(Trades!A203,Backtest!L:L,0)),IF(ISNUMBER(B203),Backtest!$C$2519,""))</f>
        <v/>
      </c>
      <c r="D203" s="1" t="str">
        <f t="shared" si="6"/>
        <v/>
      </c>
      <c r="E203" s="11" t="str">
        <f>IFERROR(VLOOKUP(C203,Backtest!C:D,2,FALSE)/VLOOKUP(B203,Backtest!C:D,2,FALSE)-1,"")</f>
        <v/>
      </c>
      <c r="J203" s="9">
        <v>201</v>
      </c>
      <c r="K203" s="10" t="str">
        <f>IFERROR(INDEX(Backtest!C:C,MATCH(Trades!A203,Backtest!M:M,0)),"")</f>
        <v/>
      </c>
      <c r="L203" s="10" t="str">
        <f>IFERROR(INDEX(Backtest!C:C,MATCH(Trades!A203,Backtest!N:N,0)),IF(ISNUMBER(K203),Backtest!$C$2519,""))</f>
        <v/>
      </c>
      <c r="M203" s="1" t="str">
        <f t="shared" si="7"/>
        <v/>
      </c>
      <c r="N203" s="11" t="str">
        <f>IFERROR(VLOOKUP(L203,Backtest!C:D,2,FALSE)/VLOOKUP(K203,Backtest!C:D,2,FALSE)-1,"")</f>
        <v/>
      </c>
    </row>
    <row r="204" spans="1:14" x14ac:dyDescent="0.3">
      <c r="A204" s="9">
        <v>202</v>
      </c>
      <c r="B204" s="10" t="str">
        <f>IFERROR(INDEX(Backtest!C:C,MATCH(Trades!A204,Backtest!K:K,0)),"")</f>
        <v/>
      </c>
      <c r="C204" s="10" t="str">
        <f>IFERROR(INDEX(Backtest!C:C,MATCH(Trades!A204,Backtest!L:L,0)),IF(ISNUMBER(B204),Backtest!$C$2519,""))</f>
        <v/>
      </c>
      <c r="D204" s="1" t="str">
        <f t="shared" si="6"/>
        <v/>
      </c>
      <c r="E204" s="11" t="str">
        <f>IFERROR(VLOOKUP(C204,Backtest!C:D,2,FALSE)/VLOOKUP(B204,Backtest!C:D,2,FALSE)-1,"")</f>
        <v/>
      </c>
      <c r="J204" s="9">
        <v>202</v>
      </c>
      <c r="K204" s="10" t="str">
        <f>IFERROR(INDEX(Backtest!C:C,MATCH(Trades!A204,Backtest!M:M,0)),"")</f>
        <v/>
      </c>
      <c r="L204" s="10" t="str">
        <f>IFERROR(INDEX(Backtest!C:C,MATCH(Trades!A204,Backtest!N:N,0)),IF(ISNUMBER(K204),Backtest!$C$2519,""))</f>
        <v/>
      </c>
      <c r="M204" s="1" t="str">
        <f t="shared" si="7"/>
        <v/>
      </c>
      <c r="N204" s="11" t="str">
        <f>IFERROR(VLOOKUP(L204,Backtest!C:D,2,FALSE)/VLOOKUP(K204,Backtest!C:D,2,FALSE)-1,"")</f>
        <v/>
      </c>
    </row>
    <row r="205" spans="1:14" x14ac:dyDescent="0.3">
      <c r="A205" s="9">
        <v>203</v>
      </c>
      <c r="B205" s="10" t="str">
        <f>IFERROR(INDEX(Backtest!C:C,MATCH(Trades!A205,Backtest!K:K,0)),"")</f>
        <v/>
      </c>
      <c r="C205" s="10" t="str">
        <f>IFERROR(INDEX(Backtest!C:C,MATCH(Trades!A205,Backtest!L:L,0)),IF(ISNUMBER(B205),Backtest!$C$2519,""))</f>
        <v/>
      </c>
      <c r="D205" s="1" t="str">
        <f t="shared" si="6"/>
        <v/>
      </c>
      <c r="E205" s="11" t="str">
        <f>IFERROR(VLOOKUP(C205,Backtest!C:D,2,FALSE)/VLOOKUP(B205,Backtest!C:D,2,FALSE)-1,"")</f>
        <v/>
      </c>
      <c r="J205" s="9">
        <v>203</v>
      </c>
      <c r="K205" s="10" t="str">
        <f>IFERROR(INDEX(Backtest!C:C,MATCH(Trades!A205,Backtest!M:M,0)),"")</f>
        <v/>
      </c>
      <c r="L205" s="10" t="str">
        <f>IFERROR(INDEX(Backtest!C:C,MATCH(Trades!A205,Backtest!N:N,0)),IF(ISNUMBER(K205),Backtest!$C$2519,""))</f>
        <v/>
      </c>
      <c r="M205" s="1" t="str">
        <f t="shared" si="7"/>
        <v/>
      </c>
      <c r="N205" s="11" t="str">
        <f>IFERROR(VLOOKUP(L205,Backtest!C:D,2,FALSE)/VLOOKUP(K205,Backtest!C:D,2,FALSE)-1,"")</f>
        <v/>
      </c>
    </row>
    <row r="206" spans="1:14" x14ac:dyDescent="0.3">
      <c r="A206" s="9">
        <v>204</v>
      </c>
      <c r="B206" s="10" t="str">
        <f>IFERROR(INDEX(Backtest!C:C,MATCH(Trades!A206,Backtest!K:K,0)),"")</f>
        <v/>
      </c>
      <c r="C206" s="10" t="str">
        <f>IFERROR(INDEX(Backtest!C:C,MATCH(Trades!A206,Backtest!L:L,0)),IF(ISNUMBER(B206),Backtest!$C$2519,""))</f>
        <v/>
      </c>
      <c r="D206" s="1" t="str">
        <f t="shared" si="6"/>
        <v/>
      </c>
      <c r="E206" s="11" t="str">
        <f>IFERROR(VLOOKUP(C206,Backtest!C:D,2,FALSE)/VLOOKUP(B206,Backtest!C:D,2,FALSE)-1,"")</f>
        <v/>
      </c>
      <c r="J206" s="9">
        <v>204</v>
      </c>
      <c r="K206" s="10" t="str">
        <f>IFERROR(INDEX(Backtest!C:C,MATCH(Trades!A206,Backtest!M:M,0)),"")</f>
        <v/>
      </c>
      <c r="L206" s="10" t="str">
        <f>IFERROR(INDEX(Backtest!C:C,MATCH(Trades!A206,Backtest!N:N,0)),IF(ISNUMBER(K206),Backtest!$C$2519,""))</f>
        <v/>
      </c>
      <c r="M206" s="1" t="str">
        <f t="shared" si="7"/>
        <v/>
      </c>
      <c r="N206" s="11" t="str">
        <f>IFERROR(VLOOKUP(L206,Backtest!C:D,2,FALSE)/VLOOKUP(K206,Backtest!C:D,2,FALSE)-1,"")</f>
        <v/>
      </c>
    </row>
    <row r="207" spans="1:14" x14ac:dyDescent="0.3">
      <c r="A207" s="9">
        <v>205</v>
      </c>
      <c r="B207" s="10" t="str">
        <f>IFERROR(INDEX(Backtest!C:C,MATCH(Trades!A207,Backtest!K:K,0)),"")</f>
        <v/>
      </c>
      <c r="C207" s="10" t="str">
        <f>IFERROR(INDEX(Backtest!C:C,MATCH(Trades!A207,Backtest!L:L,0)),IF(ISNUMBER(B207),Backtest!$C$2519,""))</f>
        <v/>
      </c>
      <c r="D207" s="1" t="str">
        <f t="shared" si="6"/>
        <v/>
      </c>
      <c r="E207" s="11" t="str">
        <f>IFERROR(VLOOKUP(C207,Backtest!C:D,2,FALSE)/VLOOKUP(B207,Backtest!C:D,2,FALSE)-1,"")</f>
        <v/>
      </c>
      <c r="J207" s="9">
        <v>205</v>
      </c>
      <c r="K207" s="10" t="str">
        <f>IFERROR(INDEX(Backtest!C:C,MATCH(Trades!A207,Backtest!M:M,0)),"")</f>
        <v/>
      </c>
      <c r="L207" s="10" t="str">
        <f>IFERROR(INDEX(Backtest!C:C,MATCH(Trades!A207,Backtest!N:N,0)),IF(ISNUMBER(K207),Backtest!$C$2519,""))</f>
        <v/>
      </c>
      <c r="M207" s="1" t="str">
        <f t="shared" si="7"/>
        <v/>
      </c>
      <c r="N207" s="11" t="str">
        <f>IFERROR(VLOOKUP(L207,Backtest!C:D,2,FALSE)/VLOOKUP(K207,Backtest!C:D,2,FALSE)-1,"")</f>
        <v/>
      </c>
    </row>
    <row r="208" spans="1:14" x14ac:dyDescent="0.3">
      <c r="A208" s="9">
        <v>206</v>
      </c>
      <c r="B208" s="10" t="str">
        <f>IFERROR(INDEX(Backtest!C:C,MATCH(Trades!A208,Backtest!K:K,0)),"")</f>
        <v/>
      </c>
      <c r="C208" s="10" t="str">
        <f>IFERROR(INDEX(Backtest!C:C,MATCH(Trades!A208,Backtest!L:L,0)),IF(ISNUMBER(B208),Backtest!$C$2519,""))</f>
        <v/>
      </c>
      <c r="D208" s="1" t="str">
        <f t="shared" si="6"/>
        <v/>
      </c>
      <c r="E208" s="11" t="str">
        <f>IFERROR(VLOOKUP(C208,Backtest!C:D,2,FALSE)/VLOOKUP(B208,Backtest!C:D,2,FALSE)-1,"")</f>
        <v/>
      </c>
      <c r="J208" s="9">
        <v>206</v>
      </c>
      <c r="K208" s="10" t="str">
        <f>IFERROR(INDEX(Backtest!C:C,MATCH(Trades!A208,Backtest!M:M,0)),"")</f>
        <v/>
      </c>
      <c r="L208" s="10" t="str">
        <f>IFERROR(INDEX(Backtest!C:C,MATCH(Trades!A208,Backtest!N:N,0)),IF(ISNUMBER(K208),Backtest!$C$2519,""))</f>
        <v/>
      </c>
      <c r="M208" s="1" t="str">
        <f t="shared" si="7"/>
        <v/>
      </c>
      <c r="N208" s="11" t="str">
        <f>IFERROR(VLOOKUP(L208,Backtest!C:D,2,FALSE)/VLOOKUP(K208,Backtest!C:D,2,FALSE)-1,"")</f>
        <v/>
      </c>
    </row>
    <row r="209" spans="1:14" x14ac:dyDescent="0.3">
      <c r="A209" s="9">
        <v>207</v>
      </c>
      <c r="B209" s="10" t="str">
        <f>IFERROR(INDEX(Backtest!C:C,MATCH(Trades!A209,Backtest!K:K,0)),"")</f>
        <v/>
      </c>
      <c r="C209" s="10" t="str">
        <f>IFERROR(INDEX(Backtest!C:C,MATCH(Trades!A209,Backtest!L:L,0)),IF(ISNUMBER(B209),Backtest!$C$2519,""))</f>
        <v/>
      </c>
      <c r="D209" s="1" t="str">
        <f t="shared" si="6"/>
        <v/>
      </c>
      <c r="E209" s="11" t="str">
        <f>IFERROR(VLOOKUP(C209,Backtest!C:D,2,FALSE)/VLOOKUP(B209,Backtest!C:D,2,FALSE)-1,"")</f>
        <v/>
      </c>
      <c r="J209" s="9">
        <v>207</v>
      </c>
      <c r="K209" s="10" t="str">
        <f>IFERROR(INDEX(Backtest!C:C,MATCH(Trades!A209,Backtest!M:M,0)),"")</f>
        <v/>
      </c>
      <c r="L209" s="10" t="str">
        <f>IFERROR(INDEX(Backtest!C:C,MATCH(Trades!A209,Backtest!N:N,0)),IF(ISNUMBER(K209),Backtest!$C$2519,""))</f>
        <v/>
      </c>
      <c r="M209" s="1" t="str">
        <f t="shared" si="7"/>
        <v/>
      </c>
      <c r="N209" s="11" t="str">
        <f>IFERROR(VLOOKUP(L209,Backtest!C:D,2,FALSE)/VLOOKUP(K209,Backtest!C:D,2,FALSE)-1,"")</f>
        <v/>
      </c>
    </row>
    <row r="210" spans="1:14" x14ac:dyDescent="0.3">
      <c r="A210" s="9">
        <v>208</v>
      </c>
      <c r="B210" s="10" t="str">
        <f>IFERROR(INDEX(Backtest!C:C,MATCH(Trades!A210,Backtest!K:K,0)),"")</f>
        <v/>
      </c>
      <c r="C210" s="10" t="str">
        <f>IFERROR(INDEX(Backtest!C:C,MATCH(Trades!A210,Backtest!L:L,0)),IF(ISNUMBER(B210),Backtest!$C$2519,""))</f>
        <v/>
      </c>
      <c r="D210" s="1" t="str">
        <f t="shared" si="6"/>
        <v/>
      </c>
      <c r="E210" s="11" t="str">
        <f>IFERROR(VLOOKUP(C210,Backtest!C:D,2,FALSE)/VLOOKUP(B210,Backtest!C:D,2,FALSE)-1,"")</f>
        <v/>
      </c>
      <c r="J210" s="9">
        <v>208</v>
      </c>
      <c r="K210" s="10" t="str">
        <f>IFERROR(INDEX(Backtest!C:C,MATCH(Trades!A210,Backtest!M:M,0)),"")</f>
        <v/>
      </c>
      <c r="L210" s="10" t="str">
        <f>IFERROR(INDEX(Backtest!C:C,MATCH(Trades!A210,Backtest!N:N,0)),IF(ISNUMBER(K210),Backtest!$C$2519,""))</f>
        <v/>
      </c>
      <c r="M210" s="1" t="str">
        <f t="shared" si="7"/>
        <v/>
      </c>
      <c r="N210" s="11" t="str">
        <f>IFERROR(VLOOKUP(L210,Backtest!C:D,2,FALSE)/VLOOKUP(K210,Backtest!C:D,2,FALSE)-1,"")</f>
        <v/>
      </c>
    </row>
    <row r="211" spans="1:14" x14ac:dyDescent="0.3">
      <c r="A211" s="9">
        <v>209</v>
      </c>
      <c r="B211" s="10" t="str">
        <f>IFERROR(INDEX(Backtest!C:C,MATCH(Trades!A211,Backtest!K:K,0)),"")</f>
        <v/>
      </c>
      <c r="C211" s="10" t="str">
        <f>IFERROR(INDEX(Backtest!C:C,MATCH(Trades!A211,Backtest!L:L,0)),IF(ISNUMBER(B211),Backtest!$C$2519,""))</f>
        <v/>
      </c>
      <c r="D211" s="1" t="str">
        <f t="shared" si="6"/>
        <v/>
      </c>
      <c r="E211" s="11" t="str">
        <f>IFERROR(VLOOKUP(C211,Backtest!C:D,2,FALSE)/VLOOKUP(B211,Backtest!C:D,2,FALSE)-1,"")</f>
        <v/>
      </c>
      <c r="J211" s="9">
        <v>209</v>
      </c>
      <c r="K211" s="10" t="str">
        <f>IFERROR(INDEX(Backtest!C:C,MATCH(Trades!A211,Backtest!M:M,0)),"")</f>
        <v/>
      </c>
      <c r="L211" s="10" t="str">
        <f>IFERROR(INDEX(Backtest!C:C,MATCH(Trades!A211,Backtest!N:N,0)),IF(ISNUMBER(K211),Backtest!$C$2519,""))</f>
        <v/>
      </c>
      <c r="M211" s="1" t="str">
        <f t="shared" si="7"/>
        <v/>
      </c>
      <c r="N211" s="11" t="str">
        <f>IFERROR(VLOOKUP(L211,Backtest!C:D,2,FALSE)/VLOOKUP(K211,Backtest!C:D,2,FALSE)-1,"")</f>
        <v/>
      </c>
    </row>
    <row r="212" spans="1:14" x14ac:dyDescent="0.3">
      <c r="A212" s="9">
        <v>210</v>
      </c>
      <c r="B212" s="10" t="str">
        <f>IFERROR(INDEX(Backtest!C:C,MATCH(Trades!A212,Backtest!K:K,0)),"")</f>
        <v/>
      </c>
      <c r="C212" s="10" t="str">
        <f>IFERROR(INDEX(Backtest!C:C,MATCH(Trades!A212,Backtest!L:L,0)),IF(ISNUMBER(B212),Backtest!$C$2519,""))</f>
        <v/>
      </c>
      <c r="D212" s="1" t="str">
        <f t="shared" si="6"/>
        <v/>
      </c>
      <c r="E212" s="11" t="str">
        <f>IFERROR(VLOOKUP(C212,Backtest!C:D,2,FALSE)/VLOOKUP(B212,Backtest!C:D,2,FALSE)-1,"")</f>
        <v/>
      </c>
      <c r="J212" s="9">
        <v>210</v>
      </c>
      <c r="K212" s="10" t="str">
        <f>IFERROR(INDEX(Backtest!C:C,MATCH(Trades!A212,Backtest!M:M,0)),"")</f>
        <v/>
      </c>
      <c r="L212" s="10" t="str">
        <f>IFERROR(INDEX(Backtest!C:C,MATCH(Trades!A212,Backtest!N:N,0)),IF(ISNUMBER(K212),Backtest!$C$2519,""))</f>
        <v/>
      </c>
      <c r="M212" s="1" t="str">
        <f t="shared" si="7"/>
        <v/>
      </c>
      <c r="N212" s="11" t="str">
        <f>IFERROR(VLOOKUP(L212,Backtest!C:D,2,FALSE)/VLOOKUP(K212,Backtest!C:D,2,FALSE)-1,"")</f>
        <v/>
      </c>
    </row>
    <row r="213" spans="1:14" x14ac:dyDescent="0.3">
      <c r="A213" s="9">
        <v>211</v>
      </c>
      <c r="B213" s="10" t="str">
        <f>IFERROR(INDEX(Backtest!C:C,MATCH(Trades!A213,Backtest!K:K,0)),"")</f>
        <v/>
      </c>
      <c r="C213" s="10" t="str">
        <f>IFERROR(INDEX(Backtest!C:C,MATCH(Trades!A213,Backtest!L:L,0)),IF(ISNUMBER(B213),Backtest!$C$2519,""))</f>
        <v/>
      </c>
      <c r="D213" s="1" t="str">
        <f t="shared" si="6"/>
        <v/>
      </c>
      <c r="E213" s="11" t="str">
        <f>IFERROR(VLOOKUP(C213,Backtest!C:D,2,FALSE)/VLOOKUP(B213,Backtest!C:D,2,FALSE)-1,"")</f>
        <v/>
      </c>
      <c r="J213" s="9">
        <v>211</v>
      </c>
      <c r="K213" s="10" t="str">
        <f>IFERROR(INDEX(Backtest!C:C,MATCH(Trades!A213,Backtest!M:M,0)),"")</f>
        <v/>
      </c>
      <c r="L213" s="10" t="str">
        <f>IFERROR(INDEX(Backtest!C:C,MATCH(Trades!A213,Backtest!N:N,0)),IF(ISNUMBER(K213),Backtest!$C$2519,""))</f>
        <v/>
      </c>
      <c r="M213" s="1" t="str">
        <f t="shared" si="7"/>
        <v/>
      </c>
      <c r="N213" s="11" t="str">
        <f>IFERROR(VLOOKUP(L213,Backtest!C:D,2,FALSE)/VLOOKUP(K213,Backtest!C:D,2,FALSE)-1,"")</f>
        <v/>
      </c>
    </row>
    <row r="214" spans="1:14" x14ac:dyDescent="0.3">
      <c r="A214" s="9">
        <v>212</v>
      </c>
      <c r="B214" s="10" t="str">
        <f>IFERROR(INDEX(Backtest!C:C,MATCH(Trades!A214,Backtest!K:K,0)),"")</f>
        <v/>
      </c>
      <c r="C214" s="10" t="str">
        <f>IFERROR(INDEX(Backtest!C:C,MATCH(Trades!A214,Backtest!L:L,0)),IF(ISNUMBER(B214),Backtest!$C$2519,""))</f>
        <v/>
      </c>
      <c r="D214" s="1" t="str">
        <f t="shared" si="6"/>
        <v/>
      </c>
      <c r="E214" s="11" t="str">
        <f>IFERROR(VLOOKUP(C214,Backtest!C:D,2,FALSE)/VLOOKUP(B214,Backtest!C:D,2,FALSE)-1,"")</f>
        <v/>
      </c>
      <c r="J214" s="9">
        <v>212</v>
      </c>
      <c r="K214" s="10" t="str">
        <f>IFERROR(INDEX(Backtest!C:C,MATCH(Trades!A214,Backtest!M:M,0)),"")</f>
        <v/>
      </c>
      <c r="L214" s="10" t="str">
        <f>IFERROR(INDEX(Backtest!C:C,MATCH(Trades!A214,Backtest!N:N,0)),IF(ISNUMBER(K214),Backtest!$C$2519,""))</f>
        <v/>
      </c>
      <c r="M214" s="1" t="str">
        <f t="shared" si="7"/>
        <v/>
      </c>
      <c r="N214" s="11" t="str">
        <f>IFERROR(VLOOKUP(L214,Backtest!C:D,2,FALSE)/VLOOKUP(K214,Backtest!C:D,2,FALSE)-1,"")</f>
        <v/>
      </c>
    </row>
    <row r="215" spans="1:14" x14ac:dyDescent="0.3">
      <c r="A215" s="9">
        <v>213</v>
      </c>
      <c r="B215" s="10" t="str">
        <f>IFERROR(INDEX(Backtest!C:C,MATCH(Trades!A215,Backtest!K:K,0)),"")</f>
        <v/>
      </c>
      <c r="C215" s="10" t="str">
        <f>IFERROR(INDEX(Backtest!C:C,MATCH(Trades!A215,Backtest!L:L,0)),IF(ISNUMBER(B215),Backtest!$C$2519,""))</f>
        <v/>
      </c>
      <c r="D215" s="1" t="str">
        <f t="shared" si="6"/>
        <v/>
      </c>
      <c r="E215" s="11" t="str">
        <f>IFERROR(VLOOKUP(C215,Backtest!C:D,2,FALSE)/VLOOKUP(B215,Backtest!C:D,2,FALSE)-1,"")</f>
        <v/>
      </c>
      <c r="J215" s="9">
        <v>213</v>
      </c>
      <c r="K215" s="10" t="str">
        <f>IFERROR(INDEX(Backtest!C:C,MATCH(Trades!A215,Backtest!M:M,0)),"")</f>
        <v/>
      </c>
      <c r="L215" s="10" t="str">
        <f>IFERROR(INDEX(Backtest!C:C,MATCH(Trades!A215,Backtest!N:N,0)),IF(ISNUMBER(K215),Backtest!$C$2519,""))</f>
        <v/>
      </c>
      <c r="M215" s="1" t="str">
        <f t="shared" si="7"/>
        <v/>
      </c>
      <c r="N215" s="11" t="str">
        <f>IFERROR(VLOOKUP(L215,Backtest!C:D,2,FALSE)/VLOOKUP(K215,Backtest!C:D,2,FALSE)-1,"")</f>
        <v/>
      </c>
    </row>
    <row r="216" spans="1:14" x14ac:dyDescent="0.3">
      <c r="A216" s="9">
        <v>214</v>
      </c>
      <c r="B216" s="10" t="str">
        <f>IFERROR(INDEX(Backtest!C:C,MATCH(Trades!A216,Backtest!K:K,0)),"")</f>
        <v/>
      </c>
      <c r="C216" s="10" t="str">
        <f>IFERROR(INDEX(Backtest!C:C,MATCH(Trades!A216,Backtest!L:L,0)),IF(ISNUMBER(B216),Backtest!$C$2519,""))</f>
        <v/>
      </c>
      <c r="D216" s="1" t="str">
        <f t="shared" si="6"/>
        <v/>
      </c>
      <c r="E216" s="11" t="str">
        <f>IFERROR(VLOOKUP(C216,Backtest!C:D,2,FALSE)/VLOOKUP(B216,Backtest!C:D,2,FALSE)-1,"")</f>
        <v/>
      </c>
      <c r="J216" s="9">
        <v>214</v>
      </c>
      <c r="K216" s="10" t="str">
        <f>IFERROR(INDEX(Backtest!C:C,MATCH(Trades!A216,Backtest!M:M,0)),"")</f>
        <v/>
      </c>
      <c r="L216" s="10" t="str">
        <f>IFERROR(INDEX(Backtest!C:C,MATCH(Trades!A216,Backtest!N:N,0)),IF(ISNUMBER(K216),Backtest!$C$2519,""))</f>
        <v/>
      </c>
      <c r="M216" s="1" t="str">
        <f t="shared" si="7"/>
        <v/>
      </c>
      <c r="N216" s="11" t="str">
        <f>IFERROR(VLOOKUP(L216,Backtest!C:D,2,FALSE)/VLOOKUP(K216,Backtest!C:D,2,FALSE)-1,"")</f>
        <v/>
      </c>
    </row>
    <row r="217" spans="1:14" x14ac:dyDescent="0.3">
      <c r="A217" s="9">
        <v>215</v>
      </c>
      <c r="B217" s="10" t="str">
        <f>IFERROR(INDEX(Backtest!C:C,MATCH(Trades!A217,Backtest!K:K,0)),"")</f>
        <v/>
      </c>
      <c r="C217" s="10" t="str">
        <f>IFERROR(INDEX(Backtest!C:C,MATCH(Trades!A217,Backtest!L:L,0)),IF(ISNUMBER(B217),Backtest!$C$2519,""))</f>
        <v/>
      </c>
      <c r="D217" s="1" t="str">
        <f t="shared" si="6"/>
        <v/>
      </c>
      <c r="E217" s="11" t="str">
        <f>IFERROR(VLOOKUP(C217,Backtest!C:D,2,FALSE)/VLOOKUP(B217,Backtest!C:D,2,FALSE)-1,"")</f>
        <v/>
      </c>
      <c r="J217" s="9">
        <v>215</v>
      </c>
      <c r="K217" s="10" t="str">
        <f>IFERROR(INDEX(Backtest!C:C,MATCH(Trades!A217,Backtest!M:M,0)),"")</f>
        <v/>
      </c>
      <c r="L217" s="10" t="str">
        <f>IFERROR(INDEX(Backtest!C:C,MATCH(Trades!A217,Backtest!N:N,0)),IF(ISNUMBER(K217),Backtest!$C$2519,""))</f>
        <v/>
      </c>
      <c r="M217" s="1" t="str">
        <f t="shared" si="7"/>
        <v/>
      </c>
      <c r="N217" s="11" t="str">
        <f>IFERROR(VLOOKUP(L217,Backtest!C:D,2,FALSE)/VLOOKUP(K217,Backtest!C:D,2,FALSE)-1,"")</f>
        <v/>
      </c>
    </row>
    <row r="218" spans="1:14" x14ac:dyDescent="0.3">
      <c r="A218" s="9">
        <v>216</v>
      </c>
      <c r="B218" s="10" t="str">
        <f>IFERROR(INDEX(Backtest!C:C,MATCH(Trades!A218,Backtest!K:K,0)),"")</f>
        <v/>
      </c>
      <c r="C218" s="10" t="str">
        <f>IFERROR(INDEX(Backtest!C:C,MATCH(Trades!A218,Backtest!L:L,0)),IF(ISNUMBER(B218),Backtest!$C$2519,""))</f>
        <v/>
      </c>
      <c r="D218" s="1" t="str">
        <f t="shared" si="6"/>
        <v/>
      </c>
      <c r="E218" s="11" t="str">
        <f>IFERROR(VLOOKUP(C218,Backtest!C:D,2,FALSE)/VLOOKUP(B218,Backtest!C:D,2,FALSE)-1,"")</f>
        <v/>
      </c>
      <c r="J218" s="9">
        <v>216</v>
      </c>
      <c r="K218" s="10" t="str">
        <f>IFERROR(INDEX(Backtest!C:C,MATCH(Trades!A218,Backtest!M:M,0)),"")</f>
        <v/>
      </c>
      <c r="L218" s="10" t="str">
        <f>IFERROR(INDEX(Backtest!C:C,MATCH(Trades!A218,Backtest!N:N,0)),IF(ISNUMBER(K218),Backtest!$C$2519,""))</f>
        <v/>
      </c>
      <c r="M218" s="1" t="str">
        <f t="shared" si="7"/>
        <v/>
      </c>
      <c r="N218" s="11" t="str">
        <f>IFERROR(VLOOKUP(L218,Backtest!C:D,2,FALSE)/VLOOKUP(K218,Backtest!C:D,2,FALSE)-1,"")</f>
        <v/>
      </c>
    </row>
    <row r="219" spans="1:14" x14ac:dyDescent="0.3">
      <c r="A219" s="9">
        <v>217</v>
      </c>
      <c r="B219" s="10" t="str">
        <f>IFERROR(INDEX(Backtest!C:C,MATCH(Trades!A219,Backtest!K:K,0)),"")</f>
        <v/>
      </c>
      <c r="C219" s="10" t="str">
        <f>IFERROR(INDEX(Backtest!C:C,MATCH(Trades!A219,Backtest!L:L,0)),IF(ISNUMBER(B219),Backtest!$C$2519,""))</f>
        <v/>
      </c>
      <c r="D219" s="1" t="str">
        <f t="shared" si="6"/>
        <v/>
      </c>
      <c r="E219" s="11" t="str">
        <f>IFERROR(VLOOKUP(C219,Backtest!C:D,2,FALSE)/VLOOKUP(B219,Backtest!C:D,2,FALSE)-1,"")</f>
        <v/>
      </c>
      <c r="J219" s="9">
        <v>217</v>
      </c>
      <c r="K219" s="10" t="str">
        <f>IFERROR(INDEX(Backtest!C:C,MATCH(Trades!A219,Backtest!M:M,0)),"")</f>
        <v/>
      </c>
      <c r="L219" s="10" t="str">
        <f>IFERROR(INDEX(Backtest!C:C,MATCH(Trades!A219,Backtest!N:N,0)),IF(ISNUMBER(K219),Backtest!$C$2519,""))</f>
        <v/>
      </c>
      <c r="M219" s="1" t="str">
        <f t="shared" si="7"/>
        <v/>
      </c>
      <c r="N219" s="11" t="str">
        <f>IFERROR(VLOOKUP(L219,Backtest!C:D,2,FALSE)/VLOOKUP(K219,Backtest!C:D,2,FALSE)-1,"")</f>
        <v/>
      </c>
    </row>
    <row r="220" spans="1:14" x14ac:dyDescent="0.3">
      <c r="A220" s="9">
        <v>218</v>
      </c>
      <c r="B220" s="10" t="str">
        <f>IFERROR(INDEX(Backtest!C:C,MATCH(Trades!A220,Backtest!K:K,0)),"")</f>
        <v/>
      </c>
      <c r="C220" s="10" t="str">
        <f>IFERROR(INDEX(Backtest!C:C,MATCH(Trades!A220,Backtest!L:L,0)),IF(ISNUMBER(B220),Backtest!$C$2519,""))</f>
        <v/>
      </c>
      <c r="D220" s="1" t="str">
        <f t="shared" si="6"/>
        <v/>
      </c>
      <c r="E220" s="11" t="str">
        <f>IFERROR(VLOOKUP(C220,Backtest!C:D,2,FALSE)/VLOOKUP(B220,Backtest!C:D,2,FALSE)-1,"")</f>
        <v/>
      </c>
      <c r="J220" s="9">
        <v>218</v>
      </c>
      <c r="K220" s="10" t="str">
        <f>IFERROR(INDEX(Backtest!C:C,MATCH(Trades!A220,Backtest!M:M,0)),"")</f>
        <v/>
      </c>
      <c r="L220" s="10" t="str">
        <f>IFERROR(INDEX(Backtest!C:C,MATCH(Trades!A220,Backtest!N:N,0)),IF(ISNUMBER(K220),Backtest!$C$2519,""))</f>
        <v/>
      </c>
      <c r="M220" s="1" t="str">
        <f t="shared" si="7"/>
        <v/>
      </c>
      <c r="N220" s="11" t="str">
        <f>IFERROR(VLOOKUP(L220,Backtest!C:D,2,FALSE)/VLOOKUP(K220,Backtest!C:D,2,FALSE)-1,"")</f>
        <v/>
      </c>
    </row>
    <row r="221" spans="1:14" x14ac:dyDescent="0.3">
      <c r="A221" s="9">
        <v>219</v>
      </c>
      <c r="B221" s="10" t="str">
        <f>IFERROR(INDEX(Backtest!C:C,MATCH(Trades!A221,Backtest!K:K,0)),"")</f>
        <v/>
      </c>
      <c r="C221" s="10" t="str">
        <f>IFERROR(INDEX(Backtest!C:C,MATCH(Trades!A221,Backtest!L:L,0)),IF(ISNUMBER(B221),Backtest!$C$2519,""))</f>
        <v/>
      </c>
      <c r="D221" s="1" t="str">
        <f t="shared" si="6"/>
        <v/>
      </c>
      <c r="E221" s="11" t="str">
        <f>IFERROR(VLOOKUP(C221,Backtest!C:D,2,FALSE)/VLOOKUP(B221,Backtest!C:D,2,FALSE)-1,"")</f>
        <v/>
      </c>
      <c r="J221" s="9">
        <v>219</v>
      </c>
      <c r="K221" s="10" t="str">
        <f>IFERROR(INDEX(Backtest!C:C,MATCH(Trades!A221,Backtest!M:M,0)),"")</f>
        <v/>
      </c>
      <c r="L221" s="10" t="str">
        <f>IFERROR(INDEX(Backtest!C:C,MATCH(Trades!A221,Backtest!N:N,0)),IF(ISNUMBER(K221),Backtest!$C$2519,""))</f>
        <v/>
      </c>
      <c r="M221" s="1" t="str">
        <f t="shared" si="7"/>
        <v/>
      </c>
      <c r="N221" s="11" t="str">
        <f>IFERROR(VLOOKUP(L221,Backtest!C:D,2,FALSE)/VLOOKUP(K221,Backtest!C:D,2,FALSE)-1,"")</f>
        <v/>
      </c>
    </row>
    <row r="222" spans="1:14" x14ac:dyDescent="0.3">
      <c r="A222" s="9">
        <v>220</v>
      </c>
      <c r="B222" s="10" t="str">
        <f>IFERROR(INDEX(Backtest!C:C,MATCH(Trades!A222,Backtest!K:K,0)),"")</f>
        <v/>
      </c>
      <c r="C222" s="10" t="str">
        <f>IFERROR(INDEX(Backtest!C:C,MATCH(Trades!A222,Backtest!L:L,0)),IF(ISNUMBER(B222),Backtest!$C$2519,""))</f>
        <v/>
      </c>
      <c r="D222" s="1" t="str">
        <f t="shared" si="6"/>
        <v/>
      </c>
      <c r="E222" s="11" t="str">
        <f>IFERROR(VLOOKUP(C222,Backtest!C:D,2,FALSE)/VLOOKUP(B222,Backtest!C:D,2,FALSE)-1,"")</f>
        <v/>
      </c>
      <c r="J222" s="9">
        <v>220</v>
      </c>
      <c r="K222" s="10" t="str">
        <f>IFERROR(INDEX(Backtest!C:C,MATCH(Trades!A222,Backtest!M:M,0)),"")</f>
        <v/>
      </c>
      <c r="L222" s="10" t="str">
        <f>IFERROR(INDEX(Backtest!C:C,MATCH(Trades!A222,Backtest!N:N,0)),IF(ISNUMBER(K222),Backtest!$C$2519,""))</f>
        <v/>
      </c>
      <c r="M222" s="1" t="str">
        <f t="shared" si="7"/>
        <v/>
      </c>
      <c r="N222" s="11" t="str">
        <f>IFERROR(VLOOKUP(L222,Backtest!C:D,2,FALSE)/VLOOKUP(K222,Backtest!C:D,2,FALSE)-1,"")</f>
        <v/>
      </c>
    </row>
    <row r="223" spans="1:14" x14ac:dyDescent="0.3">
      <c r="A223" s="9">
        <v>221</v>
      </c>
      <c r="B223" s="10" t="str">
        <f>IFERROR(INDEX(Backtest!C:C,MATCH(Trades!A223,Backtest!K:K,0)),"")</f>
        <v/>
      </c>
      <c r="C223" s="10" t="str">
        <f>IFERROR(INDEX(Backtest!C:C,MATCH(Trades!A223,Backtest!L:L,0)),IF(ISNUMBER(B223),Backtest!$C$2519,""))</f>
        <v/>
      </c>
      <c r="D223" s="1" t="str">
        <f t="shared" si="6"/>
        <v/>
      </c>
      <c r="E223" s="11" t="str">
        <f>IFERROR(VLOOKUP(C223,Backtest!C:D,2,FALSE)/VLOOKUP(B223,Backtest!C:D,2,FALSE)-1,"")</f>
        <v/>
      </c>
      <c r="J223" s="9">
        <v>221</v>
      </c>
      <c r="K223" s="10" t="str">
        <f>IFERROR(INDEX(Backtest!C:C,MATCH(Trades!A223,Backtest!M:M,0)),"")</f>
        <v/>
      </c>
      <c r="L223" s="10" t="str">
        <f>IFERROR(INDEX(Backtest!C:C,MATCH(Trades!A223,Backtest!N:N,0)),IF(ISNUMBER(K223),Backtest!$C$2519,""))</f>
        <v/>
      </c>
      <c r="M223" s="1" t="str">
        <f t="shared" si="7"/>
        <v/>
      </c>
      <c r="N223" s="11" t="str">
        <f>IFERROR(VLOOKUP(L223,Backtest!C:D,2,FALSE)/VLOOKUP(K223,Backtest!C:D,2,FALSE)-1,"")</f>
        <v/>
      </c>
    </row>
    <row r="224" spans="1:14" x14ac:dyDescent="0.3">
      <c r="A224" s="9">
        <v>222</v>
      </c>
      <c r="B224" s="10" t="str">
        <f>IFERROR(INDEX(Backtest!C:C,MATCH(Trades!A224,Backtest!K:K,0)),"")</f>
        <v/>
      </c>
      <c r="C224" s="10" t="str">
        <f>IFERROR(INDEX(Backtest!C:C,MATCH(Trades!A224,Backtest!L:L,0)),IF(ISNUMBER(B224),Backtest!$C$2519,""))</f>
        <v/>
      </c>
      <c r="D224" s="1" t="str">
        <f t="shared" si="6"/>
        <v/>
      </c>
      <c r="E224" s="11" t="str">
        <f>IFERROR(VLOOKUP(C224,Backtest!C:D,2,FALSE)/VLOOKUP(B224,Backtest!C:D,2,FALSE)-1,"")</f>
        <v/>
      </c>
      <c r="J224" s="9">
        <v>222</v>
      </c>
      <c r="K224" s="10" t="str">
        <f>IFERROR(INDEX(Backtest!C:C,MATCH(Trades!A224,Backtest!M:M,0)),"")</f>
        <v/>
      </c>
      <c r="L224" s="10" t="str">
        <f>IFERROR(INDEX(Backtest!C:C,MATCH(Trades!A224,Backtest!N:N,0)),IF(ISNUMBER(K224),Backtest!$C$2519,""))</f>
        <v/>
      </c>
      <c r="M224" s="1" t="str">
        <f t="shared" si="7"/>
        <v/>
      </c>
      <c r="N224" s="11" t="str">
        <f>IFERROR(VLOOKUP(L224,Backtest!C:D,2,FALSE)/VLOOKUP(K224,Backtest!C:D,2,FALSE)-1,"")</f>
        <v/>
      </c>
    </row>
    <row r="225" spans="1:14" x14ac:dyDescent="0.3">
      <c r="A225" s="9">
        <v>223</v>
      </c>
      <c r="B225" s="10" t="str">
        <f>IFERROR(INDEX(Backtest!C:C,MATCH(Trades!A225,Backtest!K:K,0)),"")</f>
        <v/>
      </c>
      <c r="C225" s="10" t="str">
        <f>IFERROR(INDEX(Backtest!C:C,MATCH(Trades!A225,Backtest!L:L,0)),IF(ISNUMBER(B225),Backtest!$C$2519,""))</f>
        <v/>
      </c>
      <c r="D225" s="1" t="str">
        <f t="shared" si="6"/>
        <v/>
      </c>
      <c r="E225" s="11" t="str">
        <f>IFERROR(VLOOKUP(C225,Backtest!C:D,2,FALSE)/VLOOKUP(B225,Backtest!C:D,2,FALSE)-1,"")</f>
        <v/>
      </c>
      <c r="J225" s="9">
        <v>223</v>
      </c>
      <c r="K225" s="10" t="str">
        <f>IFERROR(INDEX(Backtest!C:C,MATCH(Trades!A225,Backtest!M:M,0)),"")</f>
        <v/>
      </c>
      <c r="L225" s="10" t="str">
        <f>IFERROR(INDEX(Backtest!C:C,MATCH(Trades!A225,Backtest!N:N,0)),IF(ISNUMBER(K225),Backtest!$C$2519,""))</f>
        <v/>
      </c>
      <c r="M225" s="1" t="str">
        <f t="shared" si="7"/>
        <v/>
      </c>
      <c r="N225" s="11" t="str">
        <f>IFERROR(VLOOKUP(L225,Backtest!C:D,2,FALSE)/VLOOKUP(K225,Backtest!C:D,2,FALSE)-1,"")</f>
        <v/>
      </c>
    </row>
    <row r="226" spans="1:14" x14ac:dyDescent="0.3">
      <c r="A226" s="9">
        <v>224</v>
      </c>
      <c r="B226" s="10" t="str">
        <f>IFERROR(INDEX(Backtest!C:C,MATCH(Trades!A226,Backtest!K:K,0)),"")</f>
        <v/>
      </c>
      <c r="C226" s="10" t="str">
        <f>IFERROR(INDEX(Backtest!C:C,MATCH(Trades!A226,Backtest!L:L,0)),IF(ISNUMBER(B226),Backtest!$C$2519,""))</f>
        <v/>
      </c>
      <c r="D226" s="1" t="str">
        <f t="shared" si="6"/>
        <v/>
      </c>
      <c r="E226" s="11" t="str">
        <f>IFERROR(VLOOKUP(C226,Backtest!C:D,2,FALSE)/VLOOKUP(B226,Backtest!C:D,2,FALSE)-1,"")</f>
        <v/>
      </c>
      <c r="J226" s="9">
        <v>224</v>
      </c>
      <c r="K226" s="10" t="str">
        <f>IFERROR(INDEX(Backtest!C:C,MATCH(Trades!A226,Backtest!M:M,0)),"")</f>
        <v/>
      </c>
      <c r="L226" s="10" t="str">
        <f>IFERROR(INDEX(Backtest!C:C,MATCH(Trades!A226,Backtest!N:N,0)),IF(ISNUMBER(K226),Backtest!$C$2519,""))</f>
        <v/>
      </c>
      <c r="M226" s="1" t="str">
        <f t="shared" si="7"/>
        <v/>
      </c>
      <c r="N226" s="11" t="str">
        <f>IFERROR(VLOOKUP(L226,Backtest!C:D,2,FALSE)/VLOOKUP(K226,Backtest!C:D,2,FALSE)-1,"")</f>
        <v/>
      </c>
    </row>
    <row r="227" spans="1:14" x14ac:dyDescent="0.3">
      <c r="A227" s="9">
        <v>225</v>
      </c>
      <c r="B227" s="10" t="str">
        <f>IFERROR(INDEX(Backtest!C:C,MATCH(Trades!A227,Backtest!K:K,0)),"")</f>
        <v/>
      </c>
      <c r="C227" s="10" t="str">
        <f>IFERROR(INDEX(Backtest!C:C,MATCH(Trades!A227,Backtest!L:L,0)),IF(ISNUMBER(B227),Backtest!$C$2519,""))</f>
        <v/>
      </c>
      <c r="D227" s="1" t="str">
        <f t="shared" si="6"/>
        <v/>
      </c>
      <c r="E227" s="11" t="str">
        <f>IFERROR(VLOOKUP(C227,Backtest!C:D,2,FALSE)/VLOOKUP(B227,Backtest!C:D,2,FALSE)-1,"")</f>
        <v/>
      </c>
      <c r="J227" s="9">
        <v>225</v>
      </c>
      <c r="K227" s="10" t="str">
        <f>IFERROR(INDEX(Backtest!C:C,MATCH(Trades!A227,Backtest!M:M,0)),"")</f>
        <v/>
      </c>
      <c r="L227" s="10" t="str">
        <f>IFERROR(INDEX(Backtest!C:C,MATCH(Trades!A227,Backtest!N:N,0)),IF(ISNUMBER(K227),Backtest!$C$2519,""))</f>
        <v/>
      </c>
      <c r="M227" s="1" t="str">
        <f t="shared" si="7"/>
        <v/>
      </c>
      <c r="N227" s="11" t="str">
        <f>IFERROR(VLOOKUP(L227,Backtest!C:D,2,FALSE)/VLOOKUP(K227,Backtest!C:D,2,FALSE)-1,"")</f>
        <v/>
      </c>
    </row>
    <row r="228" spans="1:14" x14ac:dyDescent="0.3">
      <c r="A228" s="9">
        <v>226</v>
      </c>
      <c r="B228" s="10" t="str">
        <f>IFERROR(INDEX(Backtest!C:C,MATCH(Trades!A228,Backtest!K:K,0)),"")</f>
        <v/>
      </c>
      <c r="C228" s="10" t="str">
        <f>IFERROR(INDEX(Backtest!C:C,MATCH(Trades!A228,Backtest!L:L,0)),IF(ISNUMBER(B228),Backtest!$C$2519,""))</f>
        <v/>
      </c>
      <c r="D228" s="1" t="str">
        <f t="shared" si="6"/>
        <v/>
      </c>
      <c r="E228" s="11" t="str">
        <f>IFERROR(VLOOKUP(C228,Backtest!C:D,2,FALSE)/VLOOKUP(B228,Backtest!C:D,2,FALSE)-1,"")</f>
        <v/>
      </c>
      <c r="J228" s="9">
        <v>226</v>
      </c>
      <c r="K228" s="10" t="str">
        <f>IFERROR(INDEX(Backtest!C:C,MATCH(Trades!A228,Backtest!M:M,0)),"")</f>
        <v/>
      </c>
      <c r="L228" s="10" t="str">
        <f>IFERROR(INDEX(Backtest!C:C,MATCH(Trades!A228,Backtest!N:N,0)),IF(ISNUMBER(K228),Backtest!$C$2519,""))</f>
        <v/>
      </c>
      <c r="M228" s="1" t="str">
        <f t="shared" si="7"/>
        <v/>
      </c>
      <c r="N228" s="11" t="str">
        <f>IFERROR(VLOOKUP(L228,Backtest!C:D,2,FALSE)/VLOOKUP(K228,Backtest!C:D,2,FALSE)-1,"")</f>
        <v/>
      </c>
    </row>
    <row r="229" spans="1:14" x14ac:dyDescent="0.3">
      <c r="A229" s="9">
        <v>227</v>
      </c>
      <c r="B229" s="10" t="str">
        <f>IFERROR(INDEX(Backtest!C:C,MATCH(Trades!A229,Backtest!K:K,0)),"")</f>
        <v/>
      </c>
      <c r="C229" s="10" t="str">
        <f>IFERROR(INDEX(Backtest!C:C,MATCH(Trades!A229,Backtest!L:L,0)),IF(ISNUMBER(B229),Backtest!$C$2519,""))</f>
        <v/>
      </c>
      <c r="D229" s="1" t="str">
        <f t="shared" si="6"/>
        <v/>
      </c>
      <c r="E229" s="11" t="str">
        <f>IFERROR(VLOOKUP(C229,Backtest!C:D,2,FALSE)/VLOOKUP(B229,Backtest!C:D,2,FALSE)-1,"")</f>
        <v/>
      </c>
      <c r="J229" s="9">
        <v>227</v>
      </c>
      <c r="K229" s="10" t="str">
        <f>IFERROR(INDEX(Backtest!C:C,MATCH(Trades!A229,Backtest!M:M,0)),"")</f>
        <v/>
      </c>
      <c r="L229" s="10" t="str">
        <f>IFERROR(INDEX(Backtest!C:C,MATCH(Trades!A229,Backtest!N:N,0)),IF(ISNUMBER(K229),Backtest!$C$2519,""))</f>
        <v/>
      </c>
      <c r="M229" s="1" t="str">
        <f t="shared" si="7"/>
        <v/>
      </c>
      <c r="N229" s="11" t="str">
        <f>IFERROR(VLOOKUP(L229,Backtest!C:D,2,FALSE)/VLOOKUP(K229,Backtest!C:D,2,FALSE)-1,"")</f>
        <v/>
      </c>
    </row>
    <row r="230" spans="1:14" x14ac:dyDescent="0.3">
      <c r="A230" s="9">
        <v>228</v>
      </c>
      <c r="B230" s="10" t="str">
        <f>IFERROR(INDEX(Backtest!C:C,MATCH(Trades!A230,Backtest!K:K,0)),"")</f>
        <v/>
      </c>
      <c r="C230" s="10" t="str">
        <f>IFERROR(INDEX(Backtest!C:C,MATCH(Trades!A230,Backtest!L:L,0)),IF(ISNUMBER(B230),Backtest!$C$2519,""))</f>
        <v/>
      </c>
      <c r="D230" s="1" t="str">
        <f t="shared" si="6"/>
        <v/>
      </c>
      <c r="E230" s="11" t="str">
        <f>IFERROR(VLOOKUP(C230,Backtest!C:D,2,FALSE)/VLOOKUP(B230,Backtest!C:D,2,FALSE)-1,"")</f>
        <v/>
      </c>
      <c r="J230" s="9">
        <v>228</v>
      </c>
      <c r="K230" s="10" t="str">
        <f>IFERROR(INDEX(Backtest!C:C,MATCH(Trades!A230,Backtest!M:M,0)),"")</f>
        <v/>
      </c>
      <c r="L230" s="10" t="str">
        <f>IFERROR(INDEX(Backtest!C:C,MATCH(Trades!A230,Backtest!N:N,0)),IF(ISNUMBER(K230),Backtest!$C$2519,""))</f>
        <v/>
      </c>
      <c r="M230" s="1" t="str">
        <f t="shared" si="7"/>
        <v/>
      </c>
      <c r="N230" s="11" t="str">
        <f>IFERROR(VLOOKUP(L230,Backtest!C:D,2,FALSE)/VLOOKUP(K230,Backtest!C:D,2,FALSE)-1,"")</f>
        <v/>
      </c>
    </row>
    <row r="231" spans="1:14" x14ac:dyDescent="0.3">
      <c r="A231" s="9">
        <v>229</v>
      </c>
      <c r="B231" s="10" t="str">
        <f>IFERROR(INDEX(Backtest!C:C,MATCH(Trades!A231,Backtest!K:K,0)),"")</f>
        <v/>
      </c>
      <c r="C231" s="10" t="str">
        <f>IFERROR(INDEX(Backtest!C:C,MATCH(Trades!A231,Backtest!L:L,0)),IF(ISNUMBER(B231),Backtest!$C$2519,""))</f>
        <v/>
      </c>
      <c r="D231" s="1" t="str">
        <f t="shared" si="6"/>
        <v/>
      </c>
      <c r="E231" s="11" t="str">
        <f>IFERROR(VLOOKUP(C231,Backtest!C:D,2,FALSE)/VLOOKUP(B231,Backtest!C:D,2,FALSE)-1,"")</f>
        <v/>
      </c>
      <c r="J231" s="9">
        <v>229</v>
      </c>
      <c r="K231" s="10" t="str">
        <f>IFERROR(INDEX(Backtest!C:C,MATCH(Trades!A231,Backtest!M:M,0)),"")</f>
        <v/>
      </c>
      <c r="L231" s="10" t="str">
        <f>IFERROR(INDEX(Backtest!C:C,MATCH(Trades!A231,Backtest!N:N,0)),IF(ISNUMBER(K231),Backtest!$C$2519,""))</f>
        <v/>
      </c>
      <c r="M231" s="1" t="str">
        <f t="shared" si="7"/>
        <v/>
      </c>
      <c r="N231" s="11" t="str">
        <f>IFERROR(VLOOKUP(L231,Backtest!C:D,2,FALSE)/VLOOKUP(K231,Backtest!C:D,2,FALSE)-1,"")</f>
        <v/>
      </c>
    </row>
    <row r="232" spans="1:14" x14ac:dyDescent="0.3">
      <c r="A232" s="9">
        <v>230</v>
      </c>
      <c r="B232" s="10" t="str">
        <f>IFERROR(INDEX(Backtest!C:C,MATCH(Trades!A232,Backtest!K:K,0)),"")</f>
        <v/>
      </c>
      <c r="C232" s="10" t="str">
        <f>IFERROR(INDEX(Backtest!C:C,MATCH(Trades!A232,Backtest!L:L,0)),IF(ISNUMBER(B232),Backtest!$C$2519,""))</f>
        <v/>
      </c>
      <c r="D232" s="1" t="str">
        <f t="shared" si="6"/>
        <v/>
      </c>
      <c r="E232" s="11" t="str">
        <f>IFERROR(VLOOKUP(C232,Backtest!C:D,2,FALSE)/VLOOKUP(B232,Backtest!C:D,2,FALSE)-1,"")</f>
        <v/>
      </c>
      <c r="J232" s="9">
        <v>230</v>
      </c>
      <c r="K232" s="10" t="str">
        <f>IFERROR(INDEX(Backtest!C:C,MATCH(Trades!A232,Backtest!M:M,0)),"")</f>
        <v/>
      </c>
      <c r="L232" s="10" t="str">
        <f>IFERROR(INDEX(Backtest!C:C,MATCH(Trades!A232,Backtest!N:N,0)),IF(ISNUMBER(K232),Backtest!$C$2519,""))</f>
        <v/>
      </c>
      <c r="M232" s="1" t="str">
        <f t="shared" si="7"/>
        <v/>
      </c>
      <c r="N232" s="11" t="str">
        <f>IFERROR(VLOOKUP(L232,Backtest!C:D,2,FALSE)/VLOOKUP(K232,Backtest!C:D,2,FALSE)-1,"")</f>
        <v/>
      </c>
    </row>
    <row r="233" spans="1:14" x14ac:dyDescent="0.3">
      <c r="A233" s="9">
        <v>231</v>
      </c>
      <c r="B233" s="10" t="str">
        <f>IFERROR(INDEX(Backtest!C:C,MATCH(Trades!A233,Backtest!K:K,0)),"")</f>
        <v/>
      </c>
      <c r="C233" s="10" t="str">
        <f>IFERROR(INDEX(Backtest!C:C,MATCH(Trades!A233,Backtest!L:L,0)),IF(ISNUMBER(B233),Backtest!$C$2519,""))</f>
        <v/>
      </c>
      <c r="D233" s="1" t="str">
        <f t="shared" si="6"/>
        <v/>
      </c>
      <c r="E233" s="11" t="str">
        <f>IFERROR(VLOOKUP(C233,Backtest!C:D,2,FALSE)/VLOOKUP(B233,Backtest!C:D,2,FALSE)-1,"")</f>
        <v/>
      </c>
      <c r="J233" s="9">
        <v>231</v>
      </c>
      <c r="K233" s="10" t="str">
        <f>IFERROR(INDEX(Backtest!C:C,MATCH(Trades!A233,Backtest!M:M,0)),"")</f>
        <v/>
      </c>
      <c r="L233" s="10" t="str">
        <f>IFERROR(INDEX(Backtest!C:C,MATCH(Trades!A233,Backtest!N:N,0)),IF(ISNUMBER(K233),Backtest!$C$2519,""))</f>
        <v/>
      </c>
      <c r="M233" s="1" t="str">
        <f t="shared" si="7"/>
        <v/>
      </c>
      <c r="N233" s="11" t="str">
        <f>IFERROR(VLOOKUP(L233,Backtest!C:D,2,FALSE)/VLOOKUP(K233,Backtest!C:D,2,FALSE)-1,"")</f>
        <v/>
      </c>
    </row>
    <row r="234" spans="1:14" x14ac:dyDescent="0.3">
      <c r="A234" s="9">
        <v>232</v>
      </c>
      <c r="B234" s="10" t="str">
        <f>IFERROR(INDEX(Backtest!C:C,MATCH(Trades!A234,Backtest!K:K,0)),"")</f>
        <v/>
      </c>
      <c r="C234" s="10" t="str">
        <f>IFERROR(INDEX(Backtest!C:C,MATCH(Trades!A234,Backtest!L:L,0)),IF(ISNUMBER(B234),Backtest!$C$2519,""))</f>
        <v/>
      </c>
      <c r="D234" s="1" t="str">
        <f t="shared" si="6"/>
        <v/>
      </c>
      <c r="E234" s="11" t="str">
        <f>IFERROR(VLOOKUP(C234,Backtest!C:D,2,FALSE)/VLOOKUP(B234,Backtest!C:D,2,FALSE)-1,"")</f>
        <v/>
      </c>
      <c r="J234" s="9">
        <v>232</v>
      </c>
      <c r="K234" s="10" t="str">
        <f>IFERROR(INDEX(Backtest!C:C,MATCH(Trades!A234,Backtest!M:M,0)),"")</f>
        <v/>
      </c>
      <c r="L234" s="10" t="str">
        <f>IFERROR(INDEX(Backtest!C:C,MATCH(Trades!A234,Backtest!N:N,0)),IF(ISNUMBER(K234),Backtest!$C$2519,""))</f>
        <v/>
      </c>
      <c r="M234" s="1" t="str">
        <f t="shared" si="7"/>
        <v/>
      </c>
      <c r="N234" s="11" t="str">
        <f>IFERROR(VLOOKUP(L234,Backtest!C:D,2,FALSE)/VLOOKUP(K234,Backtest!C:D,2,FALSE)-1,"")</f>
        <v/>
      </c>
    </row>
    <row r="235" spans="1:14" x14ac:dyDescent="0.3">
      <c r="A235" s="9">
        <v>233</v>
      </c>
      <c r="B235" s="10" t="str">
        <f>IFERROR(INDEX(Backtest!C:C,MATCH(Trades!A235,Backtest!K:K,0)),"")</f>
        <v/>
      </c>
      <c r="C235" s="10" t="str">
        <f>IFERROR(INDEX(Backtest!C:C,MATCH(Trades!A235,Backtest!L:L,0)),IF(ISNUMBER(B235),Backtest!$C$2519,""))</f>
        <v/>
      </c>
      <c r="D235" s="1" t="str">
        <f t="shared" si="6"/>
        <v/>
      </c>
      <c r="E235" s="11" t="str">
        <f>IFERROR(VLOOKUP(C235,Backtest!C:D,2,FALSE)/VLOOKUP(B235,Backtest!C:D,2,FALSE)-1,"")</f>
        <v/>
      </c>
      <c r="J235" s="9">
        <v>233</v>
      </c>
      <c r="K235" s="10" t="str">
        <f>IFERROR(INDEX(Backtest!C:C,MATCH(Trades!A235,Backtest!M:M,0)),"")</f>
        <v/>
      </c>
      <c r="L235" s="10" t="str">
        <f>IFERROR(INDEX(Backtest!C:C,MATCH(Trades!A235,Backtest!N:N,0)),IF(ISNUMBER(K235),Backtest!$C$2519,""))</f>
        <v/>
      </c>
      <c r="M235" s="1" t="str">
        <f t="shared" si="7"/>
        <v/>
      </c>
      <c r="N235" s="11" t="str">
        <f>IFERROR(VLOOKUP(L235,Backtest!C:D,2,FALSE)/VLOOKUP(K235,Backtest!C:D,2,FALSE)-1,"")</f>
        <v/>
      </c>
    </row>
    <row r="236" spans="1:14" x14ac:dyDescent="0.3">
      <c r="A236" s="9">
        <v>234</v>
      </c>
      <c r="B236" s="10" t="str">
        <f>IFERROR(INDEX(Backtest!C:C,MATCH(Trades!A236,Backtest!K:K,0)),"")</f>
        <v/>
      </c>
      <c r="C236" s="10" t="str">
        <f>IFERROR(INDEX(Backtest!C:C,MATCH(Trades!A236,Backtest!L:L,0)),IF(ISNUMBER(B236),Backtest!$C$2519,""))</f>
        <v/>
      </c>
      <c r="D236" s="1" t="str">
        <f t="shared" si="6"/>
        <v/>
      </c>
      <c r="E236" s="11" t="str">
        <f>IFERROR(VLOOKUP(C236,Backtest!C:D,2,FALSE)/VLOOKUP(B236,Backtest!C:D,2,FALSE)-1,"")</f>
        <v/>
      </c>
      <c r="J236" s="9">
        <v>234</v>
      </c>
      <c r="K236" s="10" t="str">
        <f>IFERROR(INDEX(Backtest!C:C,MATCH(Trades!A236,Backtest!M:M,0)),"")</f>
        <v/>
      </c>
      <c r="L236" s="10" t="str">
        <f>IFERROR(INDEX(Backtest!C:C,MATCH(Trades!A236,Backtest!N:N,0)),IF(ISNUMBER(K236),Backtest!$C$2519,""))</f>
        <v/>
      </c>
      <c r="M236" s="1" t="str">
        <f t="shared" si="7"/>
        <v/>
      </c>
      <c r="N236" s="11" t="str">
        <f>IFERROR(VLOOKUP(L236,Backtest!C:D,2,FALSE)/VLOOKUP(K236,Backtest!C:D,2,FALSE)-1,"")</f>
        <v/>
      </c>
    </row>
    <row r="237" spans="1:14" x14ac:dyDescent="0.3">
      <c r="A237" s="9">
        <v>235</v>
      </c>
      <c r="B237" s="10" t="str">
        <f>IFERROR(INDEX(Backtest!C:C,MATCH(Trades!A237,Backtest!K:K,0)),"")</f>
        <v/>
      </c>
      <c r="C237" s="10" t="str">
        <f>IFERROR(INDEX(Backtest!C:C,MATCH(Trades!A237,Backtest!L:L,0)),IF(ISNUMBER(B237),Backtest!$C$2519,""))</f>
        <v/>
      </c>
      <c r="D237" s="1" t="str">
        <f t="shared" si="6"/>
        <v/>
      </c>
      <c r="E237" s="11" t="str">
        <f>IFERROR(VLOOKUP(C237,Backtest!C:D,2,FALSE)/VLOOKUP(B237,Backtest!C:D,2,FALSE)-1,"")</f>
        <v/>
      </c>
      <c r="J237" s="9">
        <v>235</v>
      </c>
      <c r="K237" s="10" t="str">
        <f>IFERROR(INDEX(Backtest!C:C,MATCH(Trades!A237,Backtest!M:M,0)),"")</f>
        <v/>
      </c>
      <c r="L237" s="10" t="str">
        <f>IFERROR(INDEX(Backtest!C:C,MATCH(Trades!A237,Backtest!N:N,0)),IF(ISNUMBER(K237),Backtest!$C$2519,""))</f>
        <v/>
      </c>
      <c r="M237" s="1" t="str">
        <f t="shared" si="7"/>
        <v/>
      </c>
      <c r="N237" s="11" t="str">
        <f>IFERROR(VLOOKUP(L237,Backtest!C:D,2,FALSE)/VLOOKUP(K237,Backtest!C:D,2,FALSE)-1,"")</f>
        <v/>
      </c>
    </row>
    <row r="238" spans="1:14" x14ac:dyDescent="0.3">
      <c r="A238" s="9">
        <v>236</v>
      </c>
      <c r="B238" s="10" t="str">
        <f>IFERROR(INDEX(Backtest!C:C,MATCH(Trades!A238,Backtest!K:K,0)),"")</f>
        <v/>
      </c>
      <c r="C238" s="10" t="str">
        <f>IFERROR(INDEX(Backtest!C:C,MATCH(Trades!A238,Backtest!L:L,0)),IF(ISNUMBER(B238),Backtest!$C$2519,""))</f>
        <v/>
      </c>
      <c r="D238" s="1" t="str">
        <f t="shared" si="6"/>
        <v/>
      </c>
      <c r="E238" s="11" t="str">
        <f>IFERROR(VLOOKUP(C238,Backtest!C:D,2,FALSE)/VLOOKUP(B238,Backtest!C:D,2,FALSE)-1,"")</f>
        <v/>
      </c>
      <c r="J238" s="9">
        <v>236</v>
      </c>
      <c r="K238" s="10" t="str">
        <f>IFERROR(INDEX(Backtest!C:C,MATCH(Trades!A238,Backtest!M:M,0)),"")</f>
        <v/>
      </c>
      <c r="L238" s="10" t="str">
        <f>IFERROR(INDEX(Backtest!C:C,MATCH(Trades!A238,Backtest!N:N,0)),IF(ISNUMBER(K238),Backtest!$C$2519,""))</f>
        <v/>
      </c>
      <c r="M238" s="1" t="str">
        <f t="shared" si="7"/>
        <v/>
      </c>
      <c r="N238" s="11" t="str">
        <f>IFERROR(VLOOKUP(L238,Backtest!C:D,2,FALSE)/VLOOKUP(K238,Backtest!C:D,2,FALSE)-1,"")</f>
        <v/>
      </c>
    </row>
    <row r="239" spans="1:14" x14ac:dyDescent="0.3">
      <c r="A239" s="9">
        <v>237</v>
      </c>
      <c r="B239" s="10" t="str">
        <f>IFERROR(INDEX(Backtest!C:C,MATCH(Trades!A239,Backtest!K:K,0)),"")</f>
        <v/>
      </c>
      <c r="C239" s="10" t="str">
        <f>IFERROR(INDEX(Backtest!C:C,MATCH(Trades!A239,Backtest!L:L,0)),IF(ISNUMBER(B239),Backtest!$C$2519,""))</f>
        <v/>
      </c>
      <c r="D239" s="1" t="str">
        <f t="shared" si="6"/>
        <v/>
      </c>
      <c r="E239" s="11" t="str">
        <f>IFERROR(VLOOKUP(C239,Backtest!C:D,2,FALSE)/VLOOKUP(B239,Backtest!C:D,2,FALSE)-1,"")</f>
        <v/>
      </c>
      <c r="J239" s="9">
        <v>237</v>
      </c>
      <c r="K239" s="10" t="str">
        <f>IFERROR(INDEX(Backtest!C:C,MATCH(Trades!A239,Backtest!M:M,0)),"")</f>
        <v/>
      </c>
      <c r="L239" s="10" t="str">
        <f>IFERROR(INDEX(Backtest!C:C,MATCH(Trades!A239,Backtest!N:N,0)),IF(ISNUMBER(K239),Backtest!$C$2519,""))</f>
        <v/>
      </c>
      <c r="M239" s="1" t="str">
        <f t="shared" si="7"/>
        <v/>
      </c>
      <c r="N239" s="11" t="str">
        <f>IFERROR(VLOOKUP(L239,Backtest!C:D,2,FALSE)/VLOOKUP(K239,Backtest!C:D,2,FALSE)-1,"")</f>
        <v/>
      </c>
    </row>
    <row r="240" spans="1:14" x14ac:dyDescent="0.3">
      <c r="A240" s="9">
        <v>238</v>
      </c>
      <c r="B240" s="10" t="str">
        <f>IFERROR(INDEX(Backtest!C:C,MATCH(Trades!A240,Backtest!K:K,0)),"")</f>
        <v/>
      </c>
      <c r="C240" s="10" t="str">
        <f>IFERROR(INDEX(Backtest!C:C,MATCH(Trades!A240,Backtest!L:L,0)),IF(ISNUMBER(B240),Backtest!$C$2519,""))</f>
        <v/>
      </c>
      <c r="D240" s="1" t="str">
        <f t="shared" si="6"/>
        <v/>
      </c>
      <c r="E240" s="11" t="str">
        <f>IFERROR(VLOOKUP(C240,Backtest!C:D,2,FALSE)/VLOOKUP(B240,Backtest!C:D,2,FALSE)-1,"")</f>
        <v/>
      </c>
      <c r="J240" s="9">
        <v>238</v>
      </c>
      <c r="K240" s="10" t="str">
        <f>IFERROR(INDEX(Backtest!C:C,MATCH(Trades!A240,Backtest!M:M,0)),"")</f>
        <v/>
      </c>
      <c r="L240" s="10" t="str">
        <f>IFERROR(INDEX(Backtest!C:C,MATCH(Trades!A240,Backtest!N:N,0)),IF(ISNUMBER(K240),Backtest!$C$2519,""))</f>
        <v/>
      </c>
      <c r="M240" s="1" t="str">
        <f t="shared" si="7"/>
        <v/>
      </c>
      <c r="N240" s="11" t="str">
        <f>IFERROR(VLOOKUP(L240,Backtest!C:D,2,FALSE)/VLOOKUP(K240,Backtest!C:D,2,FALSE)-1,"")</f>
        <v/>
      </c>
    </row>
    <row r="241" spans="1:14" x14ac:dyDescent="0.3">
      <c r="A241" s="9">
        <v>239</v>
      </c>
      <c r="B241" s="10" t="str">
        <f>IFERROR(INDEX(Backtest!C:C,MATCH(Trades!A241,Backtest!K:K,0)),"")</f>
        <v/>
      </c>
      <c r="C241" s="10" t="str">
        <f>IFERROR(INDEX(Backtest!C:C,MATCH(Trades!A241,Backtest!L:L,0)),IF(ISNUMBER(B241),Backtest!$C$2519,""))</f>
        <v/>
      </c>
      <c r="D241" s="1" t="str">
        <f t="shared" si="6"/>
        <v/>
      </c>
      <c r="E241" s="11" t="str">
        <f>IFERROR(VLOOKUP(C241,Backtest!C:D,2,FALSE)/VLOOKUP(B241,Backtest!C:D,2,FALSE)-1,"")</f>
        <v/>
      </c>
      <c r="J241" s="9">
        <v>239</v>
      </c>
      <c r="K241" s="10" t="str">
        <f>IFERROR(INDEX(Backtest!C:C,MATCH(Trades!A241,Backtest!M:M,0)),"")</f>
        <v/>
      </c>
      <c r="L241" s="10" t="str">
        <f>IFERROR(INDEX(Backtest!C:C,MATCH(Trades!A241,Backtest!N:N,0)),IF(ISNUMBER(K241),Backtest!$C$2519,""))</f>
        <v/>
      </c>
      <c r="M241" s="1" t="str">
        <f t="shared" si="7"/>
        <v/>
      </c>
      <c r="N241" s="11" t="str">
        <f>IFERROR(VLOOKUP(L241,Backtest!C:D,2,FALSE)/VLOOKUP(K241,Backtest!C:D,2,FALSE)-1,"")</f>
        <v/>
      </c>
    </row>
    <row r="242" spans="1:14" x14ac:dyDescent="0.3">
      <c r="A242" s="9">
        <v>240</v>
      </c>
      <c r="B242" s="10" t="str">
        <f>IFERROR(INDEX(Backtest!C:C,MATCH(Trades!A242,Backtest!K:K,0)),"")</f>
        <v/>
      </c>
      <c r="C242" s="10" t="str">
        <f>IFERROR(INDEX(Backtest!C:C,MATCH(Trades!A242,Backtest!L:L,0)),IF(ISNUMBER(B242),Backtest!$C$2519,""))</f>
        <v/>
      </c>
      <c r="D242" s="1" t="str">
        <f t="shared" si="6"/>
        <v/>
      </c>
      <c r="E242" s="11" t="str">
        <f>IFERROR(VLOOKUP(C242,Backtest!C:D,2,FALSE)/VLOOKUP(B242,Backtest!C:D,2,FALSE)-1,"")</f>
        <v/>
      </c>
      <c r="J242" s="9">
        <v>240</v>
      </c>
      <c r="K242" s="10" t="str">
        <f>IFERROR(INDEX(Backtest!C:C,MATCH(Trades!A242,Backtest!M:M,0)),"")</f>
        <v/>
      </c>
      <c r="L242" s="10" t="str">
        <f>IFERROR(INDEX(Backtest!C:C,MATCH(Trades!A242,Backtest!N:N,0)),IF(ISNUMBER(K242),Backtest!$C$2519,""))</f>
        <v/>
      </c>
      <c r="M242" s="1" t="str">
        <f t="shared" si="7"/>
        <v/>
      </c>
      <c r="N242" s="11" t="str">
        <f>IFERROR(VLOOKUP(L242,Backtest!C:D,2,FALSE)/VLOOKUP(K242,Backtest!C:D,2,FALSE)-1,"")</f>
        <v/>
      </c>
    </row>
    <row r="243" spans="1:14" x14ac:dyDescent="0.3">
      <c r="A243" s="9">
        <v>241</v>
      </c>
      <c r="B243" s="10" t="str">
        <f>IFERROR(INDEX(Backtest!C:C,MATCH(Trades!A243,Backtest!K:K,0)),"")</f>
        <v/>
      </c>
      <c r="C243" s="10" t="str">
        <f>IFERROR(INDEX(Backtest!C:C,MATCH(Trades!A243,Backtest!L:L,0)),IF(ISNUMBER(B243),Backtest!$C$2519,""))</f>
        <v/>
      </c>
      <c r="D243" s="1" t="str">
        <f t="shared" si="6"/>
        <v/>
      </c>
      <c r="E243" s="11" t="str">
        <f>IFERROR(VLOOKUP(C243,Backtest!C:D,2,FALSE)/VLOOKUP(B243,Backtest!C:D,2,FALSE)-1,"")</f>
        <v/>
      </c>
      <c r="J243" s="9">
        <v>241</v>
      </c>
      <c r="K243" s="10" t="str">
        <f>IFERROR(INDEX(Backtest!C:C,MATCH(Trades!A243,Backtest!M:M,0)),"")</f>
        <v/>
      </c>
      <c r="L243" s="10" t="str">
        <f>IFERROR(INDEX(Backtest!C:C,MATCH(Trades!A243,Backtest!N:N,0)),IF(ISNUMBER(K243),Backtest!$C$2519,""))</f>
        <v/>
      </c>
      <c r="M243" s="1" t="str">
        <f t="shared" si="7"/>
        <v/>
      </c>
      <c r="N243" s="11" t="str">
        <f>IFERROR(VLOOKUP(L243,Backtest!C:D,2,FALSE)/VLOOKUP(K243,Backtest!C:D,2,FALSE)-1,"")</f>
        <v/>
      </c>
    </row>
    <row r="244" spans="1:14" x14ac:dyDescent="0.3">
      <c r="A244" s="9">
        <v>242</v>
      </c>
      <c r="B244" s="10" t="str">
        <f>IFERROR(INDEX(Backtest!C:C,MATCH(Trades!A244,Backtest!K:K,0)),"")</f>
        <v/>
      </c>
      <c r="C244" s="10" t="str">
        <f>IFERROR(INDEX(Backtest!C:C,MATCH(Trades!A244,Backtest!L:L,0)),IF(ISNUMBER(B244),Backtest!$C$2519,""))</f>
        <v/>
      </c>
      <c r="D244" s="1" t="str">
        <f t="shared" si="6"/>
        <v/>
      </c>
      <c r="E244" s="11" t="str">
        <f>IFERROR(VLOOKUP(C244,Backtest!C:D,2,FALSE)/VLOOKUP(B244,Backtest!C:D,2,FALSE)-1,"")</f>
        <v/>
      </c>
      <c r="J244" s="9">
        <v>242</v>
      </c>
      <c r="K244" s="10" t="str">
        <f>IFERROR(INDEX(Backtest!C:C,MATCH(Trades!A244,Backtest!M:M,0)),"")</f>
        <v/>
      </c>
      <c r="L244" s="10" t="str">
        <f>IFERROR(INDEX(Backtest!C:C,MATCH(Trades!A244,Backtest!N:N,0)),IF(ISNUMBER(K244),Backtest!$C$2519,""))</f>
        <v/>
      </c>
      <c r="M244" s="1" t="str">
        <f t="shared" si="7"/>
        <v/>
      </c>
      <c r="N244" s="11" t="str">
        <f>IFERROR(VLOOKUP(L244,Backtest!C:D,2,FALSE)/VLOOKUP(K244,Backtest!C:D,2,FALSE)-1,"")</f>
        <v/>
      </c>
    </row>
    <row r="245" spans="1:14" x14ac:dyDescent="0.3">
      <c r="A245" s="9">
        <v>243</v>
      </c>
      <c r="B245" s="10" t="str">
        <f>IFERROR(INDEX(Backtest!C:C,MATCH(Trades!A245,Backtest!K:K,0)),"")</f>
        <v/>
      </c>
      <c r="C245" s="10" t="str">
        <f>IFERROR(INDEX(Backtest!C:C,MATCH(Trades!A245,Backtest!L:L,0)),IF(ISNUMBER(B245),Backtest!$C$2519,""))</f>
        <v/>
      </c>
      <c r="D245" s="1" t="str">
        <f t="shared" si="6"/>
        <v/>
      </c>
      <c r="E245" s="11" t="str">
        <f>IFERROR(VLOOKUP(C245,Backtest!C:D,2,FALSE)/VLOOKUP(B245,Backtest!C:D,2,FALSE)-1,"")</f>
        <v/>
      </c>
      <c r="J245" s="9">
        <v>243</v>
      </c>
      <c r="K245" s="10" t="str">
        <f>IFERROR(INDEX(Backtest!C:C,MATCH(Trades!A245,Backtest!M:M,0)),"")</f>
        <v/>
      </c>
      <c r="L245" s="10" t="str">
        <f>IFERROR(INDEX(Backtest!C:C,MATCH(Trades!A245,Backtest!N:N,0)),IF(ISNUMBER(K245),Backtest!$C$2519,""))</f>
        <v/>
      </c>
      <c r="M245" s="1" t="str">
        <f t="shared" si="7"/>
        <v/>
      </c>
      <c r="N245" s="11" t="str">
        <f>IFERROR(VLOOKUP(L245,Backtest!C:D,2,FALSE)/VLOOKUP(K245,Backtest!C:D,2,FALSE)-1,"")</f>
        <v/>
      </c>
    </row>
    <row r="246" spans="1:14" x14ac:dyDescent="0.3">
      <c r="A246" s="9">
        <v>244</v>
      </c>
      <c r="B246" s="10" t="str">
        <f>IFERROR(INDEX(Backtest!C:C,MATCH(Trades!A246,Backtest!K:K,0)),"")</f>
        <v/>
      </c>
      <c r="C246" s="10" t="str">
        <f>IFERROR(INDEX(Backtest!C:C,MATCH(Trades!A246,Backtest!L:L,0)),IF(ISNUMBER(B246),Backtest!$C$2519,""))</f>
        <v/>
      </c>
      <c r="D246" s="1" t="str">
        <f t="shared" si="6"/>
        <v/>
      </c>
      <c r="E246" s="11" t="str">
        <f>IFERROR(VLOOKUP(C246,Backtest!C:D,2,FALSE)/VLOOKUP(B246,Backtest!C:D,2,FALSE)-1,"")</f>
        <v/>
      </c>
      <c r="J246" s="9">
        <v>244</v>
      </c>
      <c r="K246" s="10" t="str">
        <f>IFERROR(INDEX(Backtest!C:C,MATCH(Trades!A246,Backtest!M:M,0)),"")</f>
        <v/>
      </c>
      <c r="L246" s="10" t="str">
        <f>IFERROR(INDEX(Backtest!C:C,MATCH(Trades!A246,Backtest!N:N,0)),IF(ISNUMBER(K246),Backtest!$C$2519,""))</f>
        <v/>
      </c>
      <c r="M246" s="1" t="str">
        <f t="shared" si="7"/>
        <v/>
      </c>
      <c r="N246" s="11" t="str">
        <f>IFERROR(VLOOKUP(L246,Backtest!C:D,2,FALSE)/VLOOKUP(K246,Backtest!C:D,2,FALSE)-1,"")</f>
        <v/>
      </c>
    </row>
    <row r="247" spans="1:14" x14ac:dyDescent="0.3">
      <c r="A247" s="9">
        <v>245</v>
      </c>
      <c r="B247" s="10" t="str">
        <f>IFERROR(INDEX(Backtest!C:C,MATCH(Trades!A247,Backtest!K:K,0)),"")</f>
        <v/>
      </c>
      <c r="C247" s="10" t="str">
        <f>IFERROR(INDEX(Backtest!C:C,MATCH(Trades!A247,Backtest!L:L,0)),IF(ISNUMBER(B247),Backtest!$C$2519,""))</f>
        <v/>
      </c>
      <c r="D247" s="1" t="str">
        <f t="shared" si="6"/>
        <v/>
      </c>
      <c r="E247" s="11" t="str">
        <f>IFERROR(VLOOKUP(C247,Backtest!C:D,2,FALSE)/VLOOKUP(B247,Backtest!C:D,2,FALSE)-1,"")</f>
        <v/>
      </c>
      <c r="J247" s="9">
        <v>245</v>
      </c>
      <c r="K247" s="10" t="str">
        <f>IFERROR(INDEX(Backtest!C:C,MATCH(Trades!A247,Backtest!M:M,0)),"")</f>
        <v/>
      </c>
      <c r="L247" s="10" t="str">
        <f>IFERROR(INDEX(Backtest!C:C,MATCH(Trades!A247,Backtest!N:N,0)),IF(ISNUMBER(K247),Backtest!$C$2519,""))</f>
        <v/>
      </c>
      <c r="M247" s="1" t="str">
        <f t="shared" si="7"/>
        <v/>
      </c>
      <c r="N247" s="11" t="str">
        <f>IFERROR(VLOOKUP(L247,Backtest!C:D,2,FALSE)/VLOOKUP(K247,Backtest!C:D,2,FALSE)-1,"")</f>
        <v/>
      </c>
    </row>
    <row r="248" spans="1:14" x14ac:dyDescent="0.3">
      <c r="A248" s="9">
        <v>246</v>
      </c>
      <c r="B248" s="10" t="str">
        <f>IFERROR(INDEX(Backtest!C:C,MATCH(Trades!A248,Backtest!K:K,0)),"")</f>
        <v/>
      </c>
      <c r="C248" s="10" t="str">
        <f>IFERROR(INDEX(Backtest!C:C,MATCH(Trades!A248,Backtest!L:L,0)),IF(ISNUMBER(B248),Backtest!$C$2519,""))</f>
        <v/>
      </c>
      <c r="D248" s="1" t="str">
        <f t="shared" si="6"/>
        <v/>
      </c>
      <c r="E248" s="11" t="str">
        <f>IFERROR(VLOOKUP(C248,Backtest!C:D,2,FALSE)/VLOOKUP(B248,Backtest!C:D,2,FALSE)-1,"")</f>
        <v/>
      </c>
      <c r="J248" s="9">
        <v>246</v>
      </c>
      <c r="K248" s="10" t="str">
        <f>IFERROR(INDEX(Backtest!C:C,MATCH(Trades!A248,Backtest!M:M,0)),"")</f>
        <v/>
      </c>
      <c r="L248" s="10" t="str">
        <f>IFERROR(INDEX(Backtest!C:C,MATCH(Trades!A248,Backtest!N:N,0)),IF(ISNUMBER(K248),Backtest!$C$2519,""))</f>
        <v/>
      </c>
      <c r="M248" s="1" t="str">
        <f t="shared" si="7"/>
        <v/>
      </c>
      <c r="N248" s="11" t="str">
        <f>IFERROR(VLOOKUP(L248,Backtest!C:D,2,FALSE)/VLOOKUP(K248,Backtest!C:D,2,FALSE)-1,"")</f>
        <v/>
      </c>
    </row>
    <row r="249" spans="1:14" x14ac:dyDescent="0.3">
      <c r="A249" s="9">
        <v>247</v>
      </c>
      <c r="B249" s="10" t="str">
        <f>IFERROR(INDEX(Backtest!C:C,MATCH(Trades!A249,Backtest!K:K,0)),"")</f>
        <v/>
      </c>
      <c r="C249" s="10" t="str">
        <f>IFERROR(INDEX(Backtest!C:C,MATCH(Trades!A249,Backtest!L:L,0)),IF(ISNUMBER(B249),Backtest!$C$2519,""))</f>
        <v/>
      </c>
      <c r="D249" s="1" t="str">
        <f t="shared" si="6"/>
        <v/>
      </c>
      <c r="E249" s="11" t="str">
        <f>IFERROR(VLOOKUP(C249,Backtest!C:D,2,FALSE)/VLOOKUP(B249,Backtest!C:D,2,FALSE)-1,"")</f>
        <v/>
      </c>
      <c r="J249" s="9">
        <v>247</v>
      </c>
      <c r="K249" s="10" t="str">
        <f>IFERROR(INDEX(Backtest!C:C,MATCH(Trades!A249,Backtest!M:M,0)),"")</f>
        <v/>
      </c>
      <c r="L249" s="10" t="str">
        <f>IFERROR(INDEX(Backtest!C:C,MATCH(Trades!A249,Backtest!N:N,0)),IF(ISNUMBER(K249),Backtest!$C$2519,""))</f>
        <v/>
      </c>
      <c r="M249" s="1" t="str">
        <f t="shared" si="7"/>
        <v/>
      </c>
      <c r="N249" s="11" t="str">
        <f>IFERROR(VLOOKUP(L249,Backtest!C:D,2,FALSE)/VLOOKUP(K249,Backtest!C:D,2,FALSE)-1,"")</f>
        <v/>
      </c>
    </row>
    <row r="250" spans="1:14" x14ac:dyDescent="0.3">
      <c r="A250" s="9">
        <v>248</v>
      </c>
      <c r="B250" s="10" t="str">
        <f>IFERROR(INDEX(Backtest!C:C,MATCH(Trades!A250,Backtest!K:K,0)),"")</f>
        <v/>
      </c>
      <c r="C250" s="10" t="str">
        <f>IFERROR(INDEX(Backtest!C:C,MATCH(Trades!A250,Backtest!L:L,0)),IF(ISNUMBER(B250),Backtest!$C$2519,""))</f>
        <v/>
      </c>
      <c r="D250" s="1" t="str">
        <f t="shared" si="6"/>
        <v/>
      </c>
      <c r="E250" s="11" t="str">
        <f>IFERROR(VLOOKUP(C250,Backtest!C:D,2,FALSE)/VLOOKUP(B250,Backtest!C:D,2,FALSE)-1,"")</f>
        <v/>
      </c>
      <c r="J250" s="9">
        <v>248</v>
      </c>
      <c r="K250" s="10" t="str">
        <f>IFERROR(INDEX(Backtest!C:C,MATCH(Trades!A250,Backtest!M:M,0)),"")</f>
        <v/>
      </c>
      <c r="L250" s="10" t="str">
        <f>IFERROR(INDEX(Backtest!C:C,MATCH(Trades!A250,Backtest!N:N,0)),IF(ISNUMBER(K250),Backtest!$C$2519,""))</f>
        <v/>
      </c>
      <c r="M250" s="1" t="str">
        <f t="shared" si="7"/>
        <v/>
      </c>
      <c r="N250" s="11" t="str">
        <f>IFERROR(VLOOKUP(L250,Backtest!C:D,2,FALSE)/VLOOKUP(K250,Backtest!C:D,2,FALSE)-1,"")</f>
        <v/>
      </c>
    </row>
    <row r="251" spans="1:14" x14ac:dyDescent="0.3">
      <c r="A251" s="9">
        <v>249</v>
      </c>
      <c r="B251" s="10" t="str">
        <f>IFERROR(INDEX(Backtest!C:C,MATCH(Trades!A251,Backtest!K:K,0)),"")</f>
        <v/>
      </c>
      <c r="C251" s="10" t="str">
        <f>IFERROR(INDEX(Backtest!C:C,MATCH(Trades!A251,Backtest!L:L,0)),IF(ISNUMBER(B251),Backtest!$C$2519,""))</f>
        <v/>
      </c>
      <c r="D251" s="1" t="str">
        <f t="shared" si="6"/>
        <v/>
      </c>
      <c r="E251" s="11" t="str">
        <f>IFERROR(VLOOKUP(C251,Backtest!C:D,2,FALSE)/VLOOKUP(B251,Backtest!C:D,2,FALSE)-1,"")</f>
        <v/>
      </c>
      <c r="J251" s="9">
        <v>249</v>
      </c>
      <c r="K251" s="10" t="str">
        <f>IFERROR(INDEX(Backtest!C:C,MATCH(Trades!A251,Backtest!M:M,0)),"")</f>
        <v/>
      </c>
      <c r="L251" s="10" t="str">
        <f>IFERROR(INDEX(Backtest!C:C,MATCH(Trades!A251,Backtest!N:N,0)),IF(ISNUMBER(K251),Backtest!$C$2519,""))</f>
        <v/>
      </c>
      <c r="M251" s="1" t="str">
        <f t="shared" si="7"/>
        <v/>
      </c>
      <c r="N251" s="11" t="str">
        <f>IFERROR(VLOOKUP(L251,Backtest!C:D,2,FALSE)/VLOOKUP(K251,Backtest!C:D,2,FALSE)-1,"")</f>
        <v/>
      </c>
    </row>
    <row r="252" spans="1:14" x14ac:dyDescent="0.3">
      <c r="A252" s="9">
        <v>250</v>
      </c>
      <c r="B252" s="10" t="str">
        <f>IFERROR(INDEX(Backtest!C:C,MATCH(Trades!A252,Backtest!K:K,0)),"")</f>
        <v/>
      </c>
      <c r="C252" s="10" t="str">
        <f>IFERROR(INDEX(Backtest!C:C,MATCH(Trades!A252,Backtest!L:L,0)),IF(ISNUMBER(B252),Backtest!$C$2519,""))</f>
        <v/>
      </c>
      <c r="D252" s="1" t="str">
        <f t="shared" si="6"/>
        <v/>
      </c>
      <c r="E252" s="11" t="str">
        <f>IFERROR(VLOOKUP(C252,Backtest!C:D,2,FALSE)/VLOOKUP(B252,Backtest!C:D,2,FALSE)-1,"")</f>
        <v/>
      </c>
      <c r="J252" s="9">
        <v>250</v>
      </c>
      <c r="K252" s="10" t="str">
        <f>IFERROR(INDEX(Backtest!C:C,MATCH(Trades!A252,Backtest!M:M,0)),"")</f>
        <v/>
      </c>
      <c r="L252" s="10" t="str">
        <f>IFERROR(INDEX(Backtest!C:C,MATCH(Trades!A252,Backtest!N:N,0)),IF(ISNUMBER(K252),Backtest!$C$2519,""))</f>
        <v/>
      </c>
      <c r="M252" s="1" t="str">
        <f t="shared" si="7"/>
        <v/>
      </c>
      <c r="N252" s="11" t="str">
        <f>IFERROR(VLOOKUP(L252,Backtest!C:D,2,FALSE)/VLOOKUP(K252,Backtest!C:D,2,FALSE)-1,"")</f>
        <v/>
      </c>
    </row>
    <row r="253" spans="1:14" x14ac:dyDescent="0.3">
      <c r="A253" s="9">
        <v>251</v>
      </c>
      <c r="B253" s="10" t="str">
        <f>IFERROR(INDEX(Backtest!C:C,MATCH(Trades!A253,Backtest!K:K,0)),"")</f>
        <v/>
      </c>
      <c r="C253" s="10" t="str">
        <f>IFERROR(INDEX(Backtest!C:C,MATCH(Trades!A253,Backtest!L:L,0)),IF(ISNUMBER(B253),Backtest!$C$2519,""))</f>
        <v/>
      </c>
      <c r="D253" s="1" t="str">
        <f t="shared" si="6"/>
        <v/>
      </c>
      <c r="E253" s="11" t="str">
        <f>IFERROR(VLOOKUP(C253,Backtest!C:D,2,FALSE)/VLOOKUP(B253,Backtest!C:D,2,FALSE)-1,"")</f>
        <v/>
      </c>
      <c r="J253" s="9">
        <v>251</v>
      </c>
      <c r="K253" s="10" t="str">
        <f>IFERROR(INDEX(Backtest!C:C,MATCH(Trades!A253,Backtest!M:M,0)),"")</f>
        <v/>
      </c>
      <c r="L253" s="10" t="str">
        <f>IFERROR(INDEX(Backtest!C:C,MATCH(Trades!A253,Backtest!N:N,0)),IF(ISNUMBER(K253),Backtest!$C$2519,""))</f>
        <v/>
      </c>
      <c r="M253" s="1" t="str">
        <f t="shared" si="7"/>
        <v/>
      </c>
      <c r="N253" s="11" t="str">
        <f>IFERROR(VLOOKUP(L253,Backtest!C:D,2,FALSE)/VLOOKUP(K253,Backtest!C:D,2,FALSE)-1,"")</f>
        <v/>
      </c>
    </row>
    <row r="254" spans="1:14" x14ac:dyDescent="0.3">
      <c r="A254" s="9">
        <v>252</v>
      </c>
      <c r="B254" s="10" t="str">
        <f>IFERROR(INDEX(Backtest!C:C,MATCH(Trades!A254,Backtest!K:K,0)),"")</f>
        <v/>
      </c>
      <c r="C254" s="10" t="str">
        <f>IFERROR(INDEX(Backtest!C:C,MATCH(Trades!A254,Backtest!L:L,0)),IF(ISNUMBER(B254),Backtest!$C$2519,""))</f>
        <v/>
      </c>
      <c r="D254" s="1" t="str">
        <f t="shared" si="6"/>
        <v/>
      </c>
      <c r="E254" s="11" t="str">
        <f>IFERROR(VLOOKUP(C254,Backtest!C:D,2,FALSE)/VLOOKUP(B254,Backtest!C:D,2,FALSE)-1,"")</f>
        <v/>
      </c>
      <c r="J254" s="9">
        <v>252</v>
      </c>
      <c r="K254" s="10" t="str">
        <f>IFERROR(INDEX(Backtest!C:C,MATCH(Trades!A254,Backtest!M:M,0)),"")</f>
        <v/>
      </c>
      <c r="L254" s="10" t="str">
        <f>IFERROR(INDEX(Backtest!C:C,MATCH(Trades!A254,Backtest!N:N,0)),IF(ISNUMBER(K254),Backtest!$C$2519,""))</f>
        <v/>
      </c>
      <c r="M254" s="1" t="str">
        <f t="shared" si="7"/>
        <v/>
      </c>
      <c r="N254" s="11" t="str">
        <f>IFERROR(VLOOKUP(L254,Backtest!C:D,2,FALSE)/VLOOKUP(K254,Backtest!C:D,2,FALSE)-1,"")</f>
        <v/>
      </c>
    </row>
    <row r="255" spans="1:14" x14ac:dyDescent="0.3">
      <c r="A255" s="9">
        <v>253</v>
      </c>
      <c r="B255" s="10" t="str">
        <f>IFERROR(INDEX(Backtest!C:C,MATCH(Trades!A255,Backtest!K:K,0)),"")</f>
        <v/>
      </c>
      <c r="C255" s="10" t="str">
        <f>IFERROR(INDEX(Backtest!C:C,MATCH(Trades!A255,Backtest!L:L,0)),IF(ISNUMBER(B255),Backtest!$C$2519,""))</f>
        <v/>
      </c>
      <c r="D255" s="1" t="str">
        <f t="shared" si="6"/>
        <v/>
      </c>
      <c r="E255" s="11" t="str">
        <f>IFERROR(VLOOKUP(C255,Backtest!C:D,2,FALSE)/VLOOKUP(B255,Backtest!C:D,2,FALSE)-1,"")</f>
        <v/>
      </c>
      <c r="J255" s="9">
        <v>253</v>
      </c>
      <c r="K255" s="10" t="str">
        <f>IFERROR(INDEX(Backtest!C:C,MATCH(Trades!A255,Backtest!M:M,0)),"")</f>
        <v/>
      </c>
      <c r="L255" s="10" t="str">
        <f>IFERROR(INDEX(Backtest!C:C,MATCH(Trades!A255,Backtest!N:N,0)),IF(ISNUMBER(K255),Backtest!$C$2519,""))</f>
        <v/>
      </c>
      <c r="M255" s="1" t="str">
        <f t="shared" si="7"/>
        <v/>
      </c>
      <c r="N255" s="11" t="str">
        <f>IFERROR(VLOOKUP(L255,Backtest!C:D,2,FALSE)/VLOOKUP(K255,Backtest!C:D,2,FALSE)-1,"")</f>
        <v/>
      </c>
    </row>
    <row r="256" spans="1:14" x14ac:dyDescent="0.3">
      <c r="A256" s="9">
        <v>254</v>
      </c>
      <c r="B256" s="10" t="str">
        <f>IFERROR(INDEX(Backtest!C:C,MATCH(Trades!A256,Backtest!K:K,0)),"")</f>
        <v/>
      </c>
      <c r="C256" s="10" t="str">
        <f>IFERROR(INDEX(Backtest!C:C,MATCH(Trades!A256,Backtest!L:L,0)),IF(ISNUMBER(B256),Backtest!$C$2519,""))</f>
        <v/>
      </c>
      <c r="D256" s="1" t="str">
        <f t="shared" si="6"/>
        <v/>
      </c>
      <c r="E256" s="11" t="str">
        <f>IFERROR(VLOOKUP(C256,Backtest!C:D,2,FALSE)/VLOOKUP(B256,Backtest!C:D,2,FALSE)-1,"")</f>
        <v/>
      </c>
      <c r="J256" s="9">
        <v>254</v>
      </c>
      <c r="K256" s="10" t="str">
        <f>IFERROR(INDEX(Backtest!C:C,MATCH(Trades!A256,Backtest!M:M,0)),"")</f>
        <v/>
      </c>
      <c r="L256" s="10" t="str">
        <f>IFERROR(INDEX(Backtest!C:C,MATCH(Trades!A256,Backtest!N:N,0)),IF(ISNUMBER(K256),Backtest!$C$2519,""))</f>
        <v/>
      </c>
      <c r="M256" s="1" t="str">
        <f t="shared" si="7"/>
        <v/>
      </c>
      <c r="N256" s="11" t="str">
        <f>IFERROR(VLOOKUP(L256,Backtest!C:D,2,FALSE)/VLOOKUP(K256,Backtest!C:D,2,FALSE)-1,"")</f>
        <v/>
      </c>
    </row>
    <row r="257" spans="1:14" x14ac:dyDescent="0.3">
      <c r="A257" s="9">
        <v>255</v>
      </c>
      <c r="B257" s="10" t="str">
        <f>IFERROR(INDEX(Backtest!C:C,MATCH(Trades!A257,Backtest!K:K,0)),"")</f>
        <v/>
      </c>
      <c r="C257" s="10" t="str">
        <f>IFERROR(INDEX(Backtest!C:C,MATCH(Trades!A257,Backtest!L:L,0)),IF(ISNUMBER(B257),Backtest!$C$2519,""))</f>
        <v/>
      </c>
      <c r="D257" s="1" t="str">
        <f t="shared" si="6"/>
        <v/>
      </c>
      <c r="E257" s="11" t="str">
        <f>IFERROR(VLOOKUP(C257,Backtest!C:D,2,FALSE)/VLOOKUP(B257,Backtest!C:D,2,FALSE)-1,"")</f>
        <v/>
      </c>
      <c r="J257" s="9">
        <v>255</v>
      </c>
      <c r="K257" s="10" t="str">
        <f>IFERROR(INDEX(Backtest!C:C,MATCH(Trades!A257,Backtest!M:M,0)),"")</f>
        <v/>
      </c>
      <c r="L257" s="10" t="str">
        <f>IFERROR(INDEX(Backtest!C:C,MATCH(Trades!A257,Backtest!N:N,0)),IF(ISNUMBER(K257),Backtest!$C$2519,""))</f>
        <v/>
      </c>
      <c r="M257" s="1" t="str">
        <f t="shared" si="7"/>
        <v/>
      </c>
      <c r="N257" s="11" t="str">
        <f>IFERROR(VLOOKUP(L257,Backtest!C:D,2,FALSE)/VLOOKUP(K257,Backtest!C:D,2,FALSE)-1,"")</f>
        <v/>
      </c>
    </row>
    <row r="258" spans="1:14" x14ac:dyDescent="0.3">
      <c r="A258" s="9">
        <v>256</v>
      </c>
      <c r="B258" s="10" t="str">
        <f>IFERROR(INDEX(Backtest!C:C,MATCH(Trades!A258,Backtest!K:K,0)),"")</f>
        <v/>
      </c>
      <c r="C258" s="10" t="str">
        <f>IFERROR(INDEX(Backtest!C:C,MATCH(Trades!A258,Backtest!L:L,0)),IF(ISNUMBER(B258),Backtest!$C$2519,""))</f>
        <v/>
      </c>
      <c r="D258" s="1" t="str">
        <f t="shared" si="6"/>
        <v/>
      </c>
      <c r="E258" s="11" t="str">
        <f>IFERROR(VLOOKUP(C258,Backtest!C:D,2,FALSE)/VLOOKUP(B258,Backtest!C:D,2,FALSE)-1,"")</f>
        <v/>
      </c>
      <c r="J258" s="9">
        <v>256</v>
      </c>
      <c r="K258" s="10" t="str">
        <f>IFERROR(INDEX(Backtest!C:C,MATCH(Trades!A258,Backtest!M:M,0)),"")</f>
        <v/>
      </c>
      <c r="L258" s="10" t="str">
        <f>IFERROR(INDEX(Backtest!C:C,MATCH(Trades!A258,Backtest!N:N,0)),IF(ISNUMBER(K258),Backtest!$C$2519,""))</f>
        <v/>
      </c>
      <c r="M258" s="1" t="str">
        <f t="shared" si="7"/>
        <v/>
      </c>
      <c r="N258" s="11" t="str">
        <f>IFERROR(VLOOKUP(L258,Backtest!C:D,2,FALSE)/VLOOKUP(K258,Backtest!C:D,2,FALSE)-1,"")</f>
        <v/>
      </c>
    </row>
    <row r="259" spans="1:14" x14ac:dyDescent="0.3">
      <c r="A259" s="9">
        <v>257</v>
      </c>
      <c r="B259" s="10" t="str">
        <f>IFERROR(INDEX(Backtest!C:C,MATCH(Trades!A259,Backtest!K:K,0)),"")</f>
        <v/>
      </c>
      <c r="C259" s="10" t="str">
        <f>IFERROR(INDEX(Backtest!C:C,MATCH(Trades!A259,Backtest!L:L,0)),IF(ISNUMBER(B259),Backtest!$C$2519,""))</f>
        <v/>
      </c>
      <c r="D259" s="1" t="str">
        <f t="shared" si="6"/>
        <v/>
      </c>
      <c r="E259" s="11" t="str">
        <f>IFERROR(VLOOKUP(C259,Backtest!C:D,2,FALSE)/VLOOKUP(B259,Backtest!C:D,2,FALSE)-1,"")</f>
        <v/>
      </c>
      <c r="J259" s="9">
        <v>257</v>
      </c>
      <c r="K259" s="10" t="str">
        <f>IFERROR(INDEX(Backtest!C:C,MATCH(Trades!A259,Backtest!M:M,0)),"")</f>
        <v/>
      </c>
      <c r="L259" s="10" t="str">
        <f>IFERROR(INDEX(Backtest!C:C,MATCH(Trades!A259,Backtest!N:N,0)),IF(ISNUMBER(K259),Backtest!$C$2519,""))</f>
        <v/>
      </c>
      <c r="M259" s="1" t="str">
        <f t="shared" si="7"/>
        <v/>
      </c>
      <c r="N259" s="11" t="str">
        <f>IFERROR(VLOOKUP(L259,Backtest!C:D,2,FALSE)/VLOOKUP(K259,Backtest!C:D,2,FALSE)-1,"")</f>
        <v/>
      </c>
    </row>
    <row r="260" spans="1:14" x14ac:dyDescent="0.3">
      <c r="A260" s="9">
        <v>258</v>
      </c>
      <c r="B260" s="10" t="str">
        <f>IFERROR(INDEX(Backtest!C:C,MATCH(Trades!A260,Backtest!K:K,0)),"")</f>
        <v/>
      </c>
      <c r="C260" s="10" t="str">
        <f>IFERROR(INDEX(Backtest!C:C,MATCH(Trades!A260,Backtest!L:L,0)),IF(ISNUMBER(B260),Backtest!$C$2519,""))</f>
        <v/>
      </c>
      <c r="D260" s="1" t="str">
        <f t="shared" ref="D260:D323" si="8">IF(ISNUMBER(B260),NETWORKDAYS(B260,C260),"")</f>
        <v/>
      </c>
      <c r="E260" s="11" t="str">
        <f>IFERROR(VLOOKUP(C260,Backtest!C:D,2,FALSE)/VLOOKUP(B260,Backtest!C:D,2,FALSE)-1,"")</f>
        <v/>
      </c>
      <c r="J260" s="9">
        <v>258</v>
      </c>
      <c r="K260" s="10" t="str">
        <f>IFERROR(INDEX(Backtest!C:C,MATCH(Trades!A260,Backtest!M:M,0)),"")</f>
        <v/>
      </c>
      <c r="L260" s="10" t="str">
        <f>IFERROR(INDEX(Backtest!C:C,MATCH(Trades!A260,Backtest!N:N,0)),IF(ISNUMBER(K260),Backtest!$C$2519,""))</f>
        <v/>
      </c>
      <c r="M260" s="1" t="str">
        <f t="shared" ref="M260:M323" si="9">IF(ISNUMBER(K260),NETWORKDAYS(K260,L260),"")</f>
        <v/>
      </c>
      <c r="N260" s="11" t="str">
        <f>IFERROR(VLOOKUP(L260,Backtest!C:D,2,FALSE)/VLOOKUP(K260,Backtest!C:D,2,FALSE)-1,"")</f>
        <v/>
      </c>
    </row>
    <row r="261" spans="1:14" x14ac:dyDescent="0.3">
      <c r="A261" s="9">
        <v>259</v>
      </c>
      <c r="B261" s="10" t="str">
        <f>IFERROR(INDEX(Backtest!C:C,MATCH(Trades!A261,Backtest!K:K,0)),"")</f>
        <v/>
      </c>
      <c r="C261" s="10" t="str">
        <f>IFERROR(INDEX(Backtest!C:C,MATCH(Trades!A261,Backtest!L:L,0)),IF(ISNUMBER(B261),Backtest!$C$2519,""))</f>
        <v/>
      </c>
      <c r="D261" s="1" t="str">
        <f t="shared" si="8"/>
        <v/>
      </c>
      <c r="E261" s="11" t="str">
        <f>IFERROR(VLOOKUP(C261,Backtest!C:D,2,FALSE)/VLOOKUP(B261,Backtest!C:D,2,FALSE)-1,"")</f>
        <v/>
      </c>
      <c r="J261" s="9">
        <v>259</v>
      </c>
      <c r="K261" s="10" t="str">
        <f>IFERROR(INDEX(Backtest!C:C,MATCH(Trades!A261,Backtest!M:M,0)),"")</f>
        <v/>
      </c>
      <c r="L261" s="10" t="str">
        <f>IFERROR(INDEX(Backtest!C:C,MATCH(Trades!A261,Backtest!N:N,0)),IF(ISNUMBER(K261),Backtest!$C$2519,""))</f>
        <v/>
      </c>
      <c r="M261" s="1" t="str">
        <f t="shared" si="9"/>
        <v/>
      </c>
      <c r="N261" s="11" t="str">
        <f>IFERROR(VLOOKUP(L261,Backtest!C:D,2,FALSE)/VLOOKUP(K261,Backtest!C:D,2,FALSE)-1,"")</f>
        <v/>
      </c>
    </row>
    <row r="262" spans="1:14" x14ac:dyDescent="0.3">
      <c r="A262" s="9">
        <v>260</v>
      </c>
      <c r="B262" s="10" t="str">
        <f>IFERROR(INDEX(Backtest!C:C,MATCH(Trades!A262,Backtest!K:K,0)),"")</f>
        <v/>
      </c>
      <c r="C262" s="10" t="str">
        <f>IFERROR(INDEX(Backtest!C:C,MATCH(Trades!A262,Backtest!L:L,0)),IF(ISNUMBER(B262),Backtest!$C$2519,""))</f>
        <v/>
      </c>
      <c r="D262" s="1" t="str">
        <f t="shared" si="8"/>
        <v/>
      </c>
      <c r="E262" s="11" t="str">
        <f>IFERROR(VLOOKUP(C262,Backtest!C:D,2,FALSE)/VLOOKUP(B262,Backtest!C:D,2,FALSE)-1,"")</f>
        <v/>
      </c>
      <c r="J262" s="9">
        <v>260</v>
      </c>
      <c r="K262" s="10" t="str">
        <f>IFERROR(INDEX(Backtest!C:C,MATCH(Trades!A262,Backtest!M:M,0)),"")</f>
        <v/>
      </c>
      <c r="L262" s="10" t="str">
        <f>IFERROR(INDEX(Backtest!C:C,MATCH(Trades!A262,Backtest!N:N,0)),IF(ISNUMBER(K262),Backtest!$C$2519,""))</f>
        <v/>
      </c>
      <c r="M262" s="1" t="str">
        <f t="shared" si="9"/>
        <v/>
      </c>
      <c r="N262" s="11" t="str">
        <f>IFERROR(VLOOKUP(L262,Backtest!C:D,2,FALSE)/VLOOKUP(K262,Backtest!C:D,2,FALSE)-1,"")</f>
        <v/>
      </c>
    </row>
    <row r="263" spans="1:14" x14ac:dyDescent="0.3">
      <c r="A263" s="9">
        <v>261</v>
      </c>
      <c r="B263" s="10" t="str">
        <f>IFERROR(INDEX(Backtest!C:C,MATCH(Trades!A263,Backtest!K:K,0)),"")</f>
        <v/>
      </c>
      <c r="C263" s="10" t="str">
        <f>IFERROR(INDEX(Backtest!C:C,MATCH(Trades!A263,Backtest!L:L,0)),IF(ISNUMBER(B263),Backtest!$C$2519,""))</f>
        <v/>
      </c>
      <c r="D263" s="1" t="str">
        <f t="shared" si="8"/>
        <v/>
      </c>
      <c r="E263" s="11" t="str">
        <f>IFERROR(VLOOKUP(C263,Backtest!C:D,2,FALSE)/VLOOKUP(B263,Backtest!C:D,2,FALSE)-1,"")</f>
        <v/>
      </c>
      <c r="J263" s="9">
        <v>261</v>
      </c>
      <c r="K263" s="10" t="str">
        <f>IFERROR(INDEX(Backtest!C:C,MATCH(Trades!A263,Backtest!M:M,0)),"")</f>
        <v/>
      </c>
      <c r="L263" s="10" t="str">
        <f>IFERROR(INDEX(Backtest!C:C,MATCH(Trades!A263,Backtest!N:N,0)),IF(ISNUMBER(K263),Backtest!$C$2519,""))</f>
        <v/>
      </c>
      <c r="M263" s="1" t="str">
        <f t="shared" si="9"/>
        <v/>
      </c>
      <c r="N263" s="11" t="str">
        <f>IFERROR(VLOOKUP(L263,Backtest!C:D,2,FALSE)/VLOOKUP(K263,Backtest!C:D,2,FALSE)-1,"")</f>
        <v/>
      </c>
    </row>
    <row r="264" spans="1:14" x14ac:dyDescent="0.3">
      <c r="A264" s="9">
        <v>262</v>
      </c>
      <c r="B264" s="10" t="str">
        <f>IFERROR(INDEX(Backtest!C:C,MATCH(Trades!A264,Backtest!K:K,0)),"")</f>
        <v/>
      </c>
      <c r="C264" s="10" t="str">
        <f>IFERROR(INDEX(Backtest!C:C,MATCH(Trades!A264,Backtest!L:L,0)),IF(ISNUMBER(B264),Backtest!$C$2519,""))</f>
        <v/>
      </c>
      <c r="D264" s="1" t="str">
        <f t="shared" si="8"/>
        <v/>
      </c>
      <c r="E264" s="11" t="str">
        <f>IFERROR(VLOOKUP(C264,Backtest!C:D,2,FALSE)/VLOOKUP(B264,Backtest!C:D,2,FALSE)-1,"")</f>
        <v/>
      </c>
      <c r="J264" s="9">
        <v>262</v>
      </c>
      <c r="K264" s="10" t="str">
        <f>IFERROR(INDEX(Backtest!C:C,MATCH(Trades!A264,Backtest!M:M,0)),"")</f>
        <v/>
      </c>
      <c r="L264" s="10" t="str">
        <f>IFERROR(INDEX(Backtest!C:C,MATCH(Trades!A264,Backtest!N:N,0)),IF(ISNUMBER(K264),Backtest!$C$2519,""))</f>
        <v/>
      </c>
      <c r="M264" s="1" t="str">
        <f t="shared" si="9"/>
        <v/>
      </c>
      <c r="N264" s="11" t="str">
        <f>IFERROR(VLOOKUP(L264,Backtest!C:D,2,FALSE)/VLOOKUP(K264,Backtest!C:D,2,FALSE)-1,"")</f>
        <v/>
      </c>
    </row>
    <row r="265" spans="1:14" x14ac:dyDescent="0.3">
      <c r="A265" s="9">
        <v>263</v>
      </c>
      <c r="B265" s="10" t="str">
        <f>IFERROR(INDEX(Backtest!C:C,MATCH(Trades!A265,Backtest!K:K,0)),"")</f>
        <v/>
      </c>
      <c r="C265" s="10" t="str">
        <f>IFERROR(INDEX(Backtest!C:C,MATCH(Trades!A265,Backtest!L:L,0)),IF(ISNUMBER(B265),Backtest!$C$2519,""))</f>
        <v/>
      </c>
      <c r="D265" s="1" t="str">
        <f t="shared" si="8"/>
        <v/>
      </c>
      <c r="E265" s="11" t="str">
        <f>IFERROR(VLOOKUP(C265,Backtest!C:D,2,FALSE)/VLOOKUP(B265,Backtest!C:D,2,FALSE)-1,"")</f>
        <v/>
      </c>
      <c r="J265" s="9">
        <v>263</v>
      </c>
      <c r="K265" s="10" t="str">
        <f>IFERROR(INDEX(Backtest!C:C,MATCH(Trades!A265,Backtest!M:M,0)),"")</f>
        <v/>
      </c>
      <c r="L265" s="10" t="str">
        <f>IFERROR(INDEX(Backtest!C:C,MATCH(Trades!A265,Backtest!N:N,0)),IF(ISNUMBER(K265),Backtest!$C$2519,""))</f>
        <v/>
      </c>
      <c r="M265" s="1" t="str">
        <f t="shared" si="9"/>
        <v/>
      </c>
      <c r="N265" s="11" t="str">
        <f>IFERROR(VLOOKUP(L265,Backtest!C:D,2,FALSE)/VLOOKUP(K265,Backtest!C:D,2,FALSE)-1,"")</f>
        <v/>
      </c>
    </row>
    <row r="266" spans="1:14" x14ac:dyDescent="0.3">
      <c r="A266" s="9">
        <v>264</v>
      </c>
      <c r="B266" s="10" t="str">
        <f>IFERROR(INDEX(Backtest!C:C,MATCH(Trades!A266,Backtest!K:K,0)),"")</f>
        <v/>
      </c>
      <c r="C266" s="10" t="str">
        <f>IFERROR(INDEX(Backtest!C:C,MATCH(Trades!A266,Backtest!L:L,0)),IF(ISNUMBER(B266),Backtest!$C$2519,""))</f>
        <v/>
      </c>
      <c r="D266" s="1" t="str">
        <f t="shared" si="8"/>
        <v/>
      </c>
      <c r="E266" s="11" t="str">
        <f>IFERROR(VLOOKUP(C266,Backtest!C:D,2,FALSE)/VLOOKUP(B266,Backtest!C:D,2,FALSE)-1,"")</f>
        <v/>
      </c>
      <c r="J266" s="9">
        <v>264</v>
      </c>
      <c r="K266" s="10" t="str">
        <f>IFERROR(INDEX(Backtest!C:C,MATCH(Trades!A266,Backtest!M:M,0)),"")</f>
        <v/>
      </c>
      <c r="L266" s="10" t="str">
        <f>IFERROR(INDEX(Backtest!C:C,MATCH(Trades!A266,Backtest!N:N,0)),IF(ISNUMBER(K266),Backtest!$C$2519,""))</f>
        <v/>
      </c>
      <c r="M266" s="1" t="str">
        <f t="shared" si="9"/>
        <v/>
      </c>
      <c r="N266" s="11" t="str">
        <f>IFERROR(VLOOKUP(L266,Backtest!C:D,2,FALSE)/VLOOKUP(K266,Backtest!C:D,2,FALSE)-1,"")</f>
        <v/>
      </c>
    </row>
    <row r="267" spans="1:14" x14ac:dyDescent="0.3">
      <c r="A267" s="9">
        <v>265</v>
      </c>
      <c r="B267" s="10" t="str">
        <f>IFERROR(INDEX(Backtest!C:C,MATCH(Trades!A267,Backtest!K:K,0)),"")</f>
        <v/>
      </c>
      <c r="C267" s="10" t="str">
        <f>IFERROR(INDEX(Backtest!C:C,MATCH(Trades!A267,Backtest!L:L,0)),IF(ISNUMBER(B267),Backtest!$C$2519,""))</f>
        <v/>
      </c>
      <c r="D267" s="1" t="str">
        <f t="shared" si="8"/>
        <v/>
      </c>
      <c r="E267" s="11" t="str">
        <f>IFERROR(VLOOKUP(C267,Backtest!C:D,2,FALSE)/VLOOKUP(B267,Backtest!C:D,2,FALSE)-1,"")</f>
        <v/>
      </c>
      <c r="J267" s="9">
        <v>265</v>
      </c>
      <c r="K267" s="10" t="str">
        <f>IFERROR(INDEX(Backtest!C:C,MATCH(Trades!A267,Backtest!M:M,0)),"")</f>
        <v/>
      </c>
      <c r="L267" s="10" t="str">
        <f>IFERROR(INDEX(Backtest!C:C,MATCH(Trades!A267,Backtest!N:N,0)),IF(ISNUMBER(K267),Backtest!$C$2519,""))</f>
        <v/>
      </c>
      <c r="M267" s="1" t="str">
        <f t="shared" si="9"/>
        <v/>
      </c>
      <c r="N267" s="11" t="str">
        <f>IFERROR(VLOOKUP(L267,Backtest!C:D,2,FALSE)/VLOOKUP(K267,Backtest!C:D,2,FALSE)-1,"")</f>
        <v/>
      </c>
    </row>
    <row r="268" spans="1:14" x14ac:dyDescent="0.3">
      <c r="A268" s="9">
        <v>266</v>
      </c>
      <c r="B268" s="10" t="str">
        <f>IFERROR(INDEX(Backtest!C:C,MATCH(Trades!A268,Backtest!K:K,0)),"")</f>
        <v/>
      </c>
      <c r="C268" s="10" t="str">
        <f>IFERROR(INDEX(Backtest!C:C,MATCH(Trades!A268,Backtest!L:L,0)),IF(ISNUMBER(B268),Backtest!$C$2519,""))</f>
        <v/>
      </c>
      <c r="D268" s="1" t="str">
        <f t="shared" si="8"/>
        <v/>
      </c>
      <c r="E268" s="11" t="str">
        <f>IFERROR(VLOOKUP(C268,Backtest!C:D,2,FALSE)/VLOOKUP(B268,Backtest!C:D,2,FALSE)-1,"")</f>
        <v/>
      </c>
      <c r="J268" s="9">
        <v>266</v>
      </c>
      <c r="K268" s="10" t="str">
        <f>IFERROR(INDEX(Backtest!C:C,MATCH(Trades!A268,Backtest!M:M,0)),"")</f>
        <v/>
      </c>
      <c r="L268" s="10" t="str">
        <f>IFERROR(INDEX(Backtest!C:C,MATCH(Trades!A268,Backtest!N:N,0)),IF(ISNUMBER(K268),Backtest!$C$2519,""))</f>
        <v/>
      </c>
      <c r="M268" s="1" t="str">
        <f t="shared" si="9"/>
        <v/>
      </c>
      <c r="N268" s="11" t="str">
        <f>IFERROR(VLOOKUP(L268,Backtest!C:D,2,FALSE)/VLOOKUP(K268,Backtest!C:D,2,FALSE)-1,"")</f>
        <v/>
      </c>
    </row>
    <row r="269" spans="1:14" x14ac:dyDescent="0.3">
      <c r="A269" s="9">
        <v>267</v>
      </c>
      <c r="B269" s="10" t="str">
        <f>IFERROR(INDEX(Backtest!C:C,MATCH(Trades!A269,Backtest!K:K,0)),"")</f>
        <v/>
      </c>
      <c r="C269" s="10" t="str">
        <f>IFERROR(INDEX(Backtest!C:C,MATCH(Trades!A269,Backtest!L:L,0)),IF(ISNUMBER(B269),Backtest!$C$2519,""))</f>
        <v/>
      </c>
      <c r="D269" s="1" t="str">
        <f t="shared" si="8"/>
        <v/>
      </c>
      <c r="E269" s="11" t="str">
        <f>IFERROR(VLOOKUP(C269,Backtest!C:D,2,FALSE)/VLOOKUP(B269,Backtest!C:D,2,FALSE)-1,"")</f>
        <v/>
      </c>
      <c r="J269" s="9">
        <v>267</v>
      </c>
      <c r="K269" s="10" t="str">
        <f>IFERROR(INDEX(Backtest!C:C,MATCH(Trades!A269,Backtest!M:M,0)),"")</f>
        <v/>
      </c>
      <c r="L269" s="10" t="str">
        <f>IFERROR(INDEX(Backtest!C:C,MATCH(Trades!A269,Backtest!N:N,0)),IF(ISNUMBER(K269),Backtest!$C$2519,""))</f>
        <v/>
      </c>
      <c r="M269" s="1" t="str">
        <f t="shared" si="9"/>
        <v/>
      </c>
      <c r="N269" s="11" t="str">
        <f>IFERROR(VLOOKUP(L269,Backtest!C:D,2,FALSE)/VLOOKUP(K269,Backtest!C:D,2,FALSE)-1,"")</f>
        <v/>
      </c>
    </row>
    <row r="270" spans="1:14" x14ac:dyDescent="0.3">
      <c r="A270" s="9">
        <v>268</v>
      </c>
      <c r="B270" s="10" t="str">
        <f>IFERROR(INDEX(Backtest!C:C,MATCH(Trades!A270,Backtest!K:K,0)),"")</f>
        <v/>
      </c>
      <c r="C270" s="10" t="str">
        <f>IFERROR(INDEX(Backtest!C:C,MATCH(Trades!A270,Backtest!L:L,0)),IF(ISNUMBER(B270),Backtest!$C$2519,""))</f>
        <v/>
      </c>
      <c r="D270" s="1" t="str">
        <f t="shared" si="8"/>
        <v/>
      </c>
      <c r="E270" s="11" t="str">
        <f>IFERROR(VLOOKUP(C270,Backtest!C:D,2,FALSE)/VLOOKUP(B270,Backtest!C:D,2,FALSE)-1,"")</f>
        <v/>
      </c>
      <c r="J270" s="9">
        <v>268</v>
      </c>
      <c r="K270" s="10" t="str">
        <f>IFERROR(INDEX(Backtest!C:C,MATCH(Trades!A270,Backtest!M:M,0)),"")</f>
        <v/>
      </c>
      <c r="L270" s="10" t="str">
        <f>IFERROR(INDEX(Backtest!C:C,MATCH(Trades!A270,Backtest!N:N,0)),IF(ISNUMBER(K270),Backtest!$C$2519,""))</f>
        <v/>
      </c>
      <c r="M270" s="1" t="str">
        <f t="shared" si="9"/>
        <v/>
      </c>
      <c r="N270" s="11" t="str">
        <f>IFERROR(VLOOKUP(L270,Backtest!C:D,2,FALSE)/VLOOKUP(K270,Backtest!C:D,2,FALSE)-1,"")</f>
        <v/>
      </c>
    </row>
    <row r="271" spans="1:14" x14ac:dyDescent="0.3">
      <c r="A271" s="9">
        <v>269</v>
      </c>
      <c r="B271" s="10" t="str">
        <f>IFERROR(INDEX(Backtest!C:C,MATCH(Trades!A271,Backtest!K:K,0)),"")</f>
        <v/>
      </c>
      <c r="C271" s="10" t="str">
        <f>IFERROR(INDEX(Backtest!C:C,MATCH(Trades!A271,Backtest!L:L,0)),IF(ISNUMBER(B271),Backtest!$C$2519,""))</f>
        <v/>
      </c>
      <c r="D271" s="1" t="str">
        <f t="shared" si="8"/>
        <v/>
      </c>
      <c r="E271" s="11" t="str">
        <f>IFERROR(VLOOKUP(C271,Backtest!C:D,2,FALSE)/VLOOKUP(B271,Backtest!C:D,2,FALSE)-1,"")</f>
        <v/>
      </c>
      <c r="J271" s="9">
        <v>269</v>
      </c>
      <c r="K271" s="10" t="str">
        <f>IFERROR(INDEX(Backtest!C:C,MATCH(Trades!A271,Backtest!M:M,0)),"")</f>
        <v/>
      </c>
      <c r="L271" s="10" t="str">
        <f>IFERROR(INDEX(Backtest!C:C,MATCH(Trades!A271,Backtest!N:N,0)),IF(ISNUMBER(K271),Backtest!$C$2519,""))</f>
        <v/>
      </c>
      <c r="M271" s="1" t="str">
        <f t="shared" si="9"/>
        <v/>
      </c>
      <c r="N271" s="11" t="str">
        <f>IFERROR(VLOOKUP(L271,Backtest!C:D,2,FALSE)/VLOOKUP(K271,Backtest!C:D,2,FALSE)-1,"")</f>
        <v/>
      </c>
    </row>
    <row r="272" spans="1:14" x14ac:dyDescent="0.3">
      <c r="A272" s="9">
        <v>270</v>
      </c>
      <c r="B272" s="10" t="str">
        <f>IFERROR(INDEX(Backtest!C:C,MATCH(Trades!A272,Backtest!K:K,0)),"")</f>
        <v/>
      </c>
      <c r="C272" s="10" t="str">
        <f>IFERROR(INDEX(Backtest!C:C,MATCH(Trades!A272,Backtest!L:L,0)),IF(ISNUMBER(B272),Backtest!$C$2519,""))</f>
        <v/>
      </c>
      <c r="D272" s="1" t="str">
        <f t="shared" si="8"/>
        <v/>
      </c>
      <c r="E272" s="11" t="str">
        <f>IFERROR(VLOOKUP(C272,Backtest!C:D,2,FALSE)/VLOOKUP(B272,Backtest!C:D,2,FALSE)-1,"")</f>
        <v/>
      </c>
      <c r="J272" s="9">
        <v>270</v>
      </c>
      <c r="K272" s="10" t="str">
        <f>IFERROR(INDEX(Backtest!C:C,MATCH(Trades!A272,Backtest!M:M,0)),"")</f>
        <v/>
      </c>
      <c r="L272" s="10" t="str">
        <f>IFERROR(INDEX(Backtest!C:C,MATCH(Trades!A272,Backtest!N:N,0)),IF(ISNUMBER(K272),Backtest!$C$2519,""))</f>
        <v/>
      </c>
      <c r="M272" s="1" t="str">
        <f t="shared" si="9"/>
        <v/>
      </c>
      <c r="N272" s="11" t="str">
        <f>IFERROR(VLOOKUP(L272,Backtest!C:D,2,FALSE)/VLOOKUP(K272,Backtest!C:D,2,FALSE)-1,"")</f>
        <v/>
      </c>
    </row>
    <row r="273" spans="1:14" x14ac:dyDescent="0.3">
      <c r="A273" s="9">
        <v>271</v>
      </c>
      <c r="B273" s="10" t="str">
        <f>IFERROR(INDEX(Backtest!C:C,MATCH(Trades!A273,Backtest!K:K,0)),"")</f>
        <v/>
      </c>
      <c r="C273" s="10" t="str">
        <f>IFERROR(INDEX(Backtest!C:C,MATCH(Trades!A273,Backtest!L:L,0)),IF(ISNUMBER(B273),Backtest!$C$2519,""))</f>
        <v/>
      </c>
      <c r="D273" s="1" t="str">
        <f t="shared" si="8"/>
        <v/>
      </c>
      <c r="E273" s="11" t="str">
        <f>IFERROR(VLOOKUP(C273,Backtest!C:D,2,FALSE)/VLOOKUP(B273,Backtest!C:D,2,FALSE)-1,"")</f>
        <v/>
      </c>
      <c r="J273" s="9">
        <v>271</v>
      </c>
      <c r="K273" s="10" t="str">
        <f>IFERROR(INDEX(Backtest!C:C,MATCH(Trades!A273,Backtest!M:M,0)),"")</f>
        <v/>
      </c>
      <c r="L273" s="10" t="str">
        <f>IFERROR(INDEX(Backtest!C:C,MATCH(Trades!A273,Backtest!N:N,0)),IF(ISNUMBER(K273),Backtest!$C$2519,""))</f>
        <v/>
      </c>
      <c r="M273" s="1" t="str">
        <f t="shared" si="9"/>
        <v/>
      </c>
      <c r="N273" s="11" t="str">
        <f>IFERROR(VLOOKUP(L273,Backtest!C:D,2,FALSE)/VLOOKUP(K273,Backtest!C:D,2,FALSE)-1,"")</f>
        <v/>
      </c>
    </row>
    <row r="274" spans="1:14" x14ac:dyDescent="0.3">
      <c r="A274" s="9">
        <v>272</v>
      </c>
      <c r="B274" s="10" t="str">
        <f>IFERROR(INDEX(Backtest!C:C,MATCH(Trades!A274,Backtest!K:K,0)),"")</f>
        <v/>
      </c>
      <c r="C274" s="10" t="str">
        <f>IFERROR(INDEX(Backtest!C:C,MATCH(Trades!A274,Backtest!L:L,0)),IF(ISNUMBER(B274),Backtest!$C$2519,""))</f>
        <v/>
      </c>
      <c r="D274" s="1" t="str">
        <f t="shared" si="8"/>
        <v/>
      </c>
      <c r="E274" s="11" t="str">
        <f>IFERROR(VLOOKUP(C274,Backtest!C:D,2,FALSE)/VLOOKUP(B274,Backtest!C:D,2,FALSE)-1,"")</f>
        <v/>
      </c>
      <c r="J274" s="9">
        <v>272</v>
      </c>
      <c r="K274" s="10" t="str">
        <f>IFERROR(INDEX(Backtest!C:C,MATCH(Trades!A274,Backtest!M:M,0)),"")</f>
        <v/>
      </c>
      <c r="L274" s="10" t="str">
        <f>IFERROR(INDEX(Backtest!C:C,MATCH(Trades!A274,Backtest!N:N,0)),IF(ISNUMBER(K274),Backtest!$C$2519,""))</f>
        <v/>
      </c>
      <c r="M274" s="1" t="str">
        <f t="shared" si="9"/>
        <v/>
      </c>
      <c r="N274" s="11" t="str">
        <f>IFERROR(VLOOKUP(L274,Backtest!C:D,2,FALSE)/VLOOKUP(K274,Backtest!C:D,2,FALSE)-1,"")</f>
        <v/>
      </c>
    </row>
    <row r="275" spans="1:14" x14ac:dyDescent="0.3">
      <c r="A275" s="9">
        <v>273</v>
      </c>
      <c r="B275" s="10" t="str">
        <f>IFERROR(INDEX(Backtest!C:C,MATCH(Trades!A275,Backtest!K:K,0)),"")</f>
        <v/>
      </c>
      <c r="C275" s="10" t="str">
        <f>IFERROR(INDEX(Backtest!C:C,MATCH(Trades!A275,Backtest!L:L,0)),IF(ISNUMBER(B275),Backtest!$C$2519,""))</f>
        <v/>
      </c>
      <c r="D275" s="1" t="str">
        <f t="shared" si="8"/>
        <v/>
      </c>
      <c r="E275" s="11" t="str">
        <f>IFERROR(VLOOKUP(C275,Backtest!C:D,2,FALSE)/VLOOKUP(B275,Backtest!C:D,2,FALSE)-1,"")</f>
        <v/>
      </c>
      <c r="J275" s="9">
        <v>273</v>
      </c>
      <c r="K275" s="10" t="str">
        <f>IFERROR(INDEX(Backtest!C:C,MATCH(Trades!A275,Backtest!M:M,0)),"")</f>
        <v/>
      </c>
      <c r="L275" s="10" t="str">
        <f>IFERROR(INDEX(Backtest!C:C,MATCH(Trades!A275,Backtest!N:N,0)),IF(ISNUMBER(K275),Backtest!$C$2519,""))</f>
        <v/>
      </c>
      <c r="M275" s="1" t="str">
        <f t="shared" si="9"/>
        <v/>
      </c>
      <c r="N275" s="11" t="str">
        <f>IFERROR(VLOOKUP(L275,Backtest!C:D,2,FALSE)/VLOOKUP(K275,Backtest!C:D,2,FALSE)-1,"")</f>
        <v/>
      </c>
    </row>
    <row r="276" spans="1:14" x14ac:dyDescent="0.3">
      <c r="A276" s="9">
        <v>274</v>
      </c>
      <c r="B276" s="10" t="str">
        <f>IFERROR(INDEX(Backtest!C:C,MATCH(Trades!A276,Backtest!K:K,0)),"")</f>
        <v/>
      </c>
      <c r="C276" s="10" t="str">
        <f>IFERROR(INDEX(Backtest!C:C,MATCH(Trades!A276,Backtest!L:L,0)),IF(ISNUMBER(B276),Backtest!$C$2519,""))</f>
        <v/>
      </c>
      <c r="D276" s="1" t="str">
        <f t="shared" si="8"/>
        <v/>
      </c>
      <c r="E276" s="11" t="str">
        <f>IFERROR(VLOOKUP(C276,Backtest!C:D,2,FALSE)/VLOOKUP(B276,Backtest!C:D,2,FALSE)-1,"")</f>
        <v/>
      </c>
      <c r="J276" s="9">
        <v>274</v>
      </c>
      <c r="K276" s="10" t="str">
        <f>IFERROR(INDEX(Backtest!C:C,MATCH(Trades!A276,Backtest!M:M,0)),"")</f>
        <v/>
      </c>
      <c r="L276" s="10" t="str">
        <f>IFERROR(INDEX(Backtest!C:C,MATCH(Trades!A276,Backtest!N:N,0)),IF(ISNUMBER(K276),Backtest!$C$2519,""))</f>
        <v/>
      </c>
      <c r="M276" s="1" t="str">
        <f t="shared" si="9"/>
        <v/>
      </c>
      <c r="N276" s="11" t="str">
        <f>IFERROR(VLOOKUP(L276,Backtest!C:D,2,FALSE)/VLOOKUP(K276,Backtest!C:D,2,FALSE)-1,"")</f>
        <v/>
      </c>
    </row>
    <row r="277" spans="1:14" x14ac:dyDescent="0.3">
      <c r="A277" s="9">
        <v>275</v>
      </c>
      <c r="B277" s="10" t="str">
        <f>IFERROR(INDEX(Backtest!C:C,MATCH(Trades!A277,Backtest!K:K,0)),"")</f>
        <v/>
      </c>
      <c r="C277" s="10" t="str">
        <f>IFERROR(INDEX(Backtest!C:C,MATCH(Trades!A277,Backtest!L:L,0)),IF(ISNUMBER(B277),Backtest!$C$2519,""))</f>
        <v/>
      </c>
      <c r="D277" s="1" t="str">
        <f t="shared" si="8"/>
        <v/>
      </c>
      <c r="E277" s="11" t="str">
        <f>IFERROR(VLOOKUP(C277,Backtest!C:D,2,FALSE)/VLOOKUP(B277,Backtest!C:D,2,FALSE)-1,"")</f>
        <v/>
      </c>
      <c r="J277" s="9">
        <v>275</v>
      </c>
      <c r="K277" s="10" t="str">
        <f>IFERROR(INDEX(Backtest!C:C,MATCH(Trades!A277,Backtest!M:M,0)),"")</f>
        <v/>
      </c>
      <c r="L277" s="10" t="str">
        <f>IFERROR(INDEX(Backtest!C:C,MATCH(Trades!A277,Backtest!N:N,0)),IF(ISNUMBER(K277),Backtest!$C$2519,""))</f>
        <v/>
      </c>
      <c r="M277" s="1" t="str">
        <f t="shared" si="9"/>
        <v/>
      </c>
      <c r="N277" s="11" t="str">
        <f>IFERROR(VLOOKUP(L277,Backtest!C:D,2,FALSE)/VLOOKUP(K277,Backtest!C:D,2,FALSE)-1,"")</f>
        <v/>
      </c>
    </row>
    <row r="278" spans="1:14" x14ac:dyDescent="0.3">
      <c r="A278" s="9">
        <v>276</v>
      </c>
      <c r="B278" s="10" t="str">
        <f>IFERROR(INDEX(Backtest!C:C,MATCH(Trades!A278,Backtest!K:K,0)),"")</f>
        <v/>
      </c>
      <c r="C278" s="10" t="str">
        <f>IFERROR(INDEX(Backtest!C:C,MATCH(Trades!A278,Backtest!L:L,0)),IF(ISNUMBER(B278),Backtest!$C$2519,""))</f>
        <v/>
      </c>
      <c r="D278" s="1" t="str">
        <f t="shared" si="8"/>
        <v/>
      </c>
      <c r="E278" s="11" t="str">
        <f>IFERROR(VLOOKUP(C278,Backtest!C:D,2,FALSE)/VLOOKUP(B278,Backtest!C:D,2,FALSE)-1,"")</f>
        <v/>
      </c>
      <c r="J278" s="9">
        <v>276</v>
      </c>
      <c r="K278" s="10" t="str">
        <f>IFERROR(INDEX(Backtest!C:C,MATCH(Trades!A278,Backtest!M:M,0)),"")</f>
        <v/>
      </c>
      <c r="L278" s="10" t="str">
        <f>IFERROR(INDEX(Backtest!C:C,MATCH(Trades!A278,Backtest!N:N,0)),IF(ISNUMBER(K278),Backtest!$C$2519,""))</f>
        <v/>
      </c>
      <c r="M278" s="1" t="str">
        <f t="shared" si="9"/>
        <v/>
      </c>
      <c r="N278" s="11" t="str">
        <f>IFERROR(VLOOKUP(L278,Backtest!C:D,2,FALSE)/VLOOKUP(K278,Backtest!C:D,2,FALSE)-1,"")</f>
        <v/>
      </c>
    </row>
    <row r="279" spans="1:14" x14ac:dyDescent="0.3">
      <c r="A279" s="9">
        <v>277</v>
      </c>
      <c r="B279" s="10" t="str">
        <f>IFERROR(INDEX(Backtest!C:C,MATCH(Trades!A279,Backtest!K:K,0)),"")</f>
        <v/>
      </c>
      <c r="C279" s="10" t="str">
        <f>IFERROR(INDEX(Backtest!C:C,MATCH(Trades!A279,Backtest!L:L,0)),IF(ISNUMBER(B279),Backtest!$C$2519,""))</f>
        <v/>
      </c>
      <c r="D279" s="1" t="str">
        <f t="shared" si="8"/>
        <v/>
      </c>
      <c r="E279" s="11" t="str">
        <f>IFERROR(VLOOKUP(C279,Backtest!C:D,2,FALSE)/VLOOKUP(B279,Backtest!C:D,2,FALSE)-1,"")</f>
        <v/>
      </c>
      <c r="J279" s="9">
        <v>277</v>
      </c>
      <c r="K279" s="10" t="str">
        <f>IFERROR(INDEX(Backtest!C:C,MATCH(Trades!A279,Backtest!M:M,0)),"")</f>
        <v/>
      </c>
      <c r="L279" s="10" t="str">
        <f>IFERROR(INDEX(Backtest!C:C,MATCH(Trades!A279,Backtest!N:N,0)),IF(ISNUMBER(K279),Backtest!$C$2519,""))</f>
        <v/>
      </c>
      <c r="M279" s="1" t="str">
        <f t="shared" si="9"/>
        <v/>
      </c>
      <c r="N279" s="11" t="str">
        <f>IFERROR(VLOOKUP(L279,Backtest!C:D,2,FALSE)/VLOOKUP(K279,Backtest!C:D,2,FALSE)-1,"")</f>
        <v/>
      </c>
    </row>
    <row r="280" spans="1:14" x14ac:dyDescent="0.3">
      <c r="A280" s="9">
        <v>278</v>
      </c>
      <c r="B280" s="10" t="str">
        <f>IFERROR(INDEX(Backtest!C:C,MATCH(Trades!A280,Backtest!K:K,0)),"")</f>
        <v/>
      </c>
      <c r="C280" s="10" t="str">
        <f>IFERROR(INDEX(Backtest!C:C,MATCH(Trades!A280,Backtest!L:L,0)),IF(ISNUMBER(B280),Backtest!$C$2519,""))</f>
        <v/>
      </c>
      <c r="D280" s="1" t="str">
        <f t="shared" si="8"/>
        <v/>
      </c>
      <c r="E280" s="11" t="str">
        <f>IFERROR(VLOOKUP(C280,Backtest!C:D,2,FALSE)/VLOOKUP(B280,Backtest!C:D,2,FALSE)-1,"")</f>
        <v/>
      </c>
      <c r="J280" s="9">
        <v>278</v>
      </c>
      <c r="K280" s="10" t="str">
        <f>IFERROR(INDEX(Backtest!C:C,MATCH(Trades!A280,Backtest!M:M,0)),"")</f>
        <v/>
      </c>
      <c r="L280" s="10" t="str">
        <f>IFERROR(INDEX(Backtest!C:C,MATCH(Trades!A280,Backtest!N:N,0)),IF(ISNUMBER(K280),Backtest!$C$2519,""))</f>
        <v/>
      </c>
      <c r="M280" s="1" t="str">
        <f t="shared" si="9"/>
        <v/>
      </c>
      <c r="N280" s="11" t="str">
        <f>IFERROR(VLOOKUP(L280,Backtest!C:D,2,FALSE)/VLOOKUP(K280,Backtest!C:D,2,FALSE)-1,"")</f>
        <v/>
      </c>
    </row>
    <row r="281" spans="1:14" x14ac:dyDescent="0.3">
      <c r="A281" s="9">
        <v>279</v>
      </c>
      <c r="B281" s="10" t="str">
        <f>IFERROR(INDEX(Backtest!C:C,MATCH(Trades!A281,Backtest!K:K,0)),"")</f>
        <v/>
      </c>
      <c r="C281" s="10" t="str">
        <f>IFERROR(INDEX(Backtest!C:C,MATCH(Trades!A281,Backtest!L:L,0)),IF(ISNUMBER(B281),Backtest!$C$2519,""))</f>
        <v/>
      </c>
      <c r="D281" s="1" t="str">
        <f t="shared" si="8"/>
        <v/>
      </c>
      <c r="E281" s="11" t="str">
        <f>IFERROR(VLOOKUP(C281,Backtest!C:D,2,FALSE)/VLOOKUP(B281,Backtest!C:D,2,FALSE)-1,"")</f>
        <v/>
      </c>
      <c r="J281" s="9">
        <v>279</v>
      </c>
      <c r="K281" s="10" t="str">
        <f>IFERROR(INDEX(Backtest!C:C,MATCH(Trades!A281,Backtest!M:M,0)),"")</f>
        <v/>
      </c>
      <c r="L281" s="10" t="str">
        <f>IFERROR(INDEX(Backtest!C:C,MATCH(Trades!A281,Backtest!N:N,0)),IF(ISNUMBER(K281),Backtest!$C$2519,""))</f>
        <v/>
      </c>
      <c r="M281" s="1" t="str">
        <f t="shared" si="9"/>
        <v/>
      </c>
      <c r="N281" s="11" t="str">
        <f>IFERROR(VLOOKUP(L281,Backtest!C:D,2,FALSE)/VLOOKUP(K281,Backtest!C:D,2,FALSE)-1,"")</f>
        <v/>
      </c>
    </row>
    <row r="282" spans="1:14" x14ac:dyDescent="0.3">
      <c r="A282" s="9">
        <v>280</v>
      </c>
      <c r="B282" s="10" t="str">
        <f>IFERROR(INDEX(Backtest!C:C,MATCH(Trades!A282,Backtest!K:K,0)),"")</f>
        <v/>
      </c>
      <c r="C282" s="10" t="str">
        <f>IFERROR(INDEX(Backtest!C:C,MATCH(Trades!A282,Backtest!L:L,0)),IF(ISNUMBER(B282),Backtest!$C$2519,""))</f>
        <v/>
      </c>
      <c r="D282" s="1" t="str">
        <f t="shared" si="8"/>
        <v/>
      </c>
      <c r="E282" s="11" t="str">
        <f>IFERROR(VLOOKUP(C282,Backtest!C:D,2,FALSE)/VLOOKUP(B282,Backtest!C:D,2,FALSE)-1,"")</f>
        <v/>
      </c>
      <c r="J282" s="9">
        <v>280</v>
      </c>
      <c r="K282" s="10" t="str">
        <f>IFERROR(INDEX(Backtest!C:C,MATCH(Trades!A282,Backtest!M:M,0)),"")</f>
        <v/>
      </c>
      <c r="L282" s="10" t="str">
        <f>IFERROR(INDEX(Backtest!C:C,MATCH(Trades!A282,Backtest!N:N,0)),IF(ISNUMBER(K282),Backtest!$C$2519,""))</f>
        <v/>
      </c>
      <c r="M282" s="1" t="str">
        <f t="shared" si="9"/>
        <v/>
      </c>
      <c r="N282" s="11" t="str">
        <f>IFERROR(VLOOKUP(L282,Backtest!C:D,2,FALSE)/VLOOKUP(K282,Backtest!C:D,2,FALSE)-1,"")</f>
        <v/>
      </c>
    </row>
    <row r="283" spans="1:14" x14ac:dyDescent="0.3">
      <c r="A283" s="9">
        <v>281</v>
      </c>
      <c r="B283" s="10" t="str">
        <f>IFERROR(INDEX(Backtest!C:C,MATCH(Trades!A283,Backtest!K:K,0)),"")</f>
        <v/>
      </c>
      <c r="C283" s="10" t="str">
        <f>IFERROR(INDEX(Backtest!C:C,MATCH(Trades!A283,Backtest!L:L,0)),IF(ISNUMBER(B283),Backtest!$C$2519,""))</f>
        <v/>
      </c>
      <c r="D283" s="1" t="str">
        <f t="shared" si="8"/>
        <v/>
      </c>
      <c r="E283" s="11" t="str">
        <f>IFERROR(VLOOKUP(C283,Backtest!C:D,2,FALSE)/VLOOKUP(B283,Backtest!C:D,2,FALSE)-1,"")</f>
        <v/>
      </c>
      <c r="J283" s="9">
        <v>281</v>
      </c>
      <c r="K283" s="10" t="str">
        <f>IFERROR(INDEX(Backtest!C:C,MATCH(Trades!A283,Backtest!M:M,0)),"")</f>
        <v/>
      </c>
      <c r="L283" s="10" t="str">
        <f>IFERROR(INDEX(Backtest!C:C,MATCH(Trades!A283,Backtest!N:N,0)),IF(ISNUMBER(K283),Backtest!$C$2519,""))</f>
        <v/>
      </c>
      <c r="M283" s="1" t="str">
        <f t="shared" si="9"/>
        <v/>
      </c>
      <c r="N283" s="11" t="str">
        <f>IFERROR(VLOOKUP(L283,Backtest!C:D,2,FALSE)/VLOOKUP(K283,Backtest!C:D,2,FALSE)-1,"")</f>
        <v/>
      </c>
    </row>
    <row r="284" spans="1:14" x14ac:dyDescent="0.3">
      <c r="A284" s="9">
        <v>282</v>
      </c>
      <c r="B284" s="10" t="str">
        <f>IFERROR(INDEX(Backtest!C:C,MATCH(Trades!A284,Backtest!K:K,0)),"")</f>
        <v/>
      </c>
      <c r="C284" s="10" t="str">
        <f>IFERROR(INDEX(Backtest!C:C,MATCH(Trades!A284,Backtest!L:L,0)),IF(ISNUMBER(B284),Backtest!$C$2519,""))</f>
        <v/>
      </c>
      <c r="D284" s="1" t="str">
        <f t="shared" si="8"/>
        <v/>
      </c>
      <c r="E284" s="11" t="str">
        <f>IFERROR(VLOOKUP(C284,Backtest!C:D,2,FALSE)/VLOOKUP(B284,Backtest!C:D,2,FALSE)-1,"")</f>
        <v/>
      </c>
      <c r="J284" s="9">
        <v>282</v>
      </c>
      <c r="K284" s="10" t="str">
        <f>IFERROR(INDEX(Backtest!C:C,MATCH(Trades!A284,Backtest!M:M,0)),"")</f>
        <v/>
      </c>
      <c r="L284" s="10" t="str">
        <f>IFERROR(INDEX(Backtest!C:C,MATCH(Trades!A284,Backtest!N:N,0)),IF(ISNUMBER(K284),Backtest!$C$2519,""))</f>
        <v/>
      </c>
      <c r="M284" s="1" t="str">
        <f t="shared" si="9"/>
        <v/>
      </c>
      <c r="N284" s="11" t="str">
        <f>IFERROR(VLOOKUP(L284,Backtest!C:D,2,FALSE)/VLOOKUP(K284,Backtest!C:D,2,FALSE)-1,"")</f>
        <v/>
      </c>
    </row>
    <row r="285" spans="1:14" x14ac:dyDescent="0.3">
      <c r="A285" s="9">
        <v>283</v>
      </c>
      <c r="B285" s="10" t="str">
        <f>IFERROR(INDEX(Backtest!C:C,MATCH(Trades!A285,Backtest!K:K,0)),"")</f>
        <v/>
      </c>
      <c r="C285" s="10" t="str">
        <f>IFERROR(INDEX(Backtest!C:C,MATCH(Trades!A285,Backtest!L:L,0)),IF(ISNUMBER(B285),Backtest!$C$2519,""))</f>
        <v/>
      </c>
      <c r="D285" s="1" t="str">
        <f t="shared" si="8"/>
        <v/>
      </c>
      <c r="E285" s="11" t="str">
        <f>IFERROR(VLOOKUP(C285,Backtest!C:D,2,FALSE)/VLOOKUP(B285,Backtest!C:D,2,FALSE)-1,"")</f>
        <v/>
      </c>
      <c r="J285" s="9">
        <v>283</v>
      </c>
      <c r="K285" s="10" t="str">
        <f>IFERROR(INDEX(Backtest!C:C,MATCH(Trades!A285,Backtest!M:M,0)),"")</f>
        <v/>
      </c>
      <c r="L285" s="10" t="str">
        <f>IFERROR(INDEX(Backtest!C:C,MATCH(Trades!A285,Backtest!N:N,0)),IF(ISNUMBER(K285),Backtest!$C$2519,""))</f>
        <v/>
      </c>
      <c r="M285" s="1" t="str">
        <f t="shared" si="9"/>
        <v/>
      </c>
      <c r="N285" s="11" t="str">
        <f>IFERROR(VLOOKUP(L285,Backtest!C:D,2,FALSE)/VLOOKUP(K285,Backtest!C:D,2,FALSE)-1,"")</f>
        <v/>
      </c>
    </row>
    <row r="286" spans="1:14" x14ac:dyDescent="0.3">
      <c r="A286" s="9">
        <v>284</v>
      </c>
      <c r="B286" s="10" t="str">
        <f>IFERROR(INDEX(Backtest!C:C,MATCH(Trades!A286,Backtest!K:K,0)),"")</f>
        <v/>
      </c>
      <c r="C286" s="10" t="str">
        <f>IFERROR(INDEX(Backtest!C:C,MATCH(Trades!A286,Backtest!L:L,0)),IF(ISNUMBER(B286),Backtest!$C$2519,""))</f>
        <v/>
      </c>
      <c r="D286" s="1" t="str">
        <f t="shared" si="8"/>
        <v/>
      </c>
      <c r="E286" s="11" t="str">
        <f>IFERROR(VLOOKUP(C286,Backtest!C:D,2,FALSE)/VLOOKUP(B286,Backtest!C:D,2,FALSE)-1,"")</f>
        <v/>
      </c>
      <c r="J286" s="9">
        <v>284</v>
      </c>
      <c r="K286" s="10" t="str">
        <f>IFERROR(INDEX(Backtest!C:C,MATCH(Trades!A286,Backtest!M:M,0)),"")</f>
        <v/>
      </c>
      <c r="L286" s="10" t="str">
        <f>IFERROR(INDEX(Backtest!C:C,MATCH(Trades!A286,Backtest!N:N,0)),IF(ISNUMBER(K286),Backtest!$C$2519,""))</f>
        <v/>
      </c>
      <c r="M286" s="1" t="str">
        <f t="shared" si="9"/>
        <v/>
      </c>
      <c r="N286" s="11" t="str">
        <f>IFERROR(VLOOKUP(L286,Backtest!C:D,2,FALSE)/VLOOKUP(K286,Backtest!C:D,2,FALSE)-1,"")</f>
        <v/>
      </c>
    </row>
    <row r="287" spans="1:14" x14ac:dyDescent="0.3">
      <c r="A287" s="9">
        <v>285</v>
      </c>
      <c r="B287" s="10" t="str">
        <f>IFERROR(INDEX(Backtest!C:C,MATCH(Trades!A287,Backtest!K:K,0)),"")</f>
        <v/>
      </c>
      <c r="C287" s="10" t="str">
        <f>IFERROR(INDEX(Backtest!C:C,MATCH(Trades!A287,Backtest!L:L,0)),IF(ISNUMBER(B287),Backtest!$C$2519,""))</f>
        <v/>
      </c>
      <c r="D287" s="1" t="str">
        <f t="shared" si="8"/>
        <v/>
      </c>
      <c r="E287" s="11" t="str">
        <f>IFERROR(VLOOKUP(C287,Backtest!C:D,2,FALSE)/VLOOKUP(B287,Backtest!C:D,2,FALSE)-1,"")</f>
        <v/>
      </c>
      <c r="J287" s="9">
        <v>285</v>
      </c>
      <c r="K287" s="10" t="str">
        <f>IFERROR(INDEX(Backtest!C:C,MATCH(Trades!A287,Backtest!M:M,0)),"")</f>
        <v/>
      </c>
      <c r="L287" s="10" t="str">
        <f>IFERROR(INDEX(Backtest!C:C,MATCH(Trades!A287,Backtest!N:N,0)),IF(ISNUMBER(K287),Backtest!$C$2519,""))</f>
        <v/>
      </c>
      <c r="M287" s="1" t="str">
        <f t="shared" si="9"/>
        <v/>
      </c>
      <c r="N287" s="11" t="str">
        <f>IFERROR(VLOOKUP(L287,Backtest!C:D,2,FALSE)/VLOOKUP(K287,Backtest!C:D,2,FALSE)-1,"")</f>
        <v/>
      </c>
    </row>
    <row r="288" spans="1:14" x14ac:dyDescent="0.3">
      <c r="A288" s="9">
        <v>286</v>
      </c>
      <c r="B288" s="10" t="str">
        <f>IFERROR(INDEX(Backtest!C:C,MATCH(Trades!A288,Backtest!K:K,0)),"")</f>
        <v/>
      </c>
      <c r="C288" s="10" t="str">
        <f>IFERROR(INDEX(Backtest!C:C,MATCH(Trades!A288,Backtest!L:L,0)),IF(ISNUMBER(B288),Backtest!$C$2519,""))</f>
        <v/>
      </c>
      <c r="D288" s="1" t="str">
        <f t="shared" si="8"/>
        <v/>
      </c>
      <c r="E288" s="11" t="str">
        <f>IFERROR(VLOOKUP(C288,Backtest!C:D,2,FALSE)/VLOOKUP(B288,Backtest!C:D,2,FALSE)-1,"")</f>
        <v/>
      </c>
      <c r="J288" s="9">
        <v>286</v>
      </c>
      <c r="K288" s="10" t="str">
        <f>IFERROR(INDEX(Backtest!C:C,MATCH(Trades!A288,Backtest!M:M,0)),"")</f>
        <v/>
      </c>
      <c r="L288" s="10" t="str">
        <f>IFERROR(INDEX(Backtest!C:C,MATCH(Trades!A288,Backtest!N:N,0)),IF(ISNUMBER(K288),Backtest!$C$2519,""))</f>
        <v/>
      </c>
      <c r="M288" s="1" t="str">
        <f t="shared" si="9"/>
        <v/>
      </c>
      <c r="N288" s="11" t="str">
        <f>IFERROR(VLOOKUP(L288,Backtest!C:D,2,FALSE)/VLOOKUP(K288,Backtest!C:D,2,FALSE)-1,"")</f>
        <v/>
      </c>
    </row>
    <row r="289" spans="1:14" x14ac:dyDescent="0.3">
      <c r="A289" s="9">
        <v>287</v>
      </c>
      <c r="B289" s="10" t="str">
        <f>IFERROR(INDEX(Backtest!C:C,MATCH(Trades!A289,Backtest!K:K,0)),"")</f>
        <v/>
      </c>
      <c r="C289" s="10" t="str">
        <f>IFERROR(INDEX(Backtest!C:C,MATCH(Trades!A289,Backtest!L:L,0)),IF(ISNUMBER(B289),Backtest!$C$2519,""))</f>
        <v/>
      </c>
      <c r="D289" s="1" t="str">
        <f t="shared" si="8"/>
        <v/>
      </c>
      <c r="E289" s="11" t="str">
        <f>IFERROR(VLOOKUP(C289,Backtest!C:D,2,FALSE)/VLOOKUP(B289,Backtest!C:D,2,FALSE)-1,"")</f>
        <v/>
      </c>
      <c r="J289" s="9">
        <v>287</v>
      </c>
      <c r="K289" s="10" t="str">
        <f>IFERROR(INDEX(Backtest!C:C,MATCH(Trades!A289,Backtest!M:M,0)),"")</f>
        <v/>
      </c>
      <c r="L289" s="10" t="str">
        <f>IFERROR(INDEX(Backtest!C:C,MATCH(Trades!A289,Backtest!N:N,0)),IF(ISNUMBER(K289),Backtest!$C$2519,""))</f>
        <v/>
      </c>
      <c r="M289" s="1" t="str">
        <f t="shared" si="9"/>
        <v/>
      </c>
      <c r="N289" s="11" t="str">
        <f>IFERROR(VLOOKUP(L289,Backtest!C:D,2,FALSE)/VLOOKUP(K289,Backtest!C:D,2,FALSE)-1,"")</f>
        <v/>
      </c>
    </row>
    <row r="290" spans="1:14" x14ac:dyDescent="0.3">
      <c r="A290" s="9">
        <v>288</v>
      </c>
      <c r="B290" s="10" t="str">
        <f>IFERROR(INDEX(Backtest!C:C,MATCH(Trades!A290,Backtest!K:K,0)),"")</f>
        <v/>
      </c>
      <c r="C290" s="10" t="str">
        <f>IFERROR(INDEX(Backtest!C:C,MATCH(Trades!A290,Backtest!L:L,0)),IF(ISNUMBER(B290),Backtest!$C$2519,""))</f>
        <v/>
      </c>
      <c r="D290" s="1" t="str">
        <f t="shared" si="8"/>
        <v/>
      </c>
      <c r="E290" s="11" t="str">
        <f>IFERROR(VLOOKUP(C290,Backtest!C:D,2,FALSE)/VLOOKUP(B290,Backtest!C:D,2,FALSE)-1,"")</f>
        <v/>
      </c>
      <c r="J290" s="9">
        <v>288</v>
      </c>
      <c r="K290" s="10" t="str">
        <f>IFERROR(INDEX(Backtest!C:C,MATCH(Trades!A290,Backtest!M:M,0)),"")</f>
        <v/>
      </c>
      <c r="L290" s="10" t="str">
        <f>IFERROR(INDEX(Backtest!C:C,MATCH(Trades!A290,Backtest!N:N,0)),IF(ISNUMBER(K290),Backtest!$C$2519,""))</f>
        <v/>
      </c>
      <c r="M290" s="1" t="str">
        <f t="shared" si="9"/>
        <v/>
      </c>
      <c r="N290" s="11" t="str">
        <f>IFERROR(VLOOKUP(L290,Backtest!C:D,2,FALSE)/VLOOKUP(K290,Backtest!C:D,2,FALSE)-1,"")</f>
        <v/>
      </c>
    </row>
    <row r="291" spans="1:14" x14ac:dyDescent="0.3">
      <c r="A291" s="9">
        <v>289</v>
      </c>
      <c r="B291" s="10" t="str">
        <f>IFERROR(INDEX(Backtest!C:C,MATCH(Trades!A291,Backtest!K:K,0)),"")</f>
        <v/>
      </c>
      <c r="C291" s="10" t="str">
        <f>IFERROR(INDEX(Backtest!C:C,MATCH(Trades!A291,Backtest!L:L,0)),IF(ISNUMBER(B291),Backtest!$C$2519,""))</f>
        <v/>
      </c>
      <c r="D291" s="1" t="str">
        <f t="shared" si="8"/>
        <v/>
      </c>
      <c r="E291" s="11" t="str">
        <f>IFERROR(VLOOKUP(C291,Backtest!C:D,2,FALSE)/VLOOKUP(B291,Backtest!C:D,2,FALSE)-1,"")</f>
        <v/>
      </c>
      <c r="J291" s="9">
        <v>289</v>
      </c>
      <c r="K291" s="10" t="str">
        <f>IFERROR(INDEX(Backtest!C:C,MATCH(Trades!A291,Backtest!M:M,0)),"")</f>
        <v/>
      </c>
      <c r="L291" s="10" t="str">
        <f>IFERROR(INDEX(Backtest!C:C,MATCH(Trades!A291,Backtest!N:N,0)),IF(ISNUMBER(K291),Backtest!$C$2519,""))</f>
        <v/>
      </c>
      <c r="M291" s="1" t="str">
        <f t="shared" si="9"/>
        <v/>
      </c>
      <c r="N291" s="11" t="str">
        <f>IFERROR(VLOOKUP(L291,Backtest!C:D,2,FALSE)/VLOOKUP(K291,Backtest!C:D,2,FALSE)-1,"")</f>
        <v/>
      </c>
    </row>
    <row r="292" spans="1:14" x14ac:dyDescent="0.3">
      <c r="A292" s="9">
        <v>290</v>
      </c>
      <c r="B292" s="10" t="str">
        <f>IFERROR(INDEX(Backtest!C:C,MATCH(Trades!A292,Backtest!K:K,0)),"")</f>
        <v/>
      </c>
      <c r="C292" s="10" t="str">
        <f>IFERROR(INDEX(Backtest!C:C,MATCH(Trades!A292,Backtest!L:L,0)),IF(ISNUMBER(B292),Backtest!$C$2519,""))</f>
        <v/>
      </c>
      <c r="D292" s="1" t="str">
        <f t="shared" si="8"/>
        <v/>
      </c>
      <c r="E292" s="11" t="str">
        <f>IFERROR(VLOOKUP(C292,Backtest!C:D,2,FALSE)/VLOOKUP(B292,Backtest!C:D,2,FALSE)-1,"")</f>
        <v/>
      </c>
      <c r="J292" s="9">
        <v>290</v>
      </c>
      <c r="K292" s="10" t="str">
        <f>IFERROR(INDEX(Backtest!C:C,MATCH(Trades!A292,Backtest!M:M,0)),"")</f>
        <v/>
      </c>
      <c r="L292" s="10" t="str">
        <f>IFERROR(INDEX(Backtest!C:C,MATCH(Trades!A292,Backtest!N:N,0)),IF(ISNUMBER(K292),Backtest!$C$2519,""))</f>
        <v/>
      </c>
      <c r="M292" s="1" t="str">
        <f t="shared" si="9"/>
        <v/>
      </c>
      <c r="N292" s="11" t="str">
        <f>IFERROR(VLOOKUP(L292,Backtest!C:D,2,FALSE)/VLOOKUP(K292,Backtest!C:D,2,FALSE)-1,"")</f>
        <v/>
      </c>
    </row>
    <row r="293" spans="1:14" x14ac:dyDescent="0.3">
      <c r="A293" s="9">
        <v>291</v>
      </c>
      <c r="B293" s="10" t="str">
        <f>IFERROR(INDEX(Backtest!C:C,MATCH(Trades!A293,Backtest!K:K,0)),"")</f>
        <v/>
      </c>
      <c r="C293" s="10" t="str">
        <f>IFERROR(INDEX(Backtest!C:C,MATCH(Trades!A293,Backtest!L:L,0)),IF(ISNUMBER(B293),Backtest!$C$2519,""))</f>
        <v/>
      </c>
      <c r="D293" s="1" t="str">
        <f t="shared" si="8"/>
        <v/>
      </c>
      <c r="E293" s="11" t="str">
        <f>IFERROR(VLOOKUP(C293,Backtest!C:D,2,FALSE)/VLOOKUP(B293,Backtest!C:D,2,FALSE)-1,"")</f>
        <v/>
      </c>
      <c r="J293" s="9">
        <v>291</v>
      </c>
      <c r="K293" s="10" t="str">
        <f>IFERROR(INDEX(Backtest!C:C,MATCH(Trades!A293,Backtest!M:M,0)),"")</f>
        <v/>
      </c>
      <c r="L293" s="10" t="str">
        <f>IFERROR(INDEX(Backtest!C:C,MATCH(Trades!A293,Backtest!N:N,0)),IF(ISNUMBER(K293),Backtest!$C$2519,""))</f>
        <v/>
      </c>
      <c r="M293" s="1" t="str">
        <f t="shared" si="9"/>
        <v/>
      </c>
      <c r="N293" s="11" t="str">
        <f>IFERROR(VLOOKUP(L293,Backtest!C:D,2,FALSE)/VLOOKUP(K293,Backtest!C:D,2,FALSE)-1,"")</f>
        <v/>
      </c>
    </row>
    <row r="294" spans="1:14" x14ac:dyDescent="0.3">
      <c r="A294" s="9">
        <v>292</v>
      </c>
      <c r="B294" s="10" t="str">
        <f>IFERROR(INDEX(Backtest!C:C,MATCH(Trades!A294,Backtest!K:K,0)),"")</f>
        <v/>
      </c>
      <c r="C294" s="10" t="str">
        <f>IFERROR(INDEX(Backtest!C:C,MATCH(Trades!A294,Backtest!L:L,0)),IF(ISNUMBER(B294),Backtest!$C$2519,""))</f>
        <v/>
      </c>
      <c r="D294" s="1" t="str">
        <f t="shared" si="8"/>
        <v/>
      </c>
      <c r="E294" s="11" t="str">
        <f>IFERROR(VLOOKUP(C294,Backtest!C:D,2,FALSE)/VLOOKUP(B294,Backtest!C:D,2,FALSE)-1,"")</f>
        <v/>
      </c>
      <c r="J294" s="9">
        <v>292</v>
      </c>
      <c r="K294" s="10" t="str">
        <f>IFERROR(INDEX(Backtest!C:C,MATCH(Trades!A294,Backtest!M:M,0)),"")</f>
        <v/>
      </c>
      <c r="L294" s="10" t="str">
        <f>IFERROR(INDEX(Backtest!C:C,MATCH(Trades!A294,Backtest!N:N,0)),IF(ISNUMBER(K294),Backtest!$C$2519,""))</f>
        <v/>
      </c>
      <c r="M294" s="1" t="str">
        <f t="shared" si="9"/>
        <v/>
      </c>
      <c r="N294" s="11" t="str">
        <f>IFERROR(VLOOKUP(L294,Backtest!C:D,2,FALSE)/VLOOKUP(K294,Backtest!C:D,2,FALSE)-1,"")</f>
        <v/>
      </c>
    </row>
    <row r="295" spans="1:14" x14ac:dyDescent="0.3">
      <c r="A295" s="9">
        <v>293</v>
      </c>
      <c r="B295" s="10" t="str">
        <f>IFERROR(INDEX(Backtest!C:C,MATCH(Trades!A295,Backtest!K:K,0)),"")</f>
        <v/>
      </c>
      <c r="C295" s="10" t="str">
        <f>IFERROR(INDEX(Backtest!C:C,MATCH(Trades!A295,Backtest!L:L,0)),IF(ISNUMBER(B295),Backtest!$C$2519,""))</f>
        <v/>
      </c>
      <c r="D295" s="1" t="str">
        <f t="shared" si="8"/>
        <v/>
      </c>
      <c r="E295" s="11" t="str">
        <f>IFERROR(VLOOKUP(C295,Backtest!C:D,2,FALSE)/VLOOKUP(B295,Backtest!C:D,2,FALSE)-1,"")</f>
        <v/>
      </c>
      <c r="J295" s="9">
        <v>293</v>
      </c>
      <c r="K295" s="10" t="str">
        <f>IFERROR(INDEX(Backtest!C:C,MATCH(Trades!A295,Backtest!M:M,0)),"")</f>
        <v/>
      </c>
      <c r="L295" s="10" t="str">
        <f>IFERROR(INDEX(Backtest!C:C,MATCH(Trades!A295,Backtest!N:N,0)),IF(ISNUMBER(K295),Backtest!$C$2519,""))</f>
        <v/>
      </c>
      <c r="M295" s="1" t="str">
        <f t="shared" si="9"/>
        <v/>
      </c>
      <c r="N295" s="11" t="str">
        <f>IFERROR(VLOOKUP(L295,Backtest!C:D,2,FALSE)/VLOOKUP(K295,Backtest!C:D,2,FALSE)-1,"")</f>
        <v/>
      </c>
    </row>
    <row r="296" spans="1:14" x14ac:dyDescent="0.3">
      <c r="A296" s="9">
        <v>294</v>
      </c>
      <c r="B296" s="10" t="str">
        <f>IFERROR(INDEX(Backtest!C:C,MATCH(Trades!A296,Backtest!K:K,0)),"")</f>
        <v/>
      </c>
      <c r="C296" s="10" t="str">
        <f>IFERROR(INDEX(Backtest!C:C,MATCH(Trades!A296,Backtest!L:L,0)),IF(ISNUMBER(B296),Backtest!$C$2519,""))</f>
        <v/>
      </c>
      <c r="D296" s="1" t="str">
        <f t="shared" si="8"/>
        <v/>
      </c>
      <c r="E296" s="11" t="str">
        <f>IFERROR(VLOOKUP(C296,Backtest!C:D,2,FALSE)/VLOOKUP(B296,Backtest!C:D,2,FALSE)-1,"")</f>
        <v/>
      </c>
      <c r="J296" s="9">
        <v>294</v>
      </c>
      <c r="K296" s="10" t="str">
        <f>IFERROR(INDEX(Backtest!C:C,MATCH(Trades!A296,Backtest!M:M,0)),"")</f>
        <v/>
      </c>
      <c r="L296" s="10" t="str">
        <f>IFERROR(INDEX(Backtest!C:C,MATCH(Trades!A296,Backtest!N:N,0)),IF(ISNUMBER(K296),Backtest!$C$2519,""))</f>
        <v/>
      </c>
      <c r="M296" s="1" t="str">
        <f t="shared" si="9"/>
        <v/>
      </c>
      <c r="N296" s="11" t="str">
        <f>IFERROR(VLOOKUP(L296,Backtest!C:D,2,FALSE)/VLOOKUP(K296,Backtest!C:D,2,FALSE)-1,"")</f>
        <v/>
      </c>
    </row>
    <row r="297" spans="1:14" x14ac:dyDescent="0.3">
      <c r="A297" s="9">
        <v>295</v>
      </c>
      <c r="B297" s="10" t="str">
        <f>IFERROR(INDEX(Backtest!C:C,MATCH(Trades!A297,Backtest!K:K,0)),"")</f>
        <v/>
      </c>
      <c r="C297" s="10" t="str">
        <f>IFERROR(INDEX(Backtest!C:C,MATCH(Trades!A297,Backtest!L:L,0)),IF(ISNUMBER(B297),Backtest!$C$2519,""))</f>
        <v/>
      </c>
      <c r="D297" s="1" t="str">
        <f t="shared" si="8"/>
        <v/>
      </c>
      <c r="E297" s="11" t="str">
        <f>IFERROR(VLOOKUP(C297,Backtest!C:D,2,FALSE)/VLOOKUP(B297,Backtest!C:D,2,FALSE)-1,"")</f>
        <v/>
      </c>
      <c r="J297" s="9">
        <v>295</v>
      </c>
      <c r="K297" s="10" t="str">
        <f>IFERROR(INDEX(Backtest!C:C,MATCH(Trades!A297,Backtest!M:M,0)),"")</f>
        <v/>
      </c>
      <c r="L297" s="10" t="str">
        <f>IFERROR(INDEX(Backtest!C:C,MATCH(Trades!A297,Backtest!N:N,0)),IF(ISNUMBER(K297),Backtest!$C$2519,""))</f>
        <v/>
      </c>
      <c r="M297" s="1" t="str">
        <f t="shared" si="9"/>
        <v/>
      </c>
      <c r="N297" s="11" t="str">
        <f>IFERROR(VLOOKUP(L297,Backtest!C:D,2,FALSE)/VLOOKUP(K297,Backtest!C:D,2,FALSE)-1,"")</f>
        <v/>
      </c>
    </row>
    <row r="298" spans="1:14" x14ac:dyDescent="0.3">
      <c r="A298" s="9">
        <v>296</v>
      </c>
      <c r="B298" s="10" t="str">
        <f>IFERROR(INDEX(Backtest!C:C,MATCH(Trades!A298,Backtest!K:K,0)),"")</f>
        <v/>
      </c>
      <c r="C298" s="10" t="str">
        <f>IFERROR(INDEX(Backtest!C:C,MATCH(Trades!A298,Backtest!L:L,0)),IF(ISNUMBER(B298),Backtest!$C$2519,""))</f>
        <v/>
      </c>
      <c r="D298" s="1" t="str">
        <f t="shared" si="8"/>
        <v/>
      </c>
      <c r="E298" s="11" t="str">
        <f>IFERROR(VLOOKUP(C298,Backtest!C:D,2,FALSE)/VLOOKUP(B298,Backtest!C:D,2,FALSE)-1,"")</f>
        <v/>
      </c>
      <c r="J298" s="9">
        <v>296</v>
      </c>
      <c r="K298" s="10" t="str">
        <f>IFERROR(INDEX(Backtest!C:C,MATCH(Trades!A298,Backtest!M:M,0)),"")</f>
        <v/>
      </c>
      <c r="L298" s="10" t="str">
        <f>IFERROR(INDEX(Backtest!C:C,MATCH(Trades!A298,Backtest!N:N,0)),IF(ISNUMBER(K298),Backtest!$C$2519,""))</f>
        <v/>
      </c>
      <c r="M298" s="1" t="str">
        <f t="shared" si="9"/>
        <v/>
      </c>
      <c r="N298" s="11" t="str">
        <f>IFERROR(VLOOKUP(L298,Backtest!C:D,2,FALSE)/VLOOKUP(K298,Backtest!C:D,2,FALSE)-1,"")</f>
        <v/>
      </c>
    </row>
    <row r="299" spans="1:14" x14ac:dyDescent="0.3">
      <c r="A299" s="9">
        <v>297</v>
      </c>
      <c r="B299" s="10" t="str">
        <f>IFERROR(INDEX(Backtest!C:C,MATCH(Trades!A299,Backtest!K:K,0)),"")</f>
        <v/>
      </c>
      <c r="C299" s="10" t="str">
        <f>IFERROR(INDEX(Backtest!C:C,MATCH(Trades!A299,Backtest!L:L,0)),IF(ISNUMBER(B299),Backtest!$C$2519,""))</f>
        <v/>
      </c>
      <c r="D299" s="1" t="str">
        <f t="shared" si="8"/>
        <v/>
      </c>
      <c r="E299" s="11" t="str">
        <f>IFERROR(VLOOKUP(C299,Backtest!C:D,2,FALSE)/VLOOKUP(B299,Backtest!C:D,2,FALSE)-1,"")</f>
        <v/>
      </c>
      <c r="J299" s="9">
        <v>297</v>
      </c>
      <c r="K299" s="10" t="str">
        <f>IFERROR(INDEX(Backtest!C:C,MATCH(Trades!A299,Backtest!M:M,0)),"")</f>
        <v/>
      </c>
      <c r="L299" s="10" t="str">
        <f>IFERROR(INDEX(Backtest!C:C,MATCH(Trades!A299,Backtest!N:N,0)),IF(ISNUMBER(K299),Backtest!$C$2519,""))</f>
        <v/>
      </c>
      <c r="M299" s="1" t="str">
        <f t="shared" si="9"/>
        <v/>
      </c>
      <c r="N299" s="11" t="str">
        <f>IFERROR(VLOOKUP(L299,Backtest!C:D,2,FALSE)/VLOOKUP(K299,Backtest!C:D,2,FALSE)-1,"")</f>
        <v/>
      </c>
    </row>
    <row r="300" spans="1:14" x14ac:dyDescent="0.3">
      <c r="A300" s="9">
        <v>298</v>
      </c>
      <c r="B300" s="10" t="str">
        <f>IFERROR(INDEX(Backtest!C:C,MATCH(Trades!A300,Backtest!K:K,0)),"")</f>
        <v/>
      </c>
      <c r="C300" s="10" t="str">
        <f>IFERROR(INDEX(Backtest!C:C,MATCH(Trades!A300,Backtest!L:L,0)),IF(ISNUMBER(B300),Backtest!$C$2519,""))</f>
        <v/>
      </c>
      <c r="D300" s="1" t="str">
        <f t="shared" si="8"/>
        <v/>
      </c>
      <c r="E300" s="11" t="str">
        <f>IFERROR(VLOOKUP(C300,Backtest!C:D,2,FALSE)/VLOOKUP(B300,Backtest!C:D,2,FALSE)-1,"")</f>
        <v/>
      </c>
      <c r="J300" s="9">
        <v>298</v>
      </c>
      <c r="K300" s="10" t="str">
        <f>IFERROR(INDEX(Backtest!C:C,MATCH(Trades!A300,Backtest!M:M,0)),"")</f>
        <v/>
      </c>
      <c r="L300" s="10" t="str">
        <f>IFERROR(INDEX(Backtest!C:C,MATCH(Trades!A300,Backtest!N:N,0)),IF(ISNUMBER(K300),Backtest!$C$2519,""))</f>
        <v/>
      </c>
      <c r="M300" s="1" t="str">
        <f t="shared" si="9"/>
        <v/>
      </c>
      <c r="N300" s="11" t="str">
        <f>IFERROR(VLOOKUP(L300,Backtest!C:D,2,FALSE)/VLOOKUP(K300,Backtest!C:D,2,FALSE)-1,"")</f>
        <v/>
      </c>
    </row>
    <row r="301" spans="1:14" x14ac:dyDescent="0.3">
      <c r="A301" s="9">
        <v>299</v>
      </c>
      <c r="B301" s="10" t="str">
        <f>IFERROR(INDEX(Backtest!C:C,MATCH(Trades!A301,Backtest!K:K,0)),"")</f>
        <v/>
      </c>
      <c r="C301" s="10" t="str">
        <f>IFERROR(INDEX(Backtest!C:C,MATCH(Trades!A301,Backtest!L:L,0)),IF(ISNUMBER(B301),Backtest!$C$2519,""))</f>
        <v/>
      </c>
      <c r="D301" s="1" t="str">
        <f t="shared" si="8"/>
        <v/>
      </c>
      <c r="E301" s="11" t="str">
        <f>IFERROR(VLOOKUP(C301,Backtest!C:D,2,FALSE)/VLOOKUP(B301,Backtest!C:D,2,FALSE)-1,"")</f>
        <v/>
      </c>
      <c r="J301" s="9">
        <v>299</v>
      </c>
      <c r="K301" s="10" t="str">
        <f>IFERROR(INDEX(Backtest!C:C,MATCH(Trades!A301,Backtest!M:M,0)),"")</f>
        <v/>
      </c>
      <c r="L301" s="10" t="str">
        <f>IFERROR(INDEX(Backtest!C:C,MATCH(Trades!A301,Backtest!N:N,0)),IF(ISNUMBER(K301),Backtest!$C$2519,""))</f>
        <v/>
      </c>
      <c r="M301" s="1" t="str">
        <f t="shared" si="9"/>
        <v/>
      </c>
      <c r="N301" s="11" t="str">
        <f>IFERROR(VLOOKUP(L301,Backtest!C:D,2,FALSE)/VLOOKUP(K301,Backtest!C:D,2,FALSE)-1,"")</f>
        <v/>
      </c>
    </row>
    <row r="302" spans="1:14" x14ac:dyDescent="0.3">
      <c r="A302" s="9">
        <v>300</v>
      </c>
      <c r="B302" s="10" t="str">
        <f>IFERROR(INDEX(Backtest!C:C,MATCH(Trades!A302,Backtest!K:K,0)),"")</f>
        <v/>
      </c>
      <c r="C302" s="10" t="str">
        <f>IFERROR(INDEX(Backtest!C:C,MATCH(Trades!A302,Backtest!L:L,0)),IF(ISNUMBER(B302),Backtest!$C$2519,""))</f>
        <v/>
      </c>
      <c r="D302" s="1" t="str">
        <f t="shared" si="8"/>
        <v/>
      </c>
      <c r="E302" s="11" t="str">
        <f>IFERROR(VLOOKUP(C302,Backtest!C:D,2,FALSE)/VLOOKUP(B302,Backtest!C:D,2,FALSE)-1,"")</f>
        <v/>
      </c>
      <c r="J302" s="9">
        <v>300</v>
      </c>
      <c r="K302" s="10" t="str">
        <f>IFERROR(INDEX(Backtest!C:C,MATCH(Trades!A302,Backtest!M:M,0)),"")</f>
        <v/>
      </c>
      <c r="L302" s="10" t="str">
        <f>IFERROR(INDEX(Backtest!C:C,MATCH(Trades!A302,Backtest!N:N,0)),IF(ISNUMBER(K302),Backtest!$C$2519,""))</f>
        <v/>
      </c>
      <c r="M302" s="1" t="str">
        <f t="shared" si="9"/>
        <v/>
      </c>
      <c r="N302" s="11" t="str">
        <f>IFERROR(VLOOKUP(L302,Backtest!C:D,2,FALSE)/VLOOKUP(K302,Backtest!C:D,2,FALSE)-1,"")</f>
        <v/>
      </c>
    </row>
    <row r="303" spans="1:14" x14ac:dyDescent="0.3">
      <c r="B303" s="10" t="str">
        <f>IFERROR(INDEX(Backtest!C:C,MATCH(Trades!A303,Backtest!K:K,0)),"")</f>
        <v/>
      </c>
      <c r="C303" s="10" t="str">
        <f>IFERROR(INDEX(Backtest!C:C,MATCH(Trades!A303,Backtest!L:L,0)),IF(ISNUMBER(B303),Backtest!$C$2519,""))</f>
        <v/>
      </c>
      <c r="D303" s="1" t="str">
        <f t="shared" si="8"/>
        <v/>
      </c>
      <c r="E303" s="11" t="str">
        <f>IFERROR(VLOOKUP(C303,Backtest!C:D,2,FALSE)/VLOOKUP(B303,Backtest!C:D,2,FALSE)-1,"")</f>
        <v/>
      </c>
      <c r="K303" s="10" t="str">
        <f>IFERROR(INDEX(Backtest!C:C,MATCH(Trades!A303,Backtest!M:M,0)),"")</f>
        <v/>
      </c>
      <c r="L303" s="10" t="str">
        <f>IFERROR(INDEX(Backtest!C:C,MATCH(Trades!A303,Backtest!N:N,0)),IF(ISNUMBER(K303),Backtest!$C$2519,""))</f>
        <v/>
      </c>
      <c r="M303" s="1" t="str">
        <f t="shared" si="9"/>
        <v/>
      </c>
      <c r="N303" s="11" t="str">
        <f>IFERROR(VLOOKUP(L303,Backtest!C:D,2,FALSE)/VLOOKUP(K303,Backtest!C:D,2,FALSE)-1,"")</f>
        <v/>
      </c>
    </row>
    <row r="304" spans="1:14" x14ac:dyDescent="0.3">
      <c r="B304" s="10" t="str">
        <f>IFERROR(INDEX(Backtest!C:C,MATCH(Trades!A304,Backtest!K:K,0)),"")</f>
        <v/>
      </c>
      <c r="C304" s="10" t="str">
        <f>IFERROR(INDEX(Backtest!C:C,MATCH(Trades!A304,Backtest!L:L,0)),IF(ISNUMBER(B304),Backtest!$C$2519,""))</f>
        <v/>
      </c>
      <c r="D304" s="1" t="str">
        <f t="shared" si="8"/>
        <v/>
      </c>
      <c r="E304" s="11" t="str">
        <f>IFERROR(VLOOKUP(C304,Backtest!C:D,2,FALSE)/VLOOKUP(B304,Backtest!C:D,2,FALSE)-1,"")</f>
        <v/>
      </c>
      <c r="K304" s="10" t="str">
        <f>IFERROR(INDEX(Backtest!C:C,MATCH(Trades!A304,Backtest!M:M,0)),"")</f>
        <v/>
      </c>
      <c r="L304" s="10" t="str">
        <f>IFERROR(INDEX(Backtest!C:C,MATCH(Trades!A304,Backtest!N:N,0)),IF(ISNUMBER(K304),Backtest!$C$2519,""))</f>
        <v/>
      </c>
      <c r="M304" s="1" t="str">
        <f t="shared" si="9"/>
        <v/>
      </c>
      <c r="N304" s="11" t="str">
        <f>IFERROR(VLOOKUP(L304,Backtest!C:D,2,FALSE)/VLOOKUP(K304,Backtest!C:D,2,FALSE)-1,"")</f>
        <v/>
      </c>
    </row>
    <row r="305" spans="2:14" x14ac:dyDescent="0.3">
      <c r="B305" s="10" t="str">
        <f>IFERROR(INDEX(Backtest!C:C,MATCH(Trades!A305,Backtest!K:K,0)),"")</f>
        <v/>
      </c>
      <c r="C305" s="10" t="str">
        <f>IFERROR(INDEX(Backtest!C:C,MATCH(Trades!A305,Backtest!L:L,0)),IF(ISNUMBER(B305),Backtest!$C$2519,""))</f>
        <v/>
      </c>
      <c r="D305" s="1" t="str">
        <f t="shared" si="8"/>
        <v/>
      </c>
      <c r="E305" s="11" t="str">
        <f>IFERROR(VLOOKUP(C305,Backtest!C:D,2,FALSE)/VLOOKUP(B305,Backtest!C:D,2,FALSE)-1,"")</f>
        <v/>
      </c>
      <c r="K305" s="10" t="str">
        <f>IFERROR(INDEX(Backtest!C:C,MATCH(Trades!A305,Backtest!M:M,0)),"")</f>
        <v/>
      </c>
      <c r="L305" s="10" t="str">
        <f>IFERROR(INDEX(Backtest!C:C,MATCH(Trades!A305,Backtest!N:N,0)),IF(ISNUMBER(K305),Backtest!$C$2519,""))</f>
        <v/>
      </c>
      <c r="M305" s="1" t="str">
        <f t="shared" si="9"/>
        <v/>
      </c>
      <c r="N305" s="11" t="str">
        <f>IFERROR(VLOOKUP(L305,Backtest!C:D,2,FALSE)/VLOOKUP(K305,Backtest!C:D,2,FALSE)-1,"")</f>
        <v/>
      </c>
    </row>
    <row r="306" spans="2:14" x14ac:dyDescent="0.3">
      <c r="B306" s="10" t="str">
        <f>IFERROR(INDEX(Backtest!C:C,MATCH(Trades!A306,Backtest!K:K,0)),"")</f>
        <v/>
      </c>
      <c r="C306" s="10" t="str">
        <f>IFERROR(INDEX(Backtest!C:C,MATCH(Trades!A306,Backtest!L:L,0)),IF(ISNUMBER(B306),Backtest!$C$2519,""))</f>
        <v/>
      </c>
      <c r="D306" s="1" t="str">
        <f t="shared" si="8"/>
        <v/>
      </c>
      <c r="E306" s="11" t="str">
        <f>IFERROR(VLOOKUP(C306,Backtest!C:D,2,FALSE)/VLOOKUP(B306,Backtest!C:D,2,FALSE)-1,"")</f>
        <v/>
      </c>
      <c r="K306" s="10" t="str">
        <f>IFERROR(INDEX(Backtest!C:C,MATCH(Trades!A306,Backtest!M:M,0)),"")</f>
        <v/>
      </c>
      <c r="L306" s="10" t="str">
        <f>IFERROR(INDEX(Backtest!C:C,MATCH(Trades!A306,Backtest!N:N,0)),IF(ISNUMBER(K306),Backtest!$C$2519,""))</f>
        <v/>
      </c>
      <c r="M306" s="1" t="str">
        <f t="shared" si="9"/>
        <v/>
      </c>
      <c r="N306" s="11" t="str">
        <f>IFERROR(VLOOKUP(L306,Backtest!C:D,2,FALSE)/VLOOKUP(K306,Backtest!C:D,2,FALSE)-1,"")</f>
        <v/>
      </c>
    </row>
    <row r="307" spans="2:14" x14ac:dyDescent="0.3">
      <c r="B307" s="10" t="str">
        <f>IFERROR(INDEX(Backtest!C:C,MATCH(Trades!A307,Backtest!K:K,0)),"")</f>
        <v/>
      </c>
      <c r="C307" s="10" t="str">
        <f>IFERROR(INDEX(Backtest!C:C,MATCH(Trades!A307,Backtest!L:L,0)),IF(ISNUMBER(B307),Backtest!$C$2519,""))</f>
        <v/>
      </c>
      <c r="D307" s="1" t="str">
        <f t="shared" si="8"/>
        <v/>
      </c>
      <c r="E307" s="11" t="str">
        <f>IFERROR(VLOOKUP(C307,Backtest!C:D,2,FALSE)/VLOOKUP(B307,Backtest!C:D,2,FALSE)-1,"")</f>
        <v/>
      </c>
      <c r="K307" s="10" t="str">
        <f>IFERROR(INDEX(Backtest!C:C,MATCH(Trades!A307,Backtest!M:M,0)),"")</f>
        <v/>
      </c>
      <c r="L307" s="10" t="str">
        <f>IFERROR(INDEX(Backtest!C:C,MATCH(Trades!A307,Backtest!N:N,0)),IF(ISNUMBER(K307),Backtest!$C$2519,""))</f>
        <v/>
      </c>
      <c r="M307" s="1" t="str">
        <f t="shared" si="9"/>
        <v/>
      </c>
      <c r="N307" s="11" t="str">
        <f>IFERROR(VLOOKUP(L307,Backtest!C:D,2,FALSE)/VLOOKUP(K307,Backtest!C:D,2,FALSE)-1,"")</f>
        <v/>
      </c>
    </row>
    <row r="308" spans="2:14" x14ac:dyDescent="0.3">
      <c r="B308" s="10" t="str">
        <f>IFERROR(INDEX(Backtest!C:C,MATCH(Trades!A308,Backtest!K:K,0)),"")</f>
        <v/>
      </c>
      <c r="C308" s="10" t="str">
        <f>IFERROR(INDEX(Backtest!C:C,MATCH(Trades!A308,Backtest!L:L,0)),IF(ISNUMBER(B308),Backtest!$C$2519,""))</f>
        <v/>
      </c>
      <c r="D308" s="1" t="str">
        <f t="shared" si="8"/>
        <v/>
      </c>
      <c r="E308" s="11" t="str">
        <f>IFERROR(VLOOKUP(C308,Backtest!C:D,2,FALSE)/VLOOKUP(B308,Backtest!C:D,2,FALSE)-1,"")</f>
        <v/>
      </c>
      <c r="K308" s="10" t="str">
        <f>IFERROR(INDEX(Backtest!C:C,MATCH(Trades!A308,Backtest!M:M,0)),"")</f>
        <v/>
      </c>
      <c r="L308" s="10" t="str">
        <f>IFERROR(INDEX(Backtest!C:C,MATCH(Trades!A308,Backtest!N:N,0)),IF(ISNUMBER(K308),Backtest!$C$2519,""))</f>
        <v/>
      </c>
      <c r="M308" s="1" t="str">
        <f t="shared" si="9"/>
        <v/>
      </c>
      <c r="N308" s="11" t="str">
        <f>IFERROR(VLOOKUP(L308,Backtest!C:D,2,FALSE)/VLOOKUP(K308,Backtest!C:D,2,FALSE)-1,"")</f>
        <v/>
      </c>
    </row>
    <row r="309" spans="2:14" x14ac:dyDescent="0.3">
      <c r="B309" s="10" t="str">
        <f>IFERROR(INDEX(Backtest!C:C,MATCH(Trades!A309,Backtest!K:K,0)),"")</f>
        <v/>
      </c>
      <c r="C309" s="10" t="str">
        <f>IFERROR(INDEX(Backtest!C:C,MATCH(Trades!A309,Backtest!L:L,0)),IF(ISNUMBER(B309),Backtest!$C$2519,""))</f>
        <v/>
      </c>
      <c r="D309" s="1" t="str">
        <f t="shared" si="8"/>
        <v/>
      </c>
      <c r="E309" s="11" t="str">
        <f>IFERROR(VLOOKUP(C309,Backtest!C:D,2,FALSE)/VLOOKUP(B309,Backtest!C:D,2,FALSE)-1,"")</f>
        <v/>
      </c>
      <c r="K309" s="10" t="str">
        <f>IFERROR(INDEX(Backtest!C:C,MATCH(Trades!A309,Backtest!M:M,0)),"")</f>
        <v/>
      </c>
      <c r="L309" s="10" t="str">
        <f>IFERROR(INDEX(Backtest!C:C,MATCH(Trades!A309,Backtest!N:N,0)),IF(ISNUMBER(K309),Backtest!$C$2519,""))</f>
        <v/>
      </c>
      <c r="M309" s="1" t="str">
        <f t="shared" si="9"/>
        <v/>
      </c>
      <c r="N309" s="11" t="str">
        <f>IFERROR(VLOOKUP(L309,Backtest!C:D,2,FALSE)/VLOOKUP(K309,Backtest!C:D,2,FALSE)-1,"")</f>
        <v/>
      </c>
    </row>
    <row r="310" spans="2:14" x14ac:dyDescent="0.3">
      <c r="B310" s="10" t="str">
        <f>IFERROR(INDEX(Backtest!C:C,MATCH(Trades!A310,Backtest!K:K,0)),"")</f>
        <v/>
      </c>
      <c r="C310" s="10" t="str">
        <f>IFERROR(INDEX(Backtest!C:C,MATCH(Trades!A310,Backtest!L:L,0)),IF(ISNUMBER(B310),Backtest!$C$2519,""))</f>
        <v/>
      </c>
      <c r="D310" s="1" t="str">
        <f t="shared" si="8"/>
        <v/>
      </c>
      <c r="E310" s="11" t="str">
        <f>IFERROR(VLOOKUP(C310,Backtest!C:D,2,FALSE)/VLOOKUP(B310,Backtest!C:D,2,FALSE)-1,"")</f>
        <v/>
      </c>
      <c r="K310" s="10" t="str">
        <f>IFERROR(INDEX(Backtest!C:C,MATCH(Trades!A310,Backtest!M:M,0)),"")</f>
        <v/>
      </c>
      <c r="L310" s="10" t="str">
        <f>IFERROR(INDEX(Backtest!C:C,MATCH(Trades!A310,Backtest!N:N,0)),IF(ISNUMBER(K310),Backtest!$C$2519,""))</f>
        <v/>
      </c>
      <c r="M310" s="1" t="str">
        <f t="shared" si="9"/>
        <v/>
      </c>
      <c r="N310" s="11" t="str">
        <f>IFERROR(VLOOKUP(L310,Backtest!C:D,2,FALSE)/VLOOKUP(K310,Backtest!C:D,2,FALSE)-1,"")</f>
        <v/>
      </c>
    </row>
    <row r="311" spans="2:14" x14ac:dyDescent="0.3">
      <c r="B311" s="10" t="str">
        <f>IFERROR(INDEX(Backtest!C:C,MATCH(Trades!A311,Backtest!K:K,0)),"")</f>
        <v/>
      </c>
      <c r="C311" s="10" t="str">
        <f>IFERROR(INDEX(Backtest!C:C,MATCH(Trades!A311,Backtest!L:L,0)),IF(ISNUMBER(B311),Backtest!$C$2519,""))</f>
        <v/>
      </c>
      <c r="D311" s="1" t="str">
        <f t="shared" si="8"/>
        <v/>
      </c>
      <c r="E311" s="11" t="str">
        <f>IFERROR(VLOOKUP(C311,Backtest!C:D,2,FALSE)/VLOOKUP(B311,Backtest!C:D,2,FALSE)-1,"")</f>
        <v/>
      </c>
      <c r="K311" s="10" t="str">
        <f>IFERROR(INDEX(Backtest!C:C,MATCH(Trades!A311,Backtest!M:M,0)),"")</f>
        <v/>
      </c>
      <c r="L311" s="10" t="str">
        <f>IFERROR(INDEX(Backtest!C:C,MATCH(Trades!A311,Backtest!N:N,0)),IF(ISNUMBER(K311),Backtest!$C$2519,""))</f>
        <v/>
      </c>
      <c r="M311" s="1" t="str">
        <f t="shared" si="9"/>
        <v/>
      </c>
      <c r="N311" s="11" t="str">
        <f>IFERROR(VLOOKUP(L311,Backtest!C:D,2,FALSE)/VLOOKUP(K311,Backtest!C:D,2,FALSE)-1,"")</f>
        <v/>
      </c>
    </row>
    <row r="312" spans="2:14" x14ac:dyDescent="0.3">
      <c r="B312" s="10" t="str">
        <f>IFERROR(INDEX(Backtest!C:C,MATCH(Trades!A312,Backtest!K:K,0)),"")</f>
        <v/>
      </c>
      <c r="C312" s="10" t="str">
        <f>IFERROR(INDEX(Backtest!C:C,MATCH(Trades!A312,Backtest!L:L,0)),IF(ISNUMBER(B312),Backtest!$C$2519,""))</f>
        <v/>
      </c>
      <c r="D312" s="1" t="str">
        <f t="shared" si="8"/>
        <v/>
      </c>
      <c r="E312" s="11" t="str">
        <f>IFERROR(VLOOKUP(C312,Backtest!C:D,2,FALSE)/VLOOKUP(B312,Backtest!C:D,2,FALSE)-1,"")</f>
        <v/>
      </c>
      <c r="K312" s="10" t="str">
        <f>IFERROR(INDEX(Backtest!C:C,MATCH(Trades!A312,Backtest!M:M,0)),"")</f>
        <v/>
      </c>
      <c r="L312" s="10" t="str">
        <f>IFERROR(INDEX(Backtest!C:C,MATCH(Trades!A312,Backtest!N:N,0)),IF(ISNUMBER(K312),Backtest!$C$2519,""))</f>
        <v/>
      </c>
      <c r="M312" s="1" t="str">
        <f t="shared" si="9"/>
        <v/>
      </c>
      <c r="N312" s="11" t="str">
        <f>IFERROR(VLOOKUP(L312,Backtest!C:D,2,FALSE)/VLOOKUP(K312,Backtest!C:D,2,FALSE)-1,"")</f>
        <v/>
      </c>
    </row>
    <row r="313" spans="2:14" x14ac:dyDescent="0.3">
      <c r="B313" s="10" t="str">
        <f>IFERROR(INDEX(Backtest!C:C,MATCH(Trades!A313,Backtest!K:K,0)),"")</f>
        <v/>
      </c>
      <c r="C313" s="10" t="str">
        <f>IFERROR(INDEX(Backtest!C:C,MATCH(Trades!A313,Backtest!L:L,0)),IF(ISNUMBER(B313),Backtest!$C$2519,""))</f>
        <v/>
      </c>
      <c r="D313" s="1" t="str">
        <f t="shared" si="8"/>
        <v/>
      </c>
      <c r="E313" s="11" t="str">
        <f>IFERROR(VLOOKUP(C313,Backtest!C:D,2,FALSE)/VLOOKUP(B313,Backtest!C:D,2,FALSE)-1,"")</f>
        <v/>
      </c>
      <c r="K313" s="10" t="str">
        <f>IFERROR(INDEX(Backtest!C:C,MATCH(Trades!A313,Backtest!M:M,0)),"")</f>
        <v/>
      </c>
      <c r="L313" s="10" t="str">
        <f>IFERROR(INDEX(Backtest!C:C,MATCH(Trades!A313,Backtest!N:N,0)),IF(ISNUMBER(K313),Backtest!$C$2519,""))</f>
        <v/>
      </c>
      <c r="M313" s="1" t="str">
        <f t="shared" si="9"/>
        <v/>
      </c>
      <c r="N313" s="11" t="str">
        <f>IFERROR(VLOOKUP(L313,Backtest!C:D,2,FALSE)/VLOOKUP(K313,Backtest!C:D,2,FALSE)-1,"")</f>
        <v/>
      </c>
    </row>
    <row r="314" spans="2:14" x14ac:dyDescent="0.3">
      <c r="B314" s="10" t="str">
        <f>IFERROR(INDEX(Backtest!C:C,MATCH(Trades!A314,Backtest!K:K,0)),"")</f>
        <v/>
      </c>
      <c r="C314" s="10" t="str">
        <f>IFERROR(INDEX(Backtest!C:C,MATCH(Trades!A314,Backtest!L:L,0)),IF(ISNUMBER(B314),Backtest!$C$2519,""))</f>
        <v/>
      </c>
      <c r="D314" s="1" t="str">
        <f t="shared" si="8"/>
        <v/>
      </c>
      <c r="E314" s="11" t="str">
        <f>IFERROR(VLOOKUP(C314,Backtest!C:D,2,FALSE)/VLOOKUP(B314,Backtest!C:D,2,FALSE)-1,"")</f>
        <v/>
      </c>
      <c r="K314" s="10" t="str">
        <f>IFERROR(INDEX(Backtest!C:C,MATCH(Trades!A314,Backtest!M:M,0)),"")</f>
        <v/>
      </c>
      <c r="L314" s="10" t="str">
        <f>IFERROR(INDEX(Backtest!C:C,MATCH(Trades!A314,Backtest!N:N,0)),IF(ISNUMBER(K314),Backtest!$C$2519,""))</f>
        <v/>
      </c>
      <c r="M314" s="1" t="str">
        <f t="shared" si="9"/>
        <v/>
      </c>
      <c r="N314" s="11" t="str">
        <f>IFERROR(VLOOKUP(L314,Backtest!C:D,2,FALSE)/VLOOKUP(K314,Backtest!C:D,2,FALSE)-1,"")</f>
        <v/>
      </c>
    </row>
    <row r="315" spans="2:14" x14ac:dyDescent="0.3">
      <c r="B315" s="10" t="str">
        <f>IFERROR(INDEX(Backtest!C:C,MATCH(Trades!A315,Backtest!K:K,0)),"")</f>
        <v/>
      </c>
      <c r="C315" s="10" t="str">
        <f>IFERROR(INDEX(Backtest!C:C,MATCH(Trades!A315,Backtest!L:L,0)),IF(ISNUMBER(B315),Backtest!$C$2519,""))</f>
        <v/>
      </c>
      <c r="D315" s="1" t="str">
        <f t="shared" si="8"/>
        <v/>
      </c>
      <c r="E315" s="11" t="str">
        <f>IFERROR(VLOOKUP(C315,Backtest!C:D,2,FALSE)/VLOOKUP(B315,Backtest!C:D,2,FALSE)-1,"")</f>
        <v/>
      </c>
      <c r="K315" s="10" t="str">
        <f>IFERROR(INDEX(Backtest!C:C,MATCH(Trades!A315,Backtest!M:M,0)),"")</f>
        <v/>
      </c>
      <c r="L315" s="10" t="str">
        <f>IFERROR(INDEX(Backtest!C:C,MATCH(Trades!A315,Backtest!N:N,0)),IF(ISNUMBER(K315),Backtest!$C$2519,""))</f>
        <v/>
      </c>
      <c r="M315" s="1" t="str">
        <f t="shared" si="9"/>
        <v/>
      </c>
      <c r="N315" s="11" t="str">
        <f>IFERROR(VLOOKUP(L315,Backtest!C:D,2,FALSE)/VLOOKUP(K315,Backtest!C:D,2,FALSE)-1,"")</f>
        <v/>
      </c>
    </row>
    <row r="316" spans="2:14" x14ac:dyDescent="0.3">
      <c r="B316" s="10" t="str">
        <f>IFERROR(INDEX(Backtest!C:C,MATCH(Trades!A316,Backtest!K:K,0)),"")</f>
        <v/>
      </c>
      <c r="C316" s="10" t="str">
        <f>IFERROR(INDEX(Backtest!C:C,MATCH(Trades!A316,Backtest!L:L,0)),IF(ISNUMBER(B316),Backtest!$C$2519,""))</f>
        <v/>
      </c>
      <c r="D316" s="1" t="str">
        <f t="shared" si="8"/>
        <v/>
      </c>
      <c r="E316" s="11" t="str">
        <f>IFERROR(VLOOKUP(C316,Backtest!C:D,2,FALSE)/VLOOKUP(B316,Backtest!C:D,2,FALSE)-1,"")</f>
        <v/>
      </c>
      <c r="K316" s="10" t="str">
        <f>IFERROR(INDEX(Backtest!C:C,MATCH(Trades!A316,Backtest!M:M,0)),"")</f>
        <v/>
      </c>
      <c r="L316" s="10" t="str">
        <f>IFERROR(INDEX(Backtest!C:C,MATCH(Trades!A316,Backtest!N:N,0)),IF(ISNUMBER(K316),Backtest!$C$2519,""))</f>
        <v/>
      </c>
      <c r="M316" s="1" t="str">
        <f t="shared" si="9"/>
        <v/>
      </c>
      <c r="N316" s="11" t="str">
        <f>IFERROR(VLOOKUP(L316,Backtest!C:D,2,FALSE)/VLOOKUP(K316,Backtest!C:D,2,FALSE)-1,"")</f>
        <v/>
      </c>
    </row>
    <row r="317" spans="2:14" x14ac:dyDescent="0.3">
      <c r="B317" s="10" t="str">
        <f>IFERROR(INDEX(Backtest!C:C,MATCH(Trades!A317,Backtest!K:K,0)),"")</f>
        <v/>
      </c>
      <c r="C317" s="10" t="str">
        <f>IFERROR(INDEX(Backtest!C:C,MATCH(Trades!A317,Backtest!L:L,0)),IF(ISNUMBER(B317),Backtest!$C$2519,""))</f>
        <v/>
      </c>
      <c r="D317" s="1" t="str">
        <f t="shared" si="8"/>
        <v/>
      </c>
      <c r="E317" s="11" t="str">
        <f>IFERROR(VLOOKUP(C317,Backtest!C:D,2,FALSE)/VLOOKUP(B317,Backtest!C:D,2,FALSE)-1,"")</f>
        <v/>
      </c>
      <c r="K317" s="10" t="str">
        <f>IFERROR(INDEX(Backtest!C:C,MATCH(Trades!A317,Backtest!M:M,0)),"")</f>
        <v/>
      </c>
      <c r="L317" s="10" t="str">
        <f>IFERROR(INDEX(Backtest!C:C,MATCH(Trades!A317,Backtest!N:N,0)),IF(ISNUMBER(K317),Backtest!$C$2519,""))</f>
        <v/>
      </c>
      <c r="M317" s="1" t="str">
        <f t="shared" si="9"/>
        <v/>
      </c>
      <c r="N317" s="11" t="str">
        <f>IFERROR(VLOOKUP(L317,Backtest!C:D,2,FALSE)/VLOOKUP(K317,Backtest!C:D,2,FALSE)-1,"")</f>
        <v/>
      </c>
    </row>
    <row r="318" spans="2:14" x14ac:dyDescent="0.3">
      <c r="B318" s="10" t="str">
        <f>IFERROR(INDEX(Backtest!C:C,MATCH(Trades!A318,Backtest!K:K,0)),"")</f>
        <v/>
      </c>
      <c r="C318" s="10" t="str">
        <f>IFERROR(INDEX(Backtest!C:C,MATCH(Trades!A318,Backtest!L:L,0)),IF(ISNUMBER(B318),Backtest!$C$2519,""))</f>
        <v/>
      </c>
      <c r="D318" s="1" t="str">
        <f t="shared" si="8"/>
        <v/>
      </c>
      <c r="E318" s="11" t="str">
        <f>IFERROR(VLOOKUP(C318,Backtest!C:D,2,FALSE)/VLOOKUP(B318,Backtest!C:D,2,FALSE)-1,"")</f>
        <v/>
      </c>
      <c r="K318" s="10" t="str">
        <f>IFERROR(INDEX(Backtest!C:C,MATCH(Trades!A318,Backtest!M:M,0)),"")</f>
        <v/>
      </c>
      <c r="L318" s="10" t="str">
        <f>IFERROR(INDEX(Backtest!C:C,MATCH(Trades!A318,Backtest!N:N,0)),IF(ISNUMBER(K318),Backtest!$C$2519,""))</f>
        <v/>
      </c>
      <c r="M318" s="1" t="str">
        <f t="shared" si="9"/>
        <v/>
      </c>
      <c r="N318" s="11" t="str">
        <f>IFERROR(VLOOKUP(L318,Backtest!C:D,2,FALSE)/VLOOKUP(K318,Backtest!C:D,2,FALSE)-1,"")</f>
        <v/>
      </c>
    </row>
    <row r="319" spans="2:14" x14ac:dyDescent="0.3">
      <c r="B319" s="10" t="str">
        <f>IFERROR(INDEX(Backtest!C:C,MATCH(Trades!A319,Backtest!K:K,0)),"")</f>
        <v/>
      </c>
      <c r="C319" s="10" t="str">
        <f>IFERROR(INDEX(Backtest!C:C,MATCH(Trades!A319,Backtest!L:L,0)),IF(ISNUMBER(B319),Backtest!$C$2519,""))</f>
        <v/>
      </c>
      <c r="D319" s="1" t="str">
        <f t="shared" si="8"/>
        <v/>
      </c>
      <c r="E319" s="11" t="str">
        <f>IFERROR(VLOOKUP(C319,Backtest!C:D,2,FALSE)/VLOOKUP(B319,Backtest!C:D,2,FALSE)-1,"")</f>
        <v/>
      </c>
      <c r="K319" s="10" t="str">
        <f>IFERROR(INDEX(Backtest!C:C,MATCH(Trades!A319,Backtest!M:M,0)),"")</f>
        <v/>
      </c>
      <c r="L319" s="10" t="str">
        <f>IFERROR(INDEX(Backtest!C:C,MATCH(Trades!A319,Backtest!N:N,0)),IF(ISNUMBER(K319),Backtest!$C$2519,""))</f>
        <v/>
      </c>
      <c r="M319" s="1" t="str">
        <f t="shared" si="9"/>
        <v/>
      </c>
      <c r="N319" s="11" t="str">
        <f>IFERROR(VLOOKUP(L319,Backtest!C:D,2,FALSE)/VLOOKUP(K319,Backtest!C:D,2,FALSE)-1,"")</f>
        <v/>
      </c>
    </row>
    <row r="320" spans="2:14" x14ac:dyDescent="0.3">
      <c r="B320" s="10" t="str">
        <f>IFERROR(INDEX(Backtest!C:C,MATCH(Trades!A320,Backtest!K:K,0)),"")</f>
        <v/>
      </c>
      <c r="C320" s="10" t="str">
        <f>IFERROR(INDEX(Backtest!C:C,MATCH(Trades!A320,Backtest!L:L,0)),IF(ISNUMBER(B320),Backtest!$C$2519,""))</f>
        <v/>
      </c>
      <c r="D320" s="1" t="str">
        <f t="shared" si="8"/>
        <v/>
      </c>
      <c r="E320" s="11" t="str">
        <f>IFERROR(VLOOKUP(C320,Backtest!C:D,2,FALSE)/VLOOKUP(B320,Backtest!C:D,2,FALSE)-1,"")</f>
        <v/>
      </c>
      <c r="K320" s="10" t="str">
        <f>IFERROR(INDEX(Backtest!C:C,MATCH(Trades!A320,Backtest!M:M,0)),"")</f>
        <v/>
      </c>
      <c r="L320" s="10" t="str">
        <f>IFERROR(INDEX(Backtest!C:C,MATCH(Trades!A320,Backtest!N:N,0)),IF(ISNUMBER(K320),Backtest!$C$2519,""))</f>
        <v/>
      </c>
      <c r="M320" s="1" t="str">
        <f t="shared" si="9"/>
        <v/>
      </c>
      <c r="N320" s="11" t="str">
        <f>IFERROR(VLOOKUP(L320,Backtest!C:D,2,FALSE)/VLOOKUP(K320,Backtest!C:D,2,FALSE)-1,"")</f>
        <v/>
      </c>
    </row>
    <row r="321" spans="2:14" x14ac:dyDescent="0.3">
      <c r="B321" s="10" t="str">
        <f>IFERROR(INDEX(Backtest!C:C,MATCH(Trades!A321,Backtest!K:K,0)),"")</f>
        <v/>
      </c>
      <c r="C321" s="10" t="str">
        <f>IFERROR(INDEX(Backtest!C:C,MATCH(Trades!A321,Backtest!L:L,0)),IF(ISNUMBER(B321),Backtest!$C$2519,""))</f>
        <v/>
      </c>
      <c r="D321" s="1" t="str">
        <f t="shared" si="8"/>
        <v/>
      </c>
      <c r="E321" s="11" t="str">
        <f>IFERROR(VLOOKUP(C321,Backtest!C:D,2,FALSE)/VLOOKUP(B321,Backtest!C:D,2,FALSE)-1,"")</f>
        <v/>
      </c>
      <c r="K321" s="10" t="str">
        <f>IFERROR(INDEX(Backtest!C:C,MATCH(Trades!A321,Backtest!M:M,0)),"")</f>
        <v/>
      </c>
      <c r="L321" s="10" t="str">
        <f>IFERROR(INDEX(Backtest!C:C,MATCH(Trades!A321,Backtest!N:N,0)),IF(ISNUMBER(K321),Backtest!$C$2519,""))</f>
        <v/>
      </c>
      <c r="M321" s="1" t="str">
        <f t="shared" si="9"/>
        <v/>
      </c>
      <c r="N321" s="11" t="str">
        <f>IFERROR(VLOOKUP(L321,Backtest!C:D,2,FALSE)/VLOOKUP(K321,Backtest!C:D,2,FALSE)-1,"")</f>
        <v/>
      </c>
    </row>
    <row r="322" spans="2:14" x14ac:dyDescent="0.3">
      <c r="B322" s="10" t="str">
        <f>IFERROR(INDEX(Backtest!C:C,MATCH(Trades!A322,Backtest!K:K,0)),"")</f>
        <v/>
      </c>
      <c r="C322" s="10" t="str">
        <f>IFERROR(INDEX(Backtest!C:C,MATCH(Trades!A322,Backtest!L:L,0)),IF(ISNUMBER(B322),Backtest!$C$2519,""))</f>
        <v/>
      </c>
      <c r="D322" s="1" t="str">
        <f t="shared" si="8"/>
        <v/>
      </c>
      <c r="E322" s="11" t="str">
        <f>IFERROR(VLOOKUP(C322,Backtest!C:D,2,FALSE)/VLOOKUP(B322,Backtest!C:D,2,FALSE)-1,"")</f>
        <v/>
      </c>
      <c r="K322" s="10" t="str">
        <f>IFERROR(INDEX(Backtest!C:C,MATCH(Trades!A322,Backtest!M:M,0)),"")</f>
        <v/>
      </c>
      <c r="L322" s="10" t="str">
        <f>IFERROR(INDEX(Backtest!C:C,MATCH(Trades!A322,Backtest!N:N,0)),IF(ISNUMBER(K322),Backtest!$C$2519,""))</f>
        <v/>
      </c>
      <c r="M322" s="1" t="str">
        <f t="shared" si="9"/>
        <v/>
      </c>
      <c r="N322" s="11" t="str">
        <f>IFERROR(VLOOKUP(L322,Backtest!C:D,2,FALSE)/VLOOKUP(K322,Backtest!C:D,2,FALSE)-1,"")</f>
        <v/>
      </c>
    </row>
    <row r="323" spans="2:14" x14ac:dyDescent="0.3">
      <c r="B323" s="10" t="str">
        <f>IFERROR(INDEX(Backtest!C:C,MATCH(Trades!A323,Backtest!K:K,0)),"")</f>
        <v/>
      </c>
      <c r="C323" s="10" t="str">
        <f>IFERROR(INDEX(Backtest!C:C,MATCH(Trades!A323,Backtest!L:L,0)),IF(ISNUMBER(B323),Backtest!$C$2519,""))</f>
        <v/>
      </c>
      <c r="D323" s="1" t="str">
        <f t="shared" si="8"/>
        <v/>
      </c>
      <c r="E323" s="11" t="str">
        <f>IFERROR(VLOOKUP(C323,Backtest!C:D,2,FALSE)/VLOOKUP(B323,Backtest!C:D,2,FALSE)-1,"")</f>
        <v/>
      </c>
      <c r="K323" s="10" t="str">
        <f>IFERROR(INDEX(Backtest!C:C,MATCH(Trades!A323,Backtest!M:M,0)),"")</f>
        <v/>
      </c>
      <c r="L323" s="10" t="str">
        <f>IFERROR(INDEX(Backtest!C:C,MATCH(Trades!A323,Backtest!N:N,0)),IF(ISNUMBER(K323),Backtest!$C$2519,""))</f>
        <v/>
      </c>
      <c r="M323" s="1" t="str">
        <f t="shared" si="9"/>
        <v/>
      </c>
      <c r="N323" s="11" t="str">
        <f>IFERROR(VLOOKUP(L323,Backtest!C:D,2,FALSE)/VLOOKUP(K323,Backtest!C:D,2,FALSE)-1,"")</f>
        <v/>
      </c>
    </row>
    <row r="324" spans="2:14" x14ac:dyDescent="0.3">
      <c r="B324" s="10" t="str">
        <f>IFERROR(INDEX(Backtest!C:C,MATCH(Trades!A324,Backtest!K:K,0)),"")</f>
        <v/>
      </c>
      <c r="C324" s="10" t="str">
        <f>IFERROR(INDEX(Backtest!C:C,MATCH(Trades!A324,Backtest!L:L,0)),IF(ISNUMBER(B324),Backtest!$C$2519,""))</f>
        <v/>
      </c>
      <c r="D324" s="1" t="str">
        <f t="shared" ref="D324:D387" si="10">IF(ISNUMBER(B324),NETWORKDAYS(B324,C324),"")</f>
        <v/>
      </c>
      <c r="E324" s="11" t="str">
        <f>IFERROR(VLOOKUP(C324,Backtest!C:D,2,FALSE)/VLOOKUP(B324,Backtest!C:D,2,FALSE)-1,"")</f>
        <v/>
      </c>
      <c r="K324" s="10" t="str">
        <f>IFERROR(INDEX(Backtest!C:C,MATCH(Trades!A324,Backtest!M:M,0)),"")</f>
        <v/>
      </c>
      <c r="L324" s="10" t="str">
        <f>IFERROR(INDEX(Backtest!C:C,MATCH(Trades!A324,Backtest!N:N,0)),IF(ISNUMBER(K324),Backtest!$C$2519,""))</f>
        <v/>
      </c>
      <c r="M324" s="1" t="str">
        <f t="shared" ref="M324:M387" si="11">IF(ISNUMBER(K324),NETWORKDAYS(K324,L324),"")</f>
        <v/>
      </c>
      <c r="N324" s="11" t="str">
        <f>IFERROR(VLOOKUP(L324,Backtest!C:D,2,FALSE)/VLOOKUP(K324,Backtest!C:D,2,FALSE)-1,"")</f>
        <v/>
      </c>
    </row>
    <row r="325" spans="2:14" x14ac:dyDescent="0.3">
      <c r="B325" s="10" t="str">
        <f>IFERROR(INDEX(Backtest!C:C,MATCH(Trades!A325,Backtest!K:K,0)),"")</f>
        <v/>
      </c>
      <c r="C325" s="10" t="str">
        <f>IFERROR(INDEX(Backtest!C:C,MATCH(Trades!A325,Backtest!L:L,0)),IF(ISNUMBER(B325),Backtest!$C$2519,""))</f>
        <v/>
      </c>
      <c r="D325" s="1" t="str">
        <f t="shared" si="10"/>
        <v/>
      </c>
      <c r="E325" s="11" t="str">
        <f>IFERROR(VLOOKUP(C325,Backtest!C:D,2,FALSE)/VLOOKUP(B325,Backtest!C:D,2,FALSE)-1,"")</f>
        <v/>
      </c>
      <c r="K325" s="10" t="str">
        <f>IFERROR(INDEX(Backtest!C:C,MATCH(Trades!A325,Backtest!M:M,0)),"")</f>
        <v/>
      </c>
      <c r="L325" s="10" t="str">
        <f>IFERROR(INDEX(Backtest!C:C,MATCH(Trades!A325,Backtest!N:N,0)),IF(ISNUMBER(K325),Backtest!$C$2519,""))</f>
        <v/>
      </c>
      <c r="M325" s="1" t="str">
        <f t="shared" si="11"/>
        <v/>
      </c>
      <c r="N325" s="11" t="str">
        <f>IFERROR(VLOOKUP(L325,Backtest!C:D,2,FALSE)/VLOOKUP(K325,Backtest!C:D,2,FALSE)-1,"")</f>
        <v/>
      </c>
    </row>
    <row r="326" spans="2:14" x14ac:dyDescent="0.3">
      <c r="B326" s="10" t="str">
        <f>IFERROR(INDEX(Backtest!C:C,MATCH(Trades!A326,Backtest!K:K,0)),"")</f>
        <v/>
      </c>
      <c r="C326" s="10" t="str">
        <f>IFERROR(INDEX(Backtest!C:C,MATCH(Trades!A326,Backtest!L:L,0)),IF(ISNUMBER(B326),Backtest!$C$2519,""))</f>
        <v/>
      </c>
      <c r="D326" s="1" t="str">
        <f t="shared" si="10"/>
        <v/>
      </c>
      <c r="E326" s="11" t="str">
        <f>IFERROR(VLOOKUP(C326,Backtest!C:D,2,FALSE)/VLOOKUP(B326,Backtest!C:D,2,FALSE)-1,"")</f>
        <v/>
      </c>
      <c r="K326" s="10" t="str">
        <f>IFERROR(INDEX(Backtest!C:C,MATCH(Trades!A326,Backtest!M:M,0)),"")</f>
        <v/>
      </c>
      <c r="L326" s="10" t="str">
        <f>IFERROR(INDEX(Backtest!C:C,MATCH(Trades!A326,Backtest!N:N,0)),IF(ISNUMBER(K326),Backtest!$C$2519,""))</f>
        <v/>
      </c>
      <c r="M326" s="1" t="str">
        <f t="shared" si="11"/>
        <v/>
      </c>
      <c r="N326" s="11" t="str">
        <f>IFERROR(VLOOKUP(L326,Backtest!C:D,2,FALSE)/VLOOKUP(K326,Backtest!C:D,2,FALSE)-1,"")</f>
        <v/>
      </c>
    </row>
    <row r="327" spans="2:14" x14ac:dyDescent="0.3">
      <c r="B327" s="10" t="str">
        <f>IFERROR(INDEX(Backtest!C:C,MATCH(Trades!A327,Backtest!K:K,0)),"")</f>
        <v/>
      </c>
      <c r="C327" s="10" t="str">
        <f>IFERROR(INDEX(Backtest!C:C,MATCH(Trades!A327,Backtest!L:L,0)),IF(ISNUMBER(B327),Backtest!$C$2519,""))</f>
        <v/>
      </c>
      <c r="D327" s="1" t="str">
        <f t="shared" si="10"/>
        <v/>
      </c>
      <c r="E327" s="11" t="str">
        <f>IFERROR(VLOOKUP(C327,Backtest!C:D,2,FALSE)/VLOOKUP(B327,Backtest!C:D,2,FALSE)-1,"")</f>
        <v/>
      </c>
      <c r="K327" s="10" t="str">
        <f>IFERROR(INDEX(Backtest!C:C,MATCH(Trades!A327,Backtest!M:M,0)),"")</f>
        <v/>
      </c>
      <c r="L327" s="10" t="str">
        <f>IFERROR(INDEX(Backtest!C:C,MATCH(Trades!A327,Backtest!N:N,0)),IF(ISNUMBER(K327),Backtest!$C$2519,""))</f>
        <v/>
      </c>
      <c r="M327" s="1" t="str">
        <f t="shared" si="11"/>
        <v/>
      </c>
      <c r="N327" s="11" t="str">
        <f>IFERROR(VLOOKUP(L327,Backtest!C:D,2,FALSE)/VLOOKUP(K327,Backtest!C:D,2,FALSE)-1,"")</f>
        <v/>
      </c>
    </row>
    <row r="328" spans="2:14" x14ac:dyDescent="0.3">
      <c r="B328" s="10" t="str">
        <f>IFERROR(INDEX(Backtest!C:C,MATCH(Trades!A328,Backtest!K:K,0)),"")</f>
        <v/>
      </c>
      <c r="C328" s="10" t="str">
        <f>IFERROR(INDEX(Backtest!C:C,MATCH(Trades!A328,Backtest!L:L,0)),IF(ISNUMBER(B328),Backtest!$C$2519,""))</f>
        <v/>
      </c>
      <c r="D328" s="1" t="str">
        <f t="shared" si="10"/>
        <v/>
      </c>
      <c r="E328" s="11" t="str">
        <f>IFERROR(VLOOKUP(C328,Backtest!C:D,2,FALSE)/VLOOKUP(B328,Backtest!C:D,2,FALSE)-1,"")</f>
        <v/>
      </c>
      <c r="K328" s="10" t="str">
        <f>IFERROR(INDEX(Backtest!C:C,MATCH(Trades!A328,Backtest!M:M,0)),"")</f>
        <v/>
      </c>
      <c r="L328" s="10" t="str">
        <f>IFERROR(INDEX(Backtest!C:C,MATCH(Trades!A328,Backtest!N:N,0)),IF(ISNUMBER(K328),Backtest!$C$2519,""))</f>
        <v/>
      </c>
      <c r="M328" s="1" t="str">
        <f t="shared" si="11"/>
        <v/>
      </c>
      <c r="N328" s="11" t="str">
        <f>IFERROR(VLOOKUP(L328,Backtest!C:D,2,FALSE)/VLOOKUP(K328,Backtest!C:D,2,FALSE)-1,"")</f>
        <v/>
      </c>
    </row>
    <row r="329" spans="2:14" x14ac:dyDescent="0.3">
      <c r="B329" s="10" t="str">
        <f>IFERROR(INDEX(Backtest!C:C,MATCH(Trades!A329,Backtest!K:K,0)),"")</f>
        <v/>
      </c>
      <c r="C329" s="10" t="str">
        <f>IFERROR(INDEX(Backtest!C:C,MATCH(Trades!A329,Backtest!L:L,0)),IF(ISNUMBER(B329),Backtest!$C$2519,""))</f>
        <v/>
      </c>
      <c r="D329" s="1" t="str">
        <f t="shared" si="10"/>
        <v/>
      </c>
      <c r="E329" s="11" t="str">
        <f>IFERROR(VLOOKUP(C329,Backtest!C:D,2,FALSE)/VLOOKUP(B329,Backtest!C:D,2,FALSE)-1,"")</f>
        <v/>
      </c>
      <c r="K329" s="10" t="str">
        <f>IFERROR(INDEX(Backtest!C:C,MATCH(Trades!A329,Backtest!M:M,0)),"")</f>
        <v/>
      </c>
      <c r="L329" s="10" t="str">
        <f>IFERROR(INDEX(Backtest!C:C,MATCH(Trades!A329,Backtest!N:N,0)),IF(ISNUMBER(K329),Backtest!$C$2519,""))</f>
        <v/>
      </c>
      <c r="M329" s="1" t="str">
        <f t="shared" si="11"/>
        <v/>
      </c>
      <c r="N329" s="11" t="str">
        <f>IFERROR(VLOOKUP(L329,Backtest!C:D,2,FALSE)/VLOOKUP(K329,Backtest!C:D,2,FALSE)-1,"")</f>
        <v/>
      </c>
    </row>
    <row r="330" spans="2:14" x14ac:dyDescent="0.3">
      <c r="B330" s="10" t="str">
        <f>IFERROR(INDEX(Backtest!C:C,MATCH(Trades!A330,Backtest!K:K,0)),"")</f>
        <v/>
      </c>
      <c r="C330" s="10" t="str">
        <f>IFERROR(INDEX(Backtest!C:C,MATCH(Trades!A330,Backtest!L:L,0)),IF(ISNUMBER(B330),Backtest!$C$2519,""))</f>
        <v/>
      </c>
      <c r="D330" s="1" t="str">
        <f t="shared" si="10"/>
        <v/>
      </c>
      <c r="E330" s="11" t="str">
        <f>IFERROR(VLOOKUP(C330,Backtest!C:D,2,FALSE)/VLOOKUP(B330,Backtest!C:D,2,FALSE)-1,"")</f>
        <v/>
      </c>
      <c r="K330" s="10" t="str">
        <f>IFERROR(INDEX(Backtest!C:C,MATCH(Trades!A330,Backtest!M:M,0)),"")</f>
        <v/>
      </c>
      <c r="L330" s="10" t="str">
        <f>IFERROR(INDEX(Backtest!C:C,MATCH(Trades!A330,Backtest!N:N,0)),IF(ISNUMBER(K330),Backtest!$C$2519,""))</f>
        <v/>
      </c>
      <c r="M330" s="1" t="str">
        <f t="shared" si="11"/>
        <v/>
      </c>
      <c r="N330" s="11" t="str">
        <f>IFERROR(VLOOKUP(L330,Backtest!C:D,2,FALSE)/VLOOKUP(K330,Backtest!C:D,2,FALSE)-1,"")</f>
        <v/>
      </c>
    </row>
    <row r="331" spans="2:14" x14ac:dyDescent="0.3">
      <c r="B331" s="10" t="str">
        <f>IFERROR(INDEX(Backtest!C:C,MATCH(Trades!A331,Backtest!K:K,0)),"")</f>
        <v/>
      </c>
      <c r="C331" s="10" t="str">
        <f>IFERROR(INDEX(Backtest!C:C,MATCH(Trades!A331,Backtest!L:L,0)),IF(ISNUMBER(B331),Backtest!$C$2519,""))</f>
        <v/>
      </c>
      <c r="D331" s="1" t="str">
        <f t="shared" si="10"/>
        <v/>
      </c>
      <c r="E331" s="11" t="str">
        <f>IFERROR(VLOOKUP(C331,Backtest!C:D,2,FALSE)/VLOOKUP(B331,Backtest!C:D,2,FALSE)-1,"")</f>
        <v/>
      </c>
      <c r="K331" s="10" t="str">
        <f>IFERROR(INDEX(Backtest!C:C,MATCH(Trades!A331,Backtest!M:M,0)),"")</f>
        <v/>
      </c>
      <c r="L331" s="10" t="str">
        <f>IFERROR(INDEX(Backtest!C:C,MATCH(Trades!A331,Backtest!N:N,0)),IF(ISNUMBER(K331),Backtest!$C$2519,""))</f>
        <v/>
      </c>
      <c r="M331" s="1" t="str">
        <f t="shared" si="11"/>
        <v/>
      </c>
      <c r="N331" s="11" t="str">
        <f>IFERROR(VLOOKUP(L331,Backtest!C:D,2,FALSE)/VLOOKUP(K331,Backtest!C:D,2,FALSE)-1,"")</f>
        <v/>
      </c>
    </row>
    <row r="332" spans="2:14" x14ac:dyDescent="0.3">
      <c r="B332" s="10" t="str">
        <f>IFERROR(INDEX(Backtest!C:C,MATCH(Trades!A332,Backtest!K:K,0)),"")</f>
        <v/>
      </c>
      <c r="C332" s="10" t="str">
        <f>IFERROR(INDEX(Backtest!C:C,MATCH(Trades!A332,Backtest!L:L,0)),IF(ISNUMBER(B332),Backtest!$C$2519,""))</f>
        <v/>
      </c>
      <c r="D332" s="1" t="str">
        <f t="shared" si="10"/>
        <v/>
      </c>
      <c r="E332" s="11" t="str">
        <f>IFERROR(VLOOKUP(C332,Backtest!C:D,2,FALSE)/VLOOKUP(B332,Backtest!C:D,2,FALSE)-1,"")</f>
        <v/>
      </c>
      <c r="K332" s="10" t="str">
        <f>IFERROR(INDEX(Backtest!C:C,MATCH(Trades!A332,Backtest!M:M,0)),"")</f>
        <v/>
      </c>
      <c r="L332" s="10" t="str">
        <f>IFERROR(INDEX(Backtest!C:C,MATCH(Trades!A332,Backtest!N:N,0)),IF(ISNUMBER(K332),Backtest!$C$2519,""))</f>
        <v/>
      </c>
      <c r="M332" s="1" t="str">
        <f t="shared" si="11"/>
        <v/>
      </c>
      <c r="N332" s="11" t="str">
        <f>IFERROR(VLOOKUP(L332,Backtest!C:D,2,FALSE)/VLOOKUP(K332,Backtest!C:D,2,FALSE)-1,"")</f>
        <v/>
      </c>
    </row>
    <row r="333" spans="2:14" x14ac:dyDescent="0.3">
      <c r="B333" s="10" t="str">
        <f>IFERROR(INDEX(Backtest!C:C,MATCH(Trades!A333,Backtest!K:K,0)),"")</f>
        <v/>
      </c>
      <c r="C333" s="10" t="str">
        <f>IFERROR(INDEX(Backtest!C:C,MATCH(Trades!A333,Backtest!L:L,0)),IF(ISNUMBER(B333),Backtest!$C$2519,""))</f>
        <v/>
      </c>
      <c r="D333" s="1" t="str">
        <f t="shared" si="10"/>
        <v/>
      </c>
      <c r="E333" s="11" t="str">
        <f>IFERROR(VLOOKUP(C333,Backtest!C:D,2,FALSE)/VLOOKUP(B333,Backtest!C:D,2,FALSE)-1,"")</f>
        <v/>
      </c>
      <c r="K333" s="10" t="str">
        <f>IFERROR(INDEX(Backtest!C:C,MATCH(Trades!A333,Backtest!M:M,0)),"")</f>
        <v/>
      </c>
      <c r="L333" s="10" t="str">
        <f>IFERROR(INDEX(Backtest!C:C,MATCH(Trades!A333,Backtest!N:N,0)),IF(ISNUMBER(K333),Backtest!$C$2519,""))</f>
        <v/>
      </c>
      <c r="M333" s="1" t="str">
        <f t="shared" si="11"/>
        <v/>
      </c>
      <c r="N333" s="11" t="str">
        <f>IFERROR(VLOOKUP(L333,Backtest!C:D,2,FALSE)/VLOOKUP(K333,Backtest!C:D,2,FALSE)-1,"")</f>
        <v/>
      </c>
    </row>
    <row r="334" spans="2:14" x14ac:dyDescent="0.3">
      <c r="B334" s="10" t="str">
        <f>IFERROR(INDEX(Backtest!C:C,MATCH(Trades!A334,Backtest!K:K,0)),"")</f>
        <v/>
      </c>
      <c r="C334" s="10" t="str">
        <f>IFERROR(INDEX(Backtest!C:C,MATCH(Trades!A334,Backtest!L:L,0)),IF(ISNUMBER(B334),Backtest!$C$2519,""))</f>
        <v/>
      </c>
      <c r="D334" s="1" t="str">
        <f t="shared" si="10"/>
        <v/>
      </c>
      <c r="E334" s="11" t="str">
        <f>IFERROR(VLOOKUP(C334,Backtest!C:D,2,FALSE)/VLOOKUP(B334,Backtest!C:D,2,FALSE)-1,"")</f>
        <v/>
      </c>
      <c r="K334" s="10" t="str">
        <f>IFERROR(INDEX(Backtest!C:C,MATCH(Trades!A334,Backtest!M:M,0)),"")</f>
        <v/>
      </c>
      <c r="L334" s="10" t="str">
        <f>IFERROR(INDEX(Backtest!C:C,MATCH(Trades!A334,Backtest!N:N,0)),IF(ISNUMBER(K334),Backtest!$C$2519,""))</f>
        <v/>
      </c>
      <c r="M334" s="1" t="str">
        <f t="shared" si="11"/>
        <v/>
      </c>
      <c r="N334" s="11" t="str">
        <f>IFERROR(VLOOKUP(L334,Backtest!C:D,2,FALSE)/VLOOKUP(K334,Backtest!C:D,2,FALSE)-1,"")</f>
        <v/>
      </c>
    </row>
    <row r="335" spans="2:14" x14ac:dyDescent="0.3">
      <c r="B335" s="10" t="str">
        <f>IFERROR(INDEX(Backtest!C:C,MATCH(Trades!A335,Backtest!K:K,0)),"")</f>
        <v/>
      </c>
      <c r="C335" s="10" t="str">
        <f>IFERROR(INDEX(Backtest!C:C,MATCH(Trades!A335,Backtest!L:L,0)),IF(ISNUMBER(B335),Backtest!$C$2519,""))</f>
        <v/>
      </c>
      <c r="D335" s="1" t="str">
        <f t="shared" si="10"/>
        <v/>
      </c>
      <c r="E335" s="11" t="str">
        <f>IFERROR(VLOOKUP(C335,Backtest!C:D,2,FALSE)/VLOOKUP(B335,Backtest!C:D,2,FALSE)-1,"")</f>
        <v/>
      </c>
      <c r="K335" s="10" t="str">
        <f>IFERROR(INDEX(Backtest!C:C,MATCH(Trades!A335,Backtest!M:M,0)),"")</f>
        <v/>
      </c>
      <c r="L335" s="10" t="str">
        <f>IFERROR(INDEX(Backtest!C:C,MATCH(Trades!A335,Backtest!N:N,0)),IF(ISNUMBER(K335),Backtest!$C$2519,""))</f>
        <v/>
      </c>
      <c r="M335" s="1" t="str">
        <f t="shared" si="11"/>
        <v/>
      </c>
      <c r="N335" s="11" t="str">
        <f>IFERROR(VLOOKUP(L335,Backtest!C:D,2,FALSE)/VLOOKUP(K335,Backtest!C:D,2,FALSE)-1,"")</f>
        <v/>
      </c>
    </row>
    <row r="336" spans="2:14" x14ac:dyDescent="0.3">
      <c r="B336" s="10" t="str">
        <f>IFERROR(INDEX(Backtest!C:C,MATCH(Trades!A336,Backtest!K:K,0)),"")</f>
        <v/>
      </c>
      <c r="C336" s="10" t="str">
        <f>IFERROR(INDEX(Backtest!C:C,MATCH(Trades!A336,Backtest!L:L,0)),IF(ISNUMBER(B336),Backtest!$C$2519,""))</f>
        <v/>
      </c>
      <c r="D336" s="1" t="str">
        <f t="shared" si="10"/>
        <v/>
      </c>
      <c r="E336" s="11" t="str">
        <f>IFERROR(VLOOKUP(C336,Backtest!C:D,2,FALSE)/VLOOKUP(B336,Backtest!C:D,2,FALSE)-1,"")</f>
        <v/>
      </c>
      <c r="K336" s="10" t="str">
        <f>IFERROR(INDEX(Backtest!C:C,MATCH(Trades!A336,Backtest!M:M,0)),"")</f>
        <v/>
      </c>
      <c r="L336" s="10" t="str">
        <f>IFERROR(INDEX(Backtest!C:C,MATCH(Trades!A336,Backtest!N:N,0)),IF(ISNUMBER(K336),Backtest!$C$2519,""))</f>
        <v/>
      </c>
      <c r="M336" s="1" t="str">
        <f t="shared" si="11"/>
        <v/>
      </c>
      <c r="N336" s="11" t="str">
        <f>IFERROR(VLOOKUP(L336,Backtest!C:D,2,FALSE)/VLOOKUP(K336,Backtest!C:D,2,FALSE)-1,"")</f>
        <v/>
      </c>
    </row>
    <row r="337" spans="2:14" x14ac:dyDescent="0.3">
      <c r="B337" s="10" t="str">
        <f>IFERROR(INDEX(Backtest!C:C,MATCH(Trades!A337,Backtest!K:K,0)),"")</f>
        <v/>
      </c>
      <c r="C337" s="10" t="str">
        <f>IFERROR(INDEX(Backtest!C:C,MATCH(Trades!A337,Backtest!L:L,0)),IF(ISNUMBER(B337),Backtest!$C$2519,""))</f>
        <v/>
      </c>
      <c r="D337" s="1" t="str">
        <f t="shared" si="10"/>
        <v/>
      </c>
      <c r="E337" s="11" t="str">
        <f>IFERROR(VLOOKUP(C337,Backtest!C:D,2,FALSE)/VLOOKUP(B337,Backtest!C:D,2,FALSE)-1,"")</f>
        <v/>
      </c>
      <c r="K337" s="10" t="str">
        <f>IFERROR(INDEX(Backtest!C:C,MATCH(Trades!A337,Backtest!M:M,0)),"")</f>
        <v/>
      </c>
      <c r="L337" s="10" t="str">
        <f>IFERROR(INDEX(Backtest!C:C,MATCH(Trades!A337,Backtest!N:N,0)),IF(ISNUMBER(K337),Backtest!$C$2519,""))</f>
        <v/>
      </c>
      <c r="M337" s="1" t="str">
        <f t="shared" si="11"/>
        <v/>
      </c>
      <c r="N337" s="11" t="str">
        <f>IFERROR(VLOOKUP(L337,Backtest!C:D,2,FALSE)/VLOOKUP(K337,Backtest!C:D,2,FALSE)-1,"")</f>
        <v/>
      </c>
    </row>
    <row r="338" spans="2:14" x14ac:dyDescent="0.3">
      <c r="B338" s="10" t="str">
        <f>IFERROR(INDEX(Backtest!C:C,MATCH(Trades!A338,Backtest!K:K,0)),"")</f>
        <v/>
      </c>
      <c r="C338" s="10" t="str">
        <f>IFERROR(INDEX(Backtest!C:C,MATCH(Trades!A338,Backtest!L:L,0)),IF(ISNUMBER(B338),Backtest!$C$2519,""))</f>
        <v/>
      </c>
      <c r="D338" s="1" t="str">
        <f t="shared" si="10"/>
        <v/>
      </c>
      <c r="E338" s="11" t="str">
        <f>IFERROR(VLOOKUP(C338,Backtest!C:D,2,FALSE)/VLOOKUP(B338,Backtest!C:D,2,FALSE)-1,"")</f>
        <v/>
      </c>
      <c r="K338" s="10" t="str">
        <f>IFERROR(INDEX(Backtest!C:C,MATCH(Trades!A338,Backtest!M:M,0)),"")</f>
        <v/>
      </c>
      <c r="L338" s="10" t="str">
        <f>IFERROR(INDEX(Backtest!C:C,MATCH(Trades!A338,Backtest!N:N,0)),IF(ISNUMBER(K338),Backtest!$C$2519,""))</f>
        <v/>
      </c>
      <c r="M338" s="1" t="str">
        <f t="shared" si="11"/>
        <v/>
      </c>
      <c r="N338" s="11" t="str">
        <f>IFERROR(VLOOKUP(L338,Backtest!C:D,2,FALSE)/VLOOKUP(K338,Backtest!C:D,2,FALSE)-1,"")</f>
        <v/>
      </c>
    </row>
    <row r="339" spans="2:14" x14ac:dyDescent="0.3">
      <c r="B339" s="10" t="str">
        <f>IFERROR(INDEX(Backtest!C:C,MATCH(Trades!A339,Backtest!K:K,0)),"")</f>
        <v/>
      </c>
      <c r="C339" s="10" t="str">
        <f>IFERROR(INDEX(Backtest!C:C,MATCH(Trades!A339,Backtest!L:L,0)),IF(ISNUMBER(B339),Backtest!$C$2519,""))</f>
        <v/>
      </c>
      <c r="D339" s="1" t="str">
        <f t="shared" si="10"/>
        <v/>
      </c>
      <c r="E339" s="11" t="str">
        <f>IFERROR(VLOOKUP(C339,Backtest!C:D,2,FALSE)/VLOOKUP(B339,Backtest!C:D,2,FALSE)-1,"")</f>
        <v/>
      </c>
      <c r="K339" s="10" t="str">
        <f>IFERROR(INDEX(Backtest!C:C,MATCH(Trades!A339,Backtest!M:M,0)),"")</f>
        <v/>
      </c>
      <c r="L339" s="10" t="str">
        <f>IFERROR(INDEX(Backtest!C:C,MATCH(Trades!A339,Backtest!N:N,0)),IF(ISNUMBER(K339),Backtest!$C$2519,""))</f>
        <v/>
      </c>
      <c r="M339" s="1" t="str">
        <f t="shared" si="11"/>
        <v/>
      </c>
      <c r="N339" s="11" t="str">
        <f>IFERROR(VLOOKUP(L339,Backtest!C:D,2,FALSE)/VLOOKUP(K339,Backtest!C:D,2,FALSE)-1,"")</f>
        <v/>
      </c>
    </row>
    <row r="340" spans="2:14" x14ac:dyDescent="0.3">
      <c r="B340" s="10" t="str">
        <f>IFERROR(INDEX(Backtest!C:C,MATCH(Trades!A340,Backtest!K:K,0)),"")</f>
        <v/>
      </c>
      <c r="C340" s="10" t="str">
        <f>IFERROR(INDEX(Backtest!C:C,MATCH(Trades!A340,Backtest!L:L,0)),IF(ISNUMBER(B340),Backtest!$C$2519,""))</f>
        <v/>
      </c>
      <c r="D340" s="1" t="str">
        <f t="shared" si="10"/>
        <v/>
      </c>
      <c r="E340" s="11" t="str">
        <f>IFERROR(VLOOKUP(C340,Backtest!C:D,2,FALSE)/VLOOKUP(B340,Backtest!C:D,2,FALSE)-1,"")</f>
        <v/>
      </c>
      <c r="K340" s="10" t="str">
        <f>IFERROR(INDEX(Backtest!C:C,MATCH(Trades!A340,Backtest!M:M,0)),"")</f>
        <v/>
      </c>
      <c r="L340" s="10" t="str">
        <f>IFERROR(INDEX(Backtest!C:C,MATCH(Trades!A340,Backtest!N:N,0)),IF(ISNUMBER(K340),Backtest!$C$2519,""))</f>
        <v/>
      </c>
      <c r="M340" s="1" t="str">
        <f t="shared" si="11"/>
        <v/>
      </c>
      <c r="N340" s="11" t="str">
        <f>IFERROR(VLOOKUP(L340,Backtest!C:D,2,FALSE)/VLOOKUP(K340,Backtest!C:D,2,FALSE)-1,"")</f>
        <v/>
      </c>
    </row>
    <row r="341" spans="2:14" x14ac:dyDescent="0.3">
      <c r="B341" s="10" t="str">
        <f>IFERROR(INDEX(Backtest!C:C,MATCH(Trades!A341,Backtest!K:K,0)),"")</f>
        <v/>
      </c>
      <c r="C341" s="10" t="str">
        <f>IFERROR(INDEX(Backtest!C:C,MATCH(Trades!A341,Backtest!L:L,0)),IF(ISNUMBER(B341),Backtest!$C$2519,""))</f>
        <v/>
      </c>
      <c r="D341" s="1" t="str">
        <f t="shared" si="10"/>
        <v/>
      </c>
      <c r="E341" s="11" t="str">
        <f>IFERROR(VLOOKUP(C341,Backtest!C:D,2,FALSE)/VLOOKUP(B341,Backtest!C:D,2,FALSE)-1,"")</f>
        <v/>
      </c>
      <c r="K341" s="10" t="str">
        <f>IFERROR(INDEX(Backtest!C:C,MATCH(Trades!A341,Backtest!M:M,0)),"")</f>
        <v/>
      </c>
      <c r="L341" s="10" t="str">
        <f>IFERROR(INDEX(Backtest!C:C,MATCH(Trades!A341,Backtest!N:N,0)),IF(ISNUMBER(K341),Backtest!$C$2519,""))</f>
        <v/>
      </c>
      <c r="M341" s="1" t="str">
        <f t="shared" si="11"/>
        <v/>
      </c>
      <c r="N341" s="11" t="str">
        <f>IFERROR(VLOOKUP(L341,Backtest!C:D,2,FALSE)/VLOOKUP(K341,Backtest!C:D,2,FALSE)-1,"")</f>
        <v/>
      </c>
    </row>
    <row r="342" spans="2:14" x14ac:dyDescent="0.3">
      <c r="B342" s="10" t="str">
        <f>IFERROR(INDEX(Backtest!C:C,MATCH(Trades!A342,Backtest!K:K,0)),"")</f>
        <v/>
      </c>
      <c r="C342" s="10" t="str">
        <f>IFERROR(INDEX(Backtest!C:C,MATCH(Trades!A342,Backtest!L:L,0)),IF(ISNUMBER(B342),Backtest!$C$2519,""))</f>
        <v/>
      </c>
      <c r="D342" s="1" t="str">
        <f t="shared" si="10"/>
        <v/>
      </c>
      <c r="E342" s="11" t="str">
        <f>IFERROR(VLOOKUP(C342,Backtest!C:D,2,FALSE)/VLOOKUP(B342,Backtest!C:D,2,FALSE)-1,"")</f>
        <v/>
      </c>
      <c r="K342" s="10" t="str">
        <f>IFERROR(INDEX(Backtest!C:C,MATCH(Trades!A342,Backtest!M:M,0)),"")</f>
        <v/>
      </c>
      <c r="L342" s="10" t="str">
        <f>IFERROR(INDEX(Backtest!C:C,MATCH(Trades!A342,Backtest!N:N,0)),IF(ISNUMBER(K342),Backtest!$C$2519,""))</f>
        <v/>
      </c>
      <c r="M342" s="1" t="str">
        <f t="shared" si="11"/>
        <v/>
      </c>
      <c r="N342" s="11" t="str">
        <f>IFERROR(VLOOKUP(L342,Backtest!C:D,2,FALSE)/VLOOKUP(K342,Backtest!C:D,2,FALSE)-1,"")</f>
        <v/>
      </c>
    </row>
    <row r="343" spans="2:14" x14ac:dyDescent="0.3">
      <c r="B343" s="10" t="str">
        <f>IFERROR(INDEX(Backtest!C:C,MATCH(Trades!A343,Backtest!K:K,0)),"")</f>
        <v/>
      </c>
      <c r="C343" s="10" t="str">
        <f>IFERROR(INDEX(Backtest!C:C,MATCH(Trades!A343,Backtest!L:L,0)),IF(ISNUMBER(B343),Backtest!$C$2519,""))</f>
        <v/>
      </c>
      <c r="D343" s="1" t="str">
        <f t="shared" si="10"/>
        <v/>
      </c>
      <c r="E343" s="11" t="str">
        <f>IFERROR(VLOOKUP(C343,Backtest!C:D,2,FALSE)/VLOOKUP(B343,Backtest!C:D,2,FALSE)-1,"")</f>
        <v/>
      </c>
      <c r="K343" s="10" t="str">
        <f>IFERROR(INDEX(Backtest!C:C,MATCH(Trades!A343,Backtest!M:M,0)),"")</f>
        <v/>
      </c>
      <c r="L343" s="10" t="str">
        <f>IFERROR(INDEX(Backtest!C:C,MATCH(Trades!A343,Backtest!N:N,0)),IF(ISNUMBER(K343),Backtest!$C$2519,""))</f>
        <v/>
      </c>
      <c r="M343" s="1" t="str">
        <f t="shared" si="11"/>
        <v/>
      </c>
      <c r="N343" s="11" t="str">
        <f>IFERROR(VLOOKUP(L343,Backtest!C:D,2,FALSE)/VLOOKUP(K343,Backtest!C:D,2,FALSE)-1,"")</f>
        <v/>
      </c>
    </row>
    <row r="344" spans="2:14" x14ac:dyDescent="0.3">
      <c r="B344" s="10" t="str">
        <f>IFERROR(INDEX(Backtest!C:C,MATCH(Trades!A344,Backtest!K:K,0)),"")</f>
        <v/>
      </c>
      <c r="C344" s="10" t="str">
        <f>IFERROR(INDEX(Backtest!C:C,MATCH(Trades!A344,Backtest!L:L,0)),IF(ISNUMBER(B344),Backtest!$C$2519,""))</f>
        <v/>
      </c>
      <c r="D344" s="1" t="str">
        <f t="shared" si="10"/>
        <v/>
      </c>
      <c r="E344" s="11" t="str">
        <f>IFERROR(VLOOKUP(C344,Backtest!C:D,2,FALSE)/VLOOKUP(B344,Backtest!C:D,2,FALSE)-1,"")</f>
        <v/>
      </c>
      <c r="K344" s="10" t="str">
        <f>IFERROR(INDEX(Backtest!C:C,MATCH(Trades!A344,Backtest!M:M,0)),"")</f>
        <v/>
      </c>
      <c r="L344" s="10" t="str">
        <f>IFERROR(INDEX(Backtest!C:C,MATCH(Trades!A344,Backtest!N:N,0)),IF(ISNUMBER(K344),Backtest!$C$2519,""))</f>
        <v/>
      </c>
      <c r="M344" s="1" t="str">
        <f t="shared" si="11"/>
        <v/>
      </c>
      <c r="N344" s="11" t="str">
        <f>IFERROR(VLOOKUP(L344,Backtest!C:D,2,FALSE)/VLOOKUP(K344,Backtest!C:D,2,FALSE)-1,"")</f>
        <v/>
      </c>
    </row>
    <row r="345" spans="2:14" x14ac:dyDescent="0.3">
      <c r="B345" s="10" t="str">
        <f>IFERROR(INDEX(Backtest!C:C,MATCH(Trades!A345,Backtest!K:K,0)),"")</f>
        <v/>
      </c>
      <c r="C345" s="10" t="str">
        <f>IFERROR(INDEX(Backtest!C:C,MATCH(Trades!A345,Backtest!L:L,0)),IF(ISNUMBER(B345),Backtest!$C$2519,""))</f>
        <v/>
      </c>
      <c r="D345" s="1" t="str">
        <f t="shared" si="10"/>
        <v/>
      </c>
      <c r="E345" s="11" t="str">
        <f>IFERROR(VLOOKUP(C345,Backtest!C:D,2,FALSE)/VLOOKUP(B345,Backtest!C:D,2,FALSE)-1,"")</f>
        <v/>
      </c>
      <c r="K345" s="10" t="str">
        <f>IFERROR(INDEX(Backtest!C:C,MATCH(Trades!A345,Backtest!M:M,0)),"")</f>
        <v/>
      </c>
      <c r="L345" s="10" t="str">
        <f>IFERROR(INDEX(Backtest!C:C,MATCH(Trades!A345,Backtest!N:N,0)),IF(ISNUMBER(K345),Backtest!$C$2519,""))</f>
        <v/>
      </c>
      <c r="M345" s="1" t="str">
        <f t="shared" si="11"/>
        <v/>
      </c>
      <c r="N345" s="11" t="str">
        <f>IFERROR(VLOOKUP(L345,Backtest!C:D,2,FALSE)/VLOOKUP(K345,Backtest!C:D,2,FALSE)-1,"")</f>
        <v/>
      </c>
    </row>
    <row r="346" spans="2:14" x14ac:dyDescent="0.3">
      <c r="B346" s="10" t="str">
        <f>IFERROR(INDEX(Backtest!C:C,MATCH(Trades!A346,Backtest!K:K,0)),"")</f>
        <v/>
      </c>
      <c r="C346" s="10" t="str">
        <f>IFERROR(INDEX(Backtest!C:C,MATCH(Trades!A346,Backtest!L:L,0)),IF(ISNUMBER(B346),Backtest!$C$2519,""))</f>
        <v/>
      </c>
      <c r="D346" s="1" t="str">
        <f t="shared" si="10"/>
        <v/>
      </c>
      <c r="E346" s="11" t="str">
        <f>IFERROR(VLOOKUP(C346,Backtest!C:D,2,FALSE)/VLOOKUP(B346,Backtest!C:D,2,FALSE)-1,"")</f>
        <v/>
      </c>
      <c r="K346" s="10" t="str">
        <f>IFERROR(INDEX(Backtest!C:C,MATCH(Trades!A346,Backtest!M:M,0)),"")</f>
        <v/>
      </c>
      <c r="L346" s="10" t="str">
        <f>IFERROR(INDEX(Backtest!C:C,MATCH(Trades!A346,Backtest!N:N,0)),IF(ISNUMBER(K346),Backtest!$C$2519,""))</f>
        <v/>
      </c>
      <c r="M346" s="1" t="str">
        <f t="shared" si="11"/>
        <v/>
      </c>
      <c r="N346" s="11" t="str">
        <f>IFERROR(VLOOKUP(L346,Backtest!C:D,2,FALSE)/VLOOKUP(K346,Backtest!C:D,2,FALSE)-1,"")</f>
        <v/>
      </c>
    </row>
    <row r="347" spans="2:14" x14ac:dyDescent="0.3">
      <c r="B347" s="10" t="str">
        <f>IFERROR(INDEX(Backtest!C:C,MATCH(Trades!A347,Backtest!K:K,0)),"")</f>
        <v/>
      </c>
      <c r="C347" s="10" t="str">
        <f>IFERROR(INDEX(Backtest!C:C,MATCH(Trades!A347,Backtest!L:L,0)),IF(ISNUMBER(B347),Backtest!$C$2519,""))</f>
        <v/>
      </c>
      <c r="D347" s="1" t="str">
        <f t="shared" si="10"/>
        <v/>
      </c>
      <c r="E347" s="11" t="str">
        <f>IFERROR(VLOOKUP(C347,Backtest!C:D,2,FALSE)/VLOOKUP(B347,Backtest!C:D,2,FALSE)-1,"")</f>
        <v/>
      </c>
      <c r="K347" s="10" t="str">
        <f>IFERROR(INDEX(Backtest!C:C,MATCH(Trades!A347,Backtest!M:M,0)),"")</f>
        <v/>
      </c>
      <c r="L347" s="10" t="str">
        <f>IFERROR(INDEX(Backtest!C:C,MATCH(Trades!A347,Backtest!N:N,0)),IF(ISNUMBER(K347),Backtest!$C$2519,""))</f>
        <v/>
      </c>
      <c r="M347" s="1" t="str">
        <f t="shared" si="11"/>
        <v/>
      </c>
      <c r="N347" s="11" t="str">
        <f>IFERROR(VLOOKUP(L347,Backtest!C:D,2,FALSE)/VLOOKUP(K347,Backtest!C:D,2,FALSE)-1,"")</f>
        <v/>
      </c>
    </row>
    <row r="348" spans="2:14" x14ac:dyDescent="0.3">
      <c r="B348" s="10" t="str">
        <f>IFERROR(INDEX(Backtest!C:C,MATCH(Trades!A348,Backtest!K:K,0)),"")</f>
        <v/>
      </c>
      <c r="C348" s="10" t="str">
        <f>IFERROR(INDEX(Backtest!C:C,MATCH(Trades!A348,Backtest!L:L,0)),IF(ISNUMBER(B348),Backtest!$C$2519,""))</f>
        <v/>
      </c>
      <c r="D348" s="1" t="str">
        <f t="shared" si="10"/>
        <v/>
      </c>
      <c r="E348" s="11" t="str">
        <f>IFERROR(VLOOKUP(C348,Backtest!C:D,2,FALSE)/VLOOKUP(B348,Backtest!C:D,2,FALSE)-1,"")</f>
        <v/>
      </c>
      <c r="K348" s="10" t="str">
        <f>IFERROR(INDEX(Backtest!C:C,MATCH(Trades!A348,Backtest!M:M,0)),"")</f>
        <v/>
      </c>
      <c r="L348" s="10" t="str">
        <f>IFERROR(INDEX(Backtest!C:C,MATCH(Trades!A348,Backtest!N:N,0)),IF(ISNUMBER(K348),Backtest!$C$2519,""))</f>
        <v/>
      </c>
      <c r="M348" s="1" t="str">
        <f t="shared" si="11"/>
        <v/>
      </c>
      <c r="N348" s="11" t="str">
        <f>IFERROR(VLOOKUP(L348,Backtest!C:D,2,FALSE)/VLOOKUP(K348,Backtest!C:D,2,FALSE)-1,"")</f>
        <v/>
      </c>
    </row>
    <row r="349" spans="2:14" x14ac:dyDescent="0.3">
      <c r="B349" s="10" t="str">
        <f>IFERROR(INDEX(Backtest!C:C,MATCH(Trades!A349,Backtest!K:K,0)),"")</f>
        <v/>
      </c>
      <c r="C349" s="10" t="str">
        <f>IFERROR(INDEX(Backtest!C:C,MATCH(Trades!A349,Backtest!L:L,0)),IF(ISNUMBER(B349),Backtest!$C$2519,""))</f>
        <v/>
      </c>
      <c r="D349" s="1" t="str">
        <f t="shared" si="10"/>
        <v/>
      </c>
      <c r="E349" s="11" t="str">
        <f>IFERROR(VLOOKUP(C349,Backtest!C:D,2,FALSE)/VLOOKUP(B349,Backtest!C:D,2,FALSE)-1,"")</f>
        <v/>
      </c>
      <c r="K349" s="10" t="str">
        <f>IFERROR(INDEX(Backtest!C:C,MATCH(Trades!A349,Backtest!M:M,0)),"")</f>
        <v/>
      </c>
      <c r="L349" s="10" t="str">
        <f>IFERROR(INDEX(Backtest!C:C,MATCH(Trades!A349,Backtest!N:N,0)),IF(ISNUMBER(K349),Backtest!$C$2519,""))</f>
        <v/>
      </c>
      <c r="M349" s="1" t="str">
        <f t="shared" si="11"/>
        <v/>
      </c>
      <c r="N349" s="11" t="str">
        <f>IFERROR(VLOOKUP(L349,Backtest!C:D,2,FALSE)/VLOOKUP(K349,Backtest!C:D,2,FALSE)-1,"")</f>
        <v/>
      </c>
    </row>
    <row r="350" spans="2:14" x14ac:dyDescent="0.3">
      <c r="B350" s="10" t="str">
        <f>IFERROR(INDEX(Backtest!C:C,MATCH(Trades!A350,Backtest!K:K,0)),"")</f>
        <v/>
      </c>
      <c r="C350" s="10" t="str">
        <f>IFERROR(INDEX(Backtest!C:C,MATCH(Trades!A350,Backtest!L:L,0)),IF(ISNUMBER(B350),Backtest!$C$2519,""))</f>
        <v/>
      </c>
      <c r="D350" s="1" t="str">
        <f t="shared" si="10"/>
        <v/>
      </c>
      <c r="E350" s="11" t="str">
        <f>IFERROR(VLOOKUP(C350,Backtest!C:D,2,FALSE)/VLOOKUP(B350,Backtest!C:D,2,FALSE)-1,"")</f>
        <v/>
      </c>
      <c r="K350" s="10" t="str">
        <f>IFERROR(INDEX(Backtest!C:C,MATCH(Trades!A350,Backtest!M:M,0)),"")</f>
        <v/>
      </c>
      <c r="L350" s="10" t="str">
        <f>IFERROR(INDEX(Backtest!C:C,MATCH(Trades!A350,Backtest!N:N,0)),IF(ISNUMBER(K350),Backtest!$C$2519,""))</f>
        <v/>
      </c>
      <c r="M350" s="1" t="str">
        <f t="shared" si="11"/>
        <v/>
      </c>
      <c r="N350" s="11" t="str">
        <f>IFERROR(VLOOKUP(L350,Backtest!C:D,2,FALSE)/VLOOKUP(K350,Backtest!C:D,2,FALSE)-1,"")</f>
        <v/>
      </c>
    </row>
    <row r="351" spans="2:14" x14ac:dyDescent="0.3">
      <c r="B351" s="10" t="str">
        <f>IFERROR(INDEX(Backtest!C:C,MATCH(Trades!A351,Backtest!K:K,0)),"")</f>
        <v/>
      </c>
      <c r="C351" s="10" t="str">
        <f>IFERROR(INDEX(Backtest!C:C,MATCH(Trades!A351,Backtest!L:L,0)),IF(ISNUMBER(B351),Backtest!$C$2519,""))</f>
        <v/>
      </c>
      <c r="D351" s="1" t="str">
        <f t="shared" si="10"/>
        <v/>
      </c>
      <c r="E351" s="11" t="str">
        <f>IFERROR(VLOOKUP(C351,Backtest!C:D,2,FALSE)/VLOOKUP(B351,Backtest!C:D,2,FALSE)-1,"")</f>
        <v/>
      </c>
      <c r="K351" s="10" t="str">
        <f>IFERROR(INDEX(Backtest!C:C,MATCH(Trades!A351,Backtest!M:M,0)),"")</f>
        <v/>
      </c>
      <c r="L351" s="10" t="str">
        <f>IFERROR(INDEX(Backtest!C:C,MATCH(Trades!A351,Backtest!N:N,0)),IF(ISNUMBER(K351),Backtest!$C$2519,""))</f>
        <v/>
      </c>
      <c r="M351" s="1" t="str">
        <f t="shared" si="11"/>
        <v/>
      </c>
      <c r="N351" s="11" t="str">
        <f>IFERROR(VLOOKUP(L351,Backtest!C:D,2,FALSE)/VLOOKUP(K351,Backtest!C:D,2,FALSE)-1,"")</f>
        <v/>
      </c>
    </row>
    <row r="352" spans="2:14" x14ac:dyDescent="0.3">
      <c r="B352" s="10" t="str">
        <f>IFERROR(INDEX(Backtest!C:C,MATCH(Trades!A352,Backtest!K:K,0)),"")</f>
        <v/>
      </c>
      <c r="C352" s="10" t="str">
        <f>IFERROR(INDEX(Backtest!C:C,MATCH(Trades!A352,Backtest!L:L,0)),IF(ISNUMBER(B352),Backtest!$C$2519,""))</f>
        <v/>
      </c>
      <c r="D352" s="1" t="str">
        <f t="shared" si="10"/>
        <v/>
      </c>
      <c r="E352" s="11" t="str">
        <f>IFERROR(VLOOKUP(C352,Backtest!C:D,2,FALSE)/VLOOKUP(B352,Backtest!C:D,2,FALSE)-1,"")</f>
        <v/>
      </c>
      <c r="K352" s="10" t="str">
        <f>IFERROR(INDEX(Backtest!C:C,MATCH(Trades!A352,Backtest!M:M,0)),"")</f>
        <v/>
      </c>
      <c r="L352" s="10" t="str">
        <f>IFERROR(INDEX(Backtest!C:C,MATCH(Trades!A352,Backtest!N:N,0)),IF(ISNUMBER(K352),Backtest!$C$2519,""))</f>
        <v/>
      </c>
      <c r="M352" s="1" t="str">
        <f t="shared" si="11"/>
        <v/>
      </c>
      <c r="N352" s="11" t="str">
        <f>IFERROR(VLOOKUP(L352,Backtest!C:D,2,FALSE)/VLOOKUP(K352,Backtest!C:D,2,FALSE)-1,"")</f>
        <v/>
      </c>
    </row>
    <row r="353" spans="2:14" x14ac:dyDescent="0.3">
      <c r="B353" s="10" t="str">
        <f>IFERROR(INDEX(Backtest!C:C,MATCH(Trades!A353,Backtest!K:K,0)),"")</f>
        <v/>
      </c>
      <c r="C353" s="10" t="str">
        <f>IFERROR(INDEX(Backtest!C:C,MATCH(Trades!A353,Backtest!L:L,0)),IF(ISNUMBER(B353),Backtest!$C$2519,""))</f>
        <v/>
      </c>
      <c r="D353" s="1" t="str">
        <f t="shared" si="10"/>
        <v/>
      </c>
      <c r="E353" s="11" t="str">
        <f>IFERROR(VLOOKUP(C353,Backtest!C:D,2,FALSE)/VLOOKUP(B353,Backtest!C:D,2,FALSE)-1,"")</f>
        <v/>
      </c>
      <c r="K353" s="10" t="str">
        <f>IFERROR(INDEX(Backtest!C:C,MATCH(Trades!A353,Backtest!M:M,0)),"")</f>
        <v/>
      </c>
      <c r="L353" s="10" t="str">
        <f>IFERROR(INDEX(Backtest!C:C,MATCH(Trades!A353,Backtest!N:N,0)),IF(ISNUMBER(K353),Backtest!$C$2519,""))</f>
        <v/>
      </c>
      <c r="M353" s="1" t="str">
        <f t="shared" si="11"/>
        <v/>
      </c>
      <c r="N353" s="11" t="str">
        <f>IFERROR(VLOOKUP(L353,Backtest!C:D,2,FALSE)/VLOOKUP(K353,Backtest!C:D,2,FALSE)-1,"")</f>
        <v/>
      </c>
    </row>
    <row r="354" spans="2:14" x14ac:dyDescent="0.3">
      <c r="B354" s="10" t="str">
        <f>IFERROR(INDEX(Backtest!C:C,MATCH(Trades!A354,Backtest!K:K,0)),"")</f>
        <v/>
      </c>
      <c r="C354" s="10" t="str">
        <f>IFERROR(INDEX(Backtest!C:C,MATCH(Trades!A354,Backtest!L:L,0)),IF(ISNUMBER(B354),Backtest!$C$2519,""))</f>
        <v/>
      </c>
      <c r="D354" s="1" t="str">
        <f t="shared" si="10"/>
        <v/>
      </c>
      <c r="E354" s="11" t="str">
        <f>IFERROR(VLOOKUP(C354,Backtest!C:D,2,FALSE)/VLOOKUP(B354,Backtest!C:D,2,FALSE)-1,"")</f>
        <v/>
      </c>
      <c r="K354" s="10" t="str">
        <f>IFERROR(INDEX(Backtest!C:C,MATCH(Trades!A354,Backtest!M:M,0)),"")</f>
        <v/>
      </c>
      <c r="L354" s="10" t="str">
        <f>IFERROR(INDEX(Backtest!C:C,MATCH(Trades!A354,Backtest!N:N,0)),IF(ISNUMBER(K354),Backtest!$C$2519,""))</f>
        <v/>
      </c>
      <c r="M354" s="1" t="str">
        <f t="shared" si="11"/>
        <v/>
      </c>
      <c r="N354" s="11" t="str">
        <f>IFERROR(VLOOKUP(L354,Backtest!C:D,2,FALSE)/VLOOKUP(K354,Backtest!C:D,2,FALSE)-1,"")</f>
        <v/>
      </c>
    </row>
    <row r="355" spans="2:14" x14ac:dyDescent="0.3">
      <c r="B355" s="10" t="str">
        <f>IFERROR(INDEX(Backtest!C:C,MATCH(Trades!A355,Backtest!K:K,0)),"")</f>
        <v/>
      </c>
      <c r="C355" s="10" t="str">
        <f>IFERROR(INDEX(Backtest!C:C,MATCH(Trades!A355,Backtest!L:L,0)),IF(ISNUMBER(B355),Backtest!$C$2519,""))</f>
        <v/>
      </c>
      <c r="D355" s="1" t="str">
        <f t="shared" si="10"/>
        <v/>
      </c>
      <c r="E355" s="11" t="str">
        <f>IFERROR(VLOOKUP(C355,Backtest!C:D,2,FALSE)/VLOOKUP(B355,Backtest!C:D,2,FALSE)-1,"")</f>
        <v/>
      </c>
      <c r="K355" s="10" t="str">
        <f>IFERROR(INDEX(Backtest!C:C,MATCH(Trades!A355,Backtest!M:M,0)),"")</f>
        <v/>
      </c>
      <c r="L355" s="10" t="str">
        <f>IFERROR(INDEX(Backtest!C:C,MATCH(Trades!A355,Backtest!N:N,0)),IF(ISNUMBER(K355),Backtest!$C$2519,""))</f>
        <v/>
      </c>
      <c r="M355" s="1" t="str">
        <f t="shared" si="11"/>
        <v/>
      </c>
      <c r="N355" s="11" t="str">
        <f>IFERROR(VLOOKUP(L355,Backtest!C:D,2,FALSE)/VLOOKUP(K355,Backtest!C:D,2,FALSE)-1,"")</f>
        <v/>
      </c>
    </row>
    <row r="356" spans="2:14" x14ac:dyDescent="0.3">
      <c r="B356" s="10" t="str">
        <f>IFERROR(INDEX(Backtest!C:C,MATCH(Trades!A356,Backtest!K:K,0)),"")</f>
        <v/>
      </c>
      <c r="C356" s="10" t="str">
        <f>IFERROR(INDEX(Backtest!C:C,MATCH(Trades!A356,Backtest!L:L,0)),IF(ISNUMBER(B356),Backtest!$C$2519,""))</f>
        <v/>
      </c>
      <c r="D356" s="1" t="str">
        <f t="shared" si="10"/>
        <v/>
      </c>
      <c r="E356" s="11" t="str">
        <f>IFERROR(VLOOKUP(C356,Backtest!C:D,2,FALSE)/VLOOKUP(B356,Backtest!C:D,2,FALSE)-1,"")</f>
        <v/>
      </c>
      <c r="K356" s="10" t="str">
        <f>IFERROR(INDEX(Backtest!C:C,MATCH(Trades!A356,Backtest!M:M,0)),"")</f>
        <v/>
      </c>
      <c r="L356" s="10" t="str">
        <f>IFERROR(INDEX(Backtest!C:C,MATCH(Trades!A356,Backtest!N:N,0)),IF(ISNUMBER(K356),Backtest!$C$2519,""))</f>
        <v/>
      </c>
      <c r="M356" s="1" t="str">
        <f t="shared" si="11"/>
        <v/>
      </c>
      <c r="N356" s="11" t="str">
        <f>IFERROR(VLOOKUP(L356,Backtest!C:D,2,FALSE)/VLOOKUP(K356,Backtest!C:D,2,FALSE)-1,"")</f>
        <v/>
      </c>
    </row>
    <row r="357" spans="2:14" x14ac:dyDescent="0.3">
      <c r="B357" s="10" t="str">
        <f>IFERROR(INDEX(Backtest!C:C,MATCH(Trades!A357,Backtest!K:K,0)),"")</f>
        <v/>
      </c>
      <c r="C357" s="10" t="str">
        <f>IFERROR(INDEX(Backtest!C:C,MATCH(Trades!A357,Backtest!L:L,0)),IF(ISNUMBER(B357),Backtest!$C$2519,""))</f>
        <v/>
      </c>
      <c r="D357" s="1" t="str">
        <f t="shared" si="10"/>
        <v/>
      </c>
      <c r="E357" s="11" t="str">
        <f>IFERROR(VLOOKUP(C357,Backtest!C:D,2,FALSE)/VLOOKUP(B357,Backtest!C:D,2,FALSE)-1,"")</f>
        <v/>
      </c>
      <c r="K357" s="10" t="str">
        <f>IFERROR(INDEX(Backtest!C:C,MATCH(Trades!A357,Backtest!M:M,0)),"")</f>
        <v/>
      </c>
      <c r="L357" s="10" t="str">
        <f>IFERROR(INDEX(Backtest!C:C,MATCH(Trades!A357,Backtest!N:N,0)),IF(ISNUMBER(K357),Backtest!$C$2519,""))</f>
        <v/>
      </c>
      <c r="M357" s="1" t="str">
        <f t="shared" si="11"/>
        <v/>
      </c>
      <c r="N357" s="11" t="str">
        <f>IFERROR(VLOOKUP(L357,Backtest!C:D,2,FALSE)/VLOOKUP(K357,Backtest!C:D,2,FALSE)-1,"")</f>
        <v/>
      </c>
    </row>
    <row r="358" spans="2:14" x14ac:dyDescent="0.3">
      <c r="B358" s="10" t="str">
        <f>IFERROR(INDEX(Backtest!C:C,MATCH(Trades!A358,Backtest!K:K,0)),"")</f>
        <v/>
      </c>
      <c r="C358" s="10" t="str">
        <f>IFERROR(INDEX(Backtest!C:C,MATCH(Trades!A358,Backtest!L:L,0)),IF(ISNUMBER(B358),Backtest!$C$2519,""))</f>
        <v/>
      </c>
      <c r="D358" s="1" t="str">
        <f t="shared" si="10"/>
        <v/>
      </c>
      <c r="E358" s="11" t="str">
        <f>IFERROR(VLOOKUP(C358,Backtest!C:D,2,FALSE)/VLOOKUP(B358,Backtest!C:D,2,FALSE)-1,"")</f>
        <v/>
      </c>
      <c r="K358" s="10" t="str">
        <f>IFERROR(INDEX(Backtest!C:C,MATCH(Trades!A358,Backtest!M:M,0)),"")</f>
        <v/>
      </c>
      <c r="L358" s="10" t="str">
        <f>IFERROR(INDEX(Backtest!C:C,MATCH(Trades!A358,Backtest!N:N,0)),IF(ISNUMBER(K358),Backtest!$C$2519,""))</f>
        <v/>
      </c>
      <c r="M358" s="1" t="str">
        <f t="shared" si="11"/>
        <v/>
      </c>
      <c r="N358" s="11" t="str">
        <f>IFERROR(VLOOKUP(L358,Backtest!C:D,2,FALSE)/VLOOKUP(K358,Backtest!C:D,2,FALSE)-1,"")</f>
        <v/>
      </c>
    </row>
    <row r="359" spans="2:14" x14ac:dyDescent="0.3">
      <c r="B359" s="10" t="str">
        <f>IFERROR(INDEX(Backtest!C:C,MATCH(Trades!A359,Backtest!K:K,0)),"")</f>
        <v/>
      </c>
      <c r="C359" s="10" t="str">
        <f>IFERROR(INDEX(Backtest!C:C,MATCH(Trades!A359,Backtest!L:L,0)),IF(ISNUMBER(B359),Backtest!$C$2519,""))</f>
        <v/>
      </c>
      <c r="D359" s="1" t="str">
        <f t="shared" si="10"/>
        <v/>
      </c>
      <c r="E359" s="11" t="str">
        <f>IFERROR(VLOOKUP(C359,Backtest!C:D,2,FALSE)/VLOOKUP(B359,Backtest!C:D,2,FALSE)-1,"")</f>
        <v/>
      </c>
      <c r="K359" s="10" t="str">
        <f>IFERROR(INDEX(Backtest!C:C,MATCH(Trades!A359,Backtest!M:M,0)),"")</f>
        <v/>
      </c>
      <c r="L359" s="10" t="str">
        <f>IFERROR(INDEX(Backtest!C:C,MATCH(Trades!A359,Backtest!N:N,0)),IF(ISNUMBER(K359),Backtest!$C$2519,""))</f>
        <v/>
      </c>
      <c r="M359" s="1" t="str">
        <f t="shared" si="11"/>
        <v/>
      </c>
      <c r="N359" s="11" t="str">
        <f>IFERROR(VLOOKUP(L359,Backtest!C:D,2,FALSE)/VLOOKUP(K359,Backtest!C:D,2,FALSE)-1,"")</f>
        <v/>
      </c>
    </row>
    <row r="360" spans="2:14" x14ac:dyDescent="0.3">
      <c r="B360" s="10" t="str">
        <f>IFERROR(INDEX(Backtest!C:C,MATCH(Trades!A360,Backtest!K:K,0)),"")</f>
        <v/>
      </c>
      <c r="C360" s="10" t="str">
        <f>IFERROR(INDEX(Backtest!C:C,MATCH(Trades!A360,Backtest!L:L,0)),IF(ISNUMBER(B360),Backtest!$C$2519,""))</f>
        <v/>
      </c>
      <c r="D360" s="1" t="str">
        <f t="shared" si="10"/>
        <v/>
      </c>
      <c r="E360" s="11" t="str">
        <f>IFERROR(VLOOKUP(C360,Backtest!C:D,2,FALSE)/VLOOKUP(B360,Backtest!C:D,2,FALSE)-1,"")</f>
        <v/>
      </c>
      <c r="K360" s="10" t="str">
        <f>IFERROR(INDEX(Backtest!C:C,MATCH(Trades!A360,Backtest!M:M,0)),"")</f>
        <v/>
      </c>
      <c r="L360" s="10" t="str">
        <f>IFERROR(INDEX(Backtest!C:C,MATCH(Trades!A360,Backtest!N:N,0)),IF(ISNUMBER(K360),Backtest!$C$2519,""))</f>
        <v/>
      </c>
      <c r="M360" s="1" t="str">
        <f t="shared" si="11"/>
        <v/>
      </c>
      <c r="N360" s="11" t="str">
        <f>IFERROR(VLOOKUP(L360,Backtest!C:D,2,FALSE)/VLOOKUP(K360,Backtest!C:D,2,FALSE)-1,"")</f>
        <v/>
      </c>
    </row>
    <row r="361" spans="2:14" x14ac:dyDescent="0.3">
      <c r="B361" s="10" t="str">
        <f>IFERROR(INDEX(Backtest!C:C,MATCH(Trades!A361,Backtest!K:K,0)),"")</f>
        <v/>
      </c>
      <c r="C361" s="10" t="str">
        <f>IFERROR(INDEX(Backtest!C:C,MATCH(Trades!A361,Backtest!L:L,0)),IF(ISNUMBER(B361),Backtest!$C$2519,""))</f>
        <v/>
      </c>
      <c r="D361" s="1" t="str">
        <f t="shared" si="10"/>
        <v/>
      </c>
      <c r="E361" s="11" t="str">
        <f>IFERROR(VLOOKUP(C361,Backtest!C:D,2,FALSE)/VLOOKUP(B361,Backtest!C:D,2,FALSE)-1,"")</f>
        <v/>
      </c>
      <c r="K361" s="10" t="str">
        <f>IFERROR(INDEX(Backtest!C:C,MATCH(Trades!A361,Backtest!M:M,0)),"")</f>
        <v/>
      </c>
      <c r="L361" s="10" t="str">
        <f>IFERROR(INDEX(Backtest!C:C,MATCH(Trades!A361,Backtest!N:N,0)),IF(ISNUMBER(K361),Backtest!$C$2519,""))</f>
        <v/>
      </c>
      <c r="M361" s="1" t="str">
        <f t="shared" si="11"/>
        <v/>
      </c>
      <c r="N361" s="11" t="str">
        <f>IFERROR(VLOOKUP(L361,Backtest!C:D,2,FALSE)/VLOOKUP(K361,Backtest!C:D,2,FALSE)-1,"")</f>
        <v/>
      </c>
    </row>
    <row r="362" spans="2:14" x14ac:dyDescent="0.3">
      <c r="B362" s="10" t="str">
        <f>IFERROR(INDEX(Backtest!C:C,MATCH(Trades!A362,Backtest!K:K,0)),"")</f>
        <v/>
      </c>
      <c r="C362" s="10" t="str">
        <f>IFERROR(INDEX(Backtest!C:C,MATCH(Trades!A362,Backtest!L:L,0)),IF(ISNUMBER(B362),Backtest!$C$2519,""))</f>
        <v/>
      </c>
      <c r="D362" s="1" t="str">
        <f t="shared" si="10"/>
        <v/>
      </c>
      <c r="E362" s="11" t="str">
        <f>IFERROR(VLOOKUP(C362,Backtest!C:D,2,FALSE)/VLOOKUP(B362,Backtest!C:D,2,FALSE)-1,"")</f>
        <v/>
      </c>
      <c r="K362" s="10" t="str">
        <f>IFERROR(INDEX(Backtest!C:C,MATCH(Trades!A362,Backtest!M:M,0)),"")</f>
        <v/>
      </c>
      <c r="L362" s="10" t="str">
        <f>IFERROR(INDEX(Backtest!C:C,MATCH(Trades!A362,Backtest!N:N,0)),IF(ISNUMBER(K362),Backtest!$C$2519,""))</f>
        <v/>
      </c>
      <c r="M362" s="1" t="str">
        <f t="shared" si="11"/>
        <v/>
      </c>
      <c r="N362" s="11" t="str">
        <f>IFERROR(VLOOKUP(L362,Backtest!C:D,2,FALSE)/VLOOKUP(K362,Backtest!C:D,2,FALSE)-1,"")</f>
        <v/>
      </c>
    </row>
    <row r="363" spans="2:14" x14ac:dyDescent="0.3">
      <c r="B363" s="10" t="str">
        <f>IFERROR(INDEX(Backtest!C:C,MATCH(Trades!A363,Backtest!K:K,0)),"")</f>
        <v/>
      </c>
      <c r="C363" s="10" t="str">
        <f>IFERROR(INDEX(Backtest!C:C,MATCH(Trades!A363,Backtest!L:L,0)),IF(ISNUMBER(B363),Backtest!$C$2519,""))</f>
        <v/>
      </c>
      <c r="D363" s="1" t="str">
        <f t="shared" si="10"/>
        <v/>
      </c>
      <c r="E363" s="11" t="str">
        <f>IFERROR(VLOOKUP(C363,Backtest!C:D,2,FALSE)/VLOOKUP(B363,Backtest!C:D,2,FALSE)-1,"")</f>
        <v/>
      </c>
      <c r="K363" s="10" t="str">
        <f>IFERROR(INDEX(Backtest!C:C,MATCH(Trades!A363,Backtest!M:M,0)),"")</f>
        <v/>
      </c>
      <c r="L363" s="10" t="str">
        <f>IFERROR(INDEX(Backtest!C:C,MATCH(Trades!A363,Backtest!N:N,0)),IF(ISNUMBER(K363),Backtest!$C$2519,""))</f>
        <v/>
      </c>
      <c r="M363" s="1" t="str">
        <f t="shared" si="11"/>
        <v/>
      </c>
      <c r="N363" s="11" t="str">
        <f>IFERROR(VLOOKUP(L363,Backtest!C:D,2,FALSE)/VLOOKUP(K363,Backtest!C:D,2,FALSE)-1,"")</f>
        <v/>
      </c>
    </row>
    <row r="364" spans="2:14" x14ac:dyDescent="0.3">
      <c r="B364" s="10" t="str">
        <f>IFERROR(INDEX(Backtest!C:C,MATCH(Trades!A364,Backtest!K:K,0)),"")</f>
        <v/>
      </c>
      <c r="C364" s="10" t="str">
        <f>IFERROR(INDEX(Backtest!C:C,MATCH(Trades!A364,Backtest!L:L,0)),IF(ISNUMBER(B364),Backtest!$C$2519,""))</f>
        <v/>
      </c>
      <c r="D364" s="1" t="str">
        <f t="shared" si="10"/>
        <v/>
      </c>
      <c r="E364" s="11" t="str">
        <f>IFERROR(VLOOKUP(C364,Backtest!C:D,2,FALSE)/VLOOKUP(B364,Backtest!C:D,2,FALSE)-1,"")</f>
        <v/>
      </c>
      <c r="K364" s="10" t="str">
        <f>IFERROR(INDEX(Backtest!C:C,MATCH(Trades!A364,Backtest!M:M,0)),"")</f>
        <v/>
      </c>
      <c r="L364" s="10" t="str">
        <f>IFERROR(INDEX(Backtest!C:C,MATCH(Trades!A364,Backtest!N:N,0)),IF(ISNUMBER(K364),Backtest!$C$2519,""))</f>
        <v/>
      </c>
      <c r="M364" s="1" t="str">
        <f t="shared" si="11"/>
        <v/>
      </c>
      <c r="N364" s="11" t="str">
        <f>IFERROR(VLOOKUP(L364,Backtest!C:D,2,FALSE)/VLOOKUP(K364,Backtest!C:D,2,FALSE)-1,"")</f>
        <v/>
      </c>
    </row>
    <row r="365" spans="2:14" x14ac:dyDescent="0.3">
      <c r="B365" s="10" t="str">
        <f>IFERROR(INDEX(Backtest!C:C,MATCH(Trades!A365,Backtest!K:K,0)),"")</f>
        <v/>
      </c>
      <c r="C365" s="10" t="str">
        <f>IFERROR(INDEX(Backtest!C:C,MATCH(Trades!A365,Backtest!L:L,0)),IF(ISNUMBER(B365),Backtest!$C$2519,""))</f>
        <v/>
      </c>
      <c r="D365" s="1" t="str">
        <f t="shared" si="10"/>
        <v/>
      </c>
      <c r="E365" s="11" t="str">
        <f>IFERROR(VLOOKUP(C365,Backtest!C:D,2,FALSE)/VLOOKUP(B365,Backtest!C:D,2,FALSE)-1,"")</f>
        <v/>
      </c>
      <c r="K365" s="10" t="str">
        <f>IFERROR(INDEX(Backtest!C:C,MATCH(Trades!A365,Backtest!M:M,0)),"")</f>
        <v/>
      </c>
      <c r="L365" s="10" t="str">
        <f>IFERROR(INDEX(Backtest!C:C,MATCH(Trades!A365,Backtest!N:N,0)),IF(ISNUMBER(K365),Backtest!$C$2519,""))</f>
        <v/>
      </c>
      <c r="M365" s="1" t="str">
        <f t="shared" si="11"/>
        <v/>
      </c>
      <c r="N365" s="11" t="str">
        <f>IFERROR(VLOOKUP(L365,Backtest!C:D,2,FALSE)/VLOOKUP(K365,Backtest!C:D,2,FALSE)-1,"")</f>
        <v/>
      </c>
    </row>
    <row r="366" spans="2:14" x14ac:dyDescent="0.3">
      <c r="B366" s="10" t="str">
        <f>IFERROR(INDEX(Backtest!C:C,MATCH(Trades!A366,Backtest!K:K,0)),"")</f>
        <v/>
      </c>
      <c r="C366" s="10" t="str">
        <f>IFERROR(INDEX(Backtest!C:C,MATCH(Trades!A366,Backtest!L:L,0)),IF(ISNUMBER(B366),Backtest!$C$2519,""))</f>
        <v/>
      </c>
      <c r="D366" s="1" t="str">
        <f t="shared" si="10"/>
        <v/>
      </c>
      <c r="E366" s="11" t="str">
        <f>IFERROR(VLOOKUP(C366,Backtest!C:D,2,FALSE)/VLOOKUP(B366,Backtest!C:D,2,FALSE)-1,"")</f>
        <v/>
      </c>
      <c r="K366" s="10" t="str">
        <f>IFERROR(INDEX(Backtest!C:C,MATCH(Trades!A366,Backtest!M:M,0)),"")</f>
        <v/>
      </c>
      <c r="L366" s="10" t="str">
        <f>IFERROR(INDEX(Backtest!C:C,MATCH(Trades!A366,Backtest!N:N,0)),IF(ISNUMBER(K366),Backtest!$C$2519,""))</f>
        <v/>
      </c>
      <c r="M366" s="1" t="str">
        <f t="shared" si="11"/>
        <v/>
      </c>
      <c r="N366" s="11" t="str">
        <f>IFERROR(VLOOKUP(L366,Backtest!C:D,2,FALSE)/VLOOKUP(K366,Backtest!C:D,2,FALSE)-1,"")</f>
        <v/>
      </c>
    </row>
    <row r="367" spans="2:14" x14ac:dyDescent="0.3">
      <c r="B367" s="10" t="str">
        <f>IFERROR(INDEX(Backtest!C:C,MATCH(Trades!A367,Backtest!K:K,0)),"")</f>
        <v/>
      </c>
      <c r="C367" s="10" t="str">
        <f>IFERROR(INDEX(Backtest!C:C,MATCH(Trades!A367,Backtest!L:L,0)),IF(ISNUMBER(B367),Backtest!$C$2519,""))</f>
        <v/>
      </c>
      <c r="D367" s="1" t="str">
        <f t="shared" si="10"/>
        <v/>
      </c>
      <c r="E367" s="11" t="str">
        <f>IFERROR(VLOOKUP(C367,Backtest!C:D,2,FALSE)/VLOOKUP(B367,Backtest!C:D,2,FALSE)-1,"")</f>
        <v/>
      </c>
      <c r="K367" s="10" t="str">
        <f>IFERROR(INDEX(Backtest!C:C,MATCH(Trades!A367,Backtest!M:M,0)),"")</f>
        <v/>
      </c>
      <c r="L367" s="10" t="str">
        <f>IFERROR(INDEX(Backtest!C:C,MATCH(Trades!A367,Backtest!N:N,0)),IF(ISNUMBER(K367),Backtest!$C$2519,""))</f>
        <v/>
      </c>
      <c r="M367" s="1" t="str">
        <f t="shared" si="11"/>
        <v/>
      </c>
      <c r="N367" s="11" t="str">
        <f>IFERROR(VLOOKUP(L367,Backtest!C:D,2,FALSE)/VLOOKUP(K367,Backtest!C:D,2,FALSE)-1,"")</f>
        <v/>
      </c>
    </row>
    <row r="368" spans="2:14" x14ac:dyDescent="0.3">
      <c r="B368" s="10" t="str">
        <f>IFERROR(INDEX(Backtest!C:C,MATCH(Trades!A368,Backtest!K:K,0)),"")</f>
        <v/>
      </c>
      <c r="C368" s="10" t="str">
        <f>IFERROR(INDEX(Backtest!C:C,MATCH(Trades!A368,Backtest!L:L,0)),IF(ISNUMBER(B368),Backtest!$C$2519,""))</f>
        <v/>
      </c>
      <c r="D368" s="1" t="str">
        <f t="shared" si="10"/>
        <v/>
      </c>
      <c r="E368" s="11" t="str">
        <f>IFERROR(VLOOKUP(C368,Backtest!C:D,2,FALSE)/VLOOKUP(B368,Backtest!C:D,2,FALSE)-1,"")</f>
        <v/>
      </c>
      <c r="K368" s="10" t="str">
        <f>IFERROR(INDEX(Backtest!C:C,MATCH(Trades!A368,Backtest!M:M,0)),"")</f>
        <v/>
      </c>
      <c r="L368" s="10" t="str">
        <f>IFERROR(INDEX(Backtest!C:C,MATCH(Trades!A368,Backtest!N:N,0)),IF(ISNUMBER(K368),Backtest!$C$2519,""))</f>
        <v/>
      </c>
      <c r="M368" s="1" t="str">
        <f t="shared" si="11"/>
        <v/>
      </c>
      <c r="N368" s="11" t="str">
        <f>IFERROR(VLOOKUP(L368,Backtest!C:D,2,FALSE)/VLOOKUP(K368,Backtest!C:D,2,FALSE)-1,"")</f>
        <v/>
      </c>
    </row>
    <row r="369" spans="2:14" x14ac:dyDescent="0.3">
      <c r="B369" s="10" t="str">
        <f>IFERROR(INDEX(Backtest!C:C,MATCH(Trades!A369,Backtest!K:K,0)),"")</f>
        <v/>
      </c>
      <c r="C369" s="10" t="str">
        <f>IFERROR(INDEX(Backtest!C:C,MATCH(Trades!A369,Backtest!L:L,0)),IF(ISNUMBER(B369),Backtest!$C$2519,""))</f>
        <v/>
      </c>
      <c r="D369" s="1" t="str">
        <f t="shared" si="10"/>
        <v/>
      </c>
      <c r="E369" s="11" t="str">
        <f>IFERROR(VLOOKUP(C369,Backtest!C:D,2,FALSE)/VLOOKUP(B369,Backtest!C:D,2,FALSE)-1,"")</f>
        <v/>
      </c>
      <c r="K369" s="10" t="str">
        <f>IFERROR(INDEX(Backtest!C:C,MATCH(Trades!A369,Backtest!M:M,0)),"")</f>
        <v/>
      </c>
      <c r="L369" s="10" t="str">
        <f>IFERROR(INDEX(Backtest!C:C,MATCH(Trades!A369,Backtest!N:N,0)),IF(ISNUMBER(K369),Backtest!$C$2519,""))</f>
        <v/>
      </c>
      <c r="M369" s="1" t="str">
        <f t="shared" si="11"/>
        <v/>
      </c>
      <c r="N369" s="11" t="str">
        <f>IFERROR(VLOOKUP(L369,Backtest!C:D,2,FALSE)/VLOOKUP(K369,Backtest!C:D,2,FALSE)-1,"")</f>
        <v/>
      </c>
    </row>
    <row r="370" spans="2:14" x14ac:dyDescent="0.3">
      <c r="B370" s="10" t="str">
        <f>IFERROR(INDEX(Backtest!C:C,MATCH(Trades!A370,Backtest!K:K,0)),"")</f>
        <v/>
      </c>
      <c r="C370" s="10" t="str">
        <f>IFERROR(INDEX(Backtest!C:C,MATCH(Trades!A370,Backtest!L:L,0)),IF(ISNUMBER(B370),Backtest!$C$2519,""))</f>
        <v/>
      </c>
      <c r="D370" s="1" t="str">
        <f t="shared" si="10"/>
        <v/>
      </c>
      <c r="E370" s="11" t="str">
        <f>IFERROR(VLOOKUP(C370,Backtest!C:D,2,FALSE)/VLOOKUP(B370,Backtest!C:D,2,FALSE)-1,"")</f>
        <v/>
      </c>
      <c r="K370" s="10" t="str">
        <f>IFERROR(INDEX(Backtest!C:C,MATCH(Trades!A370,Backtest!M:M,0)),"")</f>
        <v/>
      </c>
      <c r="L370" s="10" t="str">
        <f>IFERROR(INDEX(Backtest!C:C,MATCH(Trades!A370,Backtest!N:N,0)),IF(ISNUMBER(K370),Backtest!$C$2519,""))</f>
        <v/>
      </c>
      <c r="M370" s="1" t="str">
        <f t="shared" si="11"/>
        <v/>
      </c>
      <c r="N370" s="11" t="str">
        <f>IFERROR(VLOOKUP(L370,Backtest!C:D,2,FALSE)/VLOOKUP(K370,Backtest!C:D,2,FALSE)-1,"")</f>
        <v/>
      </c>
    </row>
    <row r="371" spans="2:14" x14ac:dyDescent="0.3">
      <c r="B371" s="10" t="str">
        <f>IFERROR(INDEX(Backtest!C:C,MATCH(Trades!A371,Backtest!K:K,0)),"")</f>
        <v/>
      </c>
      <c r="C371" s="10" t="str">
        <f>IFERROR(INDEX(Backtest!C:C,MATCH(Trades!A371,Backtest!L:L,0)),IF(ISNUMBER(B371),Backtest!$C$2519,""))</f>
        <v/>
      </c>
      <c r="D371" s="1" t="str">
        <f t="shared" si="10"/>
        <v/>
      </c>
      <c r="E371" s="11" t="str">
        <f>IFERROR(VLOOKUP(C371,Backtest!C:D,2,FALSE)/VLOOKUP(B371,Backtest!C:D,2,FALSE)-1,"")</f>
        <v/>
      </c>
      <c r="K371" s="10" t="str">
        <f>IFERROR(INDEX(Backtest!C:C,MATCH(Trades!A371,Backtest!M:M,0)),"")</f>
        <v/>
      </c>
      <c r="L371" s="10" t="str">
        <f>IFERROR(INDEX(Backtest!C:C,MATCH(Trades!A371,Backtest!N:N,0)),IF(ISNUMBER(K371),Backtest!$C$2519,""))</f>
        <v/>
      </c>
      <c r="M371" s="1" t="str">
        <f t="shared" si="11"/>
        <v/>
      </c>
      <c r="N371" s="11" t="str">
        <f>IFERROR(VLOOKUP(L371,Backtest!C:D,2,FALSE)/VLOOKUP(K371,Backtest!C:D,2,FALSE)-1,"")</f>
        <v/>
      </c>
    </row>
    <row r="372" spans="2:14" x14ac:dyDescent="0.3">
      <c r="B372" s="10" t="str">
        <f>IFERROR(INDEX(Backtest!C:C,MATCH(Trades!A372,Backtest!K:K,0)),"")</f>
        <v/>
      </c>
      <c r="C372" s="10" t="str">
        <f>IFERROR(INDEX(Backtest!C:C,MATCH(Trades!A372,Backtest!L:L,0)),IF(ISNUMBER(B372),Backtest!$C$2519,""))</f>
        <v/>
      </c>
      <c r="D372" s="1" t="str">
        <f t="shared" si="10"/>
        <v/>
      </c>
      <c r="E372" s="11" t="str">
        <f>IFERROR(VLOOKUP(C372,Backtest!C:D,2,FALSE)/VLOOKUP(B372,Backtest!C:D,2,FALSE)-1,"")</f>
        <v/>
      </c>
      <c r="K372" s="10" t="str">
        <f>IFERROR(INDEX(Backtest!C:C,MATCH(Trades!A372,Backtest!M:M,0)),"")</f>
        <v/>
      </c>
      <c r="L372" s="10" t="str">
        <f>IFERROR(INDEX(Backtest!C:C,MATCH(Trades!A372,Backtest!N:N,0)),IF(ISNUMBER(K372),Backtest!$C$2519,""))</f>
        <v/>
      </c>
      <c r="M372" s="1" t="str">
        <f t="shared" si="11"/>
        <v/>
      </c>
      <c r="N372" s="11" t="str">
        <f>IFERROR(VLOOKUP(L372,Backtest!C:D,2,FALSE)/VLOOKUP(K372,Backtest!C:D,2,FALSE)-1,"")</f>
        <v/>
      </c>
    </row>
    <row r="373" spans="2:14" x14ac:dyDescent="0.3">
      <c r="B373" s="10" t="str">
        <f>IFERROR(INDEX(Backtest!C:C,MATCH(Trades!A373,Backtest!K:K,0)),"")</f>
        <v/>
      </c>
      <c r="C373" s="10" t="str">
        <f>IFERROR(INDEX(Backtest!C:C,MATCH(Trades!A373,Backtest!L:L,0)),IF(ISNUMBER(B373),Backtest!$C$2519,""))</f>
        <v/>
      </c>
      <c r="D373" s="1" t="str">
        <f t="shared" si="10"/>
        <v/>
      </c>
      <c r="E373" s="11" t="str">
        <f>IFERROR(VLOOKUP(C373,Backtest!C:D,2,FALSE)/VLOOKUP(B373,Backtest!C:D,2,FALSE)-1,"")</f>
        <v/>
      </c>
      <c r="K373" s="10" t="str">
        <f>IFERROR(INDEX(Backtest!C:C,MATCH(Trades!A373,Backtest!M:M,0)),"")</f>
        <v/>
      </c>
      <c r="L373" s="10" t="str">
        <f>IFERROR(INDEX(Backtest!C:C,MATCH(Trades!A373,Backtest!N:N,0)),IF(ISNUMBER(K373),Backtest!$C$2519,""))</f>
        <v/>
      </c>
      <c r="M373" s="1" t="str">
        <f t="shared" si="11"/>
        <v/>
      </c>
      <c r="N373" s="11" t="str">
        <f>IFERROR(VLOOKUP(L373,Backtest!C:D,2,FALSE)/VLOOKUP(K373,Backtest!C:D,2,FALSE)-1,"")</f>
        <v/>
      </c>
    </row>
    <row r="374" spans="2:14" x14ac:dyDescent="0.3">
      <c r="B374" s="10" t="str">
        <f>IFERROR(INDEX(Backtest!C:C,MATCH(Trades!A374,Backtest!K:K,0)),"")</f>
        <v/>
      </c>
      <c r="C374" s="10" t="str">
        <f>IFERROR(INDEX(Backtest!C:C,MATCH(Trades!A374,Backtest!L:L,0)),IF(ISNUMBER(B374),Backtest!$C$2519,""))</f>
        <v/>
      </c>
      <c r="D374" s="1" t="str">
        <f t="shared" si="10"/>
        <v/>
      </c>
      <c r="E374" s="11" t="str">
        <f>IFERROR(VLOOKUP(C374,Backtest!C:D,2,FALSE)/VLOOKUP(B374,Backtest!C:D,2,FALSE)-1,"")</f>
        <v/>
      </c>
      <c r="K374" s="10" t="str">
        <f>IFERROR(INDEX(Backtest!C:C,MATCH(Trades!A374,Backtest!M:M,0)),"")</f>
        <v/>
      </c>
      <c r="L374" s="10" t="str">
        <f>IFERROR(INDEX(Backtest!C:C,MATCH(Trades!A374,Backtest!N:N,0)),IF(ISNUMBER(K374),Backtest!$C$2519,""))</f>
        <v/>
      </c>
      <c r="M374" s="1" t="str">
        <f t="shared" si="11"/>
        <v/>
      </c>
      <c r="N374" s="11" t="str">
        <f>IFERROR(VLOOKUP(L374,Backtest!C:D,2,FALSE)/VLOOKUP(K374,Backtest!C:D,2,FALSE)-1,"")</f>
        <v/>
      </c>
    </row>
    <row r="375" spans="2:14" x14ac:dyDescent="0.3">
      <c r="B375" s="10" t="str">
        <f>IFERROR(INDEX(Backtest!C:C,MATCH(Trades!A375,Backtest!K:K,0)),"")</f>
        <v/>
      </c>
      <c r="C375" s="10" t="str">
        <f>IFERROR(INDEX(Backtest!C:C,MATCH(Trades!A375,Backtest!L:L,0)),IF(ISNUMBER(B375),Backtest!$C$2519,""))</f>
        <v/>
      </c>
      <c r="D375" s="1" t="str">
        <f t="shared" si="10"/>
        <v/>
      </c>
      <c r="E375" s="11" t="str">
        <f>IFERROR(VLOOKUP(C375,Backtest!C:D,2,FALSE)/VLOOKUP(B375,Backtest!C:D,2,FALSE)-1,"")</f>
        <v/>
      </c>
      <c r="K375" s="10" t="str">
        <f>IFERROR(INDEX(Backtest!C:C,MATCH(Trades!A375,Backtest!M:M,0)),"")</f>
        <v/>
      </c>
      <c r="L375" s="10" t="str">
        <f>IFERROR(INDEX(Backtest!C:C,MATCH(Trades!A375,Backtest!N:N,0)),IF(ISNUMBER(K375),Backtest!$C$2519,""))</f>
        <v/>
      </c>
      <c r="M375" s="1" t="str">
        <f t="shared" si="11"/>
        <v/>
      </c>
      <c r="N375" s="11" t="str">
        <f>IFERROR(VLOOKUP(L375,Backtest!C:D,2,FALSE)/VLOOKUP(K375,Backtest!C:D,2,FALSE)-1,"")</f>
        <v/>
      </c>
    </row>
    <row r="376" spans="2:14" x14ac:dyDescent="0.3">
      <c r="B376" s="10" t="str">
        <f>IFERROR(INDEX(Backtest!C:C,MATCH(Trades!A376,Backtest!K:K,0)),"")</f>
        <v/>
      </c>
      <c r="C376" s="10" t="str">
        <f>IFERROR(INDEX(Backtest!C:C,MATCH(Trades!A376,Backtest!L:L,0)),IF(ISNUMBER(B376),Backtest!$C$2519,""))</f>
        <v/>
      </c>
      <c r="D376" s="1" t="str">
        <f t="shared" si="10"/>
        <v/>
      </c>
      <c r="E376" s="11" t="str">
        <f>IFERROR(VLOOKUP(C376,Backtest!C:D,2,FALSE)/VLOOKUP(B376,Backtest!C:D,2,FALSE)-1,"")</f>
        <v/>
      </c>
      <c r="K376" s="10" t="str">
        <f>IFERROR(INDEX(Backtest!C:C,MATCH(Trades!A376,Backtest!M:M,0)),"")</f>
        <v/>
      </c>
      <c r="L376" s="10" t="str">
        <f>IFERROR(INDEX(Backtest!C:C,MATCH(Trades!A376,Backtest!N:N,0)),IF(ISNUMBER(K376),Backtest!$C$2519,""))</f>
        <v/>
      </c>
      <c r="M376" s="1" t="str">
        <f t="shared" si="11"/>
        <v/>
      </c>
      <c r="N376" s="11" t="str">
        <f>IFERROR(VLOOKUP(L376,Backtest!C:D,2,FALSE)/VLOOKUP(K376,Backtest!C:D,2,FALSE)-1,"")</f>
        <v/>
      </c>
    </row>
    <row r="377" spans="2:14" x14ac:dyDescent="0.3">
      <c r="B377" s="10" t="str">
        <f>IFERROR(INDEX(Backtest!C:C,MATCH(Trades!A377,Backtest!K:K,0)),"")</f>
        <v/>
      </c>
      <c r="C377" s="10" t="str">
        <f>IFERROR(INDEX(Backtest!C:C,MATCH(Trades!A377,Backtest!L:L,0)),IF(ISNUMBER(B377),Backtest!$C$2519,""))</f>
        <v/>
      </c>
      <c r="D377" s="1" t="str">
        <f t="shared" si="10"/>
        <v/>
      </c>
      <c r="E377" s="11" t="str">
        <f>IFERROR(VLOOKUP(C377,Backtest!C:D,2,FALSE)/VLOOKUP(B377,Backtest!C:D,2,FALSE)-1,"")</f>
        <v/>
      </c>
      <c r="K377" s="10" t="str">
        <f>IFERROR(INDEX(Backtest!C:C,MATCH(Trades!A377,Backtest!M:M,0)),"")</f>
        <v/>
      </c>
      <c r="L377" s="10" t="str">
        <f>IFERROR(INDEX(Backtest!C:C,MATCH(Trades!A377,Backtest!N:N,0)),IF(ISNUMBER(K377),Backtest!$C$2519,""))</f>
        <v/>
      </c>
      <c r="M377" s="1" t="str">
        <f t="shared" si="11"/>
        <v/>
      </c>
      <c r="N377" s="11" t="str">
        <f>IFERROR(VLOOKUP(L377,Backtest!C:D,2,FALSE)/VLOOKUP(K377,Backtest!C:D,2,FALSE)-1,"")</f>
        <v/>
      </c>
    </row>
    <row r="378" spans="2:14" x14ac:dyDescent="0.3">
      <c r="B378" s="10" t="str">
        <f>IFERROR(INDEX(Backtest!C:C,MATCH(Trades!A378,Backtest!K:K,0)),"")</f>
        <v/>
      </c>
      <c r="C378" s="10" t="str">
        <f>IFERROR(INDEX(Backtest!C:C,MATCH(Trades!A378,Backtest!L:L,0)),IF(ISNUMBER(B378),Backtest!$C$2519,""))</f>
        <v/>
      </c>
      <c r="D378" s="1" t="str">
        <f t="shared" si="10"/>
        <v/>
      </c>
      <c r="E378" s="11" t="str">
        <f>IFERROR(VLOOKUP(C378,Backtest!C:D,2,FALSE)/VLOOKUP(B378,Backtest!C:D,2,FALSE)-1,"")</f>
        <v/>
      </c>
      <c r="K378" s="10" t="str">
        <f>IFERROR(INDEX(Backtest!C:C,MATCH(Trades!A378,Backtest!M:M,0)),"")</f>
        <v/>
      </c>
      <c r="L378" s="10" t="str">
        <f>IFERROR(INDEX(Backtest!C:C,MATCH(Trades!A378,Backtest!N:N,0)),IF(ISNUMBER(K378),Backtest!$C$2519,""))</f>
        <v/>
      </c>
      <c r="M378" s="1" t="str">
        <f t="shared" si="11"/>
        <v/>
      </c>
      <c r="N378" s="11" t="str">
        <f>IFERROR(VLOOKUP(L378,Backtest!C:D,2,FALSE)/VLOOKUP(K378,Backtest!C:D,2,FALSE)-1,"")</f>
        <v/>
      </c>
    </row>
    <row r="379" spans="2:14" x14ac:dyDescent="0.3">
      <c r="B379" s="10" t="str">
        <f>IFERROR(INDEX(Backtest!C:C,MATCH(Trades!A379,Backtest!K:K,0)),"")</f>
        <v/>
      </c>
      <c r="C379" s="10" t="str">
        <f>IFERROR(INDEX(Backtest!C:C,MATCH(Trades!A379,Backtest!L:L,0)),IF(ISNUMBER(B379),Backtest!$C$2519,""))</f>
        <v/>
      </c>
      <c r="D379" s="1" t="str">
        <f t="shared" si="10"/>
        <v/>
      </c>
      <c r="E379" s="11" t="str">
        <f>IFERROR(VLOOKUP(C379,Backtest!C:D,2,FALSE)/VLOOKUP(B379,Backtest!C:D,2,FALSE)-1,"")</f>
        <v/>
      </c>
      <c r="K379" s="10" t="str">
        <f>IFERROR(INDEX(Backtest!C:C,MATCH(Trades!A379,Backtest!M:M,0)),"")</f>
        <v/>
      </c>
      <c r="L379" s="10" t="str">
        <f>IFERROR(INDEX(Backtest!C:C,MATCH(Trades!A379,Backtest!N:N,0)),IF(ISNUMBER(K379),Backtest!$C$2519,""))</f>
        <v/>
      </c>
      <c r="M379" s="1" t="str">
        <f t="shared" si="11"/>
        <v/>
      </c>
      <c r="N379" s="11" t="str">
        <f>IFERROR(VLOOKUP(L379,Backtest!C:D,2,FALSE)/VLOOKUP(K379,Backtest!C:D,2,FALSE)-1,"")</f>
        <v/>
      </c>
    </row>
    <row r="380" spans="2:14" x14ac:dyDescent="0.3">
      <c r="B380" s="10" t="str">
        <f>IFERROR(INDEX(Backtest!C:C,MATCH(Trades!A380,Backtest!K:K,0)),"")</f>
        <v/>
      </c>
      <c r="C380" s="10" t="str">
        <f>IFERROR(INDEX(Backtest!C:C,MATCH(Trades!A380,Backtest!L:L,0)),IF(ISNUMBER(B380),Backtest!$C$2519,""))</f>
        <v/>
      </c>
      <c r="D380" s="1" t="str">
        <f t="shared" si="10"/>
        <v/>
      </c>
      <c r="E380" s="11" t="str">
        <f>IFERROR(VLOOKUP(C380,Backtest!C:D,2,FALSE)/VLOOKUP(B380,Backtest!C:D,2,FALSE)-1,"")</f>
        <v/>
      </c>
      <c r="K380" s="10" t="str">
        <f>IFERROR(INDEX(Backtest!C:C,MATCH(Trades!A380,Backtest!M:M,0)),"")</f>
        <v/>
      </c>
      <c r="L380" s="10" t="str">
        <f>IFERROR(INDEX(Backtest!C:C,MATCH(Trades!A380,Backtest!N:N,0)),IF(ISNUMBER(K380),Backtest!$C$2519,""))</f>
        <v/>
      </c>
      <c r="M380" s="1" t="str">
        <f t="shared" si="11"/>
        <v/>
      </c>
      <c r="N380" s="11" t="str">
        <f>IFERROR(VLOOKUP(L380,Backtest!C:D,2,FALSE)/VLOOKUP(K380,Backtest!C:D,2,FALSE)-1,"")</f>
        <v/>
      </c>
    </row>
    <row r="381" spans="2:14" x14ac:dyDescent="0.3">
      <c r="B381" s="10" t="str">
        <f>IFERROR(INDEX(Backtest!C:C,MATCH(Trades!A381,Backtest!K:K,0)),"")</f>
        <v/>
      </c>
      <c r="C381" s="10" t="str">
        <f>IFERROR(INDEX(Backtest!C:C,MATCH(Trades!A381,Backtest!L:L,0)),IF(ISNUMBER(B381),Backtest!$C$2519,""))</f>
        <v/>
      </c>
      <c r="D381" s="1" t="str">
        <f t="shared" si="10"/>
        <v/>
      </c>
      <c r="E381" s="11" t="str">
        <f>IFERROR(VLOOKUP(C381,Backtest!C:D,2,FALSE)/VLOOKUP(B381,Backtest!C:D,2,FALSE)-1,"")</f>
        <v/>
      </c>
      <c r="K381" s="10" t="str">
        <f>IFERROR(INDEX(Backtest!C:C,MATCH(Trades!A381,Backtest!M:M,0)),"")</f>
        <v/>
      </c>
      <c r="L381" s="10" t="str">
        <f>IFERROR(INDEX(Backtest!C:C,MATCH(Trades!A381,Backtest!N:N,0)),IF(ISNUMBER(K381),Backtest!$C$2519,""))</f>
        <v/>
      </c>
      <c r="M381" s="1" t="str">
        <f t="shared" si="11"/>
        <v/>
      </c>
      <c r="N381" s="11" t="str">
        <f>IFERROR(VLOOKUP(L381,Backtest!C:D,2,FALSE)/VLOOKUP(K381,Backtest!C:D,2,FALSE)-1,"")</f>
        <v/>
      </c>
    </row>
    <row r="382" spans="2:14" x14ac:dyDescent="0.3">
      <c r="B382" s="10" t="str">
        <f>IFERROR(INDEX(Backtest!C:C,MATCH(Trades!A382,Backtest!K:K,0)),"")</f>
        <v/>
      </c>
      <c r="C382" s="10" t="str">
        <f>IFERROR(INDEX(Backtest!C:C,MATCH(Trades!A382,Backtest!L:L,0)),IF(ISNUMBER(B382),Backtest!$C$2519,""))</f>
        <v/>
      </c>
      <c r="D382" s="1" t="str">
        <f t="shared" si="10"/>
        <v/>
      </c>
      <c r="E382" s="11" t="str">
        <f>IFERROR(VLOOKUP(C382,Backtest!C:D,2,FALSE)/VLOOKUP(B382,Backtest!C:D,2,FALSE)-1,"")</f>
        <v/>
      </c>
      <c r="K382" s="10" t="str">
        <f>IFERROR(INDEX(Backtest!C:C,MATCH(Trades!A382,Backtest!M:M,0)),"")</f>
        <v/>
      </c>
      <c r="L382" s="10" t="str">
        <f>IFERROR(INDEX(Backtest!C:C,MATCH(Trades!A382,Backtest!N:N,0)),IF(ISNUMBER(K382),Backtest!$C$2519,""))</f>
        <v/>
      </c>
      <c r="M382" s="1" t="str">
        <f t="shared" si="11"/>
        <v/>
      </c>
      <c r="N382" s="11" t="str">
        <f>IFERROR(VLOOKUP(L382,Backtest!C:D,2,FALSE)/VLOOKUP(K382,Backtest!C:D,2,FALSE)-1,"")</f>
        <v/>
      </c>
    </row>
    <row r="383" spans="2:14" x14ac:dyDescent="0.3">
      <c r="B383" s="10" t="str">
        <f>IFERROR(INDEX(Backtest!C:C,MATCH(Trades!A383,Backtest!K:K,0)),"")</f>
        <v/>
      </c>
      <c r="C383" s="10" t="str">
        <f>IFERROR(INDEX(Backtest!C:C,MATCH(Trades!A383,Backtest!L:L,0)),IF(ISNUMBER(B383),Backtest!$C$2519,""))</f>
        <v/>
      </c>
      <c r="D383" s="1" t="str">
        <f t="shared" si="10"/>
        <v/>
      </c>
      <c r="E383" s="11" t="str">
        <f>IFERROR(VLOOKUP(C383,Backtest!C:D,2,FALSE)/VLOOKUP(B383,Backtest!C:D,2,FALSE)-1,"")</f>
        <v/>
      </c>
      <c r="K383" s="10" t="str">
        <f>IFERROR(INDEX(Backtest!C:C,MATCH(Trades!A383,Backtest!M:M,0)),"")</f>
        <v/>
      </c>
      <c r="L383" s="10" t="str">
        <f>IFERROR(INDEX(Backtest!C:C,MATCH(Trades!A383,Backtest!N:N,0)),IF(ISNUMBER(K383),Backtest!$C$2519,""))</f>
        <v/>
      </c>
      <c r="M383" s="1" t="str">
        <f t="shared" si="11"/>
        <v/>
      </c>
      <c r="N383" s="11" t="str">
        <f>IFERROR(VLOOKUP(L383,Backtest!C:D,2,FALSE)/VLOOKUP(K383,Backtest!C:D,2,FALSE)-1,"")</f>
        <v/>
      </c>
    </row>
    <row r="384" spans="2:14" x14ac:dyDescent="0.3">
      <c r="B384" s="10" t="str">
        <f>IFERROR(INDEX(Backtest!C:C,MATCH(Trades!A384,Backtest!K:K,0)),"")</f>
        <v/>
      </c>
      <c r="C384" s="10" t="str">
        <f>IFERROR(INDEX(Backtest!C:C,MATCH(Trades!A384,Backtest!L:L,0)),IF(ISNUMBER(B384),Backtest!$C$2519,""))</f>
        <v/>
      </c>
      <c r="D384" s="1" t="str">
        <f t="shared" si="10"/>
        <v/>
      </c>
      <c r="E384" s="11" t="str">
        <f>IFERROR(VLOOKUP(C384,Backtest!C:D,2,FALSE)/VLOOKUP(B384,Backtest!C:D,2,FALSE)-1,"")</f>
        <v/>
      </c>
      <c r="K384" s="10" t="str">
        <f>IFERROR(INDEX(Backtest!C:C,MATCH(Trades!A384,Backtest!M:M,0)),"")</f>
        <v/>
      </c>
      <c r="L384" s="10" t="str">
        <f>IFERROR(INDEX(Backtest!C:C,MATCH(Trades!A384,Backtest!N:N,0)),IF(ISNUMBER(K384),Backtest!$C$2519,""))</f>
        <v/>
      </c>
      <c r="M384" s="1" t="str">
        <f t="shared" si="11"/>
        <v/>
      </c>
      <c r="N384" s="11" t="str">
        <f>IFERROR(VLOOKUP(L384,Backtest!C:D,2,FALSE)/VLOOKUP(K384,Backtest!C:D,2,FALSE)-1,"")</f>
        <v/>
      </c>
    </row>
    <row r="385" spans="2:14" x14ac:dyDescent="0.3">
      <c r="B385" s="10" t="str">
        <f>IFERROR(INDEX(Backtest!C:C,MATCH(Trades!A385,Backtest!K:K,0)),"")</f>
        <v/>
      </c>
      <c r="C385" s="10" t="str">
        <f>IFERROR(INDEX(Backtest!C:C,MATCH(Trades!A385,Backtest!L:L,0)),IF(ISNUMBER(B385),Backtest!$C$2519,""))</f>
        <v/>
      </c>
      <c r="D385" s="1" t="str">
        <f t="shared" si="10"/>
        <v/>
      </c>
      <c r="E385" s="11" t="str">
        <f>IFERROR(VLOOKUP(C385,Backtest!C:D,2,FALSE)/VLOOKUP(B385,Backtest!C:D,2,FALSE)-1,"")</f>
        <v/>
      </c>
      <c r="K385" s="10" t="str">
        <f>IFERROR(INDEX(Backtest!C:C,MATCH(Trades!A385,Backtest!M:M,0)),"")</f>
        <v/>
      </c>
      <c r="L385" s="10" t="str">
        <f>IFERROR(INDEX(Backtest!C:C,MATCH(Trades!A385,Backtest!N:N,0)),IF(ISNUMBER(K385),Backtest!$C$2519,""))</f>
        <v/>
      </c>
      <c r="M385" s="1" t="str">
        <f t="shared" si="11"/>
        <v/>
      </c>
      <c r="N385" s="11" t="str">
        <f>IFERROR(VLOOKUP(L385,Backtest!C:D,2,FALSE)/VLOOKUP(K385,Backtest!C:D,2,FALSE)-1,"")</f>
        <v/>
      </c>
    </row>
    <row r="386" spans="2:14" x14ac:dyDescent="0.3">
      <c r="B386" s="10" t="str">
        <f>IFERROR(INDEX(Backtest!C:C,MATCH(Trades!A386,Backtest!K:K,0)),"")</f>
        <v/>
      </c>
      <c r="C386" s="10" t="str">
        <f>IFERROR(INDEX(Backtest!C:C,MATCH(Trades!A386,Backtest!L:L,0)),IF(ISNUMBER(B386),Backtest!$C$2519,""))</f>
        <v/>
      </c>
      <c r="D386" s="1" t="str">
        <f t="shared" si="10"/>
        <v/>
      </c>
      <c r="E386" s="11" t="str">
        <f>IFERROR(VLOOKUP(C386,Backtest!C:D,2,FALSE)/VLOOKUP(B386,Backtest!C:D,2,FALSE)-1,"")</f>
        <v/>
      </c>
      <c r="K386" s="10" t="str">
        <f>IFERROR(INDEX(Backtest!C:C,MATCH(Trades!A386,Backtest!M:M,0)),"")</f>
        <v/>
      </c>
      <c r="L386" s="10" t="str">
        <f>IFERROR(INDEX(Backtest!C:C,MATCH(Trades!A386,Backtest!N:N,0)),IF(ISNUMBER(K386),Backtest!$C$2519,""))</f>
        <v/>
      </c>
      <c r="M386" s="1" t="str">
        <f t="shared" si="11"/>
        <v/>
      </c>
      <c r="N386" s="11" t="str">
        <f>IFERROR(VLOOKUP(L386,Backtest!C:D,2,FALSE)/VLOOKUP(K386,Backtest!C:D,2,FALSE)-1,"")</f>
        <v/>
      </c>
    </row>
    <row r="387" spans="2:14" x14ac:dyDescent="0.3">
      <c r="B387" s="10" t="str">
        <f>IFERROR(INDEX(Backtest!C:C,MATCH(Trades!A387,Backtest!K:K,0)),"")</f>
        <v/>
      </c>
      <c r="C387" s="10" t="str">
        <f>IFERROR(INDEX(Backtest!C:C,MATCH(Trades!A387,Backtest!L:L,0)),IF(ISNUMBER(B387),Backtest!$C$2519,""))</f>
        <v/>
      </c>
      <c r="D387" s="1" t="str">
        <f t="shared" si="10"/>
        <v/>
      </c>
      <c r="E387" s="11" t="str">
        <f>IFERROR(VLOOKUP(C387,Backtest!C:D,2,FALSE)/VLOOKUP(B387,Backtest!C:D,2,FALSE)-1,"")</f>
        <v/>
      </c>
      <c r="K387" s="10" t="str">
        <f>IFERROR(INDEX(Backtest!C:C,MATCH(Trades!A387,Backtest!M:M,0)),"")</f>
        <v/>
      </c>
      <c r="L387" s="10" t="str">
        <f>IFERROR(INDEX(Backtest!C:C,MATCH(Trades!A387,Backtest!N:N,0)),IF(ISNUMBER(K387),Backtest!$C$2519,""))</f>
        <v/>
      </c>
      <c r="M387" s="1" t="str">
        <f t="shared" si="11"/>
        <v/>
      </c>
      <c r="N387" s="11" t="str">
        <f>IFERROR(VLOOKUP(L387,Backtest!C:D,2,FALSE)/VLOOKUP(K387,Backtest!C:D,2,FALSE)-1,"")</f>
        <v/>
      </c>
    </row>
    <row r="388" spans="2:14" x14ac:dyDescent="0.3">
      <c r="B388" s="10" t="str">
        <f>IFERROR(INDEX(Backtest!C:C,MATCH(Trades!A388,Backtest!K:K,0)),"")</f>
        <v/>
      </c>
      <c r="C388" s="10" t="str">
        <f>IFERROR(INDEX(Backtest!C:C,MATCH(Trades!A388,Backtest!L:L,0)),IF(ISNUMBER(B388),Backtest!$C$2519,""))</f>
        <v/>
      </c>
      <c r="D388" s="1" t="str">
        <f t="shared" ref="D388:D402" si="12">IF(ISNUMBER(B388),NETWORKDAYS(B388,C388),"")</f>
        <v/>
      </c>
      <c r="E388" s="11" t="str">
        <f>IFERROR(VLOOKUP(C388,Backtest!C:D,2,FALSE)/VLOOKUP(B388,Backtest!C:D,2,FALSE)-1,"")</f>
        <v/>
      </c>
      <c r="K388" s="10" t="str">
        <f>IFERROR(INDEX(Backtest!C:C,MATCH(Trades!A388,Backtest!M:M,0)),"")</f>
        <v/>
      </c>
      <c r="L388" s="10" t="str">
        <f>IFERROR(INDEX(Backtest!C:C,MATCH(Trades!A388,Backtest!N:N,0)),IF(ISNUMBER(K388),Backtest!$C$2519,""))</f>
        <v/>
      </c>
      <c r="M388" s="1" t="str">
        <f t="shared" ref="M388:M402" si="13">IF(ISNUMBER(K388),NETWORKDAYS(K388,L388),"")</f>
        <v/>
      </c>
      <c r="N388" s="11" t="str">
        <f>IFERROR(VLOOKUP(L388,Backtest!C:D,2,FALSE)/VLOOKUP(K388,Backtest!C:D,2,FALSE)-1,"")</f>
        <v/>
      </c>
    </row>
    <row r="389" spans="2:14" x14ac:dyDescent="0.3">
      <c r="B389" s="10" t="str">
        <f>IFERROR(INDEX(Backtest!C:C,MATCH(Trades!A389,Backtest!K:K,0)),"")</f>
        <v/>
      </c>
      <c r="C389" s="10" t="str">
        <f>IFERROR(INDEX(Backtest!C:C,MATCH(Trades!A389,Backtest!L:L,0)),IF(ISNUMBER(B389),Backtest!$C$2519,""))</f>
        <v/>
      </c>
      <c r="D389" s="1" t="str">
        <f t="shared" si="12"/>
        <v/>
      </c>
      <c r="E389" s="11" t="str">
        <f>IFERROR(VLOOKUP(C389,Backtest!C:D,2,FALSE)/VLOOKUP(B389,Backtest!C:D,2,FALSE)-1,"")</f>
        <v/>
      </c>
      <c r="K389" s="10" t="str">
        <f>IFERROR(INDEX(Backtest!C:C,MATCH(Trades!A389,Backtest!M:M,0)),"")</f>
        <v/>
      </c>
      <c r="L389" s="10" t="str">
        <f>IFERROR(INDEX(Backtest!C:C,MATCH(Trades!A389,Backtest!N:N,0)),IF(ISNUMBER(K389),Backtest!$C$2519,""))</f>
        <v/>
      </c>
      <c r="M389" s="1" t="str">
        <f t="shared" si="13"/>
        <v/>
      </c>
      <c r="N389" s="11" t="str">
        <f>IFERROR(VLOOKUP(L389,Backtest!C:D,2,FALSE)/VLOOKUP(K389,Backtest!C:D,2,FALSE)-1,"")</f>
        <v/>
      </c>
    </row>
    <row r="390" spans="2:14" x14ac:dyDescent="0.3">
      <c r="B390" s="10" t="str">
        <f>IFERROR(INDEX(Backtest!C:C,MATCH(Trades!A390,Backtest!K:K,0)),"")</f>
        <v/>
      </c>
      <c r="C390" s="10" t="str">
        <f>IFERROR(INDEX(Backtest!C:C,MATCH(Trades!A390,Backtest!L:L,0)),IF(ISNUMBER(B390),Backtest!$C$2519,""))</f>
        <v/>
      </c>
      <c r="D390" s="1" t="str">
        <f t="shared" si="12"/>
        <v/>
      </c>
      <c r="E390" s="11" t="str">
        <f>IFERROR(VLOOKUP(C390,Backtest!C:D,2,FALSE)/VLOOKUP(B390,Backtest!C:D,2,FALSE)-1,"")</f>
        <v/>
      </c>
      <c r="K390" s="10" t="str">
        <f>IFERROR(INDEX(Backtest!C:C,MATCH(Trades!A390,Backtest!M:M,0)),"")</f>
        <v/>
      </c>
      <c r="L390" s="10" t="str">
        <f>IFERROR(INDEX(Backtest!C:C,MATCH(Trades!A390,Backtest!N:N,0)),IF(ISNUMBER(K390),Backtest!$C$2519,""))</f>
        <v/>
      </c>
      <c r="M390" s="1" t="str">
        <f t="shared" si="13"/>
        <v/>
      </c>
      <c r="N390" s="11" t="str">
        <f>IFERROR(VLOOKUP(L390,Backtest!C:D,2,FALSE)/VLOOKUP(K390,Backtest!C:D,2,FALSE)-1,"")</f>
        <v/>
      </c>
    </row>
    <row r="391" spans="2:14" x14ac:dyDescent="0.3">
      <c r="B391" s="10" t="str">
        <f>IFERROR(INDEX(Backtest!C:C,MATCH(Trades!A391,Backtest!K:K,0)),"")</f>
        <v/>
      </c>
      <c r="C391" s="10" t="str">
        <f>IFERROR(INDEX(Backtest!C:C,MATCH(Trades!A391,Backtest!L:L,0)),IF(ISNUMBER(B391),Backtest!$C$2519,""))</f>
        <v/>
      </c>
      <c r="D391" s="1" t="str">
        <f t="shared" si="12"/>
        <v/>
      </c>
      <c r="E391" s="11" t="str">
        <f>IFERROR(VLOOKUP(C391,Backtest!C:D,2,FALSE)/VLOOKUP(B391,Backtest!C:D,2,FALSE)-1,"")</f>
        <v/>
      </c>
      <c r="K391" s="10" t="str">
        <f>IFERROR(INDEX(Backtest!C:C,MATCH(Trades!A391,Backtest!M:M,0)),"")</f>
        <v/>
      </c>
      <c r="L391" s="10" t="str">
        <f>IFERROR(INDEX(Backtest!C:C,MATCH(Trades!A391,Backtest!N:N,0)),IF(ISNUMBER(K391),Backtest!$C$2519,""))</f>
        <v/>
      </c>
      <c r="M391" s="1" t="str">
        <f t="shared" si="13"/>
        <v/>
      </c>
      <c r="N391" s="11" t="str">
        <f>IFERROR(VLOOKUP(L391,Backtest!C:D,2,FALSE)/VLOOKUP(K391,Backtest!C:D,2,FALSE)-1,"")</f>
        <v/>
      </c>
    </row>
    <row r="392" spans="2:14" x14ac:dyDescent="0.3">
      <c r="B392" s="10" t="str">
        <f>IFERROR(INDEX(Backtest!C:C,MATCH(Trades!A392,Backtest!K:K,0)),"")</f>
        <v/>
      </c>
      <c r="C392" s="10" t="str">
        <f>IFERROR(INDEX(Backtest!C:C,MATCH(Trades!A392,Backtest!L:L,0)),IF(ISNUMBER(B392),Backtest!$C$2519,""))</f>
        <v/>
      </c>
      <c r="D392" s="1" t="str">
        <f t="shared" si="12"/>
        <v/>
      </c>
      <c r="E392" s="11" t="str">
        <f>IFERROR(VLOOKUP(C392,Backtest!C:D,2,FALSE)/VLOOKUP(B392,Backtest!C:D,2,FALSE)-1,"")</f>
        <v/>
      </c>
      <c r="K392" s="10" t="str">
        <f>IFERROR(INDEX(Backtest!C:C,MATCH(Trades!A392,Backtest!M:M,0)),"")</f>
        <v/>
      </c>
      <c r="L392" s="10" t="str">
        <f>IFERROR(INDEX(Backtest!C:C,MATCH(Trades!A392,Backtest!N:N,0)),IF(ISNUMBER(K392),Backtest!$C$2519,""))</f>
        <v/>
      </c>
      <c r="M392" s="1" t="str">
        <f t="shared" si="13"/>
        <v/>
      </c>
      <c r="N392" s="11" t="str">
        <f>IFERROR(VLOOKUP(L392,Backtest!C:D,2,FALSE)/VLOOKUP(K392,Backtest!C:D,2,FALSE)-1,"")</f>
        <v/>
      </c>
    </row>
    <row r="393" spans="2:14" x14ac:dyDescent="0.3">
      <c r="B393" s="10" t="str">
        <f>IFERROR(INDEX(Backtest!C:C,MATCH(Trades!A393,Backtest!K:K,0)),"")</f>
        <v/>
      </c>
      <c r="C393" s="10" t="str">
        <f>IFERROR(INDEX(Backtest!C:C,MATCH(Trades!A393,Backtest!L:L,0)),IF(ISNUMBER(B393),Backtest!$C$2519,""))</f>
        <v/>
      </c>
      <c r="D393" s="1" t="str">
        <f t="shared" si="12"/>
        <v/>
      </c>
      <c r="E393" s="11" t="str">
        <f>IFERROR(VLOOKUP(C393,Backtest!C:D,2,FALSE)/VLOOKUP(B393,Backtest!C:D,2,FALSE)-1,"")</f>
        <v/>
      </c>
      <c r="K393" s="10" t="str">
        <f>IFERROR(INDEX(Backtest!C:C,MATCH(Trades!A393,Backtest!M:M,0)),"")</f>
        <v/>
      </c>
      <c r="L393" s="10" t="str">
        <f>IFERROR(INDEX(Backtest!C:C,MATCH(Trades!A393,Backtest!N:N,0)),IF(ISNUMBER(K393),Backtest!$C$2519,""))</f>
        <v/>
      </c>
      <c r="M393" s="1" t="str">
        <f t="shared" si="13"/>
        <v/>
      </c>
      <c r="N393" s="11" t="str">
        <f>IFERROR(VLOOKUP(L393,Backtest!C:D,2,FALSE)/VLOOKUP(K393,Backtest!C:D,2,FALSE)-1,"")</f>
        <v/>
      </c>
    </row>
    <row r="394" spans="2:14" x14ac:dyDescent="0.3">
      <c r="B394" s="10" t="str">
        <f>IFERROR(INDEX(Backtest!C:C,MATCH(Trades!A394,Backtest!K:K,0)),"")</f>
        <v/>
      </c>
      <c r="C394" s="10" t="str">
        <f>IFERROR(INDEX(Backtest!C:C,MATCH(Trades!A394,Backtest!L:L,0)),IF(ISNUMBER(B394),Backtest!$C$2519,""))</f>
        <v/>
      </c>
      <c r="D394" s="1" t="str">
        <f t="shared" si="12"/>
        <v/>
      </c>
      <c r="E394" s="11" t="str">
        <f>IFERROR(VLOOKUP(C394,Backtest!C:D,2,FALSE)/VLOOKUP(B394,Backtest!C:D,2,FALSE)-1,"")</f>
        <v/>
      </c>
      <c r="K394" s="10" t="str">
        <f>IFERROR(INDEX(Backtest!C:C,MATCH(Trades!A394,Backtest!M:M,0)),"")</f>
        <v/>
      </c>
      <c r="L394" s="10" t="str">
        <f>IFERROR(INDEX(Backtest!C:C,MATCH(Trades!A394,Backtest!N:N,0)),IF(ISNUMBER(K394),Backtest!$C$2519,""))</f>
        <v/>
      </c>
      <c r="M394" s="1" t="str">
        <f t="shared" si="13"/>
        <v/>
      </c>
      <c r="N394" s="11" t="str">
        <f>IFERROR(VLOOKUP(L394,Backtest!C:D,2,FALSE)/VLOOKUP(K394,Backtest!C:D,2,FALSE)-1,"")</f>
        <v/>
      </c>
    </row>
    <row r="395" spans="2:14" x14ac:dyDescent="0.3">
      <c r="B395" s="10" t="str">
        <f>IFERROR(INDEX(Backtest!C:C,MATCH(Trades!A395,Backtest!K:K,0)),"")</f>
        <v/>
      </c>
      <c r="C395" s="10" t="str">
        <f>IFERROR(INDEX(Backtest!C:C,MATCH(Trades!A395,Backtest!L:L,0)),IF(ISNUMBER(B395),Backtest!$C$2519,""))</f>
        <v/>
      </c>
      <c r="D395" s="1" t="str">
        <f t="shared" si="12"/>
        <v/>
      </c>
      <c r="E395" s="11" t="str">
        <f>IFERROR(VLOOKUP(C395,Backtest!C:D,2,FALSE)/VLOOKUP(B395,Backtest!C:D,2,FALSE)-1,"")</f>
        <v/>
      </c>
      <c r="K395" s="10" t="str">
        <f>IFERROR(INDEX(Backtest!C:C,MATCH(Trades!A395,Backtest!M:M,0)),"")</f>
        <v/>
      </c>
      <c r="L395" s="10" t="str">
        <f>IFERROR(INDEX(Backtest!C:C,MATCH(Trades!A395,Backtest!N:N,0)),IF(ISNUMBER(K395),Backtest!$C$2519,""))</f>
        <v/>
      </c>
      <c r="M395" s="1" t="str">
        <f t="shared" si="13"/>
        <v/>
      </c>
      <c r="N395" s="11" t="str">
        <f>IFERROR(VLOOKUP(L395,Backtest!C:D,2,FALSE)/VLOOKUP(K395,Backtest!C:D,2,FALSE)-1,"")</f>
        <v/>
      </c>
    </row>
    <row r="396" spans="2:14" x14ac:dyDescent="0.3">
      <c r="B396" s="10" t="str">
        <f>IFERROR(INDEX(Backtest!C:C,MATCH(Trades!A396,Backtest!K:K,0)),"")</f>
        <v/>
      </c>
      <c r="C396" s="10" t="str">
        <f>IFERROR(INDEX(Backtest!C:C,MATCH(Trades!A396,Backtest!L:L,0)),IF(ISNUMBER(B396),Backtest!$C$2519,""))</f>
        <v/>
      </c>
      <c r="D396" s="1" t="str">
        <f t="shared" si="12"/>
        <v/>
      </c>
      <c r="E396" s="11" t="str">
        <f>IFERROR(VLOOKUP(C396,Backtest!C:D,2,FALSE)/VLOOKUP(B396,Backtest!C:D,2,FALSE)-1,"")</f>
        <v/>
      </c>
      <c r="K396" s="10" t="str">
        <f>IFERROR(INDEX(Backtest!C:C,MATCH(Trades!A396,Backtest!M:M,0)),"")</f>
        <v/>
      </c>
      <c r="L396" s="10" t="str">
        <f>IFERROR(INDEX(Backtest!C:C,MATCH(Trades!A396,Backtest!N:N,0)),IF(ISNUMBER(K396),Backtest!$C$2519,""))</f>
        <v/>
      </c>
      <c r="M396" s="1" t="str">
        <f t="shared" si="13"/>
        <v/>
      </c>
      <c r="N396" s="11" t="str">
        <f>IFERROR(VLOOKUP(L396,Backtest!C:D,2,FALSE)/VLOOKUP(K396,Backtest!C:D,2,FALSE)-1,"")</f>
        <v/>
      </c>
    </row>
    <row r="397" spans="2:14" x14ac:dyDescent="0.3">
      <c r="B397" s="10" t="str">
        <f>IFERROR(INDEX(Backtest!C:C,MATCH(Trades!A397,Backtest!K:K,0)),"")</f>
        <v/>
      </c>
      <c r="C397" s="10" t="str">
        <f>IFERROR(INDEX(Backtest!C:C,MATCH(Trades!A397,Backtest!L:L,0)),IF(ISNUMBER(B397),Backtest!$C$2519,""))</f>
        <v/>
      </c>
      <c r="D397" s="1" t="str">
        <f t="shared" si="12"/>
        <v/>
      </c>
      <c r="E397" s="11" t="str">
        <f>IFERROR(VLOOKUP(C397,Backtest!C:D,2,FALSE)/VLOOKUP(B397,Backtest!C:D,2,FALSE)-1,"")</f>
        <v/>
      </c>
      <c r="K397" s="10" t="str">
        <f>IFERROR(INDEX(Backtest!C:C,MATCH(Trades!A397,Backtest!M:M,0)),"")</f>
        <v/>
      </c>
      <c r="L397" s="10" t="str">
        <f>IFERROR(INDEX(Backtest!C:C,MATCH(Trades!A397,Backtest!N:N,0)),IF(ISNUMBER(K397),Backtest!$C$2519,""))</f>
        <v/>
      </c>
      <c r="M397" s="1" t="str">
        <f t="shared" si="13"/>
        <v/>
      </c>
      <c r="N397" s="11" t="str">
        <f>IFERROR(VLOOKUP(L397,Backtest!C:D,2,FALSE)/VLOOKUP(K397,Backtest!C:D,2,FALSE)-1,"")</f>
        <v/>
      </c>
    </row>
    <row r="398" spans="2:14" x14ac:dyDescent="0.3">
      <c r="B398" s="10" t="str">
        <f>IFERROR(INDEX(Backtest!C:C,MATCH(Trades!A398,Backtest!K:K,0)),"")</f>
        <v/>
      </c>
      <c r="C398" s="10" t="str">
        <f>IFERROR(INDEX(Backtest!C:C,MATCH(Trades!A398,Backtest!L:L,0)),IF(ISNUMBER(B398),Backtest!$C$2519,""))</f>
        <v/>
      </c>
      <c r="D398" s="1" t="str">
        <f t="shared" si="12"/>
        <v/>
      </c>
      <c r="E398" s="11" t="str">
        <f>IFERROR(VLOOKUP(C398,Backtest!C:D,2,FALSE)/VLOOKUP(B398,Backtest!C:D,2,FALSE)-1,"")</f>
        <v/>
      </c>
      <c r="K398" s="10" t="str">
        <f>IFERROR(INDEX(Backtest!C:C,MATCH(Trades!A398,Backtest!M:M,0)),"")</f>
        <v/>
      </c>
      <c r="L398" s="10" t="str">
        <f>IFERROR(INDEX(Backtest!C:C,MATCH(Trades!A398,Backtest!N:N,0)),IF(ISNUMBER(K398),Backtest!$C$2519,""))</f>
        <v/>
      </c>
      <c r="M398" s="1" t="str">
        <f t="shared" si="13"/>
        <v/>
      </c>
      <c r="N398" s="11" t="str">
        <f>IFERROR(VLOOKUP(L398,Backtest!C:D,2,FALSE)/VLOOKUP(K398,Backtest!C:D,2,FALSE)-1,"")</f>
        <v/>
      </c>
    </row>
    <row r="399" spans="2:14" x14ac:dyDescent="0.3">
      <c r="B399" s="10" t="str">
        <f>IFERROR(INDEX(Backtest!C:C,MATCH(Trades!A399,Backtest!K:K,0)),"")</f>
        <v/>
      </c>
      <c r="C399" s="10" t="str">
        <f>IFERROR(INDEX(Backtest!C:C,MATCH(Trades!A399,Backtest!L:L,0)),IF(ISNUMBER(B399),Backtest!$C$2519,""))</f>
        <v/>
      </c>
      <c r="D399" s="1" t="str">
        <f t="shared" si="12"/>
        <v/>
      </c>
      <c r="E399" s="11" t="str">
        <f>IFERROR(VLOOKUP(C399,Backtest!C:D,2,FALSE)/VLOOKUP(B399,Backtest!C:D,2,FALSE)-1,"")</f>
        <v/>
      </c>
      <c r="K399" s="10" t="str">
        <f>IFERROR(INDEX(Backtest!C:C,MATCH(Trades!A399,Backtest!M:M,0)),"")</f>
        <v/>
      </c>
      <c r="L399" s="10" t="str">
        <f>IFERROR(INDEX(Backtest!C:C,MATCH(Trades!A399,Backtest!N:N,0)),IF(ISNUMBER(K399),Backtest!$C$2519,""))</f>
        <v/>
      </c>
      <c r="M399" s="1" t="str">
        <f t="shared" si="13"/>
        <v/>
      </c>
      <c r="N399" s="11" t="str">
        <f>IFERROR(VLOOKUP(L399,Backtest!C:D,2,FALSE)/VLOOKUP(K399,Backtest!C:D,2,FALSE)-1,"")</f>
        <v/>
      </c>
    </row>
    <row r="400" spans="2:14" x14ac:dyDescent="0.3">
      <c r="B400" s="10" t="str">
        <f>IFERROR(INDEX(Backtest!C:C,MATCH(Trades!A400,Backtest!K:K,0)),"")</f>
        <v/>
      </c>
      <c r="C400" s="10" t="str">
        <f>IFERROR(INDEX(Backtest!C:C,MATCH(Trades!A400,Backtest!L:L,0)),IF(ISNUMBER(B400),Backtest!$C$2519,""))</f>
        <v/>
      </c>
      <c r="D400" s="1" t="str">
        <f t="shared" si="12"/>
        <v/>
      </c>
      <c r="E400" s="11" t="str">
        <f>IFERROR(VLOOKUP(C400,Backtest!C:D,2,FALSE)/VLOOKUP(B400,Backtest!C:D,2,FALSE)-1,"")</f>
        <v/>
      </c>
      <c r="K400" s="10" t="str">
        <f>IFERROR(INDEX(Backtest!C:C,MATCH(Trades!A400,Backtest!M:M,0)),"")</f>
        <v/>
      </c>
      <c r="L400" s="10" t="str">
        <f>IFERROR(INDEX(Backtest!C:C,MATCH(Trades!A400,Backtest!N:N,0)),IF(ISNUMBER(K400),Backtest!$C$2519,""))</f>
        <v/>
      </c>
      <c r="M400" s="1" t="str">
        <f t="shared" si="13"/>
        <v/>
      </c>
      <c r="N400" s="11" t="str">
        <f>IFERROR(VLOOKUP(L400,Backtest!C:D,2,FALSE)/VLOOKUP(K400,Backtest!C:D,2,FALSE)-1,"")</f>
        <v/>
      </c>
    </row>
    <row r="401" spans="2:14" x14ac:dyDescent="0.3">
      <c r="B401" s="10" t="str">
        <f>IFERROR(INDEX(Backtest!C:C,MATCH(Trades!A401,Backtest!K:K,0)),"")</f>
        <v/>
      </c>
      <c r="C401" s="10" t="str">
        <f>IFERROR(INDEX(Backtest!C:C,MATCH(Trades!A401,Backtest!L:L,0)),IF(ISNUMBER(B401),Backtest!$C$2519,""))</f>
        <v/>
      </c>
      <c r="D401" s="1" t="str">
        <f t="shared" si="12"/>
        <v/>
      </c>
      <c r="E401" s="11" t="str">
        <f>IFERROR(VLOOKUP(C401,Backtest!C:D,2,FALSE)/VLOOKUP(B401,Backtest!C:D,2,FALSE)-1,"")</f>
        <v/>
      </c>
      <c r="K401" s="10" t="str">
        <f>IFERROR(INDEX(Backtest!C:C,MATCH(Trades!A401,Backtest!M:M,0)),"")</f>
        <v/>
      </c>
      <c r="L401" s="10" t="str">
        <f>IFERROR(INDEX(Backtest!C:C,MATCH(Trades!A401,Backtest!N:N,0)),IF(ISNUMBER(K401),Backtest!$C$2519,""))</f>
        <v/>
      </c>
      <c r="M401" s="1" t="str">
        <f t="shared" si="13"/>
        <v/>
      </c>
      <c r="N401" s="11" t="str">
        <f>IFERROR(VLOOKUP(L401,Backtest!C:D,2,FALSE)/VLOOKUP(K401,Backtest!C:D,2,FALSE)-1,"")</f>
        <v/>
      </c>
    </row>
    <row r="402" spans="2:14" x14ac:dyDescent="0.3">
      <c r="B402" s="10" t="str">
        <f>IFERROR(INDEX(Backtest!C:C,MATCH(Trades!A402,Backtest!K:K,0)),"")</f>
        <v/>
      </c>
      <c r="C402" s="10" t="str">
        <f>IFERROR(INDEX(Backtest!C:C,MATCH(Trades!A402,Backtest!L:L,0)),IF(ISNUMBER(B402),Backtest!$C$2519,""))</f>
        <v/>
      </c>
      <c r="D402" s="1" t="str">
        <f t="shared" si="12"/>
        <v/>
      </c>
      <c r="E402" s="11" t="str">
        <f>IFERROR(VLOOKUP(C402,Backtest!C:D,2,FALSE)/VLOOKUP(B402,Backtest!C:D,2,FALSE)-1,"")</f>
        <v/>
      </c>
      <c r="K402" s="10" t="str">
        <f>IFERROR(INDEX(Backtest!C:C,MATCH(Trades!A402,Backtest!M:M,0)),"")</f>
        <v/>
      </c>
      <c r="L402" s="10" t="str">
        <f>IFERROR(INDEX(Backtest!C:C,MATCH(Trades!A402,Backtest!N:N,0)),IF(ISNUMBER(K402),Backtest!$C$2519,""))</f>
        <v/>
      </c>
      <c r="M402" s="1" t="str">
        <f t="shared" si="13"/>
        <v/>
      </c>
      <c r="N402" s="11" t="str">
        <f>IFERROR(VLOOKUP(L402,Backtest!C:D,2,FALSE)/VLOOKUP(K402,Backtest!C:D,2,FALSE)-1,"")</f>
        <v/>
      </c>
    </row>
  </sheetData>
  <mergeCells count="2">
    <mergeCell ref="A1:E1"/>
    <mergeCell ref="J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</vt:lpstr>
      <vt:lpstr>Backtest</vt:lpstr>
      <vt:lpstr>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USER</cp:lastModifiedBy>
  <dcterms:created xsi:type="dcterms:W3CDTF">2020-05-18T19:06:14Z</dcterms:created>
  <dcterms:modified xsi:type="dcterms:W3CDTF">2020-07-03T09:54:52Z</dcterms:modified>
</cp:coreProperties>
</file>