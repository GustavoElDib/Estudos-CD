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Quant_Expert\Quant_Expert\"/>
    </mc:Choice>
  </mc:AlternateContent>
  <xr:revisionPtr revIDLastSave="0" documentId="13_ncr:1_{0B28EB6A-046C-4DF7-9E0E-F3854F6873C9}" xr6:coauthVersionLast="45" xr6:coauthVersionMax="45" xr10:uidLastSave="{00000000-0000-0000-0000-000000000000}"/>
  <bookViews>
    <workbookView xWindow="-108" yWindow="-108" windowWidth="23256" windowHeight="13176" xr2:uid="{977AFBF4-427F-4F6E-B1AC-14D2AE70F894}"/>
  </bookViews>
  <sheets>
    <sheet name="Portfolio" sheetId="1" r:id="rId1"/>
    <sheet name="Exemplo_2" sheetId="2" r:id="rId2"/>
    <sheet name="Exemplo_3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9" i="3" l="1" a="1"/>
  <c r="V9" i="3" s="1"/>
  <c r="V5" i="3"/>
  <c r="V6" i="3"/>
  <c r="V7" i="3"/>
  <c r="V8" i="3"/>
  <c r="V4" i="3"/>
  <c r="S4" i="3"/>
  <c r="T4" i="3"/>
  <c r="U4" i="3"/>
  <c r="S5" i="3"/>
  <c r="T5" i="3"/>
  <c r="U5" i="3"/>
  <c r="S6" i="3"/>
  <c r="T6" i="3"/>
  <c r="U6" i="3"/>
  <c r="S7" i="3"/>
  <c r="T7" i="3"/>
  <c r="U7" i="3"/>
  <c r="S8" i="3"/>
  <c r="T8" i="3"/>
  <c r="U8" i="3"/>
  <c r="T3" i="3"/>
  <c r="U3" i="3"/>
  <c r="S3" i="3"/>
  <c r="J11" i="3"/>
  <c r="N9" i="3" a="1"/>
  <c r="N9" i="3" s="1"/>
  <c r="O9" i="3" a="1"/>
  <c r="O9" i="3"/>
  <c r="M9" i="3" a="1"/>
  <c r="M9" i="3" s="1"/>
  <c r="Q9" i="3" a="1"/>
  <c r="Q9" i="3" s="1"/>
  <c r="M5" i="3"/>
  <c r="N5" i="3"/>
  <c r="O5" i="3"/>
  <c r="M6" i="3"/>
  <c r="Q6" i="3" s="1"/>
  <c r="N6" i="3"/>
  <c r="O6" i="3"/>
  <c r="M7" i="3"/>
  <c r="N7" i="3"/>
  <c r="Q7" i="3" s="1"/>
  <c r="O7" i="3"/>
  <c r="M8" i="3"/>
  <c r="N8" i="3"/>
  <c r="O8" i="3"/>
  <c r="Q8" i="3" s="1"/>
  <c r="N4" i="3"/>
  <c r="O4" i="3"/>
  <c r="M4" i="3"/>
  <c r="J9" i="3" a="1"/>
  <c r="G4" i="3"/>
  <c r="G5" i="3"/>
  <c r="H5" i="3"/>
  <c r="H6" i="3"/>
  <c r="G8" i="3"/>
  <c r="H3" i="3"/>
  <c r="G1" i="3"/>
  <c r="G6" i="3" s="1"/>
  <c r="H1" i="3"/>
  <c r="H7" i="3" s="1"/>
  <c r="F1" i="3"/>
  <c r="E1" i="3"/>
  <c r="H8" i="3"/>
  <c r="Q5" i="3"/>
  <c r="F4" i="2"/>
  <c r="F5" i="2"/>
  <c r="F6" i="2"/>
  <c r="F7" i="2"/>
  <c r="F3" i="2"/>
  <c r="D4" i="1"/>
  <c r="D5" i="1"/>
  <c r="D6" i="1"/>
  <c r="D7" i="1"/>
  <c r="D8" i="1"/>
  <c r="D9" i="1"/>
  <c r="D10" i="1"/>
  <c r="J7" i="1"/>
  <c r="Q7" i="1" s="1"/>
  <c r="U4" i="1"/>
  <c r="U5" i="1"/>
  <c r="U6" i="1"/>
  <c r="U7" i="1"/>
  <c r="U8" i="1"/>
  <c r="U9" i="1"/>
  <c r="U10" i="1"/>
  <c r="U3" i="1"/>
  <c r="J10" i="1"/>
  <c r="Q10" i="1" s="1"/>
  <c r="I10" i="1"/>
  <c r="K10" i="1" s="1"/>
  <c r="J9" i="1"/>
  <c r="Q9" i="1" s="1"/>
  <c r="I9" i="1"/>
  <c r="P9" i="1" s="1"/>
  <c r="R9" i="1" s="1"/>
  <c r="J8" i="1"/>
  <c r="Q8" i="1" s="1"/>
  <c r="I8" i="1"/>
  <c r="K8" i="1" s="1"/>
  <c r="I7" i="1"/>
  <c r="P7" i="1" s="1"/>
  <c r="J6" i="1"/>
  <c r="Q6" i="1" s="1"/>
  <c r="I6" i="1"/>
  <c r="P6" i="1" s="1"/>
  <c r="J5" i="1"/>
  <c r="Q5" i="1" s="1"/>
  <c r="I5" i="1"/>
  <c r="P5" i="1" s="1"/>
  <c r="J4" i="1"/>
  <c r="Q4" i="1" s="1"/>
  <c r="I4" i="1"/>
  <c r="J3" i="1"/>
  <c r="Q3" i="1" s="1"/>
  <c r="I3" i="1"/>
  <c r="P3" i="1" s="1"/>
  <c r="R3" i="1" s="1"/>
  <c r="D3" i="1"/>
  <c r="G7" i="3" l="1"/>
  <c r="H4" i="3"/>
  <c r="F3" i="3"/>
  <c r="G3" i="3"/>
  <c r="K3" i="1"/>
  <c r="K4" i="1"/>
  <c r="R6" i="1"/>
  <c r="K5" i="1"/>
  <c r="R5" i="1"/>
  <c r="K9" i="1"/>
  <c r="K7" i="1"/>
  <c r="R7" i="1"/>
  <c r="P4" i="1"/>
  <c r="R4" i="1" s="1"/>
  <c r="P8" i="1"/>
  <c r="R8" i="1" s="1"/>
  <c r="P10" i="1"/>
  <c r="R10" i="1" s="1"/>
  <c r="K6" i="1"/>
  <c r="D11" i="1"/>
  <c r="I3" i="3" l="1"/>
  <c r="R11" i="1"/>
  <c r="E3" i="1"/>
  <c r="U13" i="1"/>
  <c r="E10" i="1"/>
  <c r="S3" i="1"/>
  <c r="E6" i="1"/>
  <c r="E8" i="1"/>
  <c r="E9" i="1"/>
  <c r="E5" i="1"/>
  <c r="E7" i="1"/>
  <c r="E4" i="1"/>
  <c r="K11" i="1"/>
  <c r="S10" i="1" s="1"/>
  <c r="K13" i="1" l="1"/>
  <c r="K14" i="1"/>
  <c r="U14" i="1"/>
  <c r="E11" i="1"/>
  <c r="S6" i="1"/>
  <c r="L5" i="1"/>
  <c r="L10" i="1"/>
  <c r="L8" i="1"/>
  <c r="L3" i="1"/>
  <c r="L4" i="1"/>
  <c r="L7" i="1"/>
  <c r="S5" i="1"/>
  <c r="L9" i="1"/>
  <c r="S9" i="1"/>
  <c r="L6" i="1"/>
  <c r="R13" i="1"/>
  <c r="S4" i="1"/>
  <c r="S7" i="1"/>
  <c r="S8" i="1"/>
  <c r="R14" i="1" l="1"/>
  <c r="Q4" i="3" l="1"/>
  <c r="F5" i="3" l="1"/>
  <c r="I5" i="3" s="1"/>
  <c r="F4" i="3"/>
  <c r="I4" i="3" s="1"/>
  <c r="J4" i="3" s="1"/>
  <c r="J5" i="3" l="1"/>
  <c r="F6" i="3"/>
  <c r="I6" i="3" s="1"/>
  <c r="J6" i="3" s="1"/>
  <c r="F7" i="3" l="1"/>
  <c r="I7" i="3" s="1"/>
  <c r="J7" i="3" s="1"/>
  <c r="F8" i="3"/>
  <c r="I8" i="3" s="1"/>
  <c r="J8" i="3" l="1"/>
  <c r="J9" i="3" s="1"/>
  <c r="J10" i="3"/>
</calcChain>
</file>

<file path=xl/sharedStrings.xml><?xml version="1.0" encoding="utf-8"?>
<sst xmlns="http://schemas.openxmlformats.org/spreadsheetml/2006/main" count="52" uniqueCount="21">
  <si>
    <t>Qtd</t>
  </si>
  <si>
    <t>Preço</t>
  </si>
  <si>
    <t>Financeiro</t>
  </si>
  <si>
    <t>% AuM</t>
  </si>
  <si>
    <t>%Chg</t>
  </si>
  <si>
    <t>Ativo A</t>
  </si>
  <si>
    <t>Ativo B</t>
  </si>
  <si>
    <t>Ativo C</t>
  </si>
  <si>
    <t>Ativo D</t>
  </si>
  <si>
    <t>Ativo E</t>
  </si>
  <si>
    <t>Ativo F</t>
  </si>
  <si>
    <t>Ativo G</t>
  </si>
  <si>
    <t>Ativo H</t>
  </si>
  <si>
    <t>Patrimonio</t>
  </si>
  <si>
    <t>A</t>
  </si>
  <si>
    <t>B</t>
  </si>
  <si>
    <t>C</t>
  </si>
  <si>
    <t>Acumulada</t>
  </si>
  <si>
    <t>Porfolio</t>
  </si>
  <si>
    <t>Inicial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</si>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</sst>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0.000%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8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3" fillId="0" borderId="0" xfId="0" applyFont="1"/>
    <xf numFmtId="43" fontId="3" fillId="0" borderId="0" xfId="1" applyFont="1"/>
    <xf numFmtId="164" fontId="3" fillId="0" borderId="0" xfId="2" applyFont="1"/>
    <xf numFmtId="10" fontId="3" fillId="0" borderId="0" xfId="3" applyNumberFormat="1" applyFont="1" applyAlignment="1">
      <alignment horizontal="center"/>
    </xf>
    <xf numFmtId="0" fontId="3" fillId="3" borderId="0" xfId="0" applyFont="1" applyFill="1"/>
    <xf numFmtId="10" fontId="3" fillId="4" borderId="0" xfId="3" applyNumberFormat="1" applyFont="1" applyFill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3" fillId="0" borderId="0" xfId="3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0" fillId="0" borderId="1" xfId="3" applyNumberFormat="1" applyFont="1" applyBorder="1" applyAlignment="1">
      <alignment horizontal="center" vertical="center"/>
    </xf>
    <xf numFmtId="166" fontId="0" fillId="0" borderId="0" xfId="3" applyNumberFormat="1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9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7" fontId="0" fillId="0" borderId="0" xfId="1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165" fontId="0" fillId="3" borderId="1" xfId="3" applyNumberFormat="1" applyFont="1" applyFill="1" applyBorder="1" applyAlignment="1">
      <alignment horizontal="center" vertical="center"/>
    </xf>
    <xf numFmtId="167" fontId="6" fillId="4" borderId="0" xfId="1" applyNumberFormat="1" applyFont="1" applyFill="1" applyAlignment="1">
      <alignment horizontal="center" vertical="center"/>
    </xf>
    <xf numFmtId="167" fontId="0" fillId="3" borderId="3" xfId="0" applyNumberFormat="1" applyFill="1" applyBorder="1" applyAlignment="1">
      <alignment horizontal="center" vertical="center"/>
    </xf>
    <xf numFmtId="167" fontId="0" fillId="3" borderId="4" xfId="0" applyNumberFormat="1" applyFill="1" applyBorder="1" applyAlignment="1">
      <alignment horizontal="center" vertical="center"/>
    </xf>
    <xf numFmtId="167" fontId="0" fillId="3" borderId="5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0" fillId="3" borderId="4" xfId="3" applyNumberFormat="1" applyFont="1" applyFill="1" applyBorder="1" applyAlignment="1">
      <alignment horizontal="center" vertical="center"/>
    </xf>
    <xf numFmtId="10" fontId="0" fillId="0" borderId="3" xfId="3" applyNumberFormat="1" applyFont="1" applyBorder="1" applyAlignment="1">
      <alignment horizontal="center" vertical="center"/>
    </xf>
    <xf numFmtId="10" fontId="0" fillId="0" borderId="4" xfId="3" applyNumberFormat="1" applyFont="1" applyBorder="1" applyAlignment="1">
      <alignment horizontal="center" vertical="center"/>
    </xf>
    <xf numFmtId="10" fontId="0" fillId="0" borderId="5" xfId="3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10" fontId="0" fillId="0" borderId="11" xfId="3" applyNumberFormat="1" applyFont="1" applyBorder="1" applyAlignment="1">
      <alignment horizontal="center" vertical="center"/>
    </xf>
    <xf numFmtId="10" fontId="0" fillId="3" borderId="5" xfId="3" applyNumberFormat="1" applyFont="1" applyFill="1" applyBorder="1" applyAlignment="1">
      <alignment horizontal="center" vertical="center"/>
    </xf>
    <xf numFmtId="10" fontId="0" fillId="3" borderId="1" xfId="3" applyNumberFormat="1" applyFont="1" applyFill="1" applyBorder="1" applyAlignment="1">
      <alignment horizontal="center" vertical="center"/>
    </xf>
    <xf numFmtId="9" fontId="0" fillId="0" borderId="12" xfId="3" applyNumberFormat="1" applyFont="1" applyBorder="1" applyAlignment="1">
      <alignment horizontal="center" vertical="center"/>
    </xf>
    <xf numFmtId="9" fontId="0" fillId="0" borderId="13" xfId="3" applyNumberFormat="1" applyFont="1" applyBorder="1" applyAlignment="1">
      <alignment horizontal="center" vertical="center"/>
    </xf>
    <xf numFmtId="9" fontId="0" fillId="0" borderId="14" xfId="3" applyNumberFormat="1" applyFont="1" applyBorder="1" applyAlignment="1">
      <alignment horizontal="center" vertical="center"/>
    </xf>
    <xf numFmtId="9" fontId="0" fillId="0" borderId="10" xfId="3" applyNumberFormat="1" applyFont="1" applyBorder="1" applyAlignment="1">
      <alignment horizontal="center" vertical="center"/>
    </xf>
    <xf numFmtId="9" fontId="0" fillId="0" borderId="0" xfId="3" applyNumberFormat="1" applyFont="1" applyBorder="1" applyAlignment="1">
      <alignment horizontal="center" vertical="center"/>
    </xf>
    <xf numFmtId="9" fontId="0" fillId="0" borderId="11" xfId="3" applyNumberFormat="1" applyFont="1" applyBorder="1" applyAlignment="1">
      <alignment horizontal="center" vertical="center"/>
    </xf>
    <xf numFmtId="9" fontId="0" fillId="0" borderId="15" xfId="3" applyNumberFormat="1" applyFont="1" applyBorder="1" applyAlignment="1">
      <alignment horizontal="center" vertical="center"/>
    </xf>
    <xf numFmtId="9" fontId="0" fillId="0" borderId="16" xfId="3" applyNumberFormat="1" applyFont="1" applyBorder="1" applyAlignment="1">
      <alignment horizontal="center" vertical="center"/>
    </xf>
    <xf numFmtId="9" fontId="0" fillId="0" borderId="17" xfId="3" applyNumberFormat="1" applyFont="1" applyBorder="1" applyAlignment="1">
      <alignment horizontal="center" vertical="center"/>
    </xf>
    <xf numFmtId="167" fontId="0" fillId="0" borderId="12" xfId="1" applyNumberFormat="1" applyFont="1" applyBorder="1" applyAlignment="1">
      <alignment horizontal="center" vertical="center"/>
    </xf>
    <xf numFmtId="167" fontId="0" fillId="0" borderId="13" xfId="1" applyNumberFormat="1" applyFont="1" applyBorder="1" applyAlignment="1">
      <alignment horizontal="center" vertical="center"/>
    </xf>
    <xf numFmtId="167" fontId="0" fillId="0" borderId="14" xfId="1" applyNumberFormat="1" applyFont="1" applyBorder="1" applyAlignment="1">
      <alignment horizontal="center" vertical="center"/>
    </xf>
    <xf numFmtId="167" fontId="0" fillId="0" borderId="10" xfId="1" applyNumberFormat="1" applyFont="1" applyBorder="1" applyAlignment="1">
      <alignment horizontal="center" vertical="center"/>
    </xf>
    <xf numFmtId="167" fontId="0" fillId="0" borderId="0" xfId="1" applyNumberFormat="1" applyFont="1" applyBorder="1" applyAlignment="1">
      <alignment horizontal="center" vertical="center"/>
    </xf>
    <xf numFmtId="167" fontId="0" fillId="0" borderId="11" xfId="1" applyNumberFormat="1" applyFont="1" applyBorder="1" applyAlignment="1">
      <alignment horizontal="center" vertical="center"/>
    </xf>
    <xf numFmtId="167" fontId="0" fillId="0" borderId="15" xfId="1" applyNumberFormat="1" applyFont="1" applyBorder="1" applyAlignment="1">
      <alignment horizontal="center" vertical="center"/>
    </xf>
    <xf numFmtId="167" fontId="0" fillId="0" borderId="16" xfId="1" applyNumberFormat="1" applyFont="1" applyBorder="1" applyAlignment="1">
      <alignment horizontal="center" vertical="center"/>
    </xf>
    <xf numFmtId="167" fontId="0" fillId="0" borderId="17" xfId="1" applyNumberFormat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9DEB-A83C-401F-85DA-2BBE1584155D}">
  <sheetPr codeName="Sheet1"/>
  <dimension ref="A2:U30"/>
  <sheetViews>
    <sheetView showGridLines="0" tabSelected="1" workbookViewId="0">
      <selection activeCell="B13" sqref="B13"/>
    </sheetView>
  </sheetViews>
  <sheetFormatPr defaultRowHeight="14.4" x14ac:dyDescent="0.3"/>
  <cols>
    <col min="1" max="1" width="8.5546875" bestFit="1" customWidth="1"/>
    <col min="2" max="2" width="10.6640625" customWidth="1"/>
    <col min="3" max="3" width="12.77734375" bestFit="1" customWidth="1"/>
    <col min="4" max="4" width="18.109375" bestFit="1" customWidth="1"/>
    <col min="5" max="5" width="10.6640625" style="6" customWidth="1"/>
    <col min="6" max="6" width="2.33203125" style="5" customWidth="1"/>
    <col min="7" max="7" width="10.6640625" customWidth="1"/>
    <col min="8" max="8" width="1.88671875" customWidth="1"/>
    <col min="9" max="9" width="10.6640625" style="6" customWidth="1"/>
    <col min="10" max="10" width="12.77734375" style="6" bestFit="1" customWidth="1"/>
    <col min="11" max="11" width="18.109375" bestFit="1" customWidth="1"/>
    <col min="12" max="12" width="10.6640625" style="6" customWidth="1"/>
    <col min="13" max="13" width="2.5546875" customWidth="1"/>
    <col min="14" max="14" width="9.109375" bestFit="1" customWidth="1"/>
    <col min="15" max="15" width="1.33203125" customWidth="1"/>
    <col min="16" max="16" width="9.109375" bestFit="1" customWidth="1"/>
    <col min="17" max="17" width="12.77734375" bestFit="1" customWidth="1"/>
    <col min="18" max="18" width="18.109375" bestFit="1" customWidth="1"/>
    <col min="19" max="19" width="9.109375" bestFit="1" customWidth="1"/>
    <col min="20" max="20" width="4.44140625" customWidth="1"/>
  </cols>
  <sheetData>
    <row r="2" spans="1:21" ht="45.6" customHeight="1" x14ac:dyDescent="0.3">
      <c r="B2" s="1" t="s">
        <v>0</v>
      </c>
      <c r="C2" s="1" t="s">
        <v>1</v>
      </c>
      <c r="D2" s="1" t="s">
        <v>2</v>
      </c>
      <c r="E2" s="2" t="s">
        <v>3</v>
      </c>
      <c r="F2" s="3"/>
      <c r="G2" s="2" t="s">
        <v>4</v>
      </c>
      <c r="H2" s="4"/>
      <c r="I2" s="2" t="s">
        <v>0</v>
      </c>
      <c r="J2" s="2" t="s">
        <v>1</v>
      </c>
      <c r="K2" s="1" t="s">
        <v>2</v>
      </c>
      <c r="L2" s="2" t="s">
        <v>3</v>
      </c>
      <c r="N2" s="2" t="s">
        <v>4</v>
      </c>
      <c r="P2" s="2" t="s">
        <v>0</v>
      </c>
      <c r="Q2" s="2" t="s">
        <v>1</v>
      </c>
      <c r="R2" s="1" t="s">
        <v>2</v>
      </c>
      <c r="S2" s="2" t="s">
        <v>3</v>
      </c>
      <c r="U2" s="2" t="s">
        <v>17</v>
      </c>
    </row>
    <row r="3" spans="1:21" s="7" customFormat="1" ht="30" customHeight="1" x14ac:dyDescent="0.35">
      <c r="A3" s="7" t="s">
        <v>5</v>
      </c>
      <c r="B3" s="7">
        <v>5000</v>
      </c>
      <c r="C3" s="8">
        <v>10</v>
      </c>
      <c r="D3" s="9">
        <f>B3*C3</f>
        <v>50000</v>
      </c>
      <c r="E3" s="10">
        <f t="shared" ref="E3:E10" si="0">D3/$D$11</f>
        <v>0.1457725947521866</v>
      </c>
      <c r="F3" s="11"/>
      <c r="G3" s="12">
        <v>-3.2599999999999997E-2</v>
      </c>
      <c r="I3" s="13">
        <f>B3</f>
        <v>5000</v>
      </c>
      <c r="J3" s="14">
        <f>C3*(1+G3)</f>
        <v>9.6739999999999995</v>
      </c>
      <c r="K3" s="9">
        <f>I3*J3</f>
        <v>48370</v>
      </c>
      <c r="L3" s="10">
        <f t="shared" ref="L3:L10" si="1">K3/$K$11</f>
        <v>0.13869971525983615</v>
      </c>
      <c r="N3" s="12">
        <v>8.1499999999999993E-3</v>
      </c>
      <c r="P3" s="13">
        <f>I3</f>
        <v>5000</v>
      </c>
      <c r="Q3" s="14">
        <f>J3*(1+N3)</f>
        <v>9.7528430999999998</v>
      </c>
      <c r="R3" s="9">
        <f>P3*Q3</f>
        <v>48764.215499999998</v>
      </c>
      <c r="S3" s="10">
        <f>R3/$R$11</f>
        <v>0.14050970414342939</v>
      </c>
      <c r="U3" s="12">
        <f t="shared" ref="U3:U10" si="2">(1+G3)*(1+N3)-1</f>
        <v>-2.4715689999999846E-2</v>
      </c>
    </row>
    <row r="4" spans="1:21" s="7" customFormat="1" ht="30" customHeight="1" x14ac:dyDescent="0.35">
      <c r="A4" s="7" t="s">
        <v>6</v>
      </c>
      <c r="B4" s="7">
        <v>3000</v>
      </c>
      <c r="C4" s="8">
        <v>15</v>
      </c>
      <c r="D4" s="9">
        <f t="shared" ref="D4:D10" si="3">B4*C4</f>
        <v>45000</v>
      </c>
      <c r="E4" s="10">
        <f t="shared" si="0"/>
        <v>0.13119533527696792</v>
      </c>
      <c r="F4" s="11"/>
      <c r="G4" s="12">
        <v>9.2200000000000004E-2</v>
      </c>
      <c r="I4" s="13">
        <f t="shared" ref="I4:I10" si="4">B4</f>
        <v>3000</v>
      </c>
      <c r="J4" s="14">
        <f t="shared" ref="J4:J10" si="5">C4*(1+G4)</f>
        <v>16.383000000000003</v>
      </c>
      <c r="K4" s="9">
        <f t="shared" ref="K4:K10" si="6">I4*J4</f>
        <v>49149.000000000007</v>
      </c>
      <c r="L4" s="10">
        <f t="shared" si="1"/>
        <v>0.14093347747169088</v>
      </c>
      <c r="N4" s="12">
        <v>-2.3050000000000001E-2</v>
      </c>
      <c r="P4" s="13">
        <f t="shared" ref="P4:P10" si="7">I4</f>
        <v>3000</v>
      </c>
      <c r="Q4" s="14">
        <f t="shared" ref="Q4:Q10" si="8">J4*(1+N4)</f>
        <v>16.005371850000003</v>
      </c>
      <c r="R4" s="9">
        <f t="shared" ref="R4:R10" si="9">P4*Q4</f>
        <v>48016.11555000001</v>
      </c>
      <c r="S4" s="10">
        <f t="shared" ref="S4:S10" si="10">R4/$K$11</f>
        <v>0.13768496081596843</v>
      </c>
      <c r="U4" s="12">
        <f t="shared" si="2"/>
        <v>6.7024790000000056E-2</v>
      </c>
    </row>
    <row r="5" spans="1:21" s="7" customFormat="1" ht="30" customHeight="1" x14ac:dyDescent="0.35">
      <c r="A5" s="7" t="s">
        <v>7</v>
      </c>
      <c r="B5" s="7">
        <v>4000</v>
      </c>
      <c r="C5" s="8">
        <v>12</v>
      </c>
      <c r="D5" s="9">
        <f t="shared" si="3"/>
        <v>48000</v>
      </c>
      <c r="E5" s="10">
        <f t="shared" si="0"/>
        <v>0.13994169096209913</v>
      </c>
      <c r="F5" s="11"/>
      <c r="G5" s="12">
        <v>4.9500000000000002E-2</v>
      </c>
      <c r="I5" s="13">
        <f t="shared" si="4"/>
        <v>4000</v>
      </c>
      <c r="J5" s="14">
        <f t="shared" si="5"/>
        <v>12.594000000000001</v>
      </c>
      <c r="K5" s="9">
        <f t="shared" si="6"/>
        <v>50376.000000000007</v>
      </c>
      <c r="L5" s="10">
        <f t="shared" si="1"/>
        <v>0.14445186801590876</v>
      </c>
      <c r="N5" s="12">
        <v>-1.2375000000000001E-2</v>
      </c>
      <c r="P5" s="13">
        <f t="shared" si="7"/>
        <v>4000</v>
      </c>
      <c r="Q5" s="14">
        <f t="shared" si="8"/>
        <v>12.43814925</v>
      </c>
      <c r="R5" s="9">
        <f t="shared" si="9"/>
        <v>49752.597000000002</v>
      </c>
      <c r="S5" s="10">
        <f t="shared" si="10"/>
        <v>0.14266427614921187</v>
      </c>
      <c r="U5" s="12">
        <f t="shared" si="2"/>
        <v>3.6512437500000106E-2</v>
      </c>
    </row>
    <row r="6" spans="1:21" s="7" customFormat="1" ht="30" customHeight="1" x14ac:dyDescent="0.35">
      <c r="A6" s="7" t="s">
        <v>8</v>
      </c>
      <c r="B6" s="7">
        <v>10000</v>
      </c>
      <c r="C6" s="8">
        <v>2</v>
      </c>
      <c r="D6" s="9">
        <f t="shared" si="3"/>
        <v>20000</v>
      </c>
      <c r="E6" s="10">
        <f t="shared" si="0"/>
        <v>5.8309037900874633E-2</v>
      </c>
      <c r="F6" s="11"/>
      <c r="G6" s="12">
        <v>-1.8200000000000001E-2</v>
      </c>
      <c r="I6" s="13">
        <f t="shared" si="4"/>
        <v>10000</v>
      </c>
      <c r="J6" s="14">
        <f t="shared" si="5"/>
        <v>1.9636</v>
      </c>
      <c r="K6" s="9">
        <f t="shared" si="6"/>
        <v>19636</v>
      </c>
      <c r="L6" s="10">
        <f t="shared" si="1"/>
        <v>5.6305718603310788E-2</v>
      </c>
      <c r="N6" s="12">
        <v>4.5500000000000002E-3</v>
      </c>
      <c r="P6" s="13">
        <f t="shared" si="7"/>
        <v>10000</v>
      </c>
      <c r="Q6" s="14">
        <f t="shared" si="8"/>
        <v>1.9725343800000001</v>
      </c>
      <c r="R6" s="9">
        <f t="shared" si="9"/>
        <v>19725.343800000002</v>
      </c>
      <c r="S6" s="10">
        <f t="shared" si="10"/>
        <v>5.6561909622955854E-2</v>
      </c>
      <c r="U6" s="12">
        <f t="shared" si="2"/>
        <v>-1.3732809999999929E-2</v>
      </c>
    </row>
    <row r="7" spans="1:21" s="7" customFormat="1" ht="30" customHeight="1" x14ac:dyDescent="0.35">
      <c r="A7" s="7" t="s">
        <v>9</v>
      </c>
      <c r="B7" s="7">
        <v>5000</v>
      </c>
      <c r="C7" s="8">
        <v>3</v>
      </c>
      <c r="D7" s="9">
        <f t="shared" si="3"/>
        <v>15000</v>
      </c>
      <c r="E7" s="10">
        <f t="shared" si="0"/>
        <v>4.3731778425655975E-2</v>
      </c>
      <c r="F7" s="11"/>
      <c r="G7" s="12">
        <v>5.4399999999999997E-2</v>
      </c>
      <c r="I7" s="13">
        <f t="shared" si="4"/>
        <v>5000</v>
      </c>
      <c r="J7" s="14">
        <f>C7*(1+G7)</f>
        <v>3.1631999999999998</v>
      </c>
      <c r="K7" s="9">
        <f t="shared" si="6"/>
        <v>15815.999999999998</v>
      </c>
      <c r="L7" s="10">
        <f t="shared" si="1"/>
        <v>4.535196809074981E-2</v>
      </c>
      <c r="N7" s="12">
        <v>-1.3599999999999999E-2</v>
      </c>
      <c r="P7" s="13">
        <f t="shared" si="7"/>
        <v>5000</v>
      </c>
      <c r="Q7" s="14">
        <f t="shared" si="8"/>
        <v>3.1201804800000001</v>
      </c>
      <c r="R7" s="9">
        <f t="shared" si="9"/>
        <v>15600.902400000001</v>
      </c>
      <c r="S7" s="10">
        <f t="shared" si="10"/>
        <v>4.4735181324715621E-2</v>
      </c>
      <c r="U7" s="12">
        <f t="shared" si="2"/>
        <v>4.0060160000000122E-2</v>
      </c>
    </row>
    <row r="8" spans="1:21" s="7" customFormat="1" ht="30" customHeight="1" x14ac:dyDescent="0.35">
      <c r="A8" s="7" t="s">
        <v>10</v>
      </c>
      <c r="B8" s="7">
        <v>5000</v>
      </c>
      <c r="C8" s="8">
        <v>10</v>
      </c>
      <c r="D8" s="9">
        <f t="shared" si="3"/>
        <v>50000</v>
      </c>
      <c r="E8" s="10">
        <f t="shared" si="0"/>
        <v>0.1457725947521866</v>
      </c>
      <c r="F8" s="11"/>
      <c r="G8" s="12">
        <v>-6.3200000000000006E-2</v>
      </c>
      <c r="I8" s="13">
        <f t="shared" si="4"/>
        <v>5000</v>
      </c>
      <c r="J8" s="14">
        <f t="shared" si="5"/>
        <v>9.3680000000000003</v>
      </c>
      <c r="K8" s="9">
        <f t="shared" si="6"/>
        <v>46840</v>
      </c>
      <c r="L8" s="10">
        <f t="shared" si="1"/>
        <v>0.13431248010689942</v>
      </c>
      <c r="N8" s="12">
        <v>1.5800000000000002E-2</v>
      </c>
      <c r="P8" s="13">
        <f t="shared" si="7"/>
        <v>5000</v>
      </c>
      <c r="Q8" s="14">
        <f t="shared" si="8"/>
        <v>9.5160144000000013</v>
      </c>
      <c r="R8" s="9">
        <f t="shared" si="9"/>
        <v>47580.072000000007</v>
      </c>
      <c r="S8" s="10">
        <f t="shared" si="10"/>
        <v>0.13643461729258846</v>
      </c>
      <c r="U8" s="12">
        <f t="shared" si="2"/>
        <v>-4.8398559999999979E-2</v>
      </c>
    </row>
    <row r="9" spans="1:21" s="7" customFormat="1" ht="30" customHeight="1" x14ac:dyDescent="0.35">
      <c r="A9" s="7" t="s">
        <v>11</v>
      </c>
      <c r="B9" s="7">
        <v>5000</v>
      </c>
      <c r="C9" s="8">
        <v>10</v>
      </c>
      <c r="D9" s="9">
        <f t="shared" si="3"/>
        <v>50000</v>
      </c>
      <c r="E9" s="10">
        <f t="shared" si="0"/>
        <v>0.1457725947521866</v>
      </c>
      <c r="F9" s="11"/>
      <c r="G9" s="12">
        <v>6.3500000000000001E-2</v>
      </c>
      <c r="I9" s="13">
        <f t="shared" si="4"/>
        <v>5000</v>
      </c>
      <c r="J9" s="14">
        <f t="shared" si="5"/>
        <v>10.634999999999998</v>
      </c>
      <c r="K9" s="9">
        <f t="shared" si="6"/>
        <v>53174.999999999993</v>
      </c>
      <c r="L9" s="10">
        <f t="shared" si="1"/>
        <v>0.15247792761922238</v>
      </c>
      <c r="N9" s="12">
        <v>-1.5875E-2</v>
      </c>
      <c r="P9" s="13">
        <f t="shared" si="7"/>
        <v>5000</v>
      </c>
      <c r="Q9" s="14">
        <f t="shared" si="8"/>
        <v>10.466169374999998</v>
      </c>
      <c r="R9" s="9">
        <f t="shared" si="9"/>
        <v>52330.846874999988</v>
      </c>
      <c r="S9" s="10">
        <f t="shared" si="10"/>
        <v>0.15005734051826722</v>
      </c>
      <c r="U9" s="12">
        <f t="shared" si="2"/>
        <v>4.6616937499999844E-2</v>
      </c>
    </row>
    <row r="10" spans="1:21" s="7" customFormat="1" ht="30" customHeight="1" x14ac:dyDescent="0.35">
      <c r="A10" s="7" t="s">
        <v>12</v>
      </c>
      <c r="B10" s="7">
        <v>5000</v>
      </c>
      <c r="C10" s="8">
        <v>13</v>
      </c>
      <c r="D10" s="9">
        <f t="shared" si="3"/>
        <v>65000</v>
      </c>
      <c r="E10" s="10">
        <f t="shared" si="0"/>
        <v>0.18950437317784258</v>
      </c>
      <c r="F10" s="11"/>
      <c r="G10" s="12">
        <v>5.7999999999999996E-3</v>
      </c>
      <c r="I10" s="13">
        <f t="shared" si="4"/>
        <v>5000</v>
      </c>
      <c r="J10" s="14">
        <f t="shared" si="5"/>
        <v>13.0754</v>
      </c>
      <c r="K10" s="9">
        <f t="shared" si="6"/>
        <v>65377</v>
      </c>
      <c r="L10" s="10">
        <f t="shared" si="1"/>
        <v>0.18746684483238182</v>
      </c>
      <c r="N10" s="12">
        <v>-1.4499999999999999E-3</v>
      </c>
      <c r="P10" s="13">
        <f t="shared" si="7"/>
        <v>5000</v>
      </c>
      <c r="Q10" s="14">
        <f t="shared" si="8"/>
        <v>13.056440670000001</v>
      </c>
      <c r="R10" s="9">
        <f t="shared" si="9"/>
        <v>65282.203350000003</v>
      </c>
      <c r="S10" s="10">
        <f t="shared" si="10"/>
        <v>0.18719501790737486</v>
      </c>
      <c r="U10" s="12">
        <f t="shared" si="2"/>
        <v>4.3415900000001173E-3</v>
      </c>
    </row>
    <row r="11" spans="1:21" s="7" customFormat="1" ht="30" customHeight="1" x14ac:dyDescent="0.35">
      <c r="C11" s="15" t="s">
        <v>13</v>
      </c>
      <c r="D11" s="16">
        <f>SUM(D3:D10)</f>
        <v>343000</v>
      </c>
      <c r="E11" s="17">
        <f>SUM(E3:E10)</f>
        <v>1.0000000000000002</v>
      </c>
      <c r="F11" s="11"/>
      <c r="I11" s="13"/>
      <c r="J11" s="18" t="s">
        <v>13</v>
      </c>
      <c r="K11" s="16">
        <f>SUM(K3:K10)</f>
        <v>348739</v>
      </c>
      <c r="L11" s="13"/>
      <c r="P11" s="13"/>
      <c r="Q11" s="18" t="s">
        <v>13</v>
      </c>
      <c r="R11" s="16">
        <f>SUM(R3:R10)</f>
        <v>347052.29647500004</v>
      </c>
      <c r="S11" s="13"/>
    </row>
    <row r="12" spans="1:21" s="7" customFormat="1" ht="30" customHeight="1" thickBot="1" x14ac:dyDescent="0.4">
      <c r="E12" s="13"/>
      <c r="F12" s="11"/>
      <c r="I12" s="13"/>
      <c r="J12" s="13"/>
      <c r="L12" s="13"/>
    </row>
    <row r="13" spans="1:21" s="7" customFormat="1" ht="30" customHeight="1" thickBot="1" x14ac:dyDescent="0.4">
      <c r="E13" s="13"/>
      <c r="F13" s="11"/>
      <c r="I13" s="13"/>
      <c r="J13" s="13" t="s">
        <v>4</v>
      </c>
      <c r="K13" s="10">
        <f>K11/D11-1</f>
        <v>1.6731778425655985E-2</v>
      </c>
      <c r="L13" s="13"/>
      <c r="Q13" s="13" t="s">
        <v>4</v>
      </c>
      <c r="R13" s="10">
        <f>R11/K11-1</f>
        <v>-4.8365784297137449E-3</v>
      </c>
      <c r="T13" s="13" t="s">
        <v>4</v>
      </c>
      <c r="U13" s="19">
        <f>R11/D11-1</f>
        <v>1.1814275437317834E-2</v>
      </c>
    </row>
    <row r="14" spans="1:21" s="7" customFormat="1" ht="30" customHeight="1" x14ac:dyDescent="0.35">
      <c r="E14" s="13"/>
      <c r="F14" s="11"/>
      <c r="I14" s="13"/>
      <c r="J14" s="13" t="s">
        <v>4</v>
      </c>
      <c r="K14" s="10">
        <f>SUMPRODUCT(E3:E10,G3:G10)</f>
        <v>1.6731778425655975E-2</v>
      </c>
      <c r="L14" s="13"/>
      <c r="Q14" s="13" t="s">
        <v>4</v>
      </c>
      <c r="R14" s="10">
        <f>SUMPRODUCT(L3:L10,N3:N10)</f>
        <v>-4.8365784297139131E-3</v>
      </c>
      <c r="T14" s="13" t="s">
        <v>4</v>
      </c>
      <c r="U14" s="20">
        <f>SUMPRODUCT(U3:U10,E3:E10)</f>
        <v>1.1814275437317839E-2</v>
      </c>
    </row>
    <row r="15" spans="1:21" ht="18" x14ac:dyDescent="0.35">
      <c r="B15" s="7"/>
    </row>
    <row r="16" spans="1:21" ht="18" x14ac:dyDescent="0.35">
      <c r="B16" s="7"/>
    </row>
    <row r="17" spans="2:2" ht="18" x14ac:dyDescent="0.35">
      <c r="B17" s="7"/>
    </row>
    <row r="18" spans="2:2" ht="18" x14ac:dyDescent="0.35">
      <c r="B18" s="7"/>
    </row>
    <row r="19" spans="2:2" ht="18" x14ac:dyDescent="0.35">
      <c r="B19" s="7"/>
    </row>
    <row r="20" spans="2:2" ht="18" x14ac:dyDescent="0.35">
      <c r="B20" s="7"/>
    </row>
    <row r="21" spans="2:2" ht="18" x14ac:dyDescent="0.35">
      <c r="B21" s="7"/>
    </row>
    <row r="22" spans="2:2" ht="18" x14ac:dyDescent="0.35">
      <c r="B22" s="7"/>
    </row>
    <row r="23" spans="2:2" ht="18" x14ac:dyDescent="0.35">
      <c r="B23" s="7"/>
    </row>
    <row r="24" spans="2:2" ht="18" x14ac:dyDescent="0.35">
      <c r="B24" s="7"/>
    </row>
    <row r="25" spans="2:2" ht="18" x14ac:dyDescent="0.35">
      <c r="B25" s="7"/>
    </row>
    <row r="26" spans="2:2" ht="18" x14ac:dyDescent="0.35">
      <c r="B26" s="7"/>
    </row>
    <row r="27" spans="2:2" ht="18" x14ac:dyDescent="0.35">
      <c r="B27" s="7"/>
    </row>
    <row r="28" spans="2:2" ht="18" x14ac:dyDescent="0.35">
      <c r="B28" s="7"/>
    </row>
    <row r="29" spans="2:2" ht="18" x14ac:dyDescent="0.35">
      <c r="B29" s="7"/>
    </row>
    <row r="30" spans="2:2" ht="18" x14ac:dyDescent="0.35">
      <c r="B3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E347-589D-4141-BCDC-715DDBFD9E85}">
  <sheetPr codeName="Sheet2"/>
  <dimension ref="A1:F7"/>
  <sheetViews>
    <sheetView showGridLines="0" workbookViewId="0">
      <selection activeCell="F4" sqref="F4"/>
    </sheetView>
  </sheetViews>
  <sheetFormatPr defaultColWidth="14.109375" defaultRowHeight="34.950000000000003" customHeight="1" x14ac:dyDescent="0.3"/>
  <cols>
    <col min="1" max="1" width="14.109375" style="6"/>
    <col min="2" max="4" width="14.109375" style="21"/>
  </cols>
  <sheetData>
    <row r="1" spans="1:6" ht="34.950000000000003" customHeight="1" x14ac:dyDescent="0.3">
      <c r="B1" s="24">
        <v>0.5</v>
      </c>
      <c r="C1" s="24">
        <v>0.4</v>
      </c>
      <c r="D1" s="24">
        <v>0.1</v>
      </c>
    </row>
    <row r="2" spans="1:6" ht="34.950000000000003" customHeight="1" thickBot="1" x14ac:dyDescent="0.35">
      <c r="B2" s="23" t="s">
        <v>14</v>
      </c>
      <c r="C2" s="23" t="s">
        <v>15</v>
      </c>
      <c r="D2" s="23" t="s">
        <v>16</v>
      </c>
      <c r="F2" s="23" t="s">
        <v>18</v>
      </c>
    </row>
    <row r="3" spans="1:6" ht="34.950000000000003" customHeight="1" thickTop="1" x14ac:dyDescent="0.3">
      <c r="A3" s="21">
        <v>1</v>
      </c>
      <c r="B3" s="22">
        <v>-4.99E-2</v>
      </c>
      <c r="C3" s="22">
        <v>-2.9399999999999999E-2</v>
      </c>
      <c r="D3" s="22">
        <v>-5.6899999999999999E-2</v>
      </c>
      <c r="F3" s="22">
        <f>SUMPRODUCT(B3:D3,$B$1:$D$1)</f>
        <v>-4.24E-2</v>
      </c>
    </row>
    <row r="4" spans="1:6" ht="34.950000000000003" customHeight="1" x14ac:dyDescent="0.3">
      <c r="A4" s="21">
        <v>2</v>
      </c>
      <c r="B4" s="22">
        <v>9.69E-2</v>
      </c>
      <c r="C4" s="22">
        <v>-5.8900000000000001E-2</v>
      </c>
      <c r="D4" s="22">
        <v>-6.9099999999999995E-2</v>
      </c>
      <c r="F4" s="22">
        <f t="shared" ref="F4:F7" si="0">SUMPRODUCT(B4:D4,$B$1:$D$1)</f>
        <v>1.7979999999999999E-2</v>
      </c>
    </row>
    <row r="5" spans="1:6" ht="34.950000000000003" customHeight="1" x14ac:dyDescent="0.3">
      <c r="A5" s="21">
        <v>3</v>
      </c>
      <c r="B5" s="22">
        <v>2.0000000000000001E-4</v>
      </c>
      <c r="C5" s="22">
        <v>4.6300000000000001E-2</v>
      </c>
      <c r="D5" s="22">
        <v>9.0399999999999994E-2</v>
      </c>
      <c r="F5" s="22">
        <f t="shared" si="0"/>
        <v>2.7660000000000001E-2</v>
      </c>
    </row>
    <row r="6" spans="1:6" ht="34.950000000000003" customHeight="1" x14ac:dyDescent="0.3">
      <c r="A6" s="21">
        <v>4</v>
      </c>
      <c r="B6" s="22">
        <v>-3.8600000000000002E-2</v>
      </c>
      <c r="C6" s="22">
        <v>-4.7800000000000002E-2</v>
      </c>
      <c r="D6" s="22">
        <v>6.4899999999999999E-2</v>
      </c>
      <c r="F6" s="22">
        <f t="shared" si="0"/>
        <v>-3.193E-2</v>
      </c>
    </row>
    <row r="7" spans="1:6" ht="34.950000000000003" customHeight="1" x14ac:dyDescent="0.3">
      <c r="A7" s="21">
        <v>5</v>
      </c>
      <c r="B7" s="22">
        <v>-6.7999999999999996E-3</v>
      </c>
      <c r="C7" s="22">
        <v>-1.9199999999999998E-2</v>
      </c>
      <c r="D7" s="22">
        <v>8.1299999999999997E-2</v>
      </c>
      <c r="F7" s="22">
        <f t="shared" si="0"/>
        <v>-2.9499999999999995E-3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3316-A352-4278-ABB7-8FAC2175C636}">
  <sheetPr codeName="Sheet3"/>
  <dimension ref="A1:V12"/>
  <sheetViews>
    <sheetView showGridLines="0" workbookViewId="0">
      <selection activeCell="I9" sqref="I9"/>
    </sheetView>
  </sheetViews>
  <sheetFormatPr defaultRowHeight="14.4" x14ac:dyDescent="0.3"/>
  <cols>
    <col min="2" max="4" width="5.77734375" style="6" bestFit="1" customWidth="1"/>
    <col min="5" max="5" width="15.77734375" customWidth="1"/>
    <col min="6" max="6" width="10.33203125" bestFit="1" customWidth="1"/>
    <col min="7" max="8" width="7.88671875" bestFit="1" customWidth="1"/>
    <col min="9" max="9" width="12.33203125" style="5" bestFit="1" customWidth="1"/>
    <col min="10" max="10" width="15.77734375" style="5" customWidth="1"/>
    <col min="11" max="11" width="8.6640625" style="5" customWidth="1"/>
    <col min="12" max="12" width="1.88671875" style="5" customWidth="1"/>
    <col min="13" max="15" width="6.5546875" bestFit="1" customWidth="1"/>
    <col min="16" max="16" width="4.6640625" customWidth="1"/>
    <col min="17" max="17" width="15.77734375" customWidth="1"/>
  </cols>
  <sheetData>
    <row r="1" spans="1:22" ht="34.950000000000003" customHeight="1" thickBot="1" x14ac:dyDescent="0.35">
      <c r="A1" s="6"/>
      <c r="B1" s="24">
        <v>0.5</v>
      </c>
      <c r="C1" s="24">
        <v>0.4</v>
      </c>
      <c r="D1" s="24">
        <v>0.1</v>
      </c>
      <c r="E1" s="27">
        <f>SUM(B1:D1)</f>
        <v>1</v>
      </c>
      <c r="F1" s="28">
        <f>$I$1*B1/B3</f>
        <v>14285.714285714286</v>
      </c>
      <c r="G1" s="28">
        <f>$I$1*C1/C3</f>
        <v>8888.8888888888887</v>
      </c>
      <c r="H1" s="28">
        <f>$I$1*D1/D3</f>
        <v>1428.5714285714287</v>
      </c>
      <c r="I1" s="31">
        <v>100000</v>
      </c>
      <c r="S1" s="75" t="s">
        <v>20</v>
      </c>
      <c r="T1" s="75"/>
      <c r="U1" s="75"/>
    </row>
    <row r="2" spans="1:22" ht="34.950000000000003" customHeight="1" thickBot="1" x14ac:dyDescent="0.35">
      <c r="A2" s="6"/>
      <c r="B2" s="25" t="s">
        <v>14</v>
      </c>
      <c r="C2" s="25" t="s">
        <v>15</v>
      </c>
      <c r="D2" s="25" t="s">
        <v>16</v>
      </c>
      <c r="F2" s="25" t="s">
        <v>14</v>
      </c>
      <c r="G2" s="25" t="s">
        <v>15</v>
      </c>
      <c r="H2" s="25" t="s">
        <v>16</v>
      </c>
      <c r="I2" s="27" t="s">
        <v>19</v>
      </c>
      <c r="J2" s="26"/>
      <c r="K2" s="26"/>
      <c r="L2" s="26"/>
      <c r="S2" s="25" t="s">
        <v>14</v>
      </c>
      <c r="T2" s="25" t="s">
        <v>15</v>
      </c>
      <c r="U2" s="25" t="s">
        <v>16</v>
      </c>
    </row>
    <row r="3" spans="1:22" s="21" customFormat="1" ht="34.950000000000003" customHeight="1" thickBot="1" x14ac:dyDescent="0.35">
      <c r="A3" s="21">
        <v>1</v>
      </c>
      <c r="B3" s="66">
        <v>3.5</v>
      </c>
      <c r="C3" s="67">
        <v>4.5</v>
      </c>
      <c r="D3" s="68">
        <v>7</v>
      </c>
      <c r="F3" s="57">
        <f>F$1*B3</f>
        <v>50000</v>
      </c>
      <c r="G3" s="58">
        <f t="shared" ref="G3:H3" si="0">G$1*C3</f>
        <v>40000</v>
      </c>
      <c r="H3" s="59">
        <f t="shared" si="0"/>
        <v>10000</v>
      </c>
      <c r="I3" s="32">
        <f>SUM(F3:H3)</f>
        <v>100000</v>
      </c>
      <c r="J3" s="35" t="s">
        <v>4</v>
      </c>
      <c r="K3" s="29"/>
      <c r="L3" s="29"/>
      <c r="M3" s="40" t="s">
        <v>14</v>
      </c>
      <c r="N3" s="41" t="s">
        <v>15</v>
      </c>
      <c r="O3" s="42" t="s">
        <v>16</v>
      </c>
      <c r="Q3" s="25" t="s">
        <v>18</v>
      </c>
      <c r="S3" s="48">
        <f>F3/$I3</f>
        <v>0.5</v>
      </c>
      <c r="T3" s="49">
        <f t="shared" ref="T3:U3" si="1">G3/$I3</f>
        <v>0.4</v>
      </c>
      <c r="U3" s="50">
        <f t="shared" si="1"/>
        <v>0.1</v>
      </c>
      <c r="V3" s="35"/>
    </row>
    <row r="4" spans="1:22" s="21" customFormat="1" ht="34.950000000000003" customHeight="1" thickTop="1" x14ac:dyDescent="0.3">
      <c r="A4" s="21">
        <v>2</v>
      </c>
      <c r="B4" s="69">
        <v>3.3253499999999998</v>
      </c>
      <c r="C4" s="70">
        <v>4.3677000000000001</v>
      </c>
      <c r="D4" s="71">
        <v>6.6017000000000001</v>
      </c>
      <c r="F4" s="60">
        <f t="shared" ref="F4:F8" si="2">F$1*B4</f>
        <v>47505</v>
      </c>
      <c r="G4" s="61">
        <f t="shared" ref="G4:G8" si="3">G$1*C4</f>
        <v>38824</v>
      </c>
      <c r="H4" s="62">
        <f t="shared" ref="H4:H8" si="4">H$1*D4</f>
        <v>9431</v>
      </c>
      <c r="I4" s="33">
        <f t="shared" ref="I4:I8" si="5">SUM(F4:H4)</f>
        <v>95760</v>
      </c>
      <c r="J4" s="36">
        <f>I4/I3-1</f>
        <v>-4.2399999999999993E-2</v>
      </c>
      <c r="K4" s="29"/>
      <c r="L4" s="29"/>
      <c r="M4" s="43">
        <f>B4/B3-1</f>
        <v>-4.9900000000000055E-2</v>
      </c>
      <c r="N4" s="44">
        <f t="shared" ref="N4:O4" si="6">C4/C3-1</f>
        <v>-2.9399999999999982E-2</v>
      </c>
      <c r="O4" s="45">
        <f t="shared" si="6"/>
        <v>-5.6899999999999951E-2</v>
      </c>
      <c r="Q4" s="37">
        <f>SUMPRODUCT(M4:O4,$B$1:$D$1)</f>
        <v>-4.2400000000000014E-2</v>
      </c>
      <c r="S4" s="51">
        <f t="shared" ref="S4:S8" si="7">F4/$I4</f>
        <v>0.49608395989974935</v>
      </c>
      <c r="T4" s="52">
        <f t="shared" ref="T4:T8" si="8">G4/$I4</f>
        <v>0.40543024227234753</v>
      </c>
      <c r="U4" s="53">
        <f t="shared" ref="U4:U8" si="9">H4/$I4</f>
        <v>9.8485797827903093E-2</v>
      </c>
      <c r="V4" s="36">
        <f>SUMPRODUCT(S3:U3,M4:O4)</f>
        <v>-4.2400000000000014E-2</v>
      </c>
    </row>
    <row r="5" spans="1:22" s="21" customFormat="1" ht="34.950000000000003" customHeight="1" x14ac:dyDescent="0.3">
      <c r="A5" s="21">
        <v>3</v>
      </c>
      <c r="B5" s="69">
        <v>3.6475764149999996</v>
      </c>
      <c r="C5" s="70">
        <v>4.1104424700000006</v>
      </c>
      <c r="D5" s="71">
        <v>6.1455225300000009</v>
      </c>
      <c r="F5" s="60">
        <f t="shared" si="2"/>
        <v>52108.234499999999</v>
      </c>
      <c r="G5" s="61">
        <f t="shared" si="3"/>
        <v>36537.266400000008</v>
      </c>
      <c r="H5" s="62">
        <f t="shared" si="4"/>
        <v>8779.3179000000018</v>
      </c>
      <c r="I5" s="33">
        <f t="shared" si="5"/>
        <v>97424.818800000008</v>
      </c>
      <c r="J5" s="36">
        <f t="shared" ref="J5:J8" si="10">I5/I4-1</f>
        <v>1.7385325814536445E-2</v>
      </c>
      <c r="K5" s="29"/>
      <c r="L5" s="29"/>
      <c r="M5" s="43">
        <f t="shared" ref="M5:M8" si="11">B5/B4-1</f>
        <v>9.6899999999999986E-2</v>
      </c>
      <c r="N5" s="44">
        <f t="shared" ref="N5:N8" si="12">C5/C4-1</f>
        <v>-5.8899999999999841E-2</v>
      </c>
      <c r="O5" s="45">
        <f t="shared" ref="O5:O8" si="13">D5/D4-1</f>
        <v>-6.9099999999999828E-2</v>
      </c>
      <c r="Q5" s="38">
        <f>SUMPRODUCT(M5:O5,$B$1:$D$1)</f>
        <v>1.7980000000000072E-2</v>
      </c>
      <c r="S5" s="51">
        <f t="shared" si="7"/>
        <v>0.53485585235699706</v>
      </c>
      <c r="T5" s="52">
        <f t="shared" si="8"/>
        <v>0.37503037573009068</v>
      </c>
      <c r="U5" s="53">
        <f t="shared" si="9"/>
        <v>9.0113771912912213E-2</v>
      </c>
      <c r="V5" s="36">
        <f t="shared" ref="V5:V8" si="14">SUMPRODUCT(S4:U4,M5:O5)</f>
        <v>1.7385325814536414E-2</v>
      </c>
    </row>
    <row r="6" spans="1:22" s="21" customFormat="1" ht="34.950000000000003" customHeight="1" x14ac:dyDescent="0.3">
      <c r="A6" s="21">
        <v>4</v>
      </c>
      <c r="B6" s="69">
        <v>3.6483059302829997</v>
      </c>
      <c r="C6" s="70">
        <v>4.3007559563610007</v>
      </c>
      <c r="D6" s="71">
        <v>6.7010777667120012</v>
      </c>
      <c r="F6" s="60">
        <f t="shared" si="2"/>
        <v>52118.656146899993</v>
      </c>
      <c r="G6" s="61">
        <f t="shared" si="3"/>
        <v>38228.941834320009</v>
      </c>
      <c r="H6" s="62">
        <f t="shared" si="4"/>
        <v>9572.9682381600014</v>
      </c>
      <c r="I6" s="33">
        <f t="shared" si="5"/>
        <v>99920.566219379994</v>
      </c>
      <c r="J6" s="36">
        <f t="shared" si="10"/>
        <v>2.5617162547701744E-2</v>
      </c>
      <c r="K6" s="29"/>
      <c r="L6" s="29"/>
      <c r="M6" s="43">
        <f t="shared" si="11"/>
        <v>1.9999999999997797E-4</v>
      </c>
      <c r="N6" s="44">
        <f t="shared" si="12"/>
        <v>4.6300000000000008E-2</v>
      </c>
      <c r="O6" s="45">
        <f t="shared" si="13"/>
        <v>9.0400000000000036E-2</v>
      </c>
      <c r="Q6" s="38">
        <f>SUMPRODUCT(M6:O6,$B$1:$D$1)</f>
        <v>2.7659999999999997E-2</v>
      </c>
      <c r="S6" s="51">
        <f t="shared" si="7"/>
        <v>0.52160088877470123</v>
      </c>
      <c r="T6" s="52">
        <f t="shared" si="8"/>
        <v>0.38259332668698742</v>
      </c>
      <c r="U6" s="53">
        <f t="shared" si="9"/>
        <v>9.5805784538311456E-2</v>
      </c>
      <c r="V6" s="36">
        <f t="shared" si="14"/>
        <v>2.5617162547701855E-2</v>
      </c>
    </row>
    <row r="7" spans="1:22" s="21" customFormat="1" ht="34.950000000000003" customHeight="1" x14ac:dyDescent="0.3">
      <c r="A7" s="21">
        <v>5</v>
      </c>
      <c r="B7" s="69">
        <v>3.5074813213740761</v>
      </c>
      <c r="C7" s="70">
        <v>4.0951798216469451</v>
      </c>
      <c r="D7" s="71">
        <v>7.1359777137716094</v>
      </c>
      <c r="F7" s="60">
        <f t="shared" si="2"/>
        <v>50106.876019629657</v>
      </c>
      <c r="G7" s="61">
        <f t="shared" si="3"/>
        <v>36401.598414639513</v>
      </c>
      <c r="H7" s="62">
        <f t="shared" si="4"/>
        <v>10194.253876816585</v>
      </c>
      <c r="I7" s="33">
        <f t="shared" si="5"/>
        <v>96702.728311085753</v>
      </c>
      <c r="J7" s="36">
        <f t="shared" si="10"/>
        <v>-3.2203959905804935E-2</v>
      </c>
      <c r="K7" s="29"/>
      <c r="L7" s="29"/>
      <c r="M7" s="43">
        <f t="shared" si="11"/>
        <v>-3.8599999999999968E-2</v>
      </c>
      <c r="N7" s="44">
        <f t="shared" si="12"/>
        <v>-4.7799999999999954E-2</v>
      </c>
      <c r="O7" s="45">
        <f t="shared" si="13"/>
        <v>6.4899999999999958E-2</v>
      </c>
      <c r="Q7" s="38">
        <f>SUMPRODUCT(M7:O7,$B$1:$D$1)</f>
        <v>-3.1929999999999972E-2</v>
      </c>
      <c r="S7" s="51">
        <f t="shared" si="7"/>
        <v>0.51815369529636668</v>
      </c>
      <c r="T7" s="52">
        <f t="shared" si="8"/>
        <v>0.37642783249649564</v>
      </c>
      <c r="U7" s="53">
        <f t="shared" si="9"/>
        <v>0.10541847220713774</v>
      </c>
      <c r="V7" s="36">
        <f t="shared" si="14"/>
        <v>-3.2203959905805025E-2</v>
      </c>
    </row>
    <row r="8" spans="1:22" s="21" customFormat="1" ht="34.950000000000003" customHeight="1" thickBot="1" x14ac:dyDescent="0.35">
      <c r="A8" s="21">
        <v>6</v>
      </c>
      <c r="B8" s="72">
        <v>3.4836304483887321</v>
      </c>
      <c r="C8" s="73">
        <v>4.0165523690713236</v>
      </c>
      <c r="D8" s="74">
        <v>7.7161327019012411</v>
      </c>
      <c r="F8" s="63">
        <f t="shared" si="2"/>
        <v>49766.149262696177</v>
      </c>
      <c r="G8" s="64">
        <f t="shared" si="3"/>
        <v>35702.687725078431</v>
      </c>
      <c r="H8" s="65">
        <f t="shared" si="4"/>
        <v>11023.046717001775</v>
      </c>
      <c r="I8" s="34">
        <f t="shared" si="5"/>
        <v>96491.883704776395</v>
      </c>
      <c r="J8" s="36">
        <f t="shared" si="10"/>
        <v>-2.1803377215076081E-3</v>
      </c>
      <c r="K8" s="29"/>
      <c r="L8" s="29"/>
      <c r="M8" s="43">
        <f t="shared" si="11"/>
        <v>-6.8000000000000282E-3</v>
      </c>
      <c r="N8" s="44">
        <f t="shared" si="12"/>
        <v>-1.9199999999999995E-2</v>
      </c>
      <c r="O8" s="45">
        <f t="shared" si="13"/>
        <v>8.1299999999999928E-2</v>
      </c>
      <c r="Q8" s="39">
        <f>SUMPRODUCT(M8:O8,$B$1:$D$1)</f>
        <v>-2.9500000000000203E-3</v>
      </c>
      <c r="S8" s="54">
        <f t="shared" si="7"/>
        <v>0.51575476974788015</v>
      </c>
      <c r="T8" s="55">
        <f t="shared" si="8"/>
        <v>0.37000715867785605</v>
      </c>
      <c r="U8" s="56">
        <f t="shared" si="9"/>
        <v>0.11423807157426369</v>
      </c>
      <c r="V8" s="36">
        <f t="shared" si="14"/>
        <v>-2.1803377215077312E-3</v>
      </c>
    </row>
    <row r="9" spans="1:22" ht="34.950000000000003" customHeight="1" thickBot="1" x14ac:dyDescent="0.35">
      <c r="J9" s="30">
        <f t="array" ref="J9">PRODUCT(J4:J8+1)-1</f>
        <v>-3.5081162952235956E-2</v>
      </c>
      <c r="M9" s="30">
        <f t="array" ref="M9">PRODUCT(M4:M8+1)-1</f>
        <v>-4.6770147460766243E-3</v>
      </c>
      <c r="N9" s="30">
        <f t="array" ref="N9">PRODUCT(N4:N8+1)-1</f>
        <v>-0.10743280687303902</v>
      </c>
      <c r="O9" s="30">
        <f t="array" ref="O9">PRODUCT(O4:O8+1)-1</f>
        <v>0.10230467170017743</v>
      </c>
      <c r="Q9" s="30">
        <f t="array" ref="Q9">PRODUCT(Q4:Q8+1)-1</f>
        <v>-3.3066659500418205E-2</v>
      </c>
      <c r="V9" s="30">
        <f t="array" ref="V9">PRODUCT(V4:V8+1)-1</f>
        <v>-3.5081162952235956E-2</v>
      </c>
    </row>
    <row r="10" spans="1:22" ht="34.950000000000003" customHeight="1" thickBot="1" x14ac:dyDescent="0.35">
      <c r="J10" s="47">
        <f>I8/I3-1</f>
        <v>-3.5081162952236067E-2</v>
      </c>
    </row>
    <row r="11" spans="1:22" ht="34.950000000000003" customHeight="1" thickBot="1" x14ac:dyDescent="0.35">
      <c r="J11" s="46">
        <f>SUMPRODUCT(M9:O9,B1:D1)</f>
        <v>-3.5081162952236178E-2</v>
      </c>
    </row>
    <row r="12" spans="1:22" ht="34.950000000000003" customHeight="1" x14ac:dyDescent="0.3"/>
  </sheetData>
  <mergeCells count="1"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Exemplo_2</vt:lpstr>
      <vt:lpstr>Exemplo_3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2020-06-26T08:44:21Z</dcterms:created>
  <dcterms:modified xsi:type="dcterms:W3CDTF">2020-07-03T09:37:24Z</dcterms:modified>
</cp:coreProperties>
</file>