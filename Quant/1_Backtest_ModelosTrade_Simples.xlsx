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Quantamental Dropbox\Rafael Lavrado\Quant_Expert\Quant_Expert\"/>
    </mc:Choice>
  </mc:AlternateContent>
  <xr:revisionPtr revIDLastSave="0" documentId="13_ncr:1_{F019B30A-D737-4F39-A19E-AB3A92AD87BC}" xr6:coauthVersionLast="45" xr6:coauthVersionMax="45" xr10:uidLastSave="{00000000-0000-0000-0000-000000000000}"/>
  <bookViews>
    <workbookView xWindow="-108" yWindow="-108" windowWidth="23256" windowHeight="13176" xr2:uid="{0303FDE9-E1CA-44DF-A1E1-B5636926DCC2}"/>
  </bookViews>
  <sheets>
    <sheet name="Simples" sheetId="7" r:id="rId1"/>
    <sheet name="COM_CDI" sheetId="9" r:id="rId2"/>
    <sheet name="COM_Intraday" sheetId="13" r:id="rId3"/>
    <sheet name="COM_Custo" sheetId="11" r:id="rId4"/>
    <sheet name="Com_Peso" sheetId="10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6" i="13" l="1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J2" i="13"/>
  <c r="N2" i="13" s="1"/>
  <c r="W2" i="11" a="1"/>
  <c r="V2" i="11" a="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J2" i="11"/>
  <c r="S3" i="10"/>
  <c r="S2" i="10"/>
  <c r="R3" i="10"/>
  <c r="R2" i="10"/>
  <c r="M2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J2" i="10"/>
  <c r="K3" i="10" s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3" i="9"/>
  <c r="N5" i="7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4" i="9"/>
  <c r="D3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M2" i="9"/>
  <c r="K3" i="9" s="1"/>
  <c r="J2" i="9"/>
  <c r="U2" i="9" s="1"/>
  <c r="O4" i="7"/>
  <c r="O3" i="7"/>
  <c r="O2" i="7"/>
  <c r="C26" i="7"/>
  <c r="N26" i="7" s="1"/>
  <c r="C25" i="7"/>
  <c r="N25" i="7" s="1"/>
  <c r="C24" i="7"/>
  <c r="N24" i="7" s="1"/>
  <c r="C23" i="7"/>
  <c r="N23" i="7" s="1"/>
  <c r="C22" i="7"/>
  <c r="N22" i="7" s="1"/>
  <c r="C21" i="7"/>
  <c r="N21" i="7" s="1"/>
  <c r="N20" i="7"/>
  <c r="C20" i="7"/>
  <c r="C19" i="7"/>
  <c r="N19" i="7" s="1"/>
  <c r="C18" i="7"/>
  <c r="N18" i="7" s="1"/>
  <c r="C17" i="7"/>
  <c r="N17" i="7" s="1"/>
  <c r="C16" i="7"/>
  <c r="N16" i="7" s="1"/>
  <c r="C15" i="7"/>
  <c r="N15" i="7" s="1"/>
  <c r="C14" i="7"/>
  <c r="N14" i="7" s="1"/>
  <c r="C13" i="7"/>
  <c r="N13" i="7" s="1"/>
  <c r="N12" i="7"/>
  <c r="C12" i="7"/>
  <c r="C11" i="7"/>
  <c r="N11" i="7" s="1"/>
  <c r="C10" i="7"/>
  <c r="N10" i="7" s="1"/>
  <c r="C9" i="7"/>
  <c r="N9" i="7" s="1"/>
  <c r="C8" i="7"/>
  <c r="N8" i="7" s="1"/>
  <c r="C7" i="7"/>
  <c r="N7" i="7" s="1"/>
  <c r="C6" i="7"/>
  <c r="N6" i="7" s="1"/>
  <c r="C5" i="7"/>
  <c r="O5" i="7" s="1"/>
  <c r="O6" i="7" s="1"/>
  <c r="O7" i="7" s="1"/>
  <c r="O8" i="7" s="1"/>
  <c r="O9" i="7" s="1"/>
  <c r="O10" i="7" s="1"/>
  <c r="O11" i="7" s="1"/>
  <c r="O12" i="7" s="1"/>
  <c r="O13" i="7" s="1"/>
  <c r="O14" i="7" s="1"/>
  <c r="O15" i="7" s="1"/>
  <c r="O16" i="7" s="1"/>
  <c r="O17" i="7" s="1"/>
  <c r="O18" i="7" s="1"/>
  <c r="O19" i="7" s="1"/>
  <c r="O20" i="7" s="1"/>
  <c r="O21" i="7" s="1"/>
  <c r="O22" i="7" s="1"/>
  <c r="O23" i="7" s="1"/>
  <c r="O24" i="7" s="1"/>
  <c r="O25" i="7" s="1"/>
  <c r="O26" i="7" s="1"/>
  <c r="N4" i="7"/>
  <c r="C4" i="7"/>
  <c r="C3" i="7"/>
  <c r="N3" i="7" s="1"/>
  <c r="I2" i="7"/>
  <c r="K2" i="7" s="1"/>
  <c r="J3" i="7" s="1"/>
  <c r="I3" i="7" s="1"/>
  <c r="L3" i="13" l="1"/>
  <c r="Q2" i="13"/>
  <c r="R2" i="13" s="1"/>
  <c r="P2" i="11"/>
  <c r="N3" i="11" s="1"/>
  <c r="P2" i="10"/>
  <c r="Q2" i="10" s="1"/>
  <c r="U3" i="9"/>
  <c r="W1" i="9" a="1"/>
  <c r="W1" i="9" s="1"/>
  <c r="P2" i="9"/>
  <c r="Q2" i="9" s="1"/>
  <c r="U4" i="9"/>
  <c r="U5" i="9" s="1"/>
  <c r="U6" i="9" s="1"/>
  <c r="U7" i="9" s="1"/>
  <c r="U8" i="9" s="1"/>
  <c r="U9" i="9" s="1"/>
  <c r="U10" i="9" s="1"/>
  <c r="U11" i="9" s="1"/>
  <c r="U12" i="9" s="1"/>
  <c r="U13" i="9" s="1"/>
  <c r="U14" i="9" s="1"/>
  <c r="U15" i="9" s="1"/>
  <c r="U16" i="9" s="1"/>
  <c r="U17" i="9" s="1"/>
  <c r="U18" i="9" s="1"/>
  <c r="U19" i="9" s="1"/>
  <c r="U20" i="9" s="1"/>
  <c r="U21" i="9" s="1"/>
  <c r="U22" i="9" s="1"/>
  <c r="U23" i="9" s="1"/>
  <c r="U24" i="9" s="1"/>
  <c r="U25" i="9" s="1"/>
  <c r="U26" i="9" s="1"/>
  <c r="Q1" i="7" a="1"/>
  <c r="Q1" i="7" s="1"/>
  <c r="K3" i="7"/>
  <c r="J4" i="7" s="1"/>
  <c r="I4" i="7" s="1"/>
  <c r="M3" i="7"/>
  <c r="M3" i="13" l="1"/>
  <c r="J3" i="13" s="1"/>
  <c r="K3" i="11"/>
  <c r="S2" i="11"/>
  <c r="T2" i="11" s="1"/>
  <c r="L3" i="11" s="1"/>
  <c r="L3" i="10"/>
  <c r="J3" i="10" s="1"/>
  <c r="M3" i="10" s="1"/>
  <c r="L3" i="9"/>
  <c r="J3" i="9" s="1"/>
  <c r="M4" i="7"/>
  <c r="K4" i="7"/>
  <c r="J5" i="7" s="1"/>
  <c r="I5" i="7" s="1"/>
  <c r="T3" i="13" l="1"/>
  <c r="N3" i="13"/>
  <c r="J3" i="11"/>
  <c r="M3" i="9"/>
  <c r="S3" i="9"/>
  <c r="K5" i="7"/>
  <c r="J6" i="7" s="1"/>
  <c r="I6" i="7" s="1"/>
  <c r="M5" i="7"/>
  <c r="L4" i="13" l="1"/>
  <c r="Q3" i="13"/>
  <c r="R3" i="13" s="1"/>
  <c r="P3" i="11"/>
  <c r="N4" i="11" s="1"/>
  <c r="V3" i="11"/>
  <c r="K4" i="10"/>
  <c r="P3" i="10"/>
  <c r="Q3" i="10" s="1"/>
  <c r="P3" i="9"/>
  <c r="Q3" i="9" s="1"/>
  <c r="L4" i="9" s="1"/>
  <c r="K4" i="9"/>
  <c r="M6" i="7"/>
  <c r="K6" i="7"/>
  <c r="J7" i="7" s="1"/>
  <c r="I7" i="7" s="1"/>
  <c r="M4" i="13" l="1"/>
  <c r="J4" i="13" s="1"/>
  <c r="L4" i="10"/>
  <c r="J4" i="10" s="1"/>
  <c r="M4" i="10" s="1"/>
  <c r="R4" i="10" s="1"/>
  <c r="J4" i="9"/>
  <c r="K7" i="7"/>
  <c r="J8" i="7" s="1"/>
  <c r="I8" i="7" s="1"/>
  <c r="M7" i="7"/>
  <c r="T4" i="13" l="1"/>
  <c r="N4" i="13"/>
  <c r="M4" i="9"/>
  <c r="S4" i="9"/>
  <c r="K8" i="7"/>
  <c r="J9" i="7" s="1"/>
  <c r="M8" i="7"/>
  <c r="I9" i="7"/>
  <c r="L5" i="13" l="1"/>
  <c r="Q4" i="13"/>
  <c r="R4" i="13" s="1"/>
  <c r="K5" i="10"/>
  <c r="P4" i="10"/>
  <c r="Q4" i="10" s="1"/>
  <c r="S4" i="10" s="1"/>
  <c r="K5" i="9"/>
  <c r="P4" i="9"/>
  <c r="Q4" i="9" s="1"/>
  <c r="L5" i="9" s="1"/>
  <c r="K9" i="7"/>
  <c r="J10" i="7" s="1"/>
  <c r="I10" i="7" s="1"/>
  <c r="M9" i="7"/>
  <c r="M5" i="13" l="1"/>
  <c r="J5" i="13" s="1"/>
  <c r="L5" i="10"/>
  <c r="J5" i="10" s="1"/>
  <c r="M5" i="10" s="1"/>
  <c r="R5" i="10" s="1"/>
  <c r="J5" i="9"/>
  <c r="M10" i="7"/>
  <c r="K10" i="7"/>
  <c r="J11" i="7" s="1"/>
  <c r="I11" i="7" s="1"/>
  <c r="N5" i="13" l="1"/>
  <c r="T5" i="13"/>
  <c r="M5" i="9"/>
  <c r="S5" i="9"/>
  <c r="K11" i="7"/>
  <c r="J12" i="7" s="1"/>
  <c r="I12" i="7" s="1"/>
  <c r="M11" i="7"/>
  <c r="Q5" i="13" l="1"/>
  <c r="R5" i="13" s="1"/>
  <c r="L6" i="13"/>
  <c r="K6" i="10"/>
  <c r="P5" i="10"/>
  <c r="Q5" i="10" s="1"/>
  <c r="S5" i="10" s="1"/>
  <c r="P5" i="9"/>
  <c r="Q5" i="9" s="1"/>
  <c r="L6" i="9" s="1"/>
  <c r="K6" i="9"/>
  <c r="K12" i="7"/>
  <c r="J13" i="7" s="1"/>
  <c r="M12" i="7"/>
  <c r="I13" i="7"/>
  <c r="M6" i="13" l="1"/>
  <c r="J6" i="13" s="1"/>
  <c r="L6" i="10"/>
  <c r="J6" i="10" s="1"/>
  <c r="M6" i="10" s="1"/>
  <c r="R6" i="10" s="1"/>
  <c r="J6" i="9"/>
  <c r="M6" i="9" s="1"/>
  <c r="K13" i="7"/>
  <c r="J14" i="7" s="1"/>
  <c r="I14" i="7" s="1"/>
  <c r="M13" i="7"/>
  <c r="S6" i="9" l="1"/>
  <c r="N6" i="13"/>
  <c r="T6" i="13"/>
  <c r="P6" i="9"/>
  <c r="Q6" i="9" s="1"/>
  <c r="K7" i="9"/>
  <c r="K14" i="7"/>
  <c r="J15" i="7" s="1"/>
  <c r="M14" i="7"/>
  <c r="I15" i="7"/>
  <c r="L7" i="13" l="1"/>
  <c r="Q6" i="13"/>
  <c r="R6" i="13" s="1"/>
  <c r="K7" i="10"/>
  <c r="P6" i="10"/>
  <c r="Q6" i="10" s="1"/>
  <c r="S6" i="10" s="1"/>
  <c r="L7" i="9"/>
  <c r="J7" i="9" s="1"/>
  <c r="K15" i="7"/>
  <c r="J16" i="7" s="1"/>
  <c r="I16" i="7" s="1"/>
  <c r="M15" i="7"/>
  <c r="M7" i="13" l="1"/>
  <c r="J7" i="13" s="1"/>
  <c r="L7" i="10"/>
  <c r="J7" i="10" s="1"/>
  <c r="M7" i="10" s="1"/>
  <c r="R7" i="10" s="1"/>
  <c r="M7" i="9"/>
  <c r="S7" i="9"/>
  <c r="M16" i="7"/>
  <c r="K16" i="7"/>
  <c r="J17" i="7" s="1"/>
  <c r="I17" i="7" s="1"/>
  <c r="T7" i="13" l="1"/>
  <c r="N7" i="13"/>
  <c r="K8" i="9"/>
  <c r="P7" i="9"/>
  <c r="Q7" i="9" s="1"/>
  <c r="K17" i="7"/>
  <c r="J18" i="7" s="1"/>
  <c r="I18" i="7" s="1"/>
  <c r="M17" i="7"/>
  <c r="L8" i="13" l="1"/>
  <c r="Q7" i="13"/>
  <c r="R7" i="13" s="1"/>
  <c r="K8" i="10"/>
  <c r="P7" i="10"/>
  <c r="Q7" i="10" s="1"/>
  <c r="S7" i="10" s="1"/>
  <c r="L8" i="9"/>
  <c r="J8" i="9" s="1"/>
  <c r="M18" i="7"/>
  <c r="K18" i="7"/>
  <c r="J19" i="7" s="1"/>
  <c r="I19" i="7" s="1"/>
  <c r="M8" i="13" l="1"/>
  <c r="J8" i="13" s="1"/>
  <c r="L8" i="10"/>
  <c r="J8" i="10" s="1"/>
  <c r="M8" i="10" s="1"/>
  <c r="R8" i="10" s="1"/>
  <c r="S8" i="9"/>
  <c r="M8" i="9"/>
  <c r="K19" i="7"/>
  <c r="J20" i="7" s="1"/>
  <c r="I20" i="7" s="1"/>
  <c r="M19" i="7"/>
  <c r="T8" i="13" l="1"/>
  <c r="N8" i="13"/>
  <c r="K9" i="9"/>
  <c r="P8" i="9"/>
  <c r="M20" i="7"/>
  <c r="K20" i="7"/>
  <c r="J21" i="7" s="1"/>
  <c r="I21" i="7" s="1"/>
  <c r="L9" i="13" l="1"/>
  <c r="Q8" i="13"/>
  <c r="R8" i="13" s="1"/>
  <c r="K9" i="10"/>
  <c r="P8" i="10"/>
  <c r="Q8" i="10" s="1"/>
  <c r="S8" i="10" s="1"/>
  <c r="Q8" i="9"/>
  <c r="K21" i="7"/>
  <c r="J22" i="7" s="1"/>
  <c r="I22" i="7" s="1"/>
  <c r="M21" i="7"/>
  <c r="M9" i="13" l="1"/>
  <c r="J9" i="13" s="1"/>
  <c r="L9" i="10"/>
  <c r="J9" i="10" s="1"/>
  <c r="M9" i="10" s="1"/>
  <c r="R9" i="10" s="1"/>
  <c r="L9" i="9"/>
  <c r="J9" i="9" s="1"/>
  <c r="M22" i="7"/>
  <c r="K22" i="7"/>
  <c r="J23" i="7" s="1"/>
  <c r="I23" i="7" s="1"/>
  <c r="N9" i="13" l="1"/>
  <c r="T9" i="13"/>
  <c r="M9" i="9"/>
  <c r="S9" i="9"/>
  <c r="K23" i="7"/>
  <c r="J24" i="7" s="1"/>
  <c r="I24" i="7" s="1"/>
  <c r="M23" i="7"/>
  <c r="Q9" i="13" l="1"/>
  <c r="R9" i="13" s="1"/>
  <c r="L10" i="13"/>
  <c r="K10" i="10"/>
  <c r="P9" i="10"/>
  <c r="Q9" i="10" s="1"/>
  <c r="S9" i="10" s="1"/>
  <c r="P9" i="9"/>
  <c r="K10" i="9"/>
  <c r="M24" i="7"/>
  <c r="K24" i="7"/>
  <c r="J25" i="7" s="1"/>
  <c r="I25" i="7" s="1"/>
  <c r="M10" i="13" l="1"/>
  <c r="J10" i="13" s="1"/>
  <c r="L10" i="10"/>
  <c r="J10" i="10" s="1"/>
  <c r="M10" i="10" s="1"/>
  <c r="R10" i="10" s="1"/>
  <c r="Q9" i="9"/>
  <c r="K25" i="7"/>
  <c r="J26" i="7" s="1"/>
  <c r="I26" i="7" s="1"/>
  <c r="P2" i="7" s="1"/>
  <c r="M25" i="7"/>
  <c r="N10" i="13" l="1"/>
  <c r="T10" i="13"/>
  <c r="L10" i="9"/>
  <c r="J10" i="9" s="1"/>
  <c r="M26" i="7"/>
  <c r="P1" i="7" s="1" a="1"/>
  <c r="P1" i="7" s="1"/>
  <c r="K26" i="7"/>
  <c r="L11" i="13" l="1"/>
  <c r="Q10" i="13"/>
  <c r="R10" i="13" s="1"/>
  <c r="K11" i="10"/>
  <c r="P10" i="10"/>
  <c r="Q10" i="10" s="1"/>
  <c r="S10" i="10" s="1"/>
  <c r="M10" i="9"/>
  <c r="S10" i="9"/>
  <c r="M11" i="13" l="1"/>
  <c r="J11" i="13" s="1"/>
  <c r="L11" i="10"/>
  <c r="J11" i="10" s="1"/>
  <c r="M11" i="10" s="1"/>
  <c r="R11" i="10" s="1"/>
  <c r="K11" i="9"/>
  <c r="P10" i="9"/>
  <c r="T11" i="13" l="1"/>
  <c r="N11" i="13"/>
  <c r="Q10" i="9"/>
  <c r="L12" i="13" l="1"/>
  <c r="Q11" i="13"/>
  <c r="R11" i="13" s="1"/>
  <c r="K12" i="10"/>
  <c r="P11" i="10"/>
  <c r="Q11" i="10" s="1"/>
  <c r="S11" i="10" s="1"/>
  <c r="L11" i="9"/>
  <c r="J11" i="9" s="1"/>
  <c r="M12" i="13" l="1"/>
  <c r="J12" i="13" s="1"/>
  <c r="L12" i="10"/>
  <c r="J12" i="10" s="1"/>
  <c r="M12" i="10" s="1"/>
  <c r="R12" i="10" s="1"/>
  <c r="S11" i="9"/>
  <c r="M11" i="9"/>
  <c r="T12" i="13" l="1"/>
  <c r="N12" i="13"/>
  <c r="P11" i="9"/>
  <c r="K12" i="9"/>
  <c r="L13" i="13" l="1"/>
  <c r="Q12" i="13"/>
  <c r="R12" i="13" s="1"/>
  <c r="K13" i="10"/>
  <c r="P12" i="10"/>
  <c r="Q12" i="10" s="1"/>
  <c r="S12" i="10" s="1"/>
  <c r="Q11" i="9"/>
  <c r="M13" i="13" l="1"/>
  <c r="J13" i="13" s="1"/>
  <c r="L13" i="10"/>
  <c r="J13" i="10" s="1"/>
  <c r="M13" i="10" s="1"/>
  <c r="R13" i="10" s="1"/>
  <c r="L12" i="9"/>
  <c r="J12" i="9" s="1"/>
  <c r="N13" i="13" l="1"/>
  <c r="T13" i="13"/>
  <c r="M12" i="9"/>
  <c r="S12" i="9"/>
  <c r="L14" i="13" l="1"/>
  <c r="Q13" i="13"/>
  <c r="R13" i="13" s="1"/>
  <c r="K14" i="10"/>
  <c r="P13" i="10"/>
  <c r="Q13" i="10" s="1"/>
  <c r="S13" i="10" s="1"/>
  <c r="P12" i="9"/>
  <c r="K13" i="9"/>
  <c r="M14" i="13" l="1"/>
  <c r="J14" i="13" s="1"/>
  <c r="L14" i="10"/>
  <c r="J14" i="10" s="1"/>
  <c r="M14" i="10" s="1"/>
  <c r="R14" i="10" s="1"/>
  <c r="Q12" i="9"/>
  <c r="N14" i="13" l="1"/>
  <c r="T14" i="13"/>
  <c r="L13" i="9"/>
  <c r="J13" i="9" s="1"/>
  <c r="L15" i="13" l="1"/>
  <c r="Q14" i="13"/>
  <c r="R14" i="13" s="1"/>
  <c r="K15" i="10"/>
  <c r="P14" i="10"/>
  <c r="Q14" i="10" s="1"/>
  <c r="S14" i="10" s="1"/>
  <c r="S13" i="9"/>
  <c r="M13" i="9"/>
  <c r="M15" i="13" l="1"/>
  <c r="J15" i="13" s="1"/>
  <c r="L15" i="10"/>
  <c r="J15" i="10" s="1"/>
  <c r="M15" i="10" s="1"/>
  <c r="R15" i="10" s="1"/>
  <c r="P13" i="9"/>
  <c r="K14" i="9"/>
  <c r="N15" i="13" l="1"/>
  <c r="T15" i="13"/>
  <c r="Q13" i="9"/>
  <c r="L14" i="9" s="1"/>
  <c r="J14" i="9" s="1"/>
  <c r="L16" i="13" l="1"/>
  <c r="Q15" i="13"/>
  <c r="R15" i="13" s="1"/>
  <c r="K16" i="10"/>
  <c r="P15" i="10"/>
  <c r="Q15" i="10" s="1"/>
  <c r="S15" i="10" s="1"/>
  <c r="S14" i="9"/>
  <c r="M14" i="9"/>
  <c r="M16" i="13" l="1"/>
  <c r="J16" i="13" s="1"/>
  <c r="L16" i="10"/>
  <c r="J16" i="10" s="1"/>
  <c r="M16" i="10" s="1"/>
  <c r="R16" i="10" s="1"/>
  <c r="K15" i="9"/>
  <c r="P14" i="9"/>
  <c r="T16" i="13" l="1"/>
  <c r="N16" i="13"/>
  <c r="Q14" i="9"/>
  <c r="L17" i="13" l="1"/>
  <c r="Q16" i="13"/>
  <c r="R16" i="13" s="1"/>
  <c r="K17" i="10"/>
  <c r="P16" i="10"/>
  <c r="Q16" i="10" s="1"/>
  <c r="S16" i="10" s="1"/>
  <c r="L15" i="9"/>
  <c r="J15" i="9" s="1"/>
  <c r="M17" i="13" l="1"/>
  <c r="J17" i="13" s="1"/>
  <c r="L17" i="10"/>
  <c r="J17" i="10" s="1"/>
  <c r="M17" i="10" s="1"/>
  <c r="R17" i="10" s="1"/>
  <c r="M15" i="9"/>
  <c r="S15" i="9"/>
  <c r="N17" i="13" l="1"/>
  <c r="T17" i="13"/>
  <c r="K16" i="9"/>
  <c r="P15" i="9"/>
  <c r="L18" i="13" l="1"/>
  <c r="Q17" i="13"/>
  <c r="R17" i="13" s="1"/>
  <c r="K18" i="10"/>
  <c r="P17" i="10"/>
  <c r="Q17" i="10" s="1"/>
  <c r="S17" i="10" s="1"/>
  <c r="Q15" i="9"/>
  <c r="M18" i="13" l="1"/>
  <c r="J18" i="13" s="1"/>
  <c r="L18" i="10"/>
  <c r="J18" i="10" s="1"/>
  <c r="M18" i="10" s="1"/>
  <c r="R18" i="10" s="1"/>
  <c r="L16" i="9"/>
  <c r="J16" i="9" s="1"/>
  <c r="N18" i="13" l="1"/>
  <c r="T18" i="13"/>
  <c r="M16" i="9"/>
  <c r="S16" i="9"/>
  <c r="L19" i="13" l="1"/>
  <c r="Q18" i="13"/>
  <c r="R18" i="13" s="1"/>
  <c r="K19" i="10"/>
  <c r="P18" i="10"/>
  <c r="Q18" i="10" s="1"/>
  <c r="S18" i="10" s="1"/>
  <c r="P16" i="9"/>
  <c r="K17" i="9"/>
  <c r="M19" i="13" l="1"/>
  <c r="J19" i="13" s="1"/>
  <c r="L19" i="10"/>
  <c r="J19" i="10" s="1"/>
  <c r="M19" i="10" s="1"/>
  <c r="R19" i="10" s="1"/>
  <c r="Q16" i="9"/>
  <c r="T19" i="13" l="1"/>
  <c r="N19" i="13"/>
  <c r="L17" i="9"/>
  <c r="J17" i="9" s="1"/>
  <c r="L20" i="13" l="1"/>
  <c r="Q19" i="13"/>
  <c r="R19" i="13" s="1"/>
  <c r="K20" i="10"/>
  <c r="P19" i="10"/>
  <c r="Q19" i="10" s="1"/>
  <c r="S19" i="10" s="1"/>
  <c r="S17" i="9"/>
  <c r="M17" i="9"/>
  <c r="M20" i="13" l="1"/>
  <c r="J20" i="13" s="1"/>
  <c r="L20" i="10"/>
  <c r="J20" i="10" s="1"/>
  <c r="M20" i="10" s="1"/>
  <c r="R20" i="10" s="1"/>
  <c r="K18" i="9"/>
  <c r="P17" i="9"/>
  <c r="T20" i="13" l="1"/>
  <c r="N20" i="13"/>
  <c r="Q17" i="9"/>
  <c r="L21" i="13" l="1"/>
  <c r="Q20" i="13"/>
  <c r="R20" i="13" s="1"/>
  <c r="K21" i="10"/>
  <c r="P20" i="10"/>
  <c r="Q20" i="10" s="1"/>
  <c r="S20" i="10" s="1"/>
  <c r="L18" i="9"/>
  <c r="J18" i="9" s="1"/>
  <c r="M21" i="13" l="1"/>
  <c r="J21" i="13" s="1"/>
  <c r="L21" i="10"/>
  <c r="J21" i="10" s="1"/>
  <c r="M21" i="10" s="1"/>
  <c r="R21" i="10" s="1"/>
  <c r="S18" i="9"/>
  <c r="M18" i="9"/>
  <c r="N21" i="13" l="1"/>
  <c r="T21" i="13"/>
  <c r="P18" i="9"/>
  <c r="K19" i="9"/>
  <c r="L22" i="13" l="1"/>
  <c r="Q21" i="13"/>
  <c r="R21" i="13" s="1"/>
  <c r="K22" i="10"/>
  <c r="P21" i="10"/>
  <c r="Q21" i="10" s="1"/>
  <c r="S21" i="10" s="1"/>
  <c r="Q18" i="9"/>
  <c r="M22" i="13" l="1"/>
  <c r="J22" i="13" s="1"/>
  <c r="L22" i="10"/>
  <c r="J22" i="10" s="1"/>
  <c r="M22" i="10" s="1"/>
  <c r="R22" i="10" s="1"/>
  <c r="L19" i="9"/>
  <c r="J19" i="9" s="1"/>
  <c r="N22" i="13" l="1"/>
  <c r="T22" i="13"/>
  <c r="S19" i="9"/>
  <c r="M19" i="9"/>
  <c r="L23" i="13" l="1"/>
  <c r="Q22" i="13"/>
  <c r="R22" i="13" s="1"/>
  <c r="K23" i="10"/>
  <c r="P22" i="10"/>
  <c r="Q22" i="10" s="1"/>
  <c r="S22" i="10" s="1"/>
  <c r="P19" i="9"/>
  <c r="K20" i="9"/>
  <c r="M23" i="13" l="1"/>
  <c r="J23" i="13" s="1"/>
  <c r="L23" i="10"/>
  <c r="J23" i="10" s="1"/>
  <c r="M23" i="10" s="1"/>
  <c r="R23" i="10" s="1"/>
  <c r="Q19" i="9"/>
  <c r="N23" i="13" l="1"/>
  <c r="T23" i="13"/>
  <c r="L20" i="9"/>
  <c r="J20" i="9" s="1"/>
  <c r="L24" i="13" l="1"/>
  <c r="Q23" i="13"/>
  <c r="R23" i="13" s="1"/>
  <c r="K24" i="10"/>
  <c r="P23" i="10"/>
  <c r="Q23" i="10" s="1"/>
  <c r="S23" i="10" s="1"/>
  <c r="S20" i="9"/>
  <c r="M20" i="9"/>
  <c r="M24" i="13" l="1"/>
  <c r="J24" i="13" s="1"/>
  <c r="L24" i="10"/>
  <c r="J24" i="10" s="1"/>
  <c r="M24" i="10" s="1"/>
  <c r="R24" i="10" s="1"/>
  <c r="K21" i="9"/>
  <c r="P20" i="9"/>
  <c r="T24" i="13" l="1"/>
  <c r="N24" i="13"/>
  <c r="Q20" i="9"/>
  <c r="L25" i="13" l="1"/>
  <c r="Q24" i="13"/>
  <c r="R24" i="13" s="1"/>
  <c r="K25" i="10"/>
  <c r="P24" i="10"/>
  <c r="Q24" i="10" s="1"/>
  <c r="S24" i="10" s="1"/>
  <c r="L21" i="9"/>
  <c r="J21" i="9" s="1"/>
  <c r="M25" i="13" l="1"/>
  <c r="J25" i="13" s="1"/>
  <c r="L25" i="10"/>
  <c r="J25" i="10" s="1"/>
  <c r="M25" i="10" s="1"/>
  <c r="R25" i="10" s="1"/>
  <c r="M21" i="9"/>
  <c r="S21" i="9"/>
  <c r="N25" i="13" l="1"/>
  <c r="T25" i="13"/>
  <c r="K22" i="9"/>
  <c r="P21" i="9"/>
  <c r="L26" i="13" l="1"/>
  <c r="Q25" i="13"/>
  <c r="R25" i="13" s="1"/>
  <c r="K26" i="10"/>
  <c r="P25" i="10"/>
  <c r="Q25" i="10" s="1"/>
  <c r="S25" i="10" s="1"/>
  <c r="Q21" i="9"/>
  <c r="M26" i="13" l="1"/>
  <c r="J26" i="13" s="1"/>
  <c r="L26" i="10"/>
  <c r="J26" i="10" s="1"/>
  <c r="M26" i="10" s="1"/>
  <c r="R26" i="10" s="1"/>
  <c r="L22" i="9"/>
  <c r="J22" i="9" s="1"/>
  <c r="N26" i="13" l="1"/>
  <c r="Q26" i="13" s="1"/>
  <c r="R26" i="13" s="1"/>
  <c r="T26" i="13"/>
  <c r="P26" i="10"/>
  <c r="Q26" i="10" s="1"/>
  <c r="S26" i="10" s="1"/>
  <c r="M22" i="9"/>
  <c r="S22" i="9"/>
  <c r="P22" i="9" l="1"/>
  <c r="K23" i="9"/>
  <c r="Q22" i="9" l="1"/>
  <c r="L23" i="9" l="1"/>
  <c r="J23" i="9" s="1"/>
  <c r="S23" i="9" l="1"/>
  <c r="M23" i="9"/>
  <c r="K24" i="9" l="1"/>
  <c r="P23" i="9"/>
  <c r="Q23" i="9" l="1"/>
  <c r="L24" i="9" l="1"/>
  <c r="J24" i="9" s="1"/>
  <c r="S24" i="9" l="1"/>
  <c r="M24" i="9"/>
  <c r="K25" i="9" l="1"/>
  <c r="P24" i="9"/>
  <c r="Q24" i="9" l="1"/>
  <c r="L25" i="9" l="1"/>
  <c r="J25" i="9" s="1"/>
  <c r="S25" i="9" l="1"/>
  <c r="M25" i="9"/>
  <c r="K26" i="9" l="1"/>
  <c r="P25" i="9"/>
  <c r="Q25" i="9" l="1"/>
  <c r="L26" i="9" l="1"/>
  <c r="J26" i="9" s="1"/>
  <c r="V2" i="9" l="1"/>
  <c r="M26" i="9"/>
  <c r="P26" i="9" s="1"/>
  <c r="Q26" i="9" s="1"/>
  <c r="S26" i="9"/>
  <c r="V1" i="9" s="1" a="1"/>
  <c r="V1" i="9" s="1"/>
  <c r="K4" i="11"/>
  <c r="S3" i="11"/>
  <c r="M3" i="11" s="1"/>
  <c r="X3" i="11" s="1"/>
  <c r="W3" i="11" s="1"/>
  <c r="T3" i="11" l="1"/>
  <c r="L4" i="11" s="1"/>
  <c r="J4" i="11" s="1"/>
  <c r="V4" i="11" l="1"/>
  <c r="P4" i="11"/>
  <c r="N5" i="11" s="1"/>
  <c r="K5" i="11"/>
  <c r="S4" i="11" l="1"/>
  <c r="T4" i="11" s="1"/>
  <c r="M4" i="11"/>
  <c r="X4" i="11" s="1"/>
  <c r="W4" i="11" s="1"/>
  <c r="L5" i="11" l="1"/>
  <c r="J5" i="11" s="1"/>
  <c r="V5" i="11" s="1"/>
  <c r="P5" i="11" l="1"/>
  <c r="N6" i="11" s="1"/>
  <c r="K6" i="11" l="1"/>
  <c r="S5" i="11"/>
  <c r="M5" i="11" l="1"/>
  <c r="X5" i="11" s="1"/>
  <c r="W5" i="11" s="1"/>
  <c r="T5" i="11"/>
  <c r="L6" i="11" l="1"/>
  <c r="J6" i="11" s="1"/>
  <c r="V6" i="11" s="1"/>
  <c r="P6" i="11" l="1"/>
  <c r="N7" i="11" s="1"/>
  <c r="S6" i="11" l="1"/>
  <c r="K7" i="11"/>
  <c r="M6" i="11" l="1"/>
  <c r="X6" i="11" s="1"/>
  <c r="W6" i="11" s="1"/>
  <c r="T6" i="11"/>
  <c r="L7" i="11" l="1"/>
  <c r="J7" i="11" s="1"/>
  <c r="V7" i="11" s="1"/>
  <c r="P7" i="11" l="1"/>
  <c r="N8" i="11" s="1"/>
  <c r="K8" i="11" l="1"/>
  <c r="S7" i="11"/>
  <c r="M7" i="11" l="1"/>
  <c r="X7" i="11" s="1"/>
  <c r="W7" i="11" s="1"/>
  <c r="T7" i="11"/>
  <c r="L8" i="11" l="1"/>
  <c r="J8" i="11" s="1"/>
  <c r="V8" i="11" s="1"/>
  <c r="P8" i="11" l="1"/>
  <c r="N9" i="11" s="1"/>
  <c r="K9" i="11" l="1"/>
  <c r="S8" i="11"/>
  <c r="M8" i="11" l="1"/>
  <c r="X8" i="11" s="1"/>
  <c r="W8" i="11" s="1"/>
  <c r="T8" i="11"/>
  <c r="L9" i="11" l="1"/>
  <c r="J9" i="11" s="1"/>
  <c r="V9" i="11" s="1"/>
  <c r="P9" i="11" l="1"/>
  <c r="N10" i="11" s="1"/>
  <c r="S9" i="11" l="1"/>
  <c r="K10" i="11"/>
  <c r="M9" i="11" l="1"/>
  <c r="X9" i="11" s="1"/>
  <c r="W9" i="11" s="1"/>
  <c r="T9" i="11"/>
  <c r="L10" i="11" l="1"/>
  <c r="J10" i="11" s="1"/>
  <c r="V10" i="11" s="1"/>
  <c r="P10" i="11" l="1"/>
  <c r="N11" i="11" s="1"/>
  <c r="S10" i="11" l="1"/>
  <c r="K11" i="11"/>
  <c r="M10" i="11" l="1"/>
  <c r="X10" i="11" s="1"/>
  <c r="W10" i="11" s="1"/>
  <c r="T10" i="11"/>
  <c r="L11" i="11" l="1"/>
  <c r="J11" i="11" s="1"/>
  <c r="V11" i="11" s="1"/>
  <c r="P11" i="11" l="1"/>
  <c r="N12" i="11" s="1"/>
  <c r="K12" i="11" l="1"/>
  <c r="S11" i="11"/>
  <c r="M11" i="11" l="1"/>
  <c r="X11" i="11" s="1"/>
  <c r="W11" i="11" s="1"/>
  <c r="T11" i="11"/>
  <c r="L12" i="11" l="1"/>
  <c r="J12" i="11" s="1"/>
  <c r="V12" i="11" s="1"/>
  <c r="P12" i="11" l="1"/>
  <c r="N13" i="11" s="1"/>
  <c r="K13" i="11" l="1"/>
  <c r="S12" i="11"/>
  <c r="M12" i="11" l="1"/>
  <c r="X12" i="11" s="1"/>
  <c r="W12" i="11" s="1"/>
  <c r="T12" i="11"/>
  <c r="L13" i="11" l="1"/>
  <c r="J13" i="11" s="1"/>
  <c r="V13" i="11" s="1"/>
  <c r="P13" i="11" l="1"/>
  <c r="N14" i="11" s="1"/>
  <c r="K14" i="11" l="1"/>
  <c r="S13" i="11"/>
  <c r="M13" i="11" l="1"/>
  <c r="X13" i="11" s="1"/>
  <c r="W13" i="11" s="1"/>
  <c r="T13" i="11"/>
  <c r="L14" i="11" l="1"/>
  <c r="J14" i="11" s="1"/>
  <c r="V14" i="11" s="1"/>
  <c r="P14" i="11" l="1"/>
  <c r="N15" i="11" s="1"/>
  <c r="S14" i="11" l="1"/>
  <c r="K15" i="11"/>
  <c r="M14" i="11" l="1"/>
  <c r="X14" i="11" s="1"/>
  <c r="W14" i="11" s="1"/>
  <c r="T14" i="11"/>
  <c r="L15" i="11" l="1"/>
  <c r="J15" i="11" s="1"/>
  <c r="V15" i="11" s="1"/>
  <c r="P15" i="11" l="1"/>
  <c r="N16" i="11" s="1"/>
  <c r="K16" i="11" l="1"/>
  <c r="S15" i="11"/>
  <c r="M15" i="11" l="1"/>
  <c r="X15" i="11" s="1"/>
  <c r="W15" i="11" s="1"/>
  <c r="T15" i="11"/>
  <c r="L16" i="11" l="1"/>
  <c r="J16" i="11" s="1"/>
  <c r="V16" i="11" s="1"/>
  <c r="P16" i="11" l="1"/>
  <c r="N17" i="11" s="1"/>
  <c r="K17" i="11" l="1"/>
  <c r="S16" i="11"/>
  <c r="M16" i="11" l="1"/>
  <c r="X16" i="11" s="1"/>
  <c r="W16" i="11" s="1"/>
  <c r="T16" i="11"/>
  <c r="L17" i="11" l="1"/>
  <c r="J17" i="11" s="1"/>
  <c r="V17" i="11" s="1"/>
  <c r="P17" i="11" l="1"/>
  <c r="N18" i="11" s="1"/>
  <c r="S17" i="11" l="1"/>
  <c r="K18" i="11"/>
  <c r="M17" i="11" l="1"/>
  <c r="X17" i="11" s="1"/>
  <c r="W17" i="11" s="1"/>
  <c r="T17" i="11"/>
  <c r="L18" i="11" l="1"/>
  <c r="J18" i="11" s="1"/>
  <c r="V18" i="11" s="1"/>
  <c r="P18" i="11" l="1"/>
  <c r="N19" i="11" s="1"/>
  <c r="S18" i="11" l="1"/>
  <c r="K19" i="11"/>
  <c r="M18" i="11" l="1"/>
  <c r="X18" i="11" s="1"/>
  <c r="W18" i="11" s="1"/>
  <c r="T18" i="11"/>
  <c r="L19" i="11" l="1"/>
  <c r="J19" i="11" s="1"/>
  <c r="V19" i="11" s="1"/>
  <c r="P19" i="11" l="1"/>
  <c r="N20" i="11" s="1"/>
  <c r="K20" i="11" l="1"/>
  <c r="S19" i="11"/>
  <c r="M19" i="11" l="1"/>
  <c r="X19" i="11" s="1"/>
  <c r="W19" i="11" s="1"/>
  <c r="T19" i="11"/>
  <c r="L20" i="11" l="1"/>
  <c r="J20" i="11" s="1"/>
  <c r="V20" i="11" s="1"/>
  <c r="P20" i="11" l="1"/>
  <c r="N21" i="11" s="1"/>
  <c r="K21" i="11" l="1"/>
  <c r="S20" i="11"/>
  <c r="M20" i="11" l="1"/>
  <c r="X20" i="11" s="1"/>
  <c r="W20" i="11" s="1"/>
  <c r="T20" i="11"/>
  <c r="L21" i="11" l="1"/>
  <c r="J21" i="11" s="1"/>
  <c r="V21" i="11" s="1"/>
  <c r="P21" i="11" l="1"/>
  <c r="N22" i="11" s="1"/>
  <c r="K22" i="11" l="1"/>
  <c r="S21" i="11"/>
  <c r="M21" i="11" l="1"/>
  <c r="X21" i="11" s="1"/>
  <c r="W21" i="11" s="1"/>
  <c r="T21" i="11"/>
  <c r="L22" i="11" l="1"/>
  <c r="J22" i="11" s="1"/>
  <c r="V22" i="11" s="1"/>
  <c r="P22" i="11" l="1"/>
  <c r="N23" i="11" s="1"/>
  <c r="S22" i="11" l="1"/>
  <c r="K23" i="11"/>
  <c r="M22" i="11" l="1"/>
  <c r="X22" i="11" s="1"/>
  <c r="W22" i="11" s="1"/>
  <c r="T22" i="11"/>
  <c r="L23" i="11" l="1"/>
  <c r="J23" i="11" s="1"/>
  <c r="V23" i="11" s="1"/>
  <c r="P23" i="11" l="1"/>
  <c r="N24" i="11" s="1"/>
  <c r="K24" i="11" l="1"/>
  <c r="S23" i="11"/>
  <c r="M23" i="11" l="1"/>
  <c r="X23" i="11" s="1"/>
  <c r="W23" i="11" s="1"/>
  <c r="T23" i="11"/>
  <c r="L24" i="11" l="1"/>
  <c r="J24" i="11" s="1"/>
  <c r="V24" i="11" s="1"/>
  <c r="P24" i="11" l="1"/>
  <c r="N25" i="11" s="1"/>
  <c r="K25" i="11" l="1"/>
  <c r="S24" i="11"/>
  <c r="M24" i="11" l="1"/>
  <c r="X24" i="11" s="1"/>
  <c r="W24" i="11" s="1"/>
  <c r="T24" i="11"/>
  <c r="L25" i="11" l="1"/>
  <c r="J25" i="11" s="1"/>
  <c r="V25" i="11" s="1"/>
  <c r="P25" i="11" l="1"/>
  <c r="N26" i="11" s="1"/>
  <c r="K26" i="11" l="1"/>
  <c r="S25" i="11"/>
  <c r="M25" i="11" l="1"/>
  <c r="X25" i="11" s="1"/>
  <c r="W25" i="11" s="1"/>
  <c r="T25" i="11"/>
  <c r="L26" i="11" l="1"/>
  <c r="J26" i="11" s="1"/>
  <c r="P26" i="11" l="1"/>
  <c r="S26" i="11" s="1"/>
  <c r="V26" i="11"/>
  <c r="V2" i="11" s="1"/>
  <c r="M26" i="11" l="1"/>
  <c r="X26" i="11" s="1"/>
  <c r="W26" i="11" s="1"/>
  <c r="W2" i="11" s="1"/>
  <c r="T26" i="11"/>
</calcChain>
</file>

<file path=xl/sharedStrings.xml><?xml version="1.0" encoding="utf-8"?>
<sst xmlns="http://schemas.openxmlformats.org/spreadsheetml/2006/main" count="73" uniqueCount="25">
  <si>
    <t>Preço</t>
  </si>
  <si>
    <t>Qtd</t>
  </si>
  <si>
    <t>Patrimonio</t>
  </si>
  <si>
    <t>CDI</t>
  </si>
  <si>
    <t>Data</t>
  </si>
  <si>
    <t>Retorno</t>
  </si>
  <si>
    <t>Sinal</t>
  </si>
  <si>
    <t>Trade</t>
  </si>
  <si>
    <t>Caixa</t>
  </si>
  <si>
    <t>P&amp;L</t>
  </si>
  <si>
    <t>P&amp;L Caixa</t>
  </si>
  <si>
    <t>Rent</t>
  </si>
  <si>
    <t xml:space="preserve"> Inicial</t>
  </si>
  <si>
    <t>Peso</t>
  </si>
  <si>
    <t>%Caixa</t>
  </si>
  <si>
    <t>%Acoes</t>
  </si>
  <si>
    <t>Taxa Alguel</t>
  </si>
  <si>
    <t>Patrimonio Aux</t>
  </si>
  <si>
    <t>Aluguel</t>
  </si>
  <si>
    <t>Rent Sem custos</t>
  </si>
  <si>
    <t>Corretagem^</t>
  </si>
  <si>
    <t>Impacto Corretagem</t>
  </si>
  <si>
    <t>Rent com  custos</t>
  </si>
  <si>
    <t>Total</t>
  </si>
  <si>
    <t>Intraday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</si>
</sst>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0.0%"/>
    <numFmt numFmtId="166" formatCode="[$-416]dd\-mmm\-yy;@"/>
    <numFmt numFmtId="167" formatCode="#,##0_ ;\-#,##0\ "/>
    <numFmt numFmtId="168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/>
    <xf numFmtId="43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165" fontId="0" fillId="0" borderId="0" xfId="3" applyNumberFormat="1" applyFont="1" applyAlignment="1">
      <alignment horizontal="center"/>
    </xf>
    <xf numFmtId="10" fontId="0" fillId="0" borderId="0" xfId="3" applyNumberFormat="1" applyFont="1"/>
    <xf numFmtId="166" fontId="0" fillId="0" borderId="0" xfId="0" applyNumberFormat="1"/>
    <xf numFmtId="43" fontId="2" fillId="2" borderId="0" xfId="1" applyFont="1" applyFill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66" fontId="0" fillId="5" borderId="0" xfId="0" applyNumberFormat="1" applyFill="1"/>
    <xf numFmtId="43" fontId="0" fillId="5" borderId="0" xfId="1" applyFont="1" applyFill="1"/>
    <xf numFmtId="167" fontId="3" fillId="5" borderId="0" xfId="1" applyNumberFormat="1" applyFont="1" applyFill="1" applyAlignment="1">
      <alignment horizontal="center"/>
    </xf>
    <xf numFmtId="43" fontId="0" fillId="0" borderId="0" xfId="0" applyNumberFormat="1"/>
    <xf numFmtId="43" fontId="3" fillId="0" borderId="0" xfId="1" applyFont="1" applyAlignment="1">
      <alignment horizontal="center"/>
    </xf>
    <xf numFmtId="10" fontId="0" fillId="5" borderId="0" xfId="3" applyNumberFormat="1" applyFont="1" applyFill="1" applyAlignment="1">
      <alignment horizontal="center"/>
    </xf>
    <xf numFmtId="165" fontId="0" fillId="5" borderId="0" xfId="3" applyNumberFormat="1" applyFont="1" applyFill="1" applyAlignment="1">
      <alignment horizontal="center"/>
    </xf>
    <xf numFmtId="167" fontId="2" fillId="6" borderId="1" xfId="1" applyNumberFormat="1" applyFont="1" applyFill="1" applyBorder="1" applyAlignment="1">
      <alignment horizontal="center" vertical="center" wrapText="1"/>
    </xf>
    <xf numFmtId="165" fontId="0" fillId="0" borderId="0" xfId="3" applyNumberFormat="1" applyFont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0" fillId="3" borderId="2" xfId="2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43" fontId="3" fillId="4" borderId="0" xfId="1" applyFont="1" applyFill="1" applyAlignment="1">
      <alignment horizontal="center"/>
    </xf>
    <xf numFmtId="43" fontId="4" fillId="0" borderId="0" xfId="0" applyNumberFormat="1" applyFont="1"/>
    <xf numFmtId="0" fontId="4" fillId="0" borderId="0" xfId="0" applyFont="1"/>
    <xf numFmtId="43" fontId="4" fillId="0" borderId="0" xfId="1" applyFont="1" applyAlignment="1">
      <alignment horizontal="center"/>
    </xf>
    <xf numFmtId="168" fontId="4" fillId="0" borderId="0" xfId="1" applyNumberFormat="1" applyFont="1"/>
    <xf numFmtId="168" fontId="4" fillId="0" borderId="0" xfId="1" applyNumberFormat="1" applyFont="1" applyAlignment="1">
      <alignment horizontal="center"/>
    </xf>
    <xf numFmtId="43" fontId="3" fillId="4" borderId="0" xfId="1" applyFont="1" applyFill="1" applyAlignment="1">
      <alignment horizontal="center" wrapText="1"/>
    </xf>
    <xf numFmtId="9" fontId="2" fillId="6" borderId="1" xfId="3" applyFont="1" applyFill="1" applyBorder="1" applyAlignment="1">
      <alignment horizontal="center" vertical="center" wrapText="1"/>
    </xf>
    <xf numFmtId="9" fontId="3" fillId="5" borderId="0" xfId="3" applyFont="1" applyFill="1" applyAlignment="1">
      <alignment horizontal="center"/>
    </xf>
    <xf numFmtId="9" fontId="3" fillId="0" borderId="0" xfId="3" applyFont="1" applyAlignment="1">
      <alignment horizontal="center"/>
    </xf>
    <xf numFmtId="9" fontId="0" fillId="0" borderId="0" xfId="3" applyFont="1" applyAlignment="1">
      <alignment horizontal="center"/>
    </xf>
    <xf numFmtId="9" fontId="4" fillId="4" borderId="0" xfId="3" applyNumberFormat="1" applyFont="1" applyFill="1" applyAlignment="1">
      <alignment horizontal="center"/>
    </xf>
    <xf numFmtId="10" fontId="0" fillId="3" borderId="0" xfId="3" applyNumberFormat="1" applyFont="1" applyFill="1" applyAlignment="1">
      <alignment vertical="center"/>
    </xf>
    <xf numFmtId="165" fontId="4" fillId="0" borderId="0" xfId="1" applyNumberFormat="1" applyFont="1" applyAlignment="1">
      <alignment horizontal="center"/>
    </xf>
    <xf numFmtId="10" fontId="3" fillId="4" borderId="0" xfId="3" applyNumberFormat="1" applyFont="1" applyFill="1" applyAlignment="1">
      <alignment horizontal="center"/>
    </xf>
    <xf numFmtId="43" fontId="5" fillId="0" borderId="0" xfId="0" applyNumberFormat="1" applyFont="1"/>
    <xf numFmtId="10" fontId="3" fillId="4" borderId="0" xfId="1" applyNumberFormat="1" applyFont="1" applyFill="1" applyAlignment="1">
      <alignment horizontal="center"/>
    </xf>
    <xf numFmtId="43" fontId="3" fillId="4" borderId="3" xfId="1" applyFont="1" applyFill="1" applyBorder="1" applyAlignment="1">
      <alignment horizontal="center"/>
    </xf>
    <xf numFmtId="165" fontId="3" fillId="4" borderId="4" xfId="3" applyNumberFormat="1" applyFont="1" applyFill="1" applyBorder="1" applyAlignment="1">
      <alignment horizontal="center"/>
    </xf>
    <xf numFmtId="165" fontId="3" fillId="4" borderId="3" xfId="3" applyNumberFormat="1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8"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Simples!$I$2:$I$26</c:f>
              <c:numCache>
                <c:formatCode>_(* #,##0.00_);_(* \(#,##0.00\);_(* "-"??_);_(@_)</c:formatCode>
                <c:ptCount val="25"/>
                <c:pt idx="0">
                  <c:v>100000</c:v>
                </c:pt>
                <c:pt idx="1">
                  <c:v>100102.9</c:v>
                </c:pt>
                <c:pt idx="2">
                  <c:v>100258.07951558</c:v>
                </c:pt>
                <c:pt idx="3">
                  <c:v>100506.15903115999</c:v>
                </c:pt>
                <c:pt idx="4">
                  <c:v>101837.61225236251</c:v>
                </c:pt>
                <c:pt idx="5">
                  <c:v>101925.89527842407</c:v>
                </c:pt>
                <c:pt idx="6">
                  <c:v>102067.30726553335</c:v>
                </c:pt>
                <c:pt idx="7">
                  <c:v>102896.01214668369</c:v>
                </c:pt>
                <c:pt idx="8">
                  <c:v>102893.04874153386</c:v>
                </c:pt>
                <c:pt idx="9">
                  <c:v>103251.17828698365</c:v>
                </c:pt>
                <c:pt idx="10">
                  <c:v>103063.30244297265</c:v>
                </c:pt>
                <c:pt idx="11">
                  <c:v>102264.1599021601</c:v>
                </c:pt>
                <c:pt idx="12">
                  <c:v>101804.32910716005</c:v>
                </c:pt>
                <c:pt idx="13">
                  <c:v>101787.8571667105</c:v>
                </c:pt>
                <c:pt idx="14">
                  <c:v>102244.25356067461</c:v>
                </c:pt>
                <c:pt idx="15">
                  <c:v>102789.1029634741</c:v>
                </c:pt>
                <c:pt idx="16">
                  <c:v>103559.99039896928</c:v>
                </c:pt>
                <c:pt idx="17">
                  <c:v>104135.60789360387</c:v>
                </c:pt>
                <c:pt idx="18">
                  <c:v>105112.53527193614</c:v>
                </c:pt>
                <c:pt idx="19">
                  <c:v>105540.56402681698</c:v>
                </c:pt>
                <c:pt idx="20">
                  <c:v>106204.9313233094</c:v>
                </c:pt>
                <c:pt idx="21">
                  <c:v>107109.37251845869</c:v>
                </c:pt>
                <c:pt idx="22">
                  <c:v>107137.08171312923</c:v>
                </c:pt>
                <c:pt idx="23">
                  <c:v>107916.16114393077</c:v>
                </c:pt>
                <c:pt idx="24">
                  <c:v>108395.16860840033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C-4B42-A56B-2BC73627D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92000"/>
        <c:axId val="508603128"/>
      </c:lineChart>
      <c:catAx>
        <c:axId val="61229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603128"/>
        <c:crosses val="autoZero"/>
        <c:auto val="1"/>
        <c:lblAlgn val="ctr"/>
        <c:lblOffset val="100"/>
        <c:noMultiLvlLbl val="0"/>
      </c:catAx>
      <c:valAx>
        <c:axId val="5086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COM_CDI!$J$2:$J$26</c:f>
              <c:numCache>
                <c:formatCode>_(* #,##0.00_);_(* \(#,##0.00\);_(* "-"??_);_(@_)</c:formatCode>
                <c:ptCount val="25"/>
                <c:pt idx="0">
                  <c:v>100000</c:v>
                </c:pt>
                <c:pt idx="1">
                  <c:v>100037.82865315342</c:v>
                </c:pt>
                <c:pt idx="2">
                  <c:v>100075.67161637684</c:v>
                </c:pt>
                <c:pt idx="3">
                  <c:v>100399.01433758406</c:v>
                </c:pt>
                <c:pt idx="4">
                  <c:v>99144.939703255499</c:v>
                </c:pt>
                <c:pt idx="5">
                  <c:v>99134.001345745783</c:v>
                </c:pt>
                <c:pt idx="6">
                  <c:v>99071.464947331086</c:v>
                </c:pt>
                <c:pt idx="7">
                  <c:v>98342.038710828594</c:v>
                </c:pt>
                <c:pt idx="8">
                  <c:v>98419.273898999338</c:v>
                </c:pt>
                <c:pt idx="9">
                  <c:v>98456.504584758717</c:v>
                </c:pt>
                <c:pt idx="10">
                  <c:v>98493.749354385072</c:v>
                </c:pt>
                <c:pt idx="11">
                  <c:v>99257.460037504032</c:v>
                </c:pt>
                <c:pt idx="12">
                  <c:v>99703.771206562655</c:v>
                </c:pt>
                <c:pt idx="13">
                  <c:v>99719.903276743891</c:v>
                </c:pt>
                <c:pt idx="14">
                  <c:v>100167.02737905616</c:v>
                </c:pt>
                <c:pt idx="15">
                  <c:v>100700.80745125643</c:v>
                </c:pt>
                <c:pt idx="16">
                  <c:v>101456.03329689863</c:v>
                </c:pt>
                <c:pt idx="17">
                  <c:v>102019.95636677278</c:v>
                </c:pt>
                <c:pt idx="18">
                  <c:v>102977.03618343639</c:v>
                </c:pt>
                <c:pt idx="19">
                  <c:v>103015.9910092819</c:v>
                </c:pt>
                <c:pt idx="20">
                  <c:v>103054.96057121338</c:v>
                </c:pt>
                <c:pt idx="21">
                  <c:v>103093.94487480527</c:v>
                </c:pt>
                <c:pt idx="22">
                  <c:v>103132.94392563414</c:v>
                </c:pt>
                <c:pt idx="23">
                  <c:v>103171.95772927869</c:v>
                </c:pt>
                <c:pt idx="24">
                  <c:v>103210.9862913197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D-43C6-93E3-43CF689FE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92000"/>
        <c:axId val="508603128"/>
      </c:lineChart>
      <c:catAx>
        <c:axId val="61229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603128"/>
        <c:crosses val="autoZero"/>
        <c:auto val="1"/>
        <c:lblAlgn val="ctr"/>
        <c:lblOffset val="100"/>
        <c:noMultiLvlLbl val="0"/>
      </c:catAx>
      <c:valAx>
        <c:axId val="5086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COM_Intraday!$J$2:$J$26</c:f>
              <c:numCache>
                <c:formatCode>_(* #,##0.00_);_(* \(#,##0.00\);_(* "-"??_);_(@_)</c:formatCode>
                <c:ptCount val="25"/>
                <c:pt idx="0">
                  <c:v>100000</c:v>
                </c:pt>
                <c:pt idx="1">
                  <c:v>100237.82865315342</c:v>
                </c:pt>
                <c:pt idx="2">
                  <c:v>100575.67161637684</c:v>
                </c:pt>
                <c:pt idx="3">
                  <c:v>100713.52889508357</c:v>
                </c:pt>
                <c:pt idx="4">
                  <c:v>100751.40049468895</c:v>
                </c:pt>
                <c:pt idx="5">
                  <c:v>100289.28642061038</c:v>
                </c:pt>
                <c:pt idx="6">
                  <c:v>100327.18667826733</c:v>
                </c:pt>
                <c:pt idx="7">
                  <c:v>100365.10127308129</c:v>
                </c:pt>
                <c:pt idx="8">
                  <c:v>100503.03021047582</c:v>
                </c:pt>
                <c:pt idx="9">
                  <c:v>100540.97349587652</c:v>
                </c:pt>
                <c:pt idx="10">
                  <c:v>100578.93113471105</c:v>
                </c:pt>
                <c:pt idx="11">
                  <c:v>101616.90313240912</c:v>
                </c:pt>
                <c:pt idx="12">
                  <c:v>101654.88949440249</c:v>
                </c:pt>
                <c:pt idx="13">
                  <c:v>101692.89022612499</c:v>
                </c:pt>
                <c:pt idx="14">
                  <c:v>101730.90533301249</c:v>
                </c:pt>
                <c:pt idx="15">
                  <c:v>102268.93482050291</c:v>
                </c:pt>
                <c:pt idx="16">
                  <c:v>102306.97869403625</c:v>
                </c:pt>
                <c:pt idx="17">
                  <c:v>102345.03695905456</c:v>
                </c:pt>
                <c:pt idx="18">
                  <c:v>104383.10962100193</c:v>
                </c:pt>
                <c:pt idx="19">
                  <c:v>104421.19668532454</c:v>
                </c:pt>
                <c:pt idx="20">
                  <c:v>104459.29815747061</c:v>
                </c:pt>
                <c:pt idx="21">
                  <c:v>104497.41404289042</c:v>
                </c:pt>
                <c:pt idx="22">
                  <c:v>104535.54434703632</c:v>
                </c:pt>
                <c:pt idx="23">
                  <c:v>104573.68907536274</c:v>
                </c:pt>
                <c:pt idx="24">
                  <c:v>104611.84823332612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3-476D-BEAC-34456C331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92000"/>
        <c:axId val="508603128"/>
      </c:lineChart>
      <c:catAx>
        <c:axId val="61229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603128"/>
        <c:crosses val="autoZero"/>
        <c:auto val="1"/>
        <c:lblAlgn val="ctr"/>
        <c:lblOffset val="100"/>
        <c:noMultiLvlLbl val="0"/>
      </c:catAx>
      <c:valAx>
        <c:axId val="5086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COM_Custo!$J$2:$J$26</c:f>
              <c:numCache>
                <c:formatCode>_(* #,##0.00_);_(* \(#,##0.00\);_(* "-"??_);_(@_)</c:formatCode>
                <c:ptCount val="25"/>
                <c:pt idx="0">
                  <c:v>100000</c:v>
                </c:pt>
                <c:pt idx="1">
                  <c:v>100037.82865315342</c:v>
                </c:pt>
                <c:pt idx="2">
                  <c:v>100075.67161637684</c:v>
                </c:pt>
                <c:pt idx="3">
                  <c:v>99828.043452583079</c:v>
                </c:pt>
                <c:pt idx="4">
                  <c:v>101150.51335196586</c:v>
                </c:pt>
                <c:pt idx="5">
                  <c:v>101188.77722882468</c:v>
                </c:pt>
                <c:pt idx="6">
                  <c:v>101329.16653835196</c:v>
                </c:pt>
                <c:pt idx="7">
                  <c:v>100583.11768729986</c:v>
                </c:pt>
                <c:pt idx="8">
                  <c:v>100662.11295853092</c:v>
                </c:pt>
                <c:pt idx="9">
                  <c:v>100700.19208009892</c:v>
                </c:pt>
                <c:pt idx="10">
                  <c:v>100883.42614960787</c:v>
                </c:pt>
                <c:pt idx="11">
                  <c:v>101665.66614762931</c:v>
                </c:pt>
                <c:pt idx="12">
                  <c:v>101704.12489985241</c:v>
                </c:pt>
                <c:pt idx="13">
                  <c:v>101764.61577374578</c:v>
                </c:pt>
                <c:pt idx="14">
                  <c:v>101385.31595660739</c:v>
                </c:pt>
                <c:pt idx="15">
                  <c:v>101925.58816680856</c:v>
                </c:pt>
                <c:pt idx="16">
                  <c:v>101238.29098767835</c:v>
                </c:pt>
                <c:pt idx="17">
                  <c:v>101801.00378047516</c:v>
                </c:pt>
                <c:pt idx="18">
                  <c:v>102756.02953724095</c:v>
                </c:pt>
                <c:pt idx="19">
                  <c:v>102415.33915337811</c:v>
                </c:pt>
                <c:pt idx="20">
                  <c:v>101848.12952178998</c:v>
                </c:pt>
                <c:pt idx="21">
                  <c:v>102715.46819279753</c:v>
                </c:pt>
                <c:pt idx="22">
                  <c:v>102754.32407099511</c:v>
                </c:pt>
                <c:pt idx="23">
                  <c:v>102793.19464784807</c:v>
                </c:pt>
                <c:pt idx="24">
                  <c:v>102832.07992891673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D-4552-A770-DD4829B7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92000"/>
        <c:axId val="508603128"/>
      </c:lineChart>
      <c:catAx>
        <c:axId val="61229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603128"/>
        <c:crosses val="autoZero"/>
        <c:auto val="1"/>
        <c:lblAlgn val="ctr"/>
        <c:lblOffset val="100"/>
        <c:noMultiLvlLbl val="0"/>
      </c:catAx>
      <c:valAx>
        <c:axId val="5086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Com_Peso!$J$2:$J$26</c:f>
              <c:numCache>
                <c:formatCode>_(* #,##0.00_);_(* \(#,##0.00\);_(* "-"??_);_(@_)</c:formatCode>
                <c:ptCount val="25"/>
                <c:pt idx="0">
                  <c:v>100000</c:v>
                </c:pt>
                <c:pt idx="1">
                  <c:v>100037.82865315342</c:v>
                </c:pt>
                <c:pt idx="2">
                  <c:v>100075.67161637684</c:v>
                </c:pt>
                <c:pt idx="3">
                  <c:v>99828.043452583079</c:v>
                </c:pt>
                <c:pt idx="4">
                  <c:v>100508.16020442822</c:v>
                </c:pt>
                <c:pt idx="5">
                  <c:v>100546.18108774284</c:v>
                </c:pt>
                <c:pt idx="6">
                  <c:v>100634.94760661476</c:v>
                </c:pt>
                <c:pt idx="7">
                  <c:v>100283.51324123281</c:v>
                </c:pt>
                <c:pt idx="8">
                  <c:v>100362.27321120237</c:v>
                </c:pt>
                <c:pt idx="9">
                  <c:v>100400.23890743233</c:v>
                </c:pt>
                <c:pt idx="10">
                  <c:v>100438.21896557383</c:v>
                </c:pt>
                <c:pt idx="11">
                  <c:v>100476.21339105981</c:v>
                </c:pt>
                <c:pt idx="12">
                  <c:v>100514.22218932521</c:v>
                </c:pt>
                <c:pt idx="13">
                  <c:v>100546.80537197417</c:v>
                </c:pt>
                <c:pt idx="14">
                  <c:v>100584.84087423519</c:v>
                </c:pt>
                <c:pt idx="15">
                  <c:v>100622.89076481442</c:v>
                </c:pt>
                <c:pt idx="16">
                  <c:v>100660.9550491548</c:v>
                </c:pt>
                <c:pt idx="17">
                  <c:v>100699.03373270127</c:v>
                </c:pt>
                <c:pt idx="18">
                  <c:v>100737.12682090087</c:v>
                </c:pt>
                <c:pt idx="19">
                  <c:v>100775.23431920267</c:v>
                </c:pt>
                <c:pt idx="20">
                  <c:v>100813.35623305784</c:v>
                </c:pt>
                <c:pt idx="21">
                  <c:v>100851.49256791957</c:v>
                </c:pt>
                <c:pt idx="22">
                  <c:v>100889.64332924315</c:v>
                </c:pt>
                <c:pt idx="23">
                  <c:v>100927.8085224859</c:v>
                </c:pt>
                <c:pt idx="24">
                  <c:v>100965.98815310722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2-4849-A3B1-496FE03A7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292000"/>
        <c:axId val="508603128"/>
      </c:lineChart>
      <c:catAx>
        <c:axId val="61229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8603128"/>
        <c:crosses val="autoZero"/>
        <c:auto val="1"/>
        <c:lblAlgn val="ctr"/>
        <c:lblOffset val="100"/>
        <c:noMultiLvlLbl val="0"/>
      </c:catAx>
      <c:valAx>
        <c:axId val="5086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22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39760</xdr:colOff>
      <xdr:row>3</xdr:row>
      <xdr:rowOff>29817</xdr:rowOff>
    </xdr:from>
    <xdr:to>
      <xdr:col>23</xdr:col>
      <xdr:colOff>536716</xdr:colOff>
      <xdr:row>17</xdr:row>
      <xdr:rowOff>182218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EE58B-4202-4E46-98A9-FB2833DCC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39760</xdr:colOff>
      <xdr:row>3</xdr:row>
      <xdr:rowOff>29817</xdr:rowOff>
    </xdr:from>
    <xdr:to>
      <xdr:col>29</xdr:col>
      <xdr:colOff>536716</xdr:colOff>
      <xdr:row>17</xdr:row>
      <xdr:rowOff>182218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20422-1E1A-491B-8531-760E7B8CA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</xdr:row>
      <xdr:rowOff>29817</xdr:rowOff>
    </xdr:from>
    <xdr:to>
      <xdr:col>26</xdr:col>
      <xdr:colOff>536716</xdr:colOff>
      <xdr:row>17</xdr:row>
      <xdr:rowOff>182218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E2D2E-D7A8-4073-8056-B40D333D6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205413</xdr:colOff>
      <xdr:row>6</xdr:row>
      <xdr:rowOff>142461</xdr:rowOff>
    </xdr:from>
    <xdr:to>
      <xdr:col>37</xdr:col>
      <xdr:colOff>92769</xdr:colOff>
      <xdr:row>21</xdr:row>
      <xdr:rowOff>109331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11BE2-8033-44C9-B2B9-CDB788802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583096</xdr:colOff>
      <xdr:row>1</xdr:row>
      <xdr:rowOff>142461</xdr:rowOff>
    </xdr:from>
    <xdr:to>
      <xdr:col>28</xdr:col>
      <xdr:colOff>132525</xdr:colOff>
      <xdr:row>16</xdr:row>
      <xdr:rowOff>102706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079B2E-F721-4815-BCD5-E796BBAD8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47BE-6A2A-4B91-85F0-E93F4FDB3CA9}">
  <sheetPr codeName="Sheet1"/>
  <dimension ref="A1:Q26"/>
  <sheetViews>
    <sheetView showGridLines="0" tabSelected="1" zoomScale="115" zoomScaleNormal="115" workbookViewId="0">
      <selection activeCell="B25" sqref="B25"/>
    </sheetView>
  </sheetViews>
  <sheetFormatPr defaultRowHeight="14.4" x14ac:dyDescent="0.3"/>
  <cols>
    <col min="1" max="1" width="15" customWidth="1"/>
    <col min="2" max="2" width="7.88671875" style="1" bestFit="1" customWidth="1"/>
    <col min="3" max="3" width="11.33203125" style="2" customWidth="1"/>
    <col min="4" max="4" width="1.33203125" style="4" customWidth="1"/>
    <col min="5" max="5" width="6.6640625" style="11" customWidth="1"/>
    <col min="6" max="6" width="1.44140625" customWidth="1"/>
    <col min="7" max="7" width="6.88671875" customWidth="1"/>
    <col min="8" max="8" width="14.21875" bestFit="1" customWidth="1"/>
    <col min="9" max="10" width="11.6640625" customWidth="1"/>
    <col min="11" max="11" width="10.21875" customWidth="1"/>
    <col min="12" max="12" width="3.109375" customWidth="1"/>
    <col min="13" max="13" width="11.5546875" style="2" bestFit="1" customWidth="1"/>
    <col min="14" max="14" width="11.5546875" bestFit="1" customWidth="1"/>
    <col min="15" max="15" width="11.6640625" customWidth="1"/>
    <col min="16" max="16" width="13.109375" bestFit="1" customWidth="1"/>
  </cols>
  <sheetData>
    <row r="1" spans="1:17" s="23" customFormat="1" ht="34.799999999999997" customHeight="1" thickBot="1" x14ac:dyDescent="0.35">
      <c r="A1" s="3" t="s">
        <v>4</v>
      </c>
      <c r="B1" s="10" t="s">
        <v>0</v>
      </c>
      <c r="C1" s="3" t="s">
        <v>5</v>
      </c>
      <c r="D1" s="22"/>
      <c r="E1" s="20" t="s">
        <v>6</v>
      </c>
      <c r="G1" s="24" t="s">
        <v>12</v>
      </c>
      <c r="H1" s="25">
        <v>100000</v>
      </c>
      <c r="I1" s="3" t="s">
        <v>2</v>
      </c>
      <c r="J1" s="3" t="s">
        <v>9</v>
      </c>
      <c r="K1" s="3" t="s">
        <v>1</v>
      </c>
      <c r="M1" s="3" t="s">
        <v>11</v>
      </c>
      <c r="N1" s="3" t="s">
        <v>11</v>
      </c>
      <c r="O1" s="3" t="s">
        <v>2</v>
      </c>
      <c r="P1" s="21">
        <f t="array" ref="P1">PRODUCT(M3:M26+1)-1</f>
        <v>8.3951686084002608E-2</v>
      </c>
      <c r="Q1" s="21">
        <f t="array" ref="Q1">PRODUCT(N3:N26+1)-1</f>
        <v>8.3951686084002608E-2</v>
      </c>
    </row>
    <row r="2" spans="1:17" ht="15" thickTop="1" x14ac:dyDescent="0.3">
      <c r="A2" s="13">
        <v>44007</v>
      </c>
      <c r="B2" s="14">
        <v>100</v>
      </c>
      <c r="C2" s="19"/>
      <c r="E2" s="15">
        <v>1</v>
      </c>
      <c r="I2" s="16">
        <f>H1</f>
        <v>100000</v>
      </c>
      <c r="J2" s="16"/>
      <c r="K2" s="1">
        <f>E2*I2/B2</f>
        <v>1000</v>
      </c>
      <c r="L2" s="1"/>
      <c r="M2" s="5"/>
      <c r="N2" s="16"/>
      <c r="O2" s="16">
        <f>I2</f>
        <v>100000</v>
      </c>
      <c r="P2" s="16">
        <f>I26/I2-1</f>
        <v>8.3951686084003274E-2</v>
      </c>
    </row>
    <row r="3" spans="1:17" x14ac:dyDescent="0.3">
      <c r="A3" s="9">
        <v>44008</v>
      </c>
      <c r="B3" s="1">
        <v>100.10289999999999</v>
      </c>
      <c r="C3" s="7">
        <f>B3/B2-1</f>
        <v>1.0289999999999466E-3</v>
      </c>
      <c r="E3" s="12">
        <v>1</v>
      </c>
      <c r="I3" s="16">
        <f>I2+J3</f>
        <v>100102.9</v>
      </c>
      <c r="J3" s="17">
        <f>K2*(B3-B2)</f>
        <v>102.89999999999111</v>
      </c>
      <c r="K3" s="1">
        <f t="shared" ref="K3:K26" si="0">E3*I3/B3</f>
        <v>1000</v>
      </c>
      <c r="L3" s="1"/>
      <c r="M3" s="6">
        <f>I3/I2-1</f>
        <v>1.0289999999999466E-3</v>
      </c>
      <c r="N3" s="8">
        <f>E2*C3</f>
        <v>1.0289999999999466E-3</v>
      </c>
      <c r="O3" s="16">
        <f>O2*(1+N3)</f>
        <v>100102.9</v>
      </c>
    </row>
    <row r="4" spans="1:17" x14ac:dyDescent="0.3">
      <c r="A4" s="13">
        <v>44011</v>
      </c>
      <c r="B4" s="14">
        <v>100.25807951557999</v>
      </c>
      <c r="C4" s="19">
        <f t="shared" ref="C4:C26" si="1">B4/B3-1</f>
        <v>1.5502000000000571E-3</v>
      </c>
      <c r="E4" s="15">
        <v>-1</v>
      </c>
      <c r="I4" s="16">
        <f t="shared" ref="I4:I26" si="2">I3+J4</f>
        <v>100258.07951558</v>
      </c>
      <c r="J4" s="17">
        <f t="shared" ref="J4:J26" si="3">K3*(B4-B3)</f>
        <v>155.1795155800022</v>
      </c>
      <c r="K4" s="1">
        <f t="shared" si="0"/>
        <v>-1000.0000000000001</v>
      </c>
      <c r="L4" s="1"/>
      <c r="M4" s="6">
        <f t="shared" ref="M4:M26" si="4">I4/I3-1</f>
        <v>1.5502000000000571E-3</v>
      </c>
      <c r="N4" s="8">
        <f t="shared" ref="N4:N26" si="5">E3*C4</f>
        <v>1.5502000000000571E-3</v>
      </c>
      <c r="O4" s="16">
        <f t="shared" ref="O4:O26" si="6">O3*(1+N4)</f>
        <v>100258.07951558</v>
      </c>
    </row>
    <row r="5" spans="1:17" x14ac:dyDescent="0.3">
      <c r="A5" s="9">
        <v>44012</v>
      </c>
      <c r="B5" s="1">
        <v>100.01</v>
      </c>
      <c r="C5" s="7">
        <f t="shared" si="1"/>
        <v>-2.474409212490869E-3</v>
      </c>
      <c r="E5" s="12">
        <v>1</v>
      </c>
      <c r="I5" s="16">
        <f t="shared" si="2"/>
        <v>100506.15903115999</v>
      </c>
      <c r="J5" s="17">
        <f t="shared" si="3"/>
        <v>248.07951557998823</v>
      </c>
      <c r="K5" s="1">
        <f t="shared" si="0"/>
        <v>1004.9610942021797</v>
      </c>
      <c r="L5" s="1"/>
      <c r="M5" s="6">
        <f t="shared" si="4"/>
        <v>2.474409212490869E-3</v>
      </c>
      <c r="N5" s="8">
        <f>E4*C5</f>
        <v>2.474409212490869E-3</v>
      </c>
      <c r="O5" s="16">
        <f t="shared" si="6"/>
        <v>100506.15903115999</v>
      </c>
    </row>
    <row r="6" spans="1:17" x14ac:dyDescent="0.3">
      <c r="A6" s="13">
        <v>44013</v>
      </c>
      <c r="B6" s="14">
        <v>101.33488036490562</v>
      </c>
      <c r="C6" s="19">
        <f t="shared" si="1"/>
        <v>1.3247478901166065E-2</v>
      </c>
      <c r="E6" s="15">
        <v>1</v>
      </c>
      <c r="I6" s="16">
        <f t="shared" si="2"/>
        <v>101837.61225236251</v>
      </c>
      <c r="J6" s="17">
        <f t="shared" si="3"/>
        <v>1331.4532212025249</v>
      </c>
      <c r="K6" s="1">
        <f t="shared" si="0"/>
        <v>1004.9610942021795</v>
      </c>
      <c r="L6" s="1"/>
      <c r="M6" s="6">
        <f t="shared" si="4"/>
        <v>1.3247478901166065E-2</v>
      </c>
      <c r="N6" s="8">
        <f t="shared" si="5"/>
        <v>1.3247478901166065E-2</v>
      </c>
      <c r="O6" s="16">
        <f t="shared" si="6"/>
        <v>101837.61225236252</v>
      </c>
    </row>
    <row r="7" spans="1:17" x14ac:dyDescent="0.3">
      <c r="A7" s="9">
        <v>44014</v>
      </c>
      <c r="B7" s="1">
        <v>101.42272757269394</v>
      </c>
      <c r="C7" s="7">
        <f t="shared" si="1"/>
        <v>8.6689999999989276E-4</v>
      </c>
      <c r="E7" s="12">
        <v>1</v>
      </c>
      <c r="I7" s="16">
        <f t="shared" si="2"/>
        <v>101925.89527842407</v>
      </c>
      <c r="J7" s="17">
        <f t="shared" si="3"/>
        <v>88.28302606156511</v>
      </c>
      <c r="K7" s="1">
        <f t="shared" si="0"/>
        <v>1004.9610942021795</v>
      </c>
      <c r="L7" s="1"/>
      <c r="M7" s="6">
        <f t="shared" si="4"/>
        <v>8.6689999999989276E-4</v>
      </c>
      <c r="N7" s="8">
        <f t="shared" si="5"/>
        <v>8.6689999999989276E-4</v>
      </c>
      <c r="O7" s="16">
        <f t="shared" si="6"/>
        <v>101925.89527842408</v>
      </c>
    </row>
    <row r="8" spans="1:17" x14ac:dyDescent="0.3">
      <c r="A8" s="13">
        <v>44015</v>
      </c>
      <c r="B8" s="14">
        <v>101.5634414649283</v>
      </c>
      <c r="C8" s="19">
        <f t="shared" si="1"/>
        <v>1.3874000000000386E-3</v>
      </c>
      <c r="E8" s="15">
        <v>1</v>
      </c>
      <c r="I8" s="16">
        <f t="shared" si="2"/>
        <v>102067.30726553335</v>
      </c>
      <c r="J8" s="17">
        <f t="shared" si="3"/>
        <v>141.41198710928916</v>
      </c>
      <c r="K8" s="1">
        <f t="shared" si="0"/>
        <v>1004.9610942021794</v>
      </c>
      <c r="L8" s="1"/>
      <c r="M8" s="6">
        <f t="shared" si="4"/>
        <v>1.3874000000000386E-3</v>
      </c>
      <c r="N8" s="8">
        <f t="shared" si="5"/>
        <v>1.3874000000000386E-3</v>
      </c>
      <c r="O8" s="16">
        <f t="shared" si="6"/>
        <v>102067.30726553337</v>
      </c>
    </row>
    <row r="9" spans="1:17" x14ac:dyDescent="0.3">
      <c r="A9" s="9">
        <v>44018</v>
      </c>
      <c r="B9" s="1">
        <v>102.38805535887036</v>
      </c>
      <c r="C9" s="7">
        <f t="shared" si="1"/>
        <v>8.1192000000001041E-3</v>
      </c>
      <c r="E9" s="12">
        <v>1</v>
      </c>
      <c r="I9" s="16">
        <f t="shared" si="2"/>
        <v>102896.01214668369</v>
      </c>
      <c r="J9" s="17">
        <f t="shared" si="3"/>
        <v>828.70488115033004</v>
      </c>
      <c r="K9" s="1">
        <f t="shared" si="0"/>
        <v>1004.9610942021795</v>
      </c>
      <c r="L9" s="1"/>
      <c r="M9" s="6">
        <f t="shared" si="4"/>
        <v>8.1192000000001041E-3</v>
      </c>
      <c r="N9" s="8">
        <f t="shared" si="5"/>
        <v>8.1192000000001041E-3</v>
      </c>
      <c r="O9" s="16">
        <f t="shared" si="6"/>
        <v>102896.0121466837</v>
      </c>
    </row>
    <row r="10" spans="1:17" x14ac:dyDescent="0.3">
      <c r="A10" s="13">
        <v>44019</v>
      </c>
      <c r="B10" s="14">
        <v>102.38510658287602</v>
      </c>
      <c r="C10" s="19">
        <f t="shared" si="1"/>
        <v>-2.8800000000051007E-5</v>
      </c>
      <c r="E10" s="15">
        <v>1</v>
      </c>
      <c r="I10" s="16">
        <f t="shared" si="2"/>
        <v>102893.04874153386</v>
      </c>
      <c r="J10" s="17">
        <f t="shared" si="3"/>
        <v>-2.9634051498297853</v>
      </c>
      <c r="K10" s="1">
        <f t="shared" si="0"/>
        <v>1004.9610942021795</v>
      </c>
      <c r="L10" s="1"/>
      <c r="M10" s="6">
        <f t="shared" si="4"/>
        <v>-2.8800000000051007E-5</v>
      </c>
      <c r="N10" s="8">
        <f t="shared" si="5"/>
        <v>-2.8800000000051007E-5</v>
      </c>
      <c r="O10" s="16">
        <f t="shared" si="6"/>
        <v>102893.04874153387</v>
      </c>
    </row>
    <row r="11" spans="1:17" x14ac:dyDescent="0.3">
      <c r="A11" s="9">
        <v>44020</v>
      </c>
      <c r="B11" s="1">
        <v>102.74146818484839</v>
      </c>
      <c r="C11" s="7">
        <f t="shared" si="1"/>
        <v>3.4806000000000559E-3</v>
      </c>
      <c r="E11" s="12">
        <v>-1</v>
      </c>
      <c r="I11" s="16">
        <f t="shared" si="2"/>
        <v>103251.17828698365</v>
      </c>
      <c r="J11" s="17">
        <f t="shared" si="3"/>
        <v>358.12954544979129</v>
      </c>
      <c r="K11" s="1">
        <f t="shared" si="0"/>
        <v>-1004.9610942021795</v>
      </c>
      <c r="L11" s="1"/>
      <c r="M11" s="6">
        <f t="shared" si="4"/>
        <v>3.4806000000000559E-3</v>
      </c>
      <c r="N11" s="8">
        <f t="shared" si="5"/>
        <v>3.4806000000000559E-3</v>
      </c>
      <c r="O11" s="16">
        <f t="shared" si="6"/>
        <v>103251.17828698366</v>
      </c>
    </row>
    <row r="12" spans="1:17" x14ac:dyDescent="0.3">
      <c r="A12" s="13">
        <v>44021</v>
      </c>
      <c r="B12" s="14">
        <v>102.92841656035753</v>
      </c>
      <c r="C12" s="19">
        <f t="shared" si="1"/>
        <v>1.8195999999999213E-3</v>
      </c>
      <c r="E12" s="15">
        <v>-1</v>
      </c>
      <c r="I12" s="16">
        <f t="shared" si="2"/>
        <v>103063.30244297265</v>
      </c>
      <c r="J12" s="17">
        <f t="shared" si="3"/>
        <v>-187.87584401099187</v>
      </c>
      <c r="K12" s="1">
        <f t="shared" si="0"/>
        <v>-1001.310482441319</v>
      </c>
      <c r="L12" s="1"/>
      <c r="M12" s="6">
        <f t="shared" si="4"/>
        <v>-1.8196000000000323E-3</v>
      </c>
      <c r="N12" s="8">
        <f t="shared" si="5"/>
        <v>-1.8195999999999213E-3</v>
      </c>
      <c r="O12" s="16">
        <f t="shared" si="6"/>
        <v>103063.30244297268</v>
      </c>
    </row>
    <row r="13" spans="1:17" x14ac:dyDescent="0.3">
      <c r="A13" s="9">
        <v>44022</v>
      </c>
      <c r="B13" s="1">
        <v>103.72651320952488</v>
      </c>
      <c r="C13" s="7">
        <f t="shared" si="1"/>
        <v>7.7538999999999803E-3</v>
      </c>
      <c r="E13" s="12">
        <v>-1</v>
      </c>
      <c r="I13" s="16">
        <f t="shared" si="2"/>
        <v>102264.1599021601</v>
      </c>
      <c r="J13" s="17">
        <f t="shared" si="3"/>
        <v>-799.14254081255774</v>
      </c>
      <c r="K13" s="1">
        <f t="shared" si="0"/>
        <v>-985.90183683885266</v>
      </c>
      <c r="L13" s="1"/>
      <c r="M13" s="6">
        <f t="shared" si="4"/>
        <v>-7.7538999999998692E-3</v>
      </c>
      <c r="N13" s="8">
        <f t="shared" si="5"/>
        <v>-7.7538999999999803E-3</v>
      </c>
      <c r="O13" s="16">
        <f t="shared" si="6"/>
        <v>102264.15990216011</v>
      </c>
    </row>
    <row r="14" spans="1:17" x14ac:dyDescent="0.3">
      <c r="A14" s="13">
        <v>44025</v>
      </c>
      <c r="B14" s="14">
        <v>104.1929194761715</v>
      </c>
      <c r="C14" s="19">
        <f t="shared" si="1"/>
        <v>4.4964999999999034E-3</v>
      </c>
      <c r="E14" s="15">
        <v>-1</v>
      </c>
      <c r="I14" s="16">
        <f t="shared" si="2"/>
        <v>101804.32910716005</v>
      </c>
      <c r="J14" s="17">
        <f t="shared" si="3"/>
        <v>-459.83079500004953</v>
      </c>
      <c r="K14" s="1">
        <f t="shared" si="0"/>
        <v>-977.07531009765296</v>
      </c>
      <c r="L14" s="1"/>
      <c r="M14" s="6">
        <f t="shared" si="4"/>
        <v>-4.4964999999997923E-3</v>
      </c>
      <c r="N14" s="8">
        <f t="shared" si="5"/>
        <v>-4.4964999999999034E-3</v>
      </c>
      <c r="O14" s="16">
        <f t="shared" si="6"/>
        <v>101804.32910716005</v>
      </c>
    </row>
    <row r="15" spans="1:17" x14ac:dyDescent="0.3">
      <c r="A15" s="9">
        <v>44026</v>
      </c>
      <c r="B15" s="1">
        <v>104.20977789054275</v>
      </c>
      <c r="C15" s="7">
        <f t="shared" si="1"/>
        <v>1.6180000000010075E-4</v>
      </c>
      <c r="E15" s="12">
        <v>1</v>
      </c>
      <c r="I15" s="16">
        <f t="shared" si="2"/>
        <v>101787.8571667105</v>
      </c>
      <c r="J15" s="17">
        <f t="shared" si="3"/>
        <v>-16.471940449550132</v>
      </c>
      <c r="K15" s="1">
        <f t="shared" si="0"/>
        <v>976.75917967720716</v>
      </c>
      <c r="L15" s="1"/>
      <c r="M15" s="6">
        <f t="shared" si="4"/>
        <v>-1.6180000000021177E-4</v>
      </c>
      <c r="N15" s="8">
        <f t="shared" si="5"/>
        <v>-1.6180000000010075E-4</v>
      </c>
      <c r="O15" s="16">
        <f t="shared" si="6"/>
        <v>101787.8571667105</v>
      </c>
    </row>
    <row r="16" spans="1:17" x14ac:dyDescent="0.3">
      <c r="A16" s="13">
        <v>44027</v>
      </c>
      <c r="B16" s="14">
        <v>104.67703369264838</v>
      </c>
      <c r="C16" s="19">
        <f t="shared" si="1"/>
        <v>4.4838000000000378E-3</v>
      </c>
      <c r="E16" s="15">
        <v>1</v>
      </c>
      <c r="I16" s="16">
        <f t="shared" si="2"/>
        <v>102244.25356067461</v>
      </c>
      <c r="J16" s="17">
        <f t="shared" si="3"/>
        <v>456.39639396410684</v>
      </c>
      <c r="K16" s="1">
        <f t="shared" si="0"/>
        <v>976.75917967720716</v>
      </c>
      <c r="L16" s="1"/>
      <c r="M16" s="6">
        <f t="shared" si="4"/>
        <v>4.4838000000000378E-3</v>
      </c>
      <c r="N16" s="8">
        <f t="shared" si="5"/>
        <v>4.4838000000000378E-3</v>
      </c>
      <c r="O16" s="16">
        <f t="shared" si="6"/>
        <v>102244.2535606746</v>
      </c>
    </row>
    <row r="17" spans="1:15" x14ac:dyDescent="0.3">
      <c r="A17" s="9">
        <v>44028</v>
      </c>
      <c r="B17" s="1">
        <v>105.23484713749315</v>
      </c>
      <c r="C17" s="7">
        <f t="shared" si="1"/>
        <v>5.3289000000000808E-3</v>
      </c>
      <c r="E17" s="12">
        <v>1</v>
      </c>
      <c r="I17" s="16">
        <f t="shared" si="2"/>
        <v>102789.1029634741</v>
      </c>
      <c r="J17" s="17">
        <f t="shared" si="3"/>
        <v>544.84940279949308</v>
      </c>
      <c r="K17" s="1">
        <f t="shared" si="0"/>
        <v>976.75917967720716</v>
      </c>
      <c r="L17" s="1"/>
      <c r="M17" s="6">
        <f t="shared" si="4"/>
        <v>5.3289000000000808E-3</v>
      </c>
      <c r="N17" s="8">
        <f t="shared" si="5"/>
        <v>5.3289000000000808E-3</v>
      </c>
      <c r="O17" s="16">
        <f t="shared" si="6"/>
        <v>102789.10296347408</v>
      </c>
    </row>
    <row r="18" spans="1:15" x14ac:dyDescent="0.3">
      <c r="A18" s="13">
        <v>44029</v>
      </c>
      <c r="B18" s="14">
        <v>106.02407692057022</v>
      </c>
      <c r="C18" s="19">
        <f t="shared" si="1"/>
        <v>7.4997000000001091E-3</v>
      </c>
      <c r="E18" s="15">
        <v>1</v>
      </c>
      <c r="I18" s="16">
        <f t="shared" si="2"/>
        <v>103559.99039896928</v>
      </c>
      <c r="J18" s="17">
        <f t="shared" si="3"/>
        <v>770.88743549518472</v>
      </c>
      <c r="K18" s="1">
        <f t="shared" si="0"/>
        <v>976.75917967720716</v>
      </c>
      <c r="L18" s="1"/>
      <c r="M18" s="6">
        <f t="shared" si="4"/>
        <v>7.4997000000001091E-3</v>
      </c>
      <c r="N18" s="8">
        <f t="shared" si="5"/>
        <v>7.4997000000001091E-3</v>
      </c>
      <c r="O18" s="16">
        <f t="shared" si="6"/>
        <v>103559.99039896927</v>
      </c>
    </row>
    <row r="19" spans="1:15" x14ac:dyDescent="0.3">
      <c r="A19" s="9">
        <v>44032</v>
      </c>
      <c r="B19" s="1">
        <v>106.61339054731782</v>
      </c>
      <c r="C19" s="7">
        <f t="shared" si="1"/>
        <v>5.558299999999905E-3</v>
      </c>
      <c r="E19" s="12">
        <v>1</v>
      </c>
      <c r="I19" s="16">
        <f t="shared" si="2"/>
        <v>104135.60789360387</v>
      </c>
      <c r="J19" s="17">
        <f t="shared" si="3"/>
        <v>575.61749463458239</v>
      </c>
      <c r="K19" s="1">
        <f t="shared" si="0"/>
        <v>976.75917967720716</v>
      </c>
      <c r="L19" s="1"/>
      <c r="M19" s="6">
        <f t="shared" si="4"/>
        <v>5.558299999999905E-3</v>
      </c>
      <c r="N19" s="8">
        <f t="shared" si="5"/>
        <v>5.558299999999905E-3</v>
      </c>
      <c r="O19" s="16">
        <f t="shared" si="6"/>
        <v>104135.60789360385</v>
      </c>
    </row>
    <row r="20" spans="1:15" x14ac:dyDescent="0.3">
      <c r="A20" s="13">
        <v>44033</v>
      </c>
      <c r="B20" s="14">
        <v>107.61356274805938</v>
      </c>
      <c r="C20" s="19">
        <f t="shared" si="1"/>
        <v>9.3813000000000368E-3</v>
      </c>
      <c r="E20" s="15">
        <v>1</v>
      </c>
      <c r="I20" s="16">
        <f t="shared" si="2"/>
        <v>105112.53527193614</v>
      </c>
      <c r="J20" s="17">
        <f t="shared" si="3"/>
        <v>976.92737833227261</v>
      </c>
      <c r="K20" s="1">
        <f t="shared" si="0"/>
        <v>976.75917967720716</v>
      </c>
      <c r="L20" s="1"/>
      <c r="M20" s="6">
        <f t="shared" si="4"/>
        <v>9.3813000000000368E-3</v>
      </c>
      <c r="N20" s="8">
        <f t="shared" si="5"/>
        <v>9.3813000000000368E-3</v>
      </c>
      <c r="O20" s="16">
        <f t="shared" si="6"/>
        <v>105112.53527193613</v>
      </c>
    </row>
    <row r="21" spans="1:15" x14ac:dyDescent="0.3">
      <c r="A21" s="9">
        <v>44034</v>
      </c>
      <c r="B21" s="1">
        <v>108.05177593692574</v>
      </c>
      <c r="C21" s="7">
        <f t="shared" si="1"/>
        <v>4.0720999999999119E-3</v>
      </c>
      <c r="E21" s="12">
        <v>1</v>
      </c>
      <c r="I21" s="16">
        <f t="shared" si="2"/>
        <v>105540.56402681698</v>
      </c>
      <c r="J21" s="17">
        <f t="shared" si="3"/>
        <v>428.02875488083544</v>
      </c>
      <c r="K21" s="1">
        <f t="shared" si="0"/>
        <v>976.75917967720727</v>
      </c>
      <c r="L21" s="1"/>
      <c r="M21" s="6">
        <f t="shared" si="4"/>
        <v>4.0720999999999119E-3</v>
      </c>
      <c r="N21" s="8">
        <f t="shared" si="5"/>
        <v>4.0720999999999119E-3</v>
      </c>
      <c r="O21" s="16">
        <f t="shared" si="6"/>
        <v>105540.56402681697</v>
      </c>
    </row>
    <row r="22" spans="1:15" x14ac:dyDescent="0.3">
      <c r="A22" s="13">
        <v>44035</v>
      </c>
      <c r="B22" s="14">
        <v>108.7319510612711</v>
      </c>
      <c r="C22" s="19">
        <f t="shared" si="1"/>
        <v>6.2949000000001032E-3</v>
      </c>
      <c r="E22" s="15">
        <v>1</v>
      </c>
      <c r="I22" s="16">
        <f t="shared" si="2"/>
        <v>106204.9313233094</v>
      </c>
      <c r="J22" s="17">
        <f t="shared" si="3"/>
        <v>664.36729649242409</v>
      </c>
      <c r="K22" s="1">
        <f t="shared" si="0"/>
        <v>976.75917967720716</v>
      </c>
      <c r="L22" s="1"/>
      <c r="M22" s="6">
        <f t="shared" si="4"/>
        <v>6.2949000000001032E-3</v>
      </c>
      <c r="N22" s="8">
        <f t="shared" si="5"/>
        <v>6.2949000000001032E-3</v>
      </c>
      <c r="O22" s="16">
        <f t="shared" si="6"/>
        <v>106204.93132330939</v>
      </c>
    </row>
    <row r="23" spans="1:15" x14ac:dyDescent="0.3">
      <c r="A23" s="9">
        <v>44036</v>
      </c>
      <c r="B23" s="1">
        <v>109.65791235650889</v>
      </c>
      <c r="C23" s="7">
        <f t="shared" si="1"/>
        <v>8.515999999999968E-3</v>
      </c>
      <c r="E23" s="12">
        <v>1</v>
      </c>
      <c r="I23" s="16">
        <f t="shared" si="2"/>
        <v>107109.37251845869</v>
      </c>
      <c r="J23" s="17">
        <f t="shared" si="3"/>
        <v>904.44119514930173</v>
      </c>
      <c r="K23" s="1">
        <f t="shared" si="0"/>
        <v>976.75917967720716</v>
      </c>
      <c r="L23" s="1"/>
      <c r="M23" s="6">
        <f t="shared" si="4"/>
        <v>8.515999999999968E-3</v>
      </c>
      <c r="N23" s="8">
        <f t="shared" si="5"/>
        <v>8.515999999999968E-3</v>
      </c>
      <c r="O23" s="16">
        <f t="shared" si="6"/>
        <v>107109.37251845868</v>
      </c>
    </row>
    <row r="24" spans="1:15" x14ac:dyDescent="0.3">
      <c r="A24" s="13">
        <v>44039</v>
      </c>
      <c r="B24" s="14">
        <v>109.68628085843552</v>
      </c>
      <c r="C24" s="19">
        <f t="shared" si="1"/>
        <v>2.5870000000005611E-4</v>
      </c>
      <c r="E24" s="15">
        <v>1</v>
      </c>
      <c r="I24" s="16">
        <f t="shared" si="2"/>
        <v>107137.08171312923</v>
      </c>
      <c r="J24" s="17">
        <f t="shared" si="3"/>
        <v>27.709194670532014</v>
      </c>
      <c r="K24" s="1">
        <f t="shared" si="0"/>
        <v>976.75917967720716</v>
      </c>
      <c r="L24" s="1"/>
      <c r="M24" s="6">
        <f t="shared" si="4"/>
        <v>2.5870000000005611E-4</v>
      </c>
      <c r="N24" s="8">
        <f t="shared" si="5"/>
        <v>2.5870000000005611E-4</v>
      </c>
      <c r="O24" s="16">
        <f t="shared" si="6"/>
        <v>107137.08171312921</v>
      </c>
    </row>
    <row r="25" spans="1:15" x14ac:dyDescent="0.3">
      <c r="A25" s="9">
        <v>44040</v>
      </c>
      <c r="B25" s="1">
        <v>110.4838975555819</v>
      </c>
      <c r="C25" s="7">
        <f t="shared" si="1"/>
        <v>7.2718000000000504E-3</v>
      </c>
      <c r="E25" s="12">
        <v>1</v>
      </c>
      <c r="I25" s="16">
        <f t="shared" si="2"/>
        <v>107916.16114393077</v>
      </c>
      <c r="J25" s="17">
        <f t="shared" si="3"/>
        <v>779.07943080154269</v>
      </c>
      <c r="K25" s="1">
        <f t="shared" si="0"/>
        <v>976.75917967720716</v>
      </c>
      <c r="L25" s="1"/>
      <c r="M25" s="6">
        <f t="shared" si="4"/>
        <v>7.2718000000000504E-3</v>
      </c>
      <c r="N25" s="8">
        <f t="shared" si="5"/>
        <v>7.2718000000000504E-3</v>
      </c>
      <c r="O25" s="16">
        <f t="shared" si="6"/>
        <v>107916.16114393075</v>
      </c>
    </row>
    <row r="26" spans="1:15" x14ac:dyDescent="0.3">
      <c r="A26" s="13">
        <v>44041</v>
      </c>
      <c r="B26" s="14">
        <v>110.97430243166185</v>
      </c>
      <c r="C26" s="19">
        <f t="shared" si="1"/>
        <v>4.4386999999999066E-3</v>
      </c>
      <c r="E26" s="15">
        <v>-1</v>
      </c>
      <c r="I26" s="16">
        <f t="shared" si="2"/>
        <v>108395.16860840033</v>
      </c>
      <c r="J26" s="17">
        <f t="shared" si="3"/>
        <v>479.00746446955418</v>
      </c>
      <c r="K26" s="1">
        <f t="shared" si="0"/>
        <v>-976.75917967720716</v>
      </c>
      <c r="L26" s="1"/>
      <c r="M26" s="6">
        <f t="shared" si="4"/>
        <v>4.4386999999999066E-3</v>
      </c>
      <c r="N26" s="8">
        <f t="shared" si="5"/>
        <v>4.4386999999999066E-3</v>
      </c>
      <c r="O26" s="16">
        <f t="shared" si="6"/>
        <v>108395.1686084003</v>
      </c>
    </row>
  </sheetData>
  <conditionalFormatting sqref="E2:E4">
    <cfRule type="cellIs" dxfId="27" priority="3" operator="lessThan">
      <formula>0</formula>
    </cfRule>
  </conditionalFormatting>
  <conditionalFormatting sqref="E5:E26">
    <cfRule type="cellIs" dxfId="26" priority="2" operator="lessThan">
      <formula>0</formula>
    </cfRule>
  </conditionalFormatting>
  <conditionalFormatting sqref="J3:J26">
    <cfRule type="cellIs" dxfId="25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BAF64-6B1A-4BDF-A180-237DD51660D7}">
  <sheetPr codeName="Sheet2"/>
  <dimension ref="A1:W26"/>
  <sheetViews>
    <sheetView showGridLines="0" zoomScale="115" zoomScaleNormal="115" workbookViewId="0">
      <selection activeCell="F12" sqref="F12"/>
    </sheetView>
  </sheetViews>
  <sheetFormatPr defaultRowHeight="14.4" x14ac:dyDescent="0.3"/>
  <cols>
    <col min="1" max="1" width="15" customWidth="1"/>
    <col min="2" max="2" width="7.88671875" style="1" bestFit="1" customWidth="1"/>
    <col min="3" max="4" width="11.33203125" style="2" customWidth="1"/>
    <col min="5" max="5" width="5.88671875" style="4" customWidth="1"/>
    <col min="6" max="6" width="5.88671875" style="11" customWidth="1"/>
    <col min="7" max="7" width="1.44140625" customWidth="1"/>
    <col min="8" max="8" width="6.88671875" customWidth="1"/>
    <col min="9" max="9" width="14.21875" bestFit="1" customWidth="1"/>
    <col min="10" max="11" width="11.6640625" customWidth="1"/>
    <col min="12" max="12" width="11.6640625" style="29" customWidth="1"/>
    <col min="13" max="13" width="10.21875" customWidth="1"/>
    <col min="14" max="15" width="3.109375" customWidth="1"/>
    <col min="16" max="16" width="11.6640625" customWidth="1"/>
    <col min="17" max="17" width="11.6640625" style="31" customWidth="1"/>
    <col min="18" max="18" width="11.6640625" style="4" customWidth="1"/>
    <col min="19" max="19" width="11.5546875" style="2" bestFit="1" customWidth="1"/>
    <col min="20" max="20" width="11.5546875" bestFit="1" customWidth="1"/>
    <col min="21" max="21" width="11.6640625" customWidth="1"/>
    <col min="22" max="22" width="13.109375" bestFit="1" customWidth="1"/>
  </cols>
  <sheetData>
    <row r="1" spans="1:23" s="23" customFormat="1" ht="34.799999999999997" customHeight="1" thickBot="1" x14ac:dyDescent="0.35">
      <c r="A1" s="3" t="s">
        <v>4</v>
      </c>
      <c r="B1" s="10" t="s">
        <v>0</v>
      </c>
      <c r="C1" s="3" t="s">
        <v>5</v>
      </c>
      <c r="D1" s="3" t="s">
        <v>3</v>
      </c>
      <c r="E1" s="22"/>
      <c r="F1" s="20" t="s">
        <v>6</v>
      </c>
      <c r="H1" s="24" t="s">
        <v>12</v>
      </c>
      <c r="I1" s="25">
        <v>100000</v>
      </c>
      <c r="J1" s="3" t="s">
        <v>2</v>
      </c>
      <c r="K1" s="3" t="s">
        <v>9</v>
      </c>
      <c r="L1" s="3" t="s">
        <v>10</v>
      </c>
      <c r="M1" s="3" t="s">
        <v>1</v>
      </c>
      <c r="P1" s="3" t="s">
        <v>7</v>
      </c>
      <c r="Q1" s="3" t="s">
        <v>8</v>
      </c>
      <c r="R1" s="26"/>
      <c r="S1" s="3" t="s">
        <v>11</v>
      </c>
      <c r="T1" s="3" t="s">
        <v>11</v>
      </c>
      <c r="U1" s="3" t="s">
        <v>2</v>
      </c>
      <c r="V1" s="21">
        <f t="array" ref="V1">PRODUCT(S3:S26+1)-1</f>
        <v>3.210986291319684E-2</v>
      </c>
      <c r="W1" s="21">
        <f t="array" ref="W1">PRODUCT(T3:T26+1)-1</f>
        <v>3.2109862913196396E-2</v>
      </c>
    </row>
    <row r="2" spans="1:23" ht="15" thickTop="1" x14ac:dyDescent="0.3">
      <c r="A2" s="13">
        <v>44007</v>
      </c>
      <c r="B2" s="14">
        <v>100</v>
      </c>
      <c r="C2" s="19"/>
      <c r="D2" s="19"/>
      <c r="F2" s="15">
        <v>0</v>
      </c>
      <c r="J2" s="16">
        <f>I1</f>
        <v>100000</v>
      </c>
      <c r="K2" s="16"/>
      <c r="L2" s="28"/>
      <c r="M2" s="1">
        <f>F2*J2/B2</f>
        <v>0</v>
      </c>
      <c r="N2" s="1"/>
      <c r="O2" s="1"/>
      <c r="P2" s="17">
        <f>M2</f>
        <v>0</v>
      </c>
      <c r="Q2" s="32">
        <f>I1-(P2*B2)</f>
        <v>100000</v>
      </c>
      <c r="R2" s="27"/>
      <c r="S2" s="5"/>
      <c r="T2" s="16"/>
      <c r="U2" s="16">
        <f>J2</f>
        <v>100000</v>
      </c>
      <c r="V2" s="16">
        <f>J26/J2-1</f>
        <v>3.2109862913197063E-2</v>
      </c>
    </row>
    <row r="3" spans="1:23" x14ac:dyDescent="0.3">
      <c r="A3" s="9">
        <v>44008</v>
      </c>
      <c r="B3" s="1">
        <v>100.10289999999999</v>
      </c>
      <c r="C3" s="7">
        <f>B3/B2-1</f>
        <v>1.0289999999999466E-3</v>
      </c>
      <c r="D3" s="6">
        <f>(10%+1)^(1/252)-1</f>
        <v>3.782865315342665E-4</v>
      </c>
      <c r="F3" s="12">
        <v>0</v>
      </c>
      <c r="J3" s="16">
        <f>J2+K3+L3</f>
        <v>100037.82865315342</v>
      </c>
      <c r="K3" s="17">
        <f>M2*(B3-B2)</f>
        <v>0</v>
      </c>
      <c r="L3" s="30">
        <f>Q2*D3</f>
        <v>37.82865315342665</v>
      </c>
      <c r="M3" s="1">
        <f t="shared" ref="M3:M26" si="0">F3*J3/B3</f>
        <v>0</v>
      </c>
      <c r="N3" s="1"/>
      <c r="O3" s="1"/>
      <c r="P3" s="17">
        <f>M3-M2</f>
        <v>0</v>
      </c>
      <c r="Q3" s="32">
        <f>Q2-P3*B3+L3</f>
        <v>100037.82865315342</v>
      </c>
      <c r="R3" s="27"/>
      <c r="S3" s="6">
        <f t="shared" ref="S3:S26" si="1">J3/J2-1</f>
        <v>3.782865315342665E-4</v>
      </c>
      <c r="T3" s="8">
        <f t="shared" ref="T3:T26" si="2">IF(F2=0,
D3,
IF(F2=-1,
F2*C3+2*D3,
F2*C3))</f>
        <v>3.782865315342665E-4</v>
      </c>
      <c r="U3" s="16">
        <f>U2*(1+T3)</f>
        <v>100037.82865315342</v>
      </c>
    </row>
    <row r="4" spans="1:23" x14ac:dyDescent="0.3">
      <c r="A4" s="13">
        <v>44011</v>
      </c>
      <c r="B4" s="14">
        <v>100.25807951557999</v>
      </c>
      <c r="C4" s="19">
        <f t="shared" ref="C4:C26" si="3">B4/B3-1</f>
        <v>1.5502000000000571E-3</v>
      </c>
      <c r="D4" s="18">
        <f>(10%+1)^(1/252)-1</f>
        <v>3.782865315342665E-4</v>
      </c>
      <c r="F4" s="15">
        <v>-1</v>
      </c>
      <c r="J4" s="16">
        <f t="shared" ref="J4:J26" si="4">J3+K4+L4</f>
        <v>100075.67161637684</v>
      </c>
      <c r="K4" s="17">
        <f t="shared" ref="K4:K26" si="5">M3*(B4-B3)</f>
        <v>0</v>
      </c>
      <c r="L4" s="30">
        <f t="shared" ref="L4:L26" si="6">Q3*D4</f>
        <v>37.842963223420675</v>
      </c>
      <c r="M4" s="1">
        <f t="shared" si="0"/>
        <v>-998.18061646418425</v>
      </c>
      <c r="N4" s="1"/>
      <c r="O4" s="1"/>
      <c r="P4" s="17">
        <f t="shared" ref="P4:P26" si="7">M4-M3</f>
        <v>-998.18061646418425</v>
      </c>
      <c r="Q4" s="32">
        <f t="shared" ref="Q4:Q26" si="8">Q3-P4*B4+L4</f>
        <v>200151.34323275372</v>
      </c>
      <c r="R4" s="33"/>
      <c r="S4" s="6">
        <f t="shared" si="1"/>
        <v>3.782865315342665E-4</v>
      </c>
      <c r="T4" s="8">
        <f t="shared" si="2"/>
        <v>3.782865315342665E-4</v>
      </c>
      <c r="U4" s="16">
        <f t="shared" ref="U4:U26" si="9">U3*(1+T4)</f>
        <v>100075.67161637684</v>
      </c>
    </row>
    <row r="5" spans="1:23" x14ac:dyDescent="0.3">
      <c r="A5" s="9">
        <v>44012</v>
      </c>
      <c r="B5" s="1">
        <v>100.01</v>
      </c>
      <c r="C5" s="7">
        <f t="shared" si="3"/>
        <v>-2.474409212490869E-3</v>
      </c>
      <c r="D5" s="6">
        <f t="shared" ref="D5:D26" si="10">(10%+1)^(1/252)-1</f>
        <v>3.782865315342665E-4</v>
      </c>
      <c r="F5" s="12">
        <v>-1</v>
      </c>
      <c r="J5" s="16">
        <f t="shared" si="4"/>
        <v>100399.01433758406</v>
      </c>
      <c r="K5" s="17">
        <f t="shared" si="5"/>
        <v>247.62816379376883</v>
      </c>
      <c r="L5" s="30">
        <f t="shared" si="6"/>
        <v>75.71455741344289</v>
      </c>
      <c r="M5" s="1">
        <f t="shared" si="0"/>
        <v>-1003.8897544004004</v>
      </c>
      <c r="N5" s="1"/>
      <c r="O5" s="1"/>
      <c r="P5" s="17">
        <f t="shared" si="7"/>
        <v>-5.7091379362161661</v>
      </c>
      <c r="Q5" s="32">
        <f t="shared" si="8"/>
        <v>200798.02867516814</v>
      </c>
      <c r="R5" s="27"/>
      <c r="S5" s="6">
        <f t="shared" si="1"/>
        <v>3.230982275559402E-3</v>
      </c>
      <c r="T5" s="8">
        <f t="shared" si="2"/>
        <v>3.230982275559402E-3</v>
      </c>
      <c r="U5" s="16">
        <f t="shared" si="9"/>
        <v>100399.01433758406</v>
      </c>
    </row>
    <row r="6" spans="1:23" x14ac:dyDescent="0.3">
      <c r="A6" s="13">
        <v>44013</v>
      </c>
      <c r="B6" s="14">
        <v>101.33488036490562</v>
      </c>
      <c r="C6" s="19">
        <f t="shared" si="3"/>
        <v>1.3247478901166065E-2</v>
      </c>
      <c r="D6" s="18">
        <f t="shared" si="10"/>
        <v>3.782865315342665E-4</v>
      </c>
      <c r="F6" s="15">
        <v>-1</v>
      </c>
      <c r="J6" s="16">
        <f t="shared" si="4"/>
        <v>99144.939703255499</v>
      </c>
      <c r="K6" s="17">
        <f t="shared" si="5"/>
        <v>-1330.0338241350057</v>
      </c>
      <c r="L6" s="30">
        <f t="shared" si="6"/>
        <v>75.95918980644754</v>
      </c>
      <c r="M6" s="1">
        <f t="shared" si="0"/>
        <v>-978.38907339936486</v>
      </c>
      <c r="N6" s="1"/>
      <c r="O6" s="1"/>
      <c r="P6" s="17">
        <f t="shared" si="7"/>
        <v>25.500681001035559</v>
      </c>
      <c r="Q6" s="32">
        <f t="shared" si="8"/>
        <v>198289.87940651103</v>
      </c>
      <c r="R6" s="27"/>
      <c r="S6" s="6">
        <f t="shared" si="1"/>
        <v>-1.2490905838097421E-2</v>
      </c>
      <c r="T6" s="8">
        <f t="shared" si="2"/>
        <v>-1.2490905838097532E-2</v>
      </c>
      <c r="U6" s="16">
        <f t="shared" si="9"/>
        <v>99144.939703255484</v>
      </c>
    </row>
    <row r="7" spans="1:23" x14ac:dyDescent="0.3">
      <c r="A7" s="9">
        <v>44014</v>
      </c>
      <c r="B7" s="1">
        <v>101.42272757269394</v>
      </c>
      <c r="C7" s="7">
        <f t="shared" si="3"/>
        <v>8.6689999999989276E-4</v>
      </c>
      <c r="D7" s="6">
        <f t="shared" si="10"/>
        <v>3.782865315342665E-4</v>
      </c>
      <c r="F7" s="12">
        <v>-1</v>
      </c>
      <c r="J7" s="16">
        <f t="shared" si="4"/>
        <v>99134.001345745783</v>
      </c>
      <c r="K7" s="17">
        <f t="shared" si="5"/>
        <v>-85.948748228744464</v>
      </c>
      <c r="L7" s="30">
        <f t="shared" si="6"/>
        <v>75.010390719037034</v>
      </c>
      <c r="M7" s="1">
        <f t="shared" si="0"/>
        <v>-977.43379337429337</v>
      </c>
      <c r="N7" s="1"/>
      <c r="O7" s="1"/>
      <c r="P7" s="17">
        <f t="shared" si="7"/>
        <v>0.95528002507148813</v>
      </c>
      <c r="Q7" s="32">
        <f t="shared" si="8"/>
        <v>198268.00269149162</v>
      </c>
      <c r="R7" s="27"/>
      <c r="S7" s="6">
        <f t="shared" si="1"/>
        <v>-1.1032693693147078E-4</v>
      </c>
      <c r="T7" s="8">
        <f t="shared" si="2"/>
        <v>-1.1032693693135975E-4</v>
      </c>
      <c r="U7" s="16">
        <f t="shared" si="9"/>
        <v>99134.001345745783</v>
      </c>
    </row>
    <row r="8" spans="1:23" x14ac:dyDescent="0.3">
      <c r="A8" s="13">
        <v>44015</v>
      </c>
      <c r="B8" s="14">
        <v>101.5634414649283</v>
      </c>
      <c r="C8" s="19">
        <f t="shared" si="3"/>
        <v>1.3874000000000386E-3</v>
      </c>
      <c r="D8" s="18">
        <f t="shared" si="10"/>
        <v>3.782865315342665E-4</v>
      </c>
      <c r="F8" s="15">
        <v>-1</v>
      </c>
      <c r="J8" s="16">
        <f t="shared" si="4"/>
        <v>99071.464947331086</v>
      </c>
      <c r="K8" s="17">
        <f t="shared" si="5"/>
        <v>-137.53851346709118</v>
      </c>
      <c r="L8" s="30">
        <f t="shared" si="6"/>
        <v>75.002115052390977</v>
      </c>
      <c r="M8" s="1">
        <f t="shared" si="0"/>
        <v>-975.46384327220994</v>
      </c>
      <c r="N8" s="1"/>
      <c r="O8" s="1"/>
      <c r="P8" s="17">
        <f t="shared" si="7"/>
        <v>1.9699501020834305</v>
      </c>
      <c r="Q8" s="32">
        <f t="shared" si="8"/>
        <v>198142.92989466223</v>
      </c>
      <c r="R8" s="27"/>
      <c r="S8" s="6">
        <f t="shared" si="1"/>
        <v>-6.308269369315056E-4</v>
      </c>
      <c r="T8" s="8">
        <f t="shared" si="2"/>
        <v>-6.308269369315056E-4</v>
      </c>
      <c r="U8" s="16">
        <f t="shared" si="9"/>
        <v>99071.464947331086</v>
      </c>
    </row>
    <row r="9" spans="1:23" x14ac:dyDescent="0.3">
      <c r="A9" s="9">
        <v>44018</v>
      </c>
      <c r="B9" s="1">
        <v>102.38805535887036</v>
      </c>
      <c r="C9" s="7">
        <f t="shared" si="3"/>
        <v>8.1192000000001041E-3</v>
      </c>
      <c r="D9" s="6">
        <f t="shared" si="10"/>
        <v>3.782865315342665E-4</v>
      </c>
      <c r="F9" s="12">
        <v>-1</v>
      </c>
      <c r="J9" s="16">
        <f t="shared" si="4"/>
        <v>98342.038710828594</v>
      </c>
      <c r="K9" s="17">
        <f t="shared" si="5"/>
        <v>-804.38103820038191</v>
      </c>
      <c r="L9" s="30">
        <f t="shared" si="6"/>
        <v>74.954801697889096</v>
      </c>
      <c r="M9" s="1">
        <f t="shared" si="0"/>
        <v>-960.4835091958679</v>
      </c>
      <c r="N9" s="1"/>
      <c r="O9" s="1"/>
      <c r="P9" s="17">
        <f t="shared" si="7"/>
        <v>14.980334076342047</v>
      </c>
      <c r="Q9" s="32">
        <f t="shared" si="8"/>
        <v>196684.07742165725</v>
      </c>
      <c r="R9" s="27"/>
      <c r="S9" s="6">
        <f t="shared" si="1"/>
        <v>-7.3626269369315711E-3</v>
      </c>
      <c r="T9" s="8">
        <f t="shared" si="2"/>
        <v>-7.3626269369315711E-3</v>
      </c>
      <c r="U9" s="16">
        <f t="shared" si="9"/>
        <v>98342.038710828594</v>
      </c>
    </row>
    <row r="10" spans="1:23" x14ac:dyDescent="0.3">
      <c r="A10" s="13">
        <v>44019</v>
      </c>
      <c r="B10" s="14">
        <v>102.38510658287602</v>
      </c>
      <c r="C10" s="19">
        <f t="shared" si="3"/>
        <v>-2.8800000000051007E-5</v>
      </c>
      <c r="D10" s="18">
        <f t="shared" si="10"/>
        <v>3.782865315342665E-4</v>
      </c>
      <c r="F10" s="15">
        <v>0</v>
      </c>
      <c r="J10" s="16">
        <f t="shared" si="4"/>
        <v>98419.273898999338</v>
      </c>
      <c r="K10" s="17">
        <f t="shared" si="5"/>
        <v>2.8322507148769245</v>
      </c>
      <c r="L10" s="30">
        <f t="shared" si="6"/>
        <v>74.402937455855863</v>
      </c>
      <c r="M10" s="1">
        <f t="shared" si="0"/>
        <v>0</v>
      </c>
      <c r="N10" s="1"/>
      <c r="O10" s="1"/>
      <c r="P10" s="17">
        <f t="shared" si="7"/>
        <v>960.4835091958679</v>
      </c>
      <c r="Q10" s="32">
        <f t="shared" si="8"/>
        <v>98419.273898999396</v>
      </c>
      <c r="R10" s="27"/>
      <c r="S10" s="6">
        <f t="shared" si="1"/>
        <v>7.8537306306869503E-4</v>
      </c>
      <c r="T10" s="8">
        <f t="shared" si="2"/>
        <v>7.8537306306858401E-4</v>
      </c>
      <c r="U10" s="16">
        <f t="shared" si="9"/>
        <v>98419.273898999309</v>
      </c>
    </row>
    <row r="11" spans="1:23" x14ac:dyDescent="0.3">
      <c r="A11" s="9">
        <v>44020</v>
      </c>
      <c r="B11" s="1">
        <v>102.74146818484839</v>
      </c>
      <c r="C11" s="7">
        <f t="shared" si="3"/>
        <v>3.4806000000000559E-3</v>
      </c>
      <c r="D11" s="6">
        <f t="shared" si="10"/>
        <v>3.782865315342665E-4</v>
      </c>
      <c r="F11" s="12">
        <v>0</v>
      </c>
      <c r="J11" s="16">
        <f t="shared" si="4"/>
        <v>98456.504584758717</v>
      </c>
      <c r="K11" s="17">
        <f t="shared" si="5"/>
        <v>0</v>
      </c>
      <c r="L11" s="30">
        <f t="shared" si="6"/>
        <v>37.230685759373443</v>
      </c>
      <c r="M11" s="1">
        <f t="shared" si="0"/>
        <v>0</v>
      </c>
      <c r="N11" s="1"/>
      <c r="O11" s="1"/>
      <c r="P11" s="17">
        <f t="shared" si="7"/>
        <v>0</v>
      </c>
      <c r="Q11" s="32">
        <f t="shared" si="8"/>
        <v>98456.504584758775</v>
      </c>
      <c r="R11" s="27"/>
      <c r="S11" s="6">
        <f t="shared" si="1"/>
        <v>3.782865315342665E-4</v>
      </c>
      <c r="T11" s="8">
        <f t="shared" si="2"/>
        <v>3.782865315342665E-4</v>
      </c>
      <c r="U11" s="16">
        <f t="shared" si="9"/>
        <v>98456.504584758688</v>
      </c>
    </row>
    <row r="12" spans="1:23" x14ac:dyDescent="0.3">
      <c r="A12" s="13">
        <v>44021</v>
      </c>
      <c r="B12" s="14">
        <v>102.92841656035753</v>
      </c>
      <c r="C12" s="19">
        <f t="shared" si="3"/>
        <v>1.8195999999999213E-3</v>
      </c>
      <c r="D12" s="18">
        <f t="shared" si="10"/>
        <v>3.782865315342665E-4</v>
      </c>
      <c r="F12" s="15">
        <v>1</v>
      </c>
      <c r="J12" s="16">
        <f t="shared" si="4"/>
        <v>98493.749354385072</v>
      </c>
      <c r="K12" s="17">
        <f t="shared" si="5"/>
        <v>0</v>
      </c>
      <c r="L12" s="30">
        <f t="shared" si="6"/>
        <v>37.244769626356003</v>
      </c>
      <c r="M12" s="1">
        <f t="shared" si="0"/>
        <v>956.91503518494369</v>
      </c>
      <c r="N12" s="1"/>
      <c r="O12" s="1"/>
      <c r="P12" s="17">
        <f t="shared" si="7"/>
        <v>956.91503518494369</v>
      </c>
      <c r="Q12" s="32">
        <f t="shared" si="8"/>
        <v>5.8946625358657911E-11</v>
      </c>
      <c r="R12" s="27"/>
      <c r="S12" s="6">
        <f t="shared" si="1"/>
        <v>3.782865315342665E-4</v>
      </c>
      <c r="T12" s="8">
        <f t="shared" si="2"/>
        <v>3.782865315342665E-4</v>
      </c>
      <c r="U12" s="16">
        <f t="shared" si="9"/>
        <v>98493.749354385043</v>
      </c>
    </row>
    <row r="13" spans="1:23" x14ac:dyDescent="0.3">
      <c r="A13" s="9">
        <v>44022</v>
      </c>
      <c r="B13" s="1">
        <v>103.72651320952488</v>
      </c>
      <c r="C13" s="7">
        <f t="shared" si="3"/>
        <v>7.7538999999999803E-3</v>
      </c>
      <c r="D13" s="6">
        <f t="shared" si="10"/>
        <v>3.782865315342665E-4</v>
      </c>
      <c r="F13" s="12">
        <v>1</v>
      </c>
      <c r="J13" s="16">
        <f t="shared" si="4"/>
        <v>99257.460037504032</v>
      </c>
      <c r="K13" s="17">
        <f t="shared" si="5"/>
        <v>763.71068311895897</v>
      </c>
      <c r="L13" s="30">
        <f t="shared" si="6"/>
        <v>2.2298714452576539E-14</v>
      </c>
      <c r="M13" s="1">
        <f t="shared" si="0"/>
        <v>956.91503518494369</v>
      </c>
      <c r="N13" s="1"/>
      <c r="O13" s="1"/>
      <c r="P13" s="17">
        <f t="shared" si="7"/>
        <v>0</v>
      </c>
      <c r="Q13" s="32">
        <f t="shared" si="8"/>
        <v>5.8968924073110491E-11</v>
      </c>
      <c r="R13" s="27"/>
      <c r="S13" s="6">
        <f t="shared" si="1"/>
        <v>7.7538999999999803E-3</v>
      </c>
      <c r="T13" s="8">
        <f t="shared" si="2"/>
        <v>7.7538999999999803E-3</v>
      </c>
      <c r="U13" s="16">
        <f t="shared" si="9"/>
        <v>99257.460037504003</v>
      </c>
    </row>
    <row r="14" spans="1:23" x14ac:dyDescent="0.3">
      <c r="A14" s="13">
        <v>44025</v>
      </c>
      <c r="B14" s="14">
        <v>104.1929194761715</v>
      </c>
      <c r="C14" s="19">
        <f t="shared" si="3"/>
        <v>4.4964999999999034E-3</v>
      </c>
      <c r="D14" s="18">
        <f t="shared" si="10"/>
        <v>3.782865315342665E-4</v>
      </c>
      <c r="F14" s="15">
        <v>1</v>
      </c>
      <c r="J14" s="16">
        <f t="shared" si="4"/>
        <v>99703.771206562655</v>
      </c>
      <c r="K14" s="17">
        <f t="shared" si="5"/>
        <v>446.31116905862393</v>
      </c>
      <c r="L14" s="30">
        <f t="shared" si="6"/>
        <v>2.230714975592448E-14</v>
      </c>
      <c r="M14" s="1">
        <f t="shared" si="0"/>
        <v>956.91503518494369</v>
      </c>
      <c r="N14" s="1"/>
      <c r="O14" s="1"/>
      <c r="P14" s="17">
        <f t="shared" si="7"/>
        <v>0</v>
      </c>
      <c r="Q14" s="32">
        <f t="shared" si="8"/>
        <v>5.899123122286642E-11</v>
      </c>
      <c r="R14" s="27"/>
      <c r="S14" s="6">
        <f t="shared" si="1"/>
        <v>4.4964999999999034E-3</v>
      </c>
      <c r="T14" s="8">
        <f t="shared" si="2"/>
        <v>4.4964999999999034E-3</v>
      </c>
      <c r="U14" s="16">
        <f t="shared" si="9"/>
        <v>99703.771206562626</v>
      </c>
    </row>
    <row r="15" spans="1:23" x14ac:dyDescent="0.3">
      <c r="A15" s="9">
        <v>44026</v>
      </c>
      <c r="B15" s="1">
        <v>104.20977789054275</v>
      </c>
      <c r="C15" s="7">
        <f t="shared" si="3"/>
        <v>1.6180000000010075E-4</v>
      </c>
      <c r="D15" s="6">
        <f t="shared" si="10"/>
        <v>3.782865315342665E-4</v>
      </c>
      <c r="F15" s="12">
        <v>1</v>
      </c>
      <c r="J15" s="16">
        <f t="shared" si="4"/>
        <v>99719.903276743891</v>
      </c>
      <c r="K15" s="17">
        <f t="shared" si="5"/>
        <v>16.132070181233235</v>
      </c>
      <c r="L15" s="30">
        <f t="shared" si="6"/>
        <v>2.2315588250234065E-14</v>
      </c>
      <c r="M15" s="1">
        <f t="shared" si="0"/>
        <v>956.91503518494369</v>
      </c>
      <c r="N15" s="1"/>
      <c r="O15" s="1"/>
      <c r="P15" s="17">
        <f t="shared" si="7"/>
        <v>0</v>
      </c>
      <c r="Q15" s="32">
        <f t="shared" si="8"/>
        <v>5.9013546811116652E-11</v>
      </c>
      <c r="R15" s="27"/>
      <c r="S15" s="6">
        <f t="shared" si="1"/>
        <v>1.6180000000010075E-4</v>
      </c>
      <c r="T15" s="8">
        <f t="shared" si="2"/>
        <v>1.6180000000010075E-4</v>
      </c>
      <c r="U15" s="16">
        <f t="shared" si="9"/>
        <v>99719.903276743862</v>
      </c>
    </row>
    <row r="16" spans="1:23" x14ac:dyDescent="0.3">
      <c r="A16" s="13">
        <v>44027</v>
      </c>
      <c r="B16" s="14">
        <v>104.67703369264838</v>
      </c>
      <c r="C16" s="19">
        <f t="shared" si="3"/>
        <v>4.4838000000000378E-3</v>
      </c>
      <c r="D16" s="18">
        <f t="shared" si="10"/>
        <v>3.782865315342665E-4</v>
      </c>
      <c r="F16" s="15">
        <v>1</v>
      </c>
      <c r="J16" s="16">
        <f t="shared" si="4"/>
        <v>100167.02737905616</v>
      </c>
      <c r="K16" s="17">
        <f t="shared" si="5"/>
        <v>447.12410231227432</v>
      </c>
      <c r="L16" s="30">
        <f t="shared" si="6"/>
        <v>2.2324029936712391E-14</v>
      </c>
      <c r="M16" s="1">
        <f t="shared" si="0"/>
        <v>956.91503518494369</v>
      </c>
      <c r="N16" s="1"/>
      <c r="O16" s="1"/>
      <c r="P16" s="17">
        <f t="shared" si="7"/>
        <v>0</v>
      </c>
      <c r="Q16" s="32">
        <f t="shared" si="8"/>
        <v>5.9035870841053366E-11</v>
      </c>
      <c r="R16" s="27"/>
      <c r="S16" s="6">
        <f t="shared" si="1"/>
        <v>4.4838000000000378E-3</v>
      </c>
      <c r="T16" s="8">
        <f t="shared" si="2"/>
        <v>4.4838000000000378E-3</v>
      </c>
      <c r="U16" s="16">
        <f t="shared" si="9"/>
        <v>100167.02737905613</v>
      </c>
    </row>
    <row r="17" spans="1:21" x14ac:dyDescent="0.3">
      <c r="A17" s="9">
        <v>44028</v>
      </c>
      <c r="B17" s="1">
        <v>105.23484713749315</v>
      </c>
      <c r="C17" s="7">
        <f t="shared" si="3"/>
        <v>5.3289000000000808E-3</v>
      </c>
      <c r="D17" s="6">
        <f t="shared" si="10"/>
        <v>3.782865315342665E-4</v>
      </c>
      <c r="F17" s="12">
        <v>1</v>
      </c>
      <c r="J17" s="16">
        <f t="shared" si="4"/>
        <v>100700.80745125643</v>
      </c>
      <c r="K17" s="17">
        <f t="shared" si="5"/>
        <v>533.78007220026632</v>
      </c>
      <c r="L17" s="30">
        <f t="shared" si="6"/>
        <v>2.233247481656702E-14</v>
      </c>
      <c r="M17" s="1">
        <f t="shared" si="0"/>
        <v>956.9150351849438</v>
      </c>
      <c r="N17" s="1"/>
      <c r="O17" s="1"/>
      <c r="P17" s="17">
        <f t="shared" si="7"/>
        <v>0</v>
      </c>
      <c r="Q17" s="32">
        <f t="shared" si="8"/>
        <v>5.9058203315869933E-11</v>
      </c>
      <c r="R17" s="27"/>
      <c r="S17" s="6">
        <f t="shared" si="1"/>
        <v>5.3289000000003028E-3</v>
      </c>
      <c r="T17" s="8">
        <f t="shared" si="2"/>
        <v>5.3289000000000808E-3</v>
      </c>
      <c r="U17" s="16">
        <f t="shared" si="9"/>
        <v>100700.80745125639</v>
      </c>
    </row>
    <row r="18" spans="1:21" x14ac:dyDescent="0.3">
      <c r="A18" s="13">
        <v>44029</v>
      </c>
      <c r="B18" s="14">
        <v>106.02407692057022</v>
      </c>
      <c r="C18" s="19">
        <f t="shared" si="3"/>
        <v>7.4997000000001091E-3</v>
      </c>
      <c r="D18" s="18">
        <f t="shared" si="10"/>
        <v>3.782865315342665E-4</v>
      </c>
      <c r="F18" s="15">
        <v>1</v>
      </c>
      <c r="J18" s="16">
        <f t="shared" si="4"/>
        <v>101456.03329689863</v>
      </c>
      <c r="K18" s="17">
        <f t="shared" si="5"/>
        <v>755.22584564220551</v>
      </c>
      <c r="L18" s="30">
        <f t="shared" si="6"/>
        <v>2.2340922891005954E-14</v>
      </c>
      <c r="M18" s="1">
        <f t="shared" si="0"/>
        <v>956.91503518494369</v>
      </c>
      <c r="N18" s="1"/>
      <c r="O18" s="1"/>
      <c r="P18" s="17">
        <f t="shared" si="7"/>
        <v>0</v>
      </c>
      <c r="Q18" s="32">
        <f t="shared" si="8"/>
        <v>5.9080544238760936E-11</v>
      </c>
      <c r="R18" s="27"/>
      <c r="S18" s="6">
        <f t="shared" si="1"/>
        <v>7.4997000000001091E-3</v>
      </c>
      <c r="T18" s="8">
        <f t="shared" si="2"/>
        <v>7.4997000000001091E-3</v>
      </c>
      <c r="U18" s="16">
        <f t="shared" si="9"/>
        <v>101456.03329689859</v>
      </c>
    </row>
    <row r="19" spans="1:21" x14ac:dyDescent="0.3">
      <c r="A19" s="9">
        <v>44032</v>
      </c>
      <c r="B19" s="1">
        <v>106.61339054731782</v>
      </c>
      <c r="C19" s="7">
        <f t="shared" si="3"/>
        <v>5.558299999999905E-3</v>
      </c>
      <c r="D19" s="6">
        <f t="shared" si="10"/>
        <v>3.782865315342665E-4</v>
      </c>
      <c r="F19" s="12">
        <v>1</v>
      </c>
      <c r="J19" s="16">
        <f t="shared" si="4"/>
        <v>102019.95636677278</v>
      </c>
      <c r="K19" s="17">
        <f t="shared" si="5"/>
        <v>563.92306987414327</v>
      </c>
      <c r="L19" s="30">
        <f t="shared" si="6"/>
        <v>2.2349374161237666E-14</v>
      </c>
      <c r="M19" s="1">
        <f t="shared" si="0"/>
        <v>956.91503518494369</v>
      </c>
      <c r="N19" s="1"/>
      <c r="O19" s="1"/>
      <c r="P19" s="17">
        <f t="shared" si="7"/>
        <v>0</v>
      </c>
      <c r="Q19" s="32">
        <f t="shared" si="8"/>
        <v>5.9102893612922175E-11</v>
      </c>
      <c r="R19" s="27"/>
      <c r="S19" s="6">
        <f t="shared" si="1"/>
        <v>5.558299999999905E-3</v>
      </c>
      <c r="T19" s="8">
        <f t="shared" si="2"/>
        <v>5.558299999999905E-3</v>
      </c>
      <c r="U19" s="16">
        <f t="shared" si="9"/>
        <v>102019.95636677273</v>
      </c>
    </row>
    <row r="20" spans="1:21" x14ac:dyDescent="0.3">
      <c r="A20" s="13">
        <v>44033</v>
      </c>
      <c r="B20" s="14">
        <v>107.61356274805938</v>
      </c>
      <c r="C20" s="19">
        <f t="shared" si="3"/>
        <v>9.3813000000000368E-3</v>
      </c>
      <c r="D20" s="18">
        <f t="shared" si="10"/>
        <v>3.782865315342665E-4</v>
      </c>
      <c r="F20" s="15">
        <v>0</v>
      </c>
      <c r="J20" s="16">
        <f t="shared" si="4"/>
        <v>102977.03618343639</v>
      </c>
      <c r="K20" s="17">
        <f t="shared" si="5"/>
        <v>957.07981666361195</v>
      </c>
      <c r="L20" s="30">
        <f t="shared" si="6"/>
        <v>2.2357828628471084E-14</v>
      </c>
      <c r="M20" s="1">
        <f t="shared" si="0"/>
        <v>0</v>
      </c>
      <c r="N20" s="1"/>
      <c r="O20" s="1"/>
      <c r="P20" s="17">
        <f t="shared" si="7"/>
        <v>-956.91503518494369</v>
      </c>
      <c r="Q20" s="32">
        <f t="shared" si="8"/>
        <v>102977.03618343644</v>
      </c>
      <c r="R20" s="27"/>
      <c r="S20" s="6">
        <f t="shared" si="1"/>
        <v>9.3813000000000368E-3</v>
      </c>
      <c r="T20" s="8">
        <f t="shared" si="2"/>
        <v>9.3813000000000368E-3</v>
      </c>
      <c r="U20" s="16">
        <f t="shared" si="9"/>
        <v>102977.03618343634</v>
      </c>
    </row>
    <row r="21" spans="1:21" x14ac:dyDescent="0.3">
      <c r="A21" s="9">
        <v>44034</v>
      </c>
      <c r="B21" s="1">
        <v>108.05177593692574</v>
      </c>
      <c r="C21" s="7">
        <f t="shared" si="3"/>
        <v>4.0720999999999119E-3</v>
      </c>
      <c r="D21" s="6">
        <f t="shared" si="10"/>
        <v>3.782865315342665E-4</v>
      </c>
      <c r="F21" s="12">
        <v>0</v>
      </c>
      <c r="J21" s="16">
        <f t="shared" si="4"/>
        <v>103015.9910092819</v>
      </c>
      <c r="K21" s="17">
        <f t="shared" si="5"/>
        <v>0</v>
      </c>
      <c r="L21" s="30">
        <f t="shared" si="6"/>
        <v>38.954825845510832</v>
      </c>
      <c r="M21" s="1">
        <f t="shared" si="0"/>
        <v>0</v>
      </c>
      <c r="N21" s="1"/>
      <c r="O21" s="1"/>
      <c r="P21" s="17">
        <f t="shared" si="7"/>
        <v>0</v>
      </c>
      <c r="Q21" s="32">
        <f t="shared" si="8"/>
        <v>103015.99100928196</v>
      </c>
      <c r="R21" s="27"/>
      <c r="S21" s="6">
        <f t="shared" si="1"/>
        <v>3.782865315342665E-4</v>
      </c>
      <c r="T21" s="8">
        <f t="shared" si="2"/>
        <v>3.782865315342665E-4</v>
      </c>
      <c r="U21" s="16">
        <f t="shared" si="9"/>
        <v>103015.99100928186</v>
      </c>
    </row>
    <row r="22" spans="1:21" x14ac:dyDescent="0.3">
      <c r="A22" s="13">
        <v>44035</v>
      </c>
      <c r="B22" s="14">
        <v>108.7319510612711</v>
      </c>
      <c r="C22" s="19">
        <f t="shared" si="3"/>
        <v>6.2949000000001032E-3</v>
      </c>
      <c r="D22" s="18">
        <f t="shared" si="10"/>
        <v>3.782865315342665E-4</v>
      </c>
      <c r="F22" s="15">
        <v>0</v>
      </c>
      <c r="J22" s="16">
        <f t="shared" si="4"/>
        <v>103054.96057121338</v>
      </c>
      <c r="K22" s="17">
        <f t="shared" si="5"/>
        <v>0</v>
      </c>
      <c r="L22" s="30">
        <f t="shared" si="6"/>
        <v>38.969561931466458</v>
      </c>
      <c r="M22" s="1">
        <f t="shared" si="0"/>
        <v>0</v>
      </c>
      <c r="N22" s="1"/>
      <c r="O22" s="1"/>
      <c r="P22" s="17">
        <f t="shared" si="7"/>
        <v>0</v>
      </c>
      <c r="Q22" s="32">
        <f t="shared" si="8"/>
        <v>103054.96057121344</v>
      </c>
      <c r="R22" s="27"/>
      <c r="S22" s="6">
        <f t="shared" si="1"/>
        <v>3.782865315342665E-4</v>
      </c>
      <c r="T22" s="8">
        <f t="shared" si="2"/>
        <v>3.782865315342665E-4</v>
      </c>
      <c r="U22" s="16">
        <f t="shared" si="9"/>
        <v>103054.96057121333</v>
      </c>
    </row>
    <row r="23" spans="1:21" x14ac:dyDescent="0.3">
      <c r="A23" s="9">
        <v>44036</v>
      </c>
      <c r="B23" s="1">
        <v>109.65791235650889</v>
      </c>
      <c r="C23" s="7">
        <f t="shared" si="3"/>
        <v>8.515999999999968E-3</v>
      </c>
      <c r="D23" s="6">
        <f t="shared" si="10"/>
        <v>3.782865315342665E-4</v>
      </c>
      <c r="F23" s="12">
        <v>0</v>
      </c>
      <c r="J23" s="16">
        <f t="shared" si="4"/>
        <v>103093.94487480527</v>
      </c>
      <c r="K23" s="17">
        <f t="shared" si="5"/>
        <v>0</v>
      </c>
      <c r="L23" s="30">
        <f t="shared" si="6"/>
        <v>38.984303591884924</v>
      </c>
      <c r="M23" s="1">
        <f t="shared" si="0"/>
        <v>0</v>
      </c>
      <c r="N23" s="1"/>
      <c r="O23" s="1"/>
      <c r="P23" s="17">
        <f t="shared" si="7"/>
        <v>0</v>
      </c>
      <c r="Q23" s="32">
        <f t="shared" si="8"/>
        <v>103093.94487480533</v>
      </c>
      <c r="R23" s="27"/>
      <c r="S23" s="6">
        <f t="shared" si="1"/>
        <v>3.782865315342665E-4</v>
      </c>
      <c r="T23" s="8">
        <f t="shared" si="2"/>
        <v>3.782865315342665E-4</v>
      </c>
      <c r="U23" s="16">
        <f t="shared" si="9"/>
        <v>103093.94487480522</v>
      </c>
    </row>
    <row r="24" spans="1:21" x14ac:dyDescent="0.3">
      <c r="A24" s="13">
        <v>44039</v>
      </c>
      <c r="B24" s="14">
        <v>109.68628085843552</v>
      </c>
      <c r="C24" s="19">
        <f t="shared" si="3"/>
        <v>2.5870000000005611E-4</v>
      </c>
      <c r="D24" s="18">
        <f t="shared" si="10"/>
        <v>3.782865315342665E-4</v>
      </c>
      <c r="F24" s="15">
        <v>0</v>
      </c>
      <c r="J24" s="16">
        <f t="shared" si="4"/>
        <v>103132.94392563414</v>
      </c>
      <c r="K24" s="17">
        <f t="shared" si="5"/>
        <v>0</v>
      </c>
      <c r="L24" s="30">
        <f t="shared" si="6"/>
        <v>38.999050828874978</v>
      </c>
      <c r="M24" s="1">
        <f t="shared" si="0"/>
        <v>0</v>
      </c>
      <c r="N24" s="1"/>
      <c r="O24" s="1"/>
      <c r="P24" s="17">
        <f t="shared" si="7"/>
        <v>0</v>
      </c>
      <c r="Q24" s="32">
        <f t="shared" si="8"/>
        <v>103132.9439256342</v>
      </c>
      <c r="R24" s="27"/>
      <c r="S24" s="6">
        <f t="shared" si="1"/>
        <v>3.782865315342665E-4</v>
      </c>
      <c r="T24" s="8">
        <f t="shared" si="2"/>
        <v>3.782865315342665E-4</v>
      </c>
      <c r="U24" s="16">
        <f t="shared" si="9"/>
        <v>103132.9439256341</v>
      </c>
    </row>
    <row r="25" spans="1:21" x14ac:dyDescent="0.3">
      <c r="A25" s="9">
        <v>44040</v>
      </c>
      <c r="B25" s="1">
        <v>110.4838975555819</v>
      </c>
      <c r="C25" s="7">
        <f t="shared" si="3"/>
        <v>7.2718000000000504E-3</v>
      </c>
      <c r="D25" s="6">
        <f t="shared" si="10"/>
        <v>3.782865315342665E-4</v>
      </c>
      <c r="F25" s="12">
        <v>0</v>
      </c>
      <c r="J25" s="16">
        <f t="shared" si="4"/>
        <v>103171.95772927869</v>
      </c>
      <c r="K25" s="17">
        <f t="shared" si="5"/>
        <v>0</v>
      </c>
      <c r="L25" s="30">
        <f t="shared" si="6"/>
        <v>39.013803644546158</v>
      </c>
      <c r="M25" s="1">
        <f t="shared" si="0"/>
        <v>0</v>
      </c>
      <c r="N25" s="1"/>
      <c r="O25" s="1"/>
      <c r="P25" s="17">
        <f t="shared" si="7"/>
        <v>0</v>
      </c>
      <c r="Q25" s="32">
        <f t="shared" si="8"/>
        <v>103171.95772927874</v>
      </c>
      <c r="R25" s="27"/>
      <c r="S25" s="6">
        <f t="shared" si="1"/>
        <v>3.782865315342665E-4</v>
      </c>
      <c r="T25" s="8">
        <f t="shared" si="2"/>
        <v>3.782865315342665E-4</v>
      </c>
      <c r="U25" s="16">
        <f t="shared" si="9"/>
        <v>103171.95772927864</v>
      </c>
    </row>
    <row r="26" spans="1:21" x14ac:dyDescent="0.3">
      <c r="A26" s="13">
        <v>44041</v>
      </c>
      <c r="B26" s="14">
        <v>110.97430243166185</v>
      </c>
      <c r="C26" s="19">
        <f t="shared" si="3"/>
        <v>4.4386999999999066E-3</v>
      </c>
      <c r="D26" s="18">
        <f t="shared" si="10"/>
        <v>3.782865315342665E-4</v>
      </c>
      <c r="F26" s="15">
        <v>0</v>
      </c>
      <c r="J26" s="16">
        <f t="shared" si="4"/>
        <v>103210.9862913197</v>
      </c>
      <c r="K26" s="17">
        <f t="shared" si="5"/>
        <v>0</v>
      </c>
      <c r="L26" s="30">
        <f t="shared" si="6"/>
        <v>39.028562041008811</v>
      </c>
      <c r="M26" s="1">
        <f t="shared" si="0"/>
        <v>0</v>
      </c>
      <c r="N26" s="1"/>
      <c r="O26" s="1"/>
      <c r="P26" s="17">
        <f t="shared" si="7"/>
        <v>0</v>
      </c>
      <c r="Q26" s="32">
        <f t="shared" si="8"/>
        <v>103210.98629131976</v>
      </c>
      <c r="R26" s="27"/>
      <c r="S26" s="6">
        <f t="shared" si="1"/>
        <v>3.782865315342665E-4</v>
      </c>
      <c r="T26" s="8">
        <f t="shared" si="2"/>
        <v>3.782865315342665E-4</v>
      </c>
      <c r="U26" s="16">
        <f t="shared" si="9"/>
        <v>103210.98629131966</v>
      </c>
    </row>
  </sheetData>
  <conditionalFormatting sqref="F2:F4 R2:R26">
    <cfRule type="cellIs" dxfId="24" priority="9" operator="lessThan">
      <formula>0</formula>
    </cfRule>
  </conditionalFormatting>
  <conditionalFormatting sqref="F5:F26">
    <cfRule type="cellIs" dxfId="23" priority="8" operator="lessThan">
      <formula>0</formula>
    </cfRule>
  </conditionalFormatting>
  <conditionalFormatting sqref="K3:K26">
    <cfRule type="cellIs" dxfId="22" priority="7" operator="lessThan">
      <formula>0</formula>
    </cfRule>
  </conditionalFormatting>
  <conditionalFormatting sqref="P3:P26">
    <cfRule type="cellIs" dxfId="21" priority="6" operator="lessThan">
      <formula>0</formula>
    </cfRule>
  </conditionalFormatting>
  <conditionalFormatting sqref="P2">
    <cfRule type="cellIs" dxfId="20" priority="5" operator="lessThan">
      <formula>0</formula>
    </cfRule>
  </conditionalFormatting>
  <conditionalFormatting sqref="F1:F1048576">
    <cfRule type="cellIs" dxfId="19" priority="2" operator="equal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E84B-DDE6-43B9-AF00-E5C606CD467B}">
  <sheetPr codeName="Sheet3"/>
  <dimension ref="A1:T26"/>
  <sheetViews>
    <sheetView showGridLines="0" zoomScale="115" zoomScaleNormal="115" workbookViewId="0">
      <selection activeCell="D25" sqref="D25"/>
    </sheetView>
  </sheetViews>
  <sheetFormatPr defaultRowHeight="14.4" x14ac:dyDescent="0.3"/>
  <cols>
    <col min="1" max="1" width="15" customWidth="1"/>
    <col min="2" max="2" width="7.88671875" style="1" bestFit="1" customWidth="1"/>
    <col min="3" max="4" width="11.33203125" style="2" customWidth="1"/>
    <col min="5" max="5" width="5.88671875" style="4" customWidth="1"/>
    <col min="6" max="6" width="5.88671875" style="11" customWidth="1"/>
    <col min="7" max="7" width="1.44140625" customWidth="1"/>
    <col min="8" max="8" width="6.88671875" customWidth="1"/>
    <col min="9" max="9" width="14.21875" bestFit="1" customWidth="1"/>
    <col min="10" max="12" width="11.6640625" customWidth="1"/>
    <col min="13" max="13" width="11.6640625" style="29" customWidth="1"/>
    <col min="14" max="14" width="10.21875" customWidth="1"/>
    <col min="15" max="16" width="3.109375" customWidth="1"/>
    <col min="17" max="17" width="11.6640625" customWidth="1"/>
    <col min="18" max="18" width="11.6640625" style="31" customWidth="1"/>
    <col min="19" max="19" width="11.6640625" style="4" customWidth="1"/>
    <col min="20" max="20" width="11.5546875" style="2" bestFit="1" customWidth="1"/>
  </cols>
  <sheetData>
    <row r="1" spans="1:20" s="23" customFormat="1" ht="34.799999999999997" customHeight="1" thickBot="1" x14ac:dyDescent="0.35">
      <c r="A1" s="3" t="s">
        <v>4</v>
      </c>
      <c r="B1" s="10" t="s">
        <v>0</v>
      </c>
      <c r="C1" s="3" t="s">
        <v>5</v>
      </c>
      <c r="D1" s="3" t="s">
        <v>3</v>
      </c>
      <c r="E1" s="22"/>
      <c r="F1" s="20" t="s">
        <v>6</v>
      </c>
      <c r="H1" s="24" t="s">
        <v>12</v>
      </c>
      <c r="I1" s="25">
        <v>100000</v>
      </c>
      <c r="J1" s="3" t="s">
        <v>2</v>
      </c>
      <c r="K1" s="3" t="s">
        <v>24</v>
      </c>
      <c r="L1" s="3" t="s">
        <v>9</v>
      </c>
      <c r="M1" s="3" t="s">
        <v>10</v>
      </c>
      <c r="N1" s="3" t="s">
        <v>1</v>
      </c>
      <c r="Q1" s="3" t="s">
        <v>7</v>
      </c>
      <c r="R1" s="3" t="s">
        <v>8</v>
      </c>
      <c r="S1" s="26"/>
      <c r="T1" s="3" t="s">
        <v>11</v>
      </c>
    </row>
    <row r="2" spans="1:20" ht="15" thickTop="1" x14ac:dyDescent="0.3">
      <c r="A2" s="13">
        <v>44007</v>
      </c>
      <c r="B2" s="14">
        <v>100</v>
      </c>
      <c r="C2" s="19"/>
      <c r="D2" s="19"/>
      <c r="F2" s="15">
        <v>0</v>
      </c>
      <c r="J2" s="16">
        <f>I1</f>
        <v>100000</v>
      </c>
      <c r="K2" s="16"/>
      <c r="L2" s="16"/>
      <c r="M2" s="28"/>
      <c r="N2" s="1">
        <f>F2*J2/B2</f>
        <v>0</v>
      </c>
      <c r="O2" s="1"/>
      <c r="P2" s="1"/>
      <c r="Q2" s="17">
        <f>N2</f>
        <v>0</v>
      </c>
      <c r="R2" s="32">
        <f>I1-(Q2*B2)</f>
        <v>100000</v>
      </c>
      <c r="S2" s="27"/>
      <c r="T2" s="5"/>
    </row>
    <row r="3" spans="1:20" x14ac:dyDescent="0.3">
      <c r="A3" s="9">
        <v>44008</v>
      </c>
      <c r="B3" s="1">
        <v>100.10289999999999</v>
      </c>
      <c r="C3" s="7">
        <f>B3/B2-1</f>
        <v>1.0289999999999466E-3</v>
      </c>
      <c r="D3" s="6">
        <f>(10%+1)^(1/252)-1</f>
        <v>3.782865315342665E-4</v>
      </c>
      <c r="F3" s="12">
        <v>0</v>
      </c>
      <c r="J3" s="16">
        <f>J2+L3+M3+K3</f>
        <v>100237.82865315342</v>
      </c>
      <c r="K3" s="17">
        <v>200</v>
      </c>
      <c r="L3" s="17">
        <f>N2*(B3-B2)</f>
        <v>0</v>
      </c>
      <c r="M3" s="30">
        <f>R2*D3</f>
        <v>37.82865315342665</v>
      </c>
      <c r="N3" s="1">
        <f t="shared" ref="N3:N26" si="0">F3*J3/B3</f>
        <v>0</v>
      </c>
      <c r="O3" s="1"/>
      <c r="P3" s="1"/>
      <c r="Q3" s="17">
        <f>N3-N2</f>
        <v>0</v>
      </c>
      <c r="R3" s="32">
        <f>R2-Q3*B3+M3</f>
        <v>100037.82865315342</v>
      </c>
      <c r="S3" s="27"/>
      <c r="T3" s="6">
        <f t="shared" ref="T3:T26" si="1">J3/J2-1</f>
        <v>2.3782865315342683E-3</v>
      </c>
    </row>
    <row r="4" spans="1:20" x14ac:dyDescent="0.3">
      <c r="A4" s="13">
        <v>44011</v>
      </c>
      <c r="B4" s="14">
        <v>100.25807951557999</v>
      </c>
      <c r="C4" s="19">
        <f t="shared" ref="C4:C26" si="2">B4/B3-1</f>
        <v>1.5502000000000571E-3</v>
      </c>
      <c r="D4" s="18">
        <f>(10%+1)^(1/252)-1</f>
        <v>3.782865315342665E-4</v>
      </c>
      <c r="F4" s="15">
        <v>0</v>
      </c>
      <c r="J4" s="16">
        <f t="shared" ref="J4:J26" si="3">J3+L4+M4+K4</f>
        <v>100575.67161637684</v>
      </c>
      <c r="K4" s="17">
        <v>300</v>
      </c>
      <c r="L4" s="17">
        <f t="shared" ref="L4:L26" si="4">N3*(B4-B3)</f>
        <v>0</v>
      </c>
      <c r="M4" s="30">
        <f t="shared" ref="M4:M26" si="5">R3*D4</f>
        <v>37.842963223420675</v>
      </c>
      <c r="N4" s="1">
        <f t="shared" si="0"/>
        <v>0</v>
      </c>
      <c r="O4" s="1"/>
      <c r="P4" s="1"/>
      <c r="Q4" s="17">
        <f t="shared" ref="Q4:Q26" si="6">N4-N3</f>
        <v>0</v>
      </c>
      <c r="R4" s="32">
        <f t="shared" ref="R4:R26" si="7">R3-Q4*B4+M4</f>
        <v>100075.67161637684</v>
      </c>
      <c r="S4" s="33"/>
      <c r="T4" s="6">
        <f t="shared" si="1"/>
        <v>3.3704138224346369E-3</v>
      </c>
    </row>
    <row r="5" spans="1:20" x14ac:dyDescent="0.3">
      <c r="A5" s="9">
        <v>44012</v>
      </c>
      <c r="B5" s="1">
        <v>100.01</v>
      </c>
      <c r="C5" s="7">
        <f t="shared" si="2"/>
        <v>-2.474409212490869E-3</v>
      </c>
      <c r="D5" s="6">
        <f t="shared" ref="D5:D26" si="8">(10%+1)^(1/252)-1</f>
        <v>3.782865315342665E-4</v>
      </c>
      <c r="F5" s="12">
        <v>0</v>
      </c>
      <c r="J5" s="16">
        <f t="shared" si="3"/>
        <v>100713.52889508357</v>
      </c>
      <c r="K5" s="17">
        <v>100</v>
      </c>
      <c r="L5" s="17">
        <f t="shared" si="4"/>
        <v>0</v>
      </c>
      <c r="M5" s="30">
        <f t="shared" si="5"/>
        <v>37.857278706721438</v>
      </c>
      <c r="N5" s="1">
        <f t="shared" si="0"/>
        <v>0</v>
      </c>
      <c r="O5" s="1"/>
      <c r="P5" s="1"/>
      <c r="Q5" s="17">
        <f t="shared" si="6"/>
        <v>0</v>
      </c>
      <c r="R5" s="32">
        <f t="shared" si="7"/>
        <v>100113.52889508357</v>
      </c>
      <c r="S5" s="27"/>
      <c r="T5" s="6">
        <f t="shared" si="1"/>
        <v>1.3706821589276608E-3</v>
      </c>
    </row>
    <row r="6" spans="1:20" x14ac:dyDescent="0.3">
      <c r="A6" s="13">
        <v>44013</v>
      </c>
      <c r="B6" s="14">
        <v>101.33488036490562</v>
      </c>
      <c r="C6" s="19">
        <f t="shared" si="2"/>
        <v>1.3247478901166065E-2</v>
      </c>
      <c r="D6" s="18">
        <f t="shared" si="8"/>
        <v>3.782865315342665E-4</v>
      </c>
      <c r="F6" s="15">
        <v>0</v>
      </c>
      <c r="J6" s="16">
        <f t="shared" si="3"/>
        <v>100751.40049468895</v>
      </c>
      <c r="K6" s="17"/>
      <c r="L6" s="17">
        <f t="shared" si="4"/>
        <v>0</v>
      </c>
      <c r="M6" s="30">
        <f t="shared" si="5"/>
        <v>37.87159960537673</v>
      </c>
      <c r="N6" s="1">
        <f t="shared" si="0"/>
        <v>0</v>
      </c>
      <c r="O6" s="1"/>
      <c r="P6" s="1"/>
      <c r="Q6" s="17">
        <f t="shared" si="6"/>
        <v>0</v>
      </c>
      <c r="R6" s="32">
        <f t="shared" si="7"/>
        <v>100151.40049468895</v>
      </c>
      <c r="S6" s="27"/>
      <c r="T6" s="6">
        <f t="shared" si="1"/>
        <v>3.7603289270937701E-4</v>
      </c>
    </row>
    <row r="7" spans="1:20" x14ac:dyDescent="0.3">
      <c r="A7" s="9">
        <v>44014</v>
      </c>
      <c r="B7" s="1">
        <v>101.42272757269394</v>
      </c>
      <c r="C7" s="7">
        <f t="shared" si="2"/>
        <v>8.6689999999989276E-4</v>
      </c>
      <c r="D7" s="6">
        <f t="shared" si="8"/>
        <v>3.782865315342665E-4</v>
      </c>
      <c r="F7" s="12">
        <v>0</v>
      </c>
      <c r="J7" s="16">
        <f t="shared" si="3"/>
        <v>100289.28642061038</v>
      </c>
      <c r="K7" s="17">
        <v>-500</v>
      </c>
      <c r="L7" s="17">
        <f t="shared" si="4"/>
        <v>0</v>
      </c>
      <c r="M7" s="30">
        <f t="shared" si="5"/>
        <v>37.885925921435103</v>
      </c>
      <c r="N7" s="1">
        <f t="shared" si="0"/>
        <v>0</v>
      </c>
      <c r="O7" s="1"/>
      <c r="P7" s="1"/>
      <c r="Q7" s="17">
        <f t="shared" si="6"/>
        <v>0</v>
      </c>
      <c r="R7" s="32">
        <f t="shared" si="7"/>
        <v>100189.28642061038</v>
      </c>
      <c r="S7" s="27"/>
      <c r="T7" s="6">
        <f t="shared" si="1"/>
        <v>-4.5866764313904351E-3</v>
      </c>
    </row>
    <row r="8" spans="1:20" x14ac:dyDescent="0.3">
      <c r="A8" s="13">
        <v>44015</v>
      </c>
      <c r="B8" s="14">
        <v>101.5634414649283</v>
      </c>
      <c r="C8" s="19">
        <f t="shared" si="2"/>
        <v>1.3874000000000386E-3</v>
      </c>
      <c r="D8" s="18">
        <f t="shared" si="8"/>
        <v>3.782865315342665E-4</v>
      </c>
      <c r="F8" s="15">
        <v>0</v>
      </c>
      <c r="J8" s="16">
        <f t="shared" si="3"/>
        <v>100327.18667826733</v>
      </c>
      <c r="K8" s="17"/>
      <c r="L8" s="17">
        <f t="shared" si="4"/>
        <v>0</v>
      </c>
      <c r="M8" s="30">
        <f t="shared" si="5"/>
        <v>37.90025765694589</v>
      </c>
      <c r="N8" s="1">
        <f t="shared" si="0"/>
        <v>0</v>
      </c>
      <c r="O8" s="1"/>
      <c r="P8" s="1"/>
      <c r="Q8" s="17">
        <f t="shared" si="6"/>
        <v>0</v>
      </c>
      <c r="R8" s="32">
        <f t="shared" si="7"/>
        <v>100227.18667826733</v>
      </c>
      <c r="S8" s="27"/>
      <c r="T8" s="6">
        <f t="shared" si="1"/>
        <v>3.779093361777619E-4</v>
      </c>
    </row>
    <row r="9" spans="1:20" x14ac:dyDescent="0.3">
      <c r="A9" s="9">
        <v>44018</v>
      </c>
      <c r="B9" s="1">
        <v>102.38805535887036</v>
      </c>
      <c r="C9" s="7">
        <f t="shared" si="2"/>
        <v>8.1192000000001041E-3</v>
      </c>
      <c r="D9" s="6">
        <f t="shared" si="8"/>
        <v>3.782865315342665E-4</v>
      </c>
      <c r="F9" s="12">
        <v>0</v>
      </c>
      <c r="J9" s="16">
        <f t="shared" si="3"/>
        <v>100365.10127308129</v>
      </c>
      <c r="K9" s="17"/>
      <c r="L9" s="17">
        <f t="shared" si="4"/>
        <v>0</v>
      </c>
      <c r="M9" s="30">
        <f t="shared" si="5"/>
        <v>37.914594813959191</v>
      </c>
      <c r="N9" s="1">
        <f t="shared" si="0"/>
        <v>0</v>
      </c>
      <c r="O9" s="1"/>
      <c r="P9" s="1"/>
      <c r="Q9" s="17">
        <f t="shared" si="6"/>
        <v>0</v>
      </c>
      <c r="R9" s="32">
        <f t="shared" si="7"/>
        <v>100265.10127308129</v>
      </c>
      <c r="S9" s="27"/>
      <c r="T9" s="6">
        <f t="shared" si="1"/>
        <v>3.7790947866955804E-4</v>
      </c>
    </row>
    <row r="10" spans="1:20" x14ac:dyDescent="0.3">
      <c r="A10" s="13">
        <v>44019</v>
      </c>
      <c r="B10" s="14">
        <v>102.38510658287602</v>
      </c>
      <c r="C10" s="19">
        <f t="shared" si="2"/>
        <v>-2.8800000000051007E-5</v>
      </c>
      <c r="D10" s="18">
        <f t="shared" si="8"/>
        <v>3.782865315342665E-4</v>
      </c>
      <c r="F10" s="15">
        <v>0</v>
      </c>
      <c r="J10" s="16">
        <f t="shared" si="3"/>
        <v>100503.03021047582</v>
      </c>
      <c r="K10" s="17">
        <v>100</v>
      </c>
      <c r="L10" s="17">
        <f t="shared" si="4"/>
        <v>0</v>
      </c>
      <c r="M10" s="30">
        <f t="shared" si="5"/>
        <v>37.928937394525889</v>
      </c>
      <c r="N10" s="1">
        <f t="shared" si="0"/>
        <v>0</v>
      </c>
      <c r="O10" s="1"/>
      <c r="P10" s="1"/>
      <c r="Q10" s="17">
        <f t="shared" si="6"/>
        <v>0</v>
      </c>
      <c r="R10" s="32">
        <f t="shared" si="7"/>
        <v>100303.03021047582</v>
      </c>
      <c r="S10" s="27"/>
      <c r="T10" s="6">
        <f t="shared" si="1"/>
        <v>1.3742718897800099E-3</v>
      </c>
    </row>
    <row r="11" spans="1:20" x14ac:dyDescent="0.3">
      <c r="A11" s="9">
        <v>44020</v>
      </c>
      <c r="B11" s="1">
        <v>102.74146818484839</v>
      </c>
      <c r="C11" s="7">
        <f t="shared" si="2"/>
        <v>3.4806000000000559E-3</v>
      </c>
      <c r="D11" s="6">
        <f t="shared" si="8"/>
        <v>3.782865315342665E-4</v>
      </c>
      <c r="F11" s="12">
        <v>0</v>
      </c>
      <c r="J11" s="16">
        <f t="shared" si="3"/>
        <v>100540.97349587652</v>
      </c>
      <c r="K11" s="17"/>
      <c r="L11" s="17">
        <f t="shared" si="4"/>
        <v>0</v>
      </c>
      <c r="M11" s="30">
        <f t="shared" si="5"/>
        <v>37.943285400697647</v>
      </c>
      <c r="N11" s="1">
        <f t="shared" si="0"/>
        <v>0</v>
      </c>
      <c r="O11" s="1"/>
      <c r="P11" s="1"/>
      <c r="Q11" s="17">
        <f t="shared" si="6"/>
        <v>0</v>
      </c>
      <c r="R11" s="32">
        <f t="shared" si="7"/>
        <v>100340.97349587652</v>
      </c>
      <c r="S11" s="27"/>
      <c r="T11" s="6">
        <f t="shared" si="1"/>
        <v>3.7753374521387606E-4</v>
      </c>
    </row>
    <row r="12" spans="1:20" x14ac:dyDescent="0.3">
      <c r="A12" s="13">
        <v>44021</v>
      </c>
      <c r="B12" s="14">
        <v>102.92841656035753</v>
      </c>
      <c r="C12" s="19">
        <f t="shared" si="2"/>
        <v>1.8195999999999213E-3</v>
      </c>
      <c r="D12" s="18">
        <f t="shared" si="8"/>
        <v>3.782865315342665E-4</v>
      </c>
      <c r="F12" s="15">
        <v>0</v>
      </c>
      <c r="J12" s="16">
        <f t="shared" si="3"/>
        <v>100578.93113471105</v>
      </c>
      <c r="K12" s="17"/>
      <c r="L12" s="17">
        <f t="shared" si="4"/>
        <v>0</v>
      </c>
      <c r="M12" s="30">
        <f t="shared" si="5"/>
        <v>37.95763883452689</v>
      </c>
      <c r="N12" s="1">
        <f t="shared" si="0"/>
        <v>0</v>
      </c>
      <c r="O12" s="1"/>
      <c r="P12" s="1"/>
      <c r="Q12" s="17">
        <f t="shared" si="6"/>
        <v>0</v>
      </c>
      <c r="R12" s="32">
        <f t="shared" si="7"/>
        <v>100378.93113471105</v>
      </c>
      <c r="S12" s="27"/>
      <c r="T12" s="6">
        <f t="shared" si="1"/>
        <v>3.7753402930884583E-4</v>
      </c>
    </row>
    <row r="13" spans="1:20" x14ac:dyDescent="0.3">
      <c r="A13" s="9">
        <v>44022</v>
      </c>
      <c r="B13" s="1">
        <v>103.72651320952488</v>
      </c>
      <c r="C13" s="7">
        <f t="shared" si="2"/>
        <v>7.7538999999999803E-3</v>
      </c>
      <c r="D13" s="6">
        <f t="shared" si="8"/>
        <v>3.782865315342665E-4</v>
      </c>
      <c r="F13" s="12">
        <v>0</v>
      </c>
      <c r="J13" s="16">
        <f t="shared" si="3"/>
        <v>101616.90313240912</v>
      </c>
      <c r="K13" s="17">
        <v>1000</v>
      </c>
      <c r="L13" s="17">
        <f t="shared" si="4"/>
        <v>0</v>
      </c>
      <c r="M13" s="30">
        <f t="shared" si="5"/>
        <v>37.971997698066836</v>
      </c>
      <c r="N13" s="1">
        <f t="shared" si="0"/>
        <v>0</v>
      </c>
      <c r="O13" s="1"/>
      <c r="P13" s="1"/>
      <c r="Q13" s="17">
        <f t="shared" si="6"/>
        <v>0</v>
      </c>
      <c r="R13" s="32">
        <f t="shared" si="7"/>
        <v>100416.90313240912</v>
      </c>
      <c r="S13" s="27"/>
      <c r="T13" s="6">
        <f t="shared" si="1"/>
        <v>1.0319974431900247E-2</v>
      </c>
    </row>
    <row r="14" spans="1:20" x14ac:dyDescent="0.3">
      <c r="A14" s="13">
        <v>44025</v>
      </c>
      <c r="B14" s="14">
        <v>104.1929194761715</v>
      </c>
      <c r="C14" s="19">
        <f t="shared" si="2"/>
        <v>4.4964999999999034E-3</v>
      </c>
      <c r="D14" s="18">
        <f t="shared" si="8"/>
        <v>3.782865315342665E-4</v>
      </c>
      <c r="F14" s="15">
        <v>0</v>
      </c>
      <c r="J14" s="16">
        <f t="shared" si="3"/>
        <v>101654.88949440249</v>
      </c>
      <c r="K14" s="17"/>
      <c r="L14" s="17">
        <f t="shared" si="4"/>
        <v>0</v>
      </c>
      <c r="M14" s="30">
        <f t="shared" si="5"/>
        <v>37.986361993371467</v>
      </c>
      <c r="N14" s="1">
        <f t="shared" si="0"/>
        <v>0</v>
      </c>
      <c r="O14" s="1"/>
      <c r="P14" s="1"/>
      <c r="Q14" s="17">
        <f t="shared" si="6"/>
        <v>0</v>
      </c>
      <c r="R14" s="32">
        <f t="shared" si="7"/>
        <v>100454.88949440249</v>
      </c>
      <c r="S14" s="27"/>
      <c r="T14" s="6">
        <f t="shared" si="1"/>
        <v>3.7381932358115932E-4</v>
      </c>
    </row>
    <row r="15" spans="1:20" x14ac:dyDescent="0.3">
      <c r="A15" s="9">
        <v>44026</v>
      </c>
      <c r="B15" s="1">
        <v>104.20977789054275</v>
      </c>
      <c r="C15" s="7">
        <f t="shared" si="2"/>
        <v>1.6180000000010075E-4</v>
      </c>
      <c r="D15" s="6">
        <f t="shared" si="8"/>
        <v>3.782865315342665E-4</v>
      </c>
      <c r="F15" s="12">
        <v>0</v>
      </c>
      <c r="J15" s="16">
        <f t="shared" si="3"/>
        <v>101692.89022612499</v>
      </c>
      <c r="K15" s="17"/>
      <c r="L15" s="17">
        <f t="shared" si="4"/>
        <v>0</v>
      </c>
      <c r="M15" s="30">
        <f t="shared" si="5"/>
        <v>38.000731722495544</v>
      </c>
      <c r="N15" s="1">
        <f t="shared" si="0"/>
        <v>0</v>
      </c>
      <c r="O15" s="1"/>
      <c r="P15" s="1"/>
      <c r="Q15" s="17">
        <f t="shared" si="6"/>
        <v>0</v>
      </c>
      <c r="R15" s="32">
        <f t="shared" si="7"/>
        <v>100492.89022612499</v>
      </c>
      <c r="S15" s="27"/>
      <c r="T15" s="6">
        <f t="shared" si="1"/>
        <v>3.738209928858538E-4</v>
      </c>
    </row>
    <row r="16" spans="1:20" x14ac:dyDescent="0.3">
      <c r="A16" s="13">
        <v>44027</v>
      </c>
      <c r="B16" s="14">
        <v>104.67703369264838</v>
      </c>
      <c r="C16" s="19">
        <f t="shared" si="2"/>
        <v>4.4838000000000378E-3</v>
      </c>
      <c r="D16" s="18">
        <f t="shared" si="8"/>
        <v>3.782865315342665E-4</v>
      </c>
      <c r="F16" s="15">
        <v>0</v>
      </c>
      <c r="J16" s="16">
        <f t="shared" si="3"/>
        <v>101730.90533301249</v>
      </c>
      <c r="K16" s="17"/>
      <c r="L16" s="17">
        <f t="shared" si="4"/>
        <v>0</v>
      </c>
      <c r="M16" s="30">
        <f t="shared" si="5"/>
        <v>38.015106887494611</v>
      </c>
      <c r="N16" s="1">
        <f t="shared" si="0"/>
        <v>0</v>
      </c>
      <c r="O16" s="1"/>
      <c r="P16" s="1"/>
      <c r="Q16" s="17">
        <f t="shared" si="6"/>
        <v>0</v>
      </c>
      <c r="R16" s="32">
        <f t="shared" si="7"/>
        <v>100530.90533301249</v>
      </c>
      <c r="S16" s="27"/>
      <c r="T16" s="6">
        <f t="shared" si="1"/>
        <v>3.7382266157415245E-4</v>
      </c>
    </row>
    <row r="17" spans="1:20" x14ac:dyDescent="0.3">
      <c r="A17" s="9">
        <v>44028</v>
      </c>
      <c r="B17" s="1">
        <v>105.23484713749315</v>
      </c>
      <c r="C17" s="7">
        <f t="shared" si="2"/>
        <v>5.3289000000000808E-3</v>
      </c>
      <c r="D17" s="6">
        <f t="shared" si="8"/>
        <v>3.782865315342665E-4</v>
      </c>
      <c r="F17" s="12">
        <v>0</v>
      </c>
      <c r="J17" s="16">
        <f t="shared" si="3"/>
        <v>102268.93482050291</v>
      </c>
      <c r="K17" s="17">
        <v>500</v>
      </c>
      <c r="L17" s="17">
        <f t="shared" si="4"/>
        <v>0</v>
      </c>
      <c r="M17" s="30">
        <f t="shared" si="5"/>
        <v>38.029487490424991</v>
      </c>
      <c r="N17" s="1">
        <f t="shared" si="0"/>
        <v>0</v>
      </c>
      <c r="O17" s="1"/>
      <c r="P17" s="1"/>
      <c r="Q17" s="17">
        <f t="shared" si="6"/>
        <v>0</v>
      </c>
      <c r="R17" s="32">
        <f t="shared" si="7"/>
        <v>100568.93482050291</v>
      </c>
      <c r="S17" s="27"/>
      <c r="T17" s="6">
        <f t="shared" si="1"/>
        <v>5.2887515915562844E-3</v>
      </c>
    </row>
    <row r="18" spans="1:20" x14ac:dyDescent="0.3">
      <c r="A18" s="13">
        <v>44029</v>
      </c>
      <c r="B18" s="14">
        <v>106.02407692057022</v>
      </c>
      <c r="C18" s="19">
        <f t="shared" si="2"/>
        <v>7.4997000000001091E-3</v>
      </c>
      <c r="D18" s="18">
        <f t="shared" si="8"/>
        <v>3.782865315342665E-4</v>
      </c>
      <c r="F18" s="15">
        <v>0</v>
      </c>
      <c r="J18" s="16">
        <f t="shared" si="3"/>
        <v>102306.97869403625</v>
      </c>
      <c r="K18" s="17"/>
      <c r="L18" s="17">
        <f t="shared" si="4"/>
        <v>0</v>
      </c>
      <c r="M18" s="30">
        <f t="shared" si="5"/>
        <v>38.043873533343763</v>
      </c>
      <c r="N18" s="1">
        <f t="shared" si="0"/>
        <v>0</v>
      </c>
      <c r="O18" s="1"/>
      <c r="P18" s="1"/>
      <c r="Q18" s="17">
        <f t="shared" si="6"/>
        <v>0</v>
      </c>
      <c r="R18" s="32">
        <f t="shared" si="7"/>
        <v>100606.97869403625</v>
      </c>
      <c r="S18" s="27"/>
      <c r="T18" s="6">
        <f t="shared" si="1"/>
        <v>3.7199833556611495E-4</v>
      </c>
    </row>
    <row r="19" spans="1:20" x14ac:dyDescent="0.3">
      <c r="A19" s="9">
        <v>44032</v>
      </c>
      <c r="B19" s="1">
        <v>106.61339054731782</v>
      </c>
      <c r="C19" s="7">
        <f t="shared" si="2"/>
        <v>5.558299999999905E-3</v>
      </c>
      <c r="D19" s="6">
        <f t="shared" si="8"/>
        <v>3.782865315342665E-4</v>
      </c>
      <c r="F19" s="12">
        <v>0</v>
      </c>
      <c r="J19" s="16">
        <f t="shared" si="3"/>
        <v>102345.03695905456</v>
      </c>
      <c r="K19" s="17"/>
      <c r="L19" s="17">
        <f t="shared" si="4"/>
        <v>0</v>
      </c>
      <c r="M19" s="30">
        <f t="shared" si="5"/>
        <v>38.058265018308823</v>
      </c>
      <c r="N19" s="1">
        <f t="shared" si="0"/>
        <v>0</v>
      </c>
      <c r="O19" s="1"/>
      <c r="P19" s="1"/>
      <c r="Q19" s="17">
        <f t="shared" si="6"/>
        <v>0</v>
      </c>
      <c r="R19" s="32">
        <f t="shared" si="7"/>
        <v>100645.03695905456</v>
      </c>
      <c r="S19" s="27"/>
      <c r="T19" s="6">
        <f t="shared" si="1"/>
        <v>3.7200067389453473E-4</v>
      </c>
    </row>
    <row r="20" spans="1:20" x14ac:dyDescent="0.3">
      <c r="A20" s="13">
        <v>44033</v>
      </c>
      <c r="B20" s="14">
        <v>107.61356274805938</v>
      </c>
      <c r="C20" s="19">
        <f t="shared" si="2"/>
        <v>9.3813000000000368E-3</v>
      </c>
      <c r="D20" s="18">
        <f t="shared" si="8"/>
        <v>3.782865315342665E-4</v>
      </c>
      <c r="F20" s="15">
        <v>0</v>
      </c>
      <c r="J20" s="16">
        <f t="shared" si="3"/>
        <v>104383.10962100193</v>
      </c>
      <c r="K20" s="17">
        <v>2000</v>
      </c>
      <c r="L20" s="17">
        <f t="shared" si="4"/>
        <v>0</v>
      </c>
      <c r="M20" s="30">
        <f t="shared" si="5"/>
        <v>38.072661947378812</v>
      </c>
      <c r="N20" s="1">
        <f t="shared" si="0"/>
        <v>0</v>
      </c>
      <c r="O20" s="1"/>
      <c r="P20" s="1"/>
      <c r="Q20" s="17">
        <f t="shared" si="6"/>
        <v>0</v>
      </c>
      <c r="R20" s="32">
        <f t="shared" si="7"/>
        <v>100683.10962100193</v>
      </c>
      <c r="S20" s="27"/>
      <c r="T20" s="6">
        <f t="shared" si="1"/>
        <v>1.9913742009421975E-2</v>
      </c>
    </row>
    <row r="21" spans="1:20" x14ac:dyDescent="0.3">
      <c r="A21" s="9">
        <v>44034</v>
      </c>
      <c r="B21" s="1">
        <v>108.05177593692574</v>
      </c>
      <c r="C21" s="7">
        <f t="shared" si="2"/>
        <v>4.0720999999999119E-3</v>
      </c>
      <c r="D21" s="6">
        <f t="shared" si="8"/>
        <v>3.782865315342665E-4</v>
      </c>
      <c r="F21" s="12">
        <v>0</v>
      </c>
      <c r="J21" s="16">
        <f t="shared" si="3"/>
        <v>104421.19668532454</v>
      </c>
      <c r="K21" s="17"/>
      <c r="L21" s="17">
        <f t="shared" si="4"/>
        <v>0</v>
      </c>
      <c r="M21" s="30">
        <f t="shared" si="5"/>
        <v>38.087064322613159</v>
      </c>
      <c r="N21" s="1">
        <f t="shared" si="0"/>
        <v>0</v>
      </c>
      <c r="O21" s="1"/>
      <c r="P21" s="1"/>
      <c r="Q21" s="17">
        <f t="shared" si="6"/>
        <v>0</v>
      </c>
      <c r="R21" s="32">
        <f t="shared" si="7"/>
        <v>100721.19668532454</v>
      </c>
      <c r="S21" s="27"/>
      <c r="T21" s="6">
        <f t="shared" si="1"/>
        <v>3.6487765559867213E-4</v>
      </c>
    </row>
    <row r="22" spans="1:20" x14ac:dyDescent="0.3">
      <c r="A22" s="13">
        <v>44035</v>
      </c>
      <c r="B22" s="14">
        <v>108.7319510612711</v>
      </c>
      <c r="C22" s="19">
        <f t="shared" si="2"/>
        <v>6.2949000000001032E-3</v>
      </c>
      <c r="D22" s="18">
        <f t="shared" si="8"/>
        <v>3.782865315342665E-4</v>
      </c>
      <c r="F22" s="15">
        <v>0</v>
      </c>
      <c r="J22" s="16">
        <f t="shared" si="3"/>
        <v>104459.29815747061</v>
      </c>
      <c r="K22" s="17"/>
      <c r="L22" s="17">
        <f t="shared" si="4"/>
        <v>0</v>
      </c>
      <c r="M22" s="30">
        <f t="shared" si="5"/>
        <v>38.101472146072084</v>
      </c>
      <c r="N22" s="1">
        <f t="shared" si="0"/>
        <v>0</v>
      </c>
      <c r="O22" s="1"/>
      <c r="P22" s="1"/>
      <c r="Q22" s="17">
        <f t="shared" si="6"/>
        <v>0</v>
      </c>
      <c r="R22" s="32">
        <f t="shared" si="7"/>
        <v>100759.29815747061</v>
      </c>
      <c r="S22" s="27"/>
      <c r="T22" s="6">
        <f t="shared" si="1"/>
        <v>3.648825464133143E-4</v>
      </c>
    </row>
    <row r="23" spans="1:20" x14ac:dyDescent="0.3">
      <c r="A23" s="9">
        <v>44036</v>
      </c>
      <c r="B23" s="1">
        <v>109.65791235650889</v>
      </c>
      <c r="C23" s="7">
        <f t="shared" si="2"/>
        <v>8.515999999999968E-3</v>
      </c>
      <c r="D23" s="6">
        <f t="shared" si="8"/>
        <v>3.782865315342665E-4</v>
      </c>
      <c r="F23" s="12">
        <v>0</v>
      </c>
      <c r="J23" s="16">
        <f t="shared" si="3"/>
        <v>104497.41404289042</v>
      </c>
      <c r="K23" s="17"/>
      <c r="L23" s="17">
        <f t="shared" si="4"/>
        <v>0</v>
      </c>
      <c r="M23" s="30">
        <f t="shared" si="5"/>
        <v>38.115885419816564</v>
      </c>
      <c r="N23" s="1">
        <f t="shared" si="0"/>
        <v>0</v>
      </c>
      <c r="O23" s="1"/>
      <c r="P23" s="1"/>
      <c r="Q23" s="17">
        <f t="shared" si="6"/>
        <v>0</v>
      </c>
      <c r="R23" s="32">
        <f t="shared" si="7"/>
        <v>100797.41404289042</v>
      </c>
      <c r="S23" s="27"/>
      <c r="T23" s="6">
        <f t="shared" si="1"/>
        <v>3.6488743550955327E-4</v>
      </c>
    </row>
    <row r="24" spans="1:20" x14ac:dyDescent="0.3">
      <c r="A24" s="13">
        <v>44039</v>
      </c>
      <c r="B24" s="14">
        <v>109.68628085843552</v>
      </c>
      <c r="C24" s="19">
        <f t="shared" si="2"/>
        <v>2.5870000000005611E-4</v>
      </c>
      <c r="D24" s="18">
        <f t="shared" si="8"/>
        <v>3.782865315342665E-4</v>
      </c>
      <c r="F24" s="15">
        <v>0</v>
      </c>
      <c r="J24" s="16">
        <f t="shared" si="3"/>
        <v>104535.54434703632</v>
      </c>
      <c r="K24" s="17"/>
      <c r="L24" s="17">
        <f t="shared" si="4"/>
        <v>0</v>
      </c>
      <c r="M24" s="30">
        <f t="shared" si="5"/>
        <v>38.130304145908383</v>
      </c>
      <c r="N24" s="1">
        <f t="shared" si="0"/>
        <v>0</v>
      </c>
      <c r="O24" s="1"/>
      <c r="P24" s="1"/>
      <c r="Q24" s="17">
        <f t="shared" si="6"/>
        <v>0</v>
      </c>
      <c r="R24" s="32">
        <f t="shared" si="7"/>
        <v>100835.54434703632</v>
      </c>
      <c r="S24" s="27"/>
      <c r="T24" s="6">
        <f t="shared" si="1"/>
        <v>3.6489232288805518E-4</v>
      </c>
    </row>
    <row r="25" spans="1:20" x14ac:dyDescent="0.3">
      <c r="A25" s="9">
        <v>44040</v>
      </c>
      <c r="B25" s="1">
        <v>110.4838975555819</v>
      </c>
      <c r="C25" s="7">
        <f t="shared" si="2"/>
        <v>7.2718000000000504E-3</v>
      </c>
      <c r="D25" s="6">
        <f t="shared" si="8"/>
        <v>3.782865315342665E-4</v>
      </c>
      <c r="F25" s="12">
        <v>0</v>
      </c>
      <c r="J25" s="16">
        <f t="shared" si="3"/>
        <v>104573.68907536274</v>
      </c>
      <c r="K25" s="17"/>
      <c r="L25" s="17">
        <f t="shared" si="4"/>
        <v>0</v>
      </c>
      <c r="M25" s="30">
        <f t="shared" si="5"/>
        <v>38.144728326410082</v>
      </c>
      <c r="N25" s="1">
        <f t="shared" si="0"/>
        <v>0</v>
      </c>
      <c r="O25" s="1"/>
      <c r="P25" s="1"/>
      <c r="Q25" s="17">
        <f t="shared" si="6"/>
        <v>0</v>
      </c>
      <c r="R25" s="32">
        <f t="shared" si="7"/>
        <v>100873.68907536274</v>
      </c>
      <c r="S25" s="27"/>
      <c r="T25" s="6">
        <f t="shared" si="1"/>
        <v>3.6489720854926411E-4</v>
      </c>
    </row>
    <row r="26" spans="1:20" x14ac:dyDescent="0.3">
      <c r="A26" s="13">
        <v>44041</v>
      </c>
      <c r="B26" s="14">
        <v>110.97430243166185</v>
      </c>
      <c r="C26" s="19">
        <f t="shared" si="2"/>
        <v>4.4386999999999066E-3</v>
      </c>
      <c r="D26" s="18">
        <f t="shared" si="8"/>
        <v>3.782865315342665E-4</v>
      </c>
      <c r="F26" s="15">
        <v>0</v>
      </c>
      <c r="J26" s="16">
        <f t="shared" si="3"/>
        <v>104611.84823332612</v>
      </c>
      <c r="K26" s="17"/>
      <c r="L26" s="17">
        <f t="shared" si="4"/>
        <v>0</v>
      </c>
      <c r="M26" s="30">
        <f t="shared" si="5"/>
        <v>38.159157963384999</v>
      </c>
      <c r="N26" s="1">
        <f t="shared" si="0"/>
        <v>0</v>
      </c>
      <c r="O26" s="1"/>
      <c r="P26" s="1"/>
      <c r="Q26" s="17">
        <f t="shared" si="6"/>
        <v>0</v>
      </c>
      <c r="R26" s="32">
        <f t="shared" si="7"/>
        <v>100911.84823332612</v>
      </c>
      <c r="S26" s="27"/>
      <c r="T26" s="6">
        <f t="shared" si="1"/>
        <v>3.6490209249362415E-4</v>
      </c>
    </row>
  </sheetData>
  <conditionalFormatting sqref="F2:F4 S2:S26">
    <cfRule type="cellIs" dxfId="18" priority="7" operator="lessThan">
      <formula>0</formula>
    </cfRule>
  </conditionalFormatting>
  <conditionalFormatting sqref="F5:F26">
    <cfRule type="cellIs" dxfId="17" priority="6" operator="lessThan">
      <formula>0</formula>
    </cfRule>
  </conditionalFormatting>
  <conditionalFormatting sqref="L3:L26">
    <cfRule type="cellIs" dxfId="16" priority="5" operator="lessThan">
      <formula>0</formula>
    </cfRule>
  </conditionalFormatting>
  <conditionalFormatting sqref="Q3:Q26">
    <cfRule type="cellIs" dxfId="15" priority="4" operator="lessThan">
      <formula>0</formula>
    </cfRule>
  </conditionalFormatting>
  <conditionalFormatting sqref="Q2">
    <cfRule type="cellIs" dxfId="14" priority="3" operator="lessThan">
      <formula>0</formula>
    </cfRule>
  </conditionalFormatting>
  <conditionalFormatting sqref="F1:F1048576">
    <cfRule type="cellIs" dxfId="13" priority="2" operator="equal">
      <formula>0</formula>
    </cfRule>
  </conditionalFormatting>
  <conditionalFormatting sqref="K3:K26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FD28-E813-45ED-944B-ED3887F62BC0}">
  <sheetPr codeName="Sheet4"/>
  <dimension ref="A1:X26"/>
  <sheetViews>
    <sheetView showGridLines="0" zoomScale="115" zoomScaleNormal="115" workbookViewId="0">
      <selection activeCell="E12" sqref="E12"/>
    </sheetView>
  </sheetViews>
  <sheetFormatPr defaultRowHeight="14.4" x14ac:dyDescent="0.3"/>
  <cols>
    <col min="1" max="1" width="15" customWidth="1"/>
    <col min="2" max="2" width="7.88671875" style="1" bestFit="1" customWidth="1"/>
    <col min="3" max="4" width="11.33203125" style="2" customWidth="1"/>
    <col min="5" max="5" width="5.88671875" style="4" customWidth="1"/>
    <col min="6" max="6" width="5.88671875" style="11" customWidth="1"/>
    <col min="7" max="7" width="1.44140625" customWidth="1"/>
    <col min="8" max="8" width="6.88671875" customWidth="1"/>
    <col min="9" max="9" width="14.21875" bestFit="1" customWidth="1"/>
    <col min="10" max="11" width="11.6640625" customWidth="1"/>
    <col min="12" max="15" width="11.6640625" style="29" customWidth="1"/>
    <col min="16" max="16" width="10.21875" customWidth="1"/>
    <col min="17" max="18" width="3.109375" customWidth="1"/>
    <col min="19" max="19" width="11.6640625" customWidth="1"/>
    <col min="20" max="20" width="11.6640625" style="31" customWidth="1"/>
    <col min="21" max="24" width="11.6640625" style="4" customWidth="1"/>
  </cols>
  <sheetData>
    <row r="1" spans="1:24" s="23" customFormat="1" ht="34.799999999999997" customHeight="1" thickBot="1" x14ac:dyDescent="0.35">
      <c r="A1" s="3" t="s">
        <v>4</v>
      </c>
      <c r="B1" s="10" t="s">
        <v>0</v>
      </c>
      <c r="C1" s="3" t="s">
        <v>5</v>
      </c>
      <c r="D1" s="3" t="s">
        <v>3</v>
      </c>
      <c r="E1" s="22"/>
      <c r="F1" s="20" t="s">
        <v>6</v>
      </c>
      <c r="H1" s="24" t="s">
        <v>12</v>
      </c>
      <c r="I1" s="25">
        <v>100000</v>
      </c>
      <c r="J1" s="3" t="s">
        <v>17</v>
      </c>
      <c r="K1" s="3" t="s">
        <v>9</v>
      </c>
      <c r="L1" s="3" t="s">
        <v>10</v>
      </c>
      <c r="M1" s="39">
        <v>4.0000000000000002E-4</v>
      </c>
      <c r="N1" s="3" t="s">
        <v>18</v>
      </c>
      <c r="O1" s="3" t="s">
        <v>16</v>
      </c>
      <c r="P1" s="3" t="s">
        <v>1</v>
      </c>
      <c r="S1" s="3" t="s">
        <v>7</v>
      </c>
      <c r="T1" s="3" t="s">
        <v>8</v>
      </c>
      <c r="U1" s="26"/>
      <c r="V1" s="3" t="s">
        <v>19</v>
      </c>
      <c r="W1" s="3" t="s">
        <v>22</v>
      </c>
      <c r="X1" s="3" t="s">
        <v>21</v>
      </c>
    </row>
    <row r="2" spans="1:24" ht="15.6" thickTop="1" thickBot="1" x14ac:dyDescent="0.35">
      <c r="A2" s="13">
        <v>44007</v>
      </c>
      <c r="B2" s="14">
        <v>100</v>
      </c>
      <c r="C2" s="19"/>
      <c r="D2" s="19"/>
      <c r="F2" s="15">
        <v>0</v>
      </c>
      <c r="J2" s="16">
        <f>I1</f>
        <v>100000</v>
      </c>
      <c r="K2" s="16"/>
      <c r="L2" s="28"/>
      <c r="M2" s="42" t="s">
        <v>20</v>
      </c>
      <c r="N2" s="28"/>
      <c r="O2" s="28"/>
      <c r="P2" s="1">
        <f t="shared" ref="P2:P26" si="0">F2*J2/B2</f>
        <v>0</v>
      </c>
      <c r="Q2" s="1"/>
      <c r="R2" s="1"/>
      <c r="S2" s="17">
        <f>P2</f>
        <v>0</v>
      </c>
      <c r="T2" s="32">
        <f>I1-(S2*B2)</f>
        <v>100000</v>
      </c>
      <c r="U2" s="44" t="s">
        <v>23</v>
      </c>
      <c r="V2" s="45">
        <f t="array" ref="V2">PRODUCT(V3:V26+1)-1</f>
        <v>2.8320799289167198E-2</v>
      </c>
      <c r="W2" s="46">
        <f t="array" ref="W2">PRODUCT(W3:W26+1)-1</f>
        <v>1.9537469596262458E-2</v>
      </c>
      <c r="X2" s="27"/>
    </row>
    <row r="3" spans="1:24" x14ac:dyDescent="0.3">
      <c r="A3" s="9">
        <v>44008</v>
      </c>
      <c r="B3" s="1">
        <v>100.10289999999999</v>
      </c>
      <c r="C3" s="7">
        <f>B3/B2-1</f>
        <v>1.0289999999999466E-3</v>
      </c>
      <c r="D3" s="6">
        <f>(10%+1)^(1/252)-1</f>
        <v>3.782865315342665E-4</v>
      </c>
      <c r="F3" s="12">
        <v>0</v>
      </c>
      <c r="J3" s="16">
        <f t="shared" ref="J3:J26" si="1">J2+K3+L3</f>
        <v>100037.82865315342</v>
      </c>
      <c r="K3" s="17">
        <f t="shared" ref="K3:K26" si="2">P2*(B3-B2)</f>
        <v>0</v>
      </c>
      <c r="L3" s="30">
        <f t="shared" ref="L3:L26" si="3">T2*D3</f>
        <v>37.82865315342665</v>
      </c>
      <c r="M3" s="30">
        <f>ABS(S3)*B3*$M$1</f>
        <v>0</v>
      </c>
      <c r="N3" s="30">
        <f>IF(P2&lt;0,(O3/252)*P2*B2,0)</f>
        <v>0</v>
      </c>
      <c r="O3" s="40">
        <v>1.8200000000000001E-2</v>
      </c>
      <c r="P3" s="1">
        <f t="shared" si="0"/>
        <v>0</v>
      </c>
      <c r="Q3" s="1"/>
      <c r="R3" s="1"/>
      <c r="S3" s="17">
        <f>P3-P2</f>
        <v>0</v>
      </c>
      <c r="T3" s="32">
        <f t="shared" ref="T3:T26" si="4">T2-S3*B3+L3</f>
        <v>100037.82865315342</v>
      </c>
      <c r="U3" s="27"/>
      <c r="V3" s="41">
        <f>J3/J2-1</f>
        <v>3.782865315342665E-4</v>
      </c>
      <c r="W3" s="43">
        <f t="shared" ref="W3:W26" si="5">V3+X3</f>
        <v>3.782865315342665E-4</v>
      </c>
      <c r="X3" s="41">
        <f>(N3+M3)/J2</f>
        <v>0</v>
      </c>
    </row>
    <row r="4" spans="1:24" x14ac:dyDescent="0.3">
      <c r="A4" s="13">
        <v>44011</v>
      </c>
      <c r="B4" s="14">
        <v>100.25807951557999</v>
      </c>
      <c r="C4" s="19">
        <f t="shared" ref="C4:C26" si="6">B4/B3-1</f>
        <v>1.5502000000000571E-3</v>
      </c>
      <c r="D4" s="18">
        <f>(10%+1)^(1/252)-1</f>
        <v>3.782865315342665E-4</v>
      </c>
      <c r="F4" s="15">
        <v>1</v>
      </c>
      <c r="J4" s="16">
        <f t="shared" si="1"/>
        <v>100075.67161637684</v>
      </c>
      <c r="K4" s="17">
        <f t="shared" si="2"/>
        <v>0</v>
      </c>
      <c r="L4" s="30">
        <f t="shared" si="3"/>
        <v>37.842963223420675</v>
      </c>
      <c r="M4" s="30">
        <f t="shared" ref="M4:M26" si="7">-ABS(S4)*B4*$M$1</f>
        <v>-40.030268646550738</v>
      </c>
      <c r="N4" s="30">
        <f t="shared" ref="N4:N26" si="8">IF(P3&lt;0,(O4/252)*P3*B3,0)</f>
        <v>0</v>
      </c>
      <c r="O4" s="40">
        <v>2.4E-2</v>
      </c>
      <c r="P4" s="1">
        <f t="shared" si="0"/>
        <v>998.18061646418425</v>
      </c>
      <c r="Q4" s="1"/>
      <c r="R4" s="1"/>
      <c r="S4" s="17">
        <f t="shared" ref="S4:S26" si="9">P4-P3</f>
        <v>998.18061646418425</v>
      </c>
      <c r="T4" s="32">
        <f t="shared" si="4"/>
        <v>2.3376856006507296E-12</v>
      </c>
      <c r="U4" s="33"/>
      <c r="V4" s="41">
        <f t="shared" ref="V4:V26" si="10">J4/J3-1</f>
        <v>3.782865315342665E-4</v>
      </c>
      <c r="W4" s="43">
        <f t="shared" si="5"/>
        <v>-2.1864783078347195E-5</v>
      </c>
      <c r="X4" s="41">
        <f t="shared" ref="X4:X26" si="11">(N4+M4)/J3</f>
        <v>-4.001513146126137E-4</v>
      </c>
    </row>
    <row r="5" spans="1:24" x14ac:dyDescent="0.3">
      <c r="A5" s="9">
        <v>44012</v>
      </c>
      <c r="B5" s="1">
        <v>100.01</v>
      </c>
      <c r="C5" s="7">
        <f t="shared" si="6"/>
        <v>-2.474409212490869E-3</v>
      </c>
      <c r="D5" s="6">
        <f t="shared" ref="D5:D26" si="12">(10%+1)^(1/252)-1</f>
        <v>3.782865315342665E-4</v>
      </c>
      <c r="F5" s="12">
        <v>1</v>
      </c>
      <c r="J5" s="16">
        <f t="shared" si="1"/>
        <v>99828.043452583079</v>
      </c>
      <c r="K5" s="17">
        <f t="shared" si="2"/>
        <v>-247.62816379376883</v>
      </c>
      <c r="L5" s="30">
        <f t="shared" si="3"/>
        <v>8.8431497768776295E-16</v>
      </c>
      <c r="M5" s="30">
        <f t="shared" si="7"/>
        <v>0</v>
      </c>
      <c r="N5" s="30">
        <f t="shared" si="8"/>
        <v>0</v>
      </c>
      <c r="O5" s="40">
        <v>1.7500000000000002E-2</v>
      </c>
      <c r="P5" s="1">
        <f t="shared" si="0"/>
        <v>998.18061646418437</v>
      </c>
      <c r="Q5" s="1"/>
      <c r="R5" s="1"/>
      <c r="S5" s="17">
        <f t="shared" si="9"/>
        <v>0</v>
      </c>
      <c r="T5" s="32">
        <f t="shared" si="4"/>
        <v>2.3385699156284174E-12</v>
      </c>
      <c r="U5" s="27"/>
      <c r="V5" s="41">
        <f t="shared" si="10"/>
        <v>-2.474409212490758E-3</v>
      </c>
      <c r="W5" s="43">
        <f t="shared" si="5"/>
        <v>-2.474409212490758E-3</v>
      </c>
      <c r="X5" s="41">
        <f t="shared" si="11"/>
        <v>0</v>
      </c>
    </row>
    <row r="6" spans="1:24" x14ac:dyDescent="0.3">
      <c r="A6" s="13">
        <v>44013</v>
      </c>
      <c r="B6" s="14">
        <v>101.33488036490562</v>
      </c>
      <c r="C6" s="19">
        <f t="shared" si="6"/>
        <v>1.3247478901166065E-2</v>
      </c>
      <c r="D6" s="18">
        <f t="shared" si="12"/>
        <v>3.782865315342665E-4</v>
      </c>
      <c r="F6" s="15">
        <v>0</v>
      </c>
      <c r="J6" s="16">
        <f t="shared" si="1"/>
        <v>101150.51335196586</v>
      </c>
      <c r="K6" s="17">
        <f t="shared" si="2"/>
        <v>1322.4698993827753</v>
      </c>
      <c r="L6" s="30">
        <f t="shared" si="3"/>
        <v>8.8464950213345625E-16</v>
      </c>
      <c r="M6" s="30">
        <f t="shared" si="7"/>
        <v>-40.460205340786345</v>
      </c>
      <c r="N6" s="30">
        <f t="shared" si="8"/>
        <v>0</v>
      </c>
      <c r="O6" s="40">
        <v>2.1100000000000001E-2</v>
      </c>
      <c r="P6" s="1">
        <f t="shared" si="0"/>
        <v>0</v>
      </c>
      <c r="Q6" s="1"/>
      <c r="R6" s="1"/>
      <c r="S6" s="17">
        <f t="shared" si="9"/>
        <v>-998.18061646418437</v>
      </c>
      <c r="T6" s="32">
        <f t="shared" si="4"/>
        <v>101150.51335196586</v>
      </c>
      <c r="U6" s="27"/>
      <c r="V6" s="41">
        <f t="shared" si="10"/>
        <v>1.3247478901166065E-2</v>
      </c>
      <c r="W6" s="43">
        <f t="shared" si="5"/>
        <v>1.28421799096056E-2</v>
      </c>
      <c r="X6" s="41">
        <f t="shared" si="11"/>
        <v>-4.0529899156046645E-4</v>
      </c>
    </row>
    <row r="7" spans="1:24" x14ac:dyDescent="0.3">
      <c r="A7" s="9">
        <v>44014</v>
      </c>
      <c r="B7" s="1">
        <v>101.42272757269394</v>
      </c>
      <c r="C7" s="7">
        <f t="shared" si="6"/>
        <v>8.6689999999989276E-4</v>
      </c>
      <c r="D7" s="6">
        <f t="shared" si="12"/>
        <v>3.782865315342665E-4</v>
      </c>
      <c r="F7" s="12">
        <v>1</v>
      </c>
      <c r="J7" s="16">
        <f t="shared" si="1"/>
        <v>101188.77722882468</v>
      </c>
      <c r="K7" s="17">
        <f t="shared" si="2"/>
        <v>0</v>
      </c>
      <c r="L7" s="30">
        <f t="shared" si="3"/>
        <v>38.263876858825675</v>
      </c>
      <c r="M7" s="30">
        <f t="shared" si="7"/>
        <v>-40.475510891529872</v>
      </c>
      <c r="N7" s="30">
        <f t="shared" si="8"/>
        <v>0</v>
      </c>
      <c r="O7" s="40">
        <v>1.32E-2</v>
      </c>
      <c r="P7" s="1">
        <f t="shared" si="0"/>
        <v>997.6933144131666</v>
      </c>
      <c r="Q7" s="1"/>
      <c r="R7" s="1"/>
      <c r="S7" s="17">
        <f t="shared" si="9"/>
        <v>997.6933144131666</v>
      </c>
      <c r="T7" s="32">
        <f t="shared" si="4"/>
        <v>3.4887648325820919E-12</v>
      </c>
      <c r="U7" s="27"/>
      <c r="V7" s="41">
        <f t="shared" si="10"/>
        <v>3.782865315342665E-4</v>
      </c>
      <c r="W7" s="43">
        <f t="shared" si="5"/>
        <v>-2.1864783078347195E-5</v>
      </c>
      <c r="X7" s="41">
        <f t="shared" si="11"/>
        <v>-4.001513146126137E-4</v>
      </c>
    </row>
    <row r="8" spans="1:24" x14ac:dyDescent="0.3">
      <c r="A8" s="13">
        <v>44015</v>
      </c>
      <c r="B8" s="14">
        <v>101.5634414649283</v>
      </c>
      <c r="C8" s="19">
        <f t="shared" si="6"/>
        <v>1.3874000000000386E-3</v>
      </c>
      <c r="D8" s="18">
        <f t="shared" si="12"/>
        <v>3.782865315342665E-4</v>
      </c>
      <c r="F8" s="15">
        <v>-1</v>
      </c>
      <c r="J8" s="16">
        <f t="shared" si="1"/>
        <v>101329.16653835196</v>
      </c>
      <c r="K8" s="17">
        <f t="shared" si="2"/>
        <v>140.38930952727492</v>
      </c>
      <c r="L8" s="30">
        <f t="shared" si="3"/>
        <v>1.3197527478562055E-15</v>
      </c>
      <c r="M8" s="30">
        <f t="shared" si="7"/>
        <v>-81.063333230681565</v>
      </c>
      <c r="N8" s="30">
        <f t="shared" si="8"/>
        <v>0</v>
      </c>
      <c r="O8" s="40">
        <v>2.5399999999999999E-2</v>
      </c>
      <c r="P8" s="1">
        <f t="shared" si="0"/>
        <v>-997.6933144131666</v>
      </c>
      <c r="Q8" s="1"/>
      <c r="R8" s="1"/>
      <c r="S8" s="17">
        <f t="shared" si="9"/>
        <v>-1995.3866288263332</v>
      </c>
      <c r="T8" s="32">
        <f t="shared" si="4"/>
        <v>202658.33307670392</v>
      </c>
      <c r="U8" s="27"/>
      <c r="V8" s="41">
        <f t="shared" si="10"/>
        <v>1.3874000000000386E-3</v>
      </c>
      <c r="W8" s="43">
        <f t="shared" si="5"/>
        <v>5.8629008000003855E-4</v>
      </c>
      <c r="X8" s="41">
        <f t="shared" si="11"/>
        <v>-8.0110992000000005E-4</v>
      </c>
    </row>
    <row r="9" spans="1:24" x14ac:dyDescent="0.3">
      <c r="A9" s="9">
        <v>44018</v>
      </c>
      <c r="B9" s="1">
        <v>102.38805535887036</v>
      </c>
      <c r="C9" s="7">
        <f t="shared" si="6"/>
        <v>8.1192000000001041E-3</v>
      </c>
      <c r="D9" s="6">
        <f t="shared" si="12"/>
        <v>3.782865315342665E-4</v>
      </c>
      <c r="F9" s="12">
        <v>-1</v>
      </c>
      <c r="J9" s="16">
        <f t="shared" si="1"/>
        <v>100583.11768729986</v>
      </c>
      <c r="K9" s="17">
        <f t="shared" si="2"/>
        <v>-822.71176895819883</v>
      </c>
      <c r="L9" s="30">
        <f t="shared" si="3"/>
        <v>76.662917906102436</v>
      </c>
      <c r="M9" s="30">
        <f t="shared" si="7"/>
        <v>-0.62750424800411753</v>
      </c>
      <c r="N9" s="30">
        <f t="shared" si="8"/>
        <v>-6.8759077293881692</v>
      </c>
      <c r="O9" s="40">
        <v>1.7100000000000001E-2</v>
      </c>
      <c r="P9" s="1">
        <f t="shared" si="0"/>
        <v>-982.37159925301648</v>
      </c>
      <c r="Q9" s="1"/>
      <c r="R9" s="1"/>
      <c r="S9" s="17">
        <f t="shared" si="9"/>
        <v>15.32171516015012</v>
      </c>
      <c r="T9" s="32">
        <f t="shared" si="4"/>
        <v>201166.23537459972</v>
      </c>
      <c r="U9" s="27"/>
      <c r="V9" s="41">
        <f t="shared" si="10"/>
        <v>-7.3626269369315711E-3</v>
      </c>
      <c r="W9" s="43">
        <f t="shared" si="5"/>
        <v>-7.4366768105634867E-3</v>
      </c>
      <c r="X9" s="41">
        <f t="shared" si="11"/>
        <v>-7.4049873631915544E-5</v>
      </c>
    </row>
    <row r="10" spans="1:24" x14ac:dyDescent="0.3">
      <c r="A10" s="13">
        <v>44019</v>
      </c>
      <c r="B10" s="14">
        <v>102.38510658287602</v>
      </c>
      <c r="C10" s="19">
        <f t="shared" si="6"/>
        <v>-2.8800000000051007E-5</v>
      </c>
      <c r="D10" s="18">
        <f t="shared" si="12"/>
        <v>3.782865315342665E-4</v>
      </c>
      <c r="F10" s="15">
        <v>0</v>
      </c>
      <c r="J10" s="16">
        <f t="shared" si="1"/>
        <v>100662.11295853092</v>
      </c>
      <c r="K10" s="17">
        <f t="shared" si="2"/>
        <v>2.8967937893994122</v>
      </c>
      <c r="L10" s="30">
        <f t="shared" si="3"/>
        <v>76.098477441663192</v>
      </c>
      <c r="M10" s="30">
        <f t="shared" si="7"/>
        <v>-40.232088357404187</v>
      </c>
      <c r="N10" s="30">
        <f t="shared" si="8"/>
        <v>-7.9827871180396714</v>
      </c>
      <c r="O10" s="40">
        <v>0.02</v>
      </c>
      <c r="P10" s="1">
        <f t="shared" si="0"/>
        <v>0</v>
      </c>
      <c r="Q10" s="1"/>
      <c r="R10" s="1"/>
      <c r="S10" s="17">
        <f t="shared" si="9"/>
        <v>982.37159925301648</v>
      </c>
      <c r="T10" s="32">
        <f t="shared" si="4"/>
        <v>100662.11295853092</v>
      </c>
      <c r="U10" s="27"/>
      <c r="V10" s="41">
        <f t="shared" si="10"/>
        <v>7.8537306306847299E-4</v>
      </c>
      <c r="W10" s="43">
        <f t="shared" si="5"/>
        <v>3.060195037033936E-4</v>
      </c>
      <c r="X10" s="41">
        <f t="shared" si="11"/>
        <v>-4.7935355936507939E-4</v>
      </c>
    </row>
    <row r="11" spans="1:24" x14ac:dyDescent="0.3">
      <c r="A11" s="9">
        <v>44020</v>
      </c>
      <c r="B11" s="1">
        <v>102.74146818484839</v>
      </c>
      <c r="C11" s="7">
        <f t="shared" si="6"/>
        <v>3.4806000000000559E-3</v>
      </c>
      <c r="D11" s="6">
        <f t="shared" si="12"/>
        <v>3.782865315342665E-4</v>
      </c>
      <c r="F11" s="12">
        <v>1</v>
      </c>
      <c r="J11" s="16">
        <f t="shared" si="1"/>
        <v>100700.19208009892</v>
      </c>
      <c r="K11" s="17">
        <f t="shared" si="2"/>
        <v>0</v>
      </c>
      <c r="L11" s="30">
        <f t="shared" si="3"/>
        <v>38.079121567993205</v>
      </c>
      <c r="M11" s="30">
        <f t="shared" si="7"/>
        <v>-40.280076832039569</v>
      </c>
      <c r="N11" s="30">
        <f t="shared" si="8"/>
        <v>0</v>
      </c>
      <c r="O11" s="40">
        <v>0.03</v>
      </c>
      <c r="P11" s="1">
        <f t="shared" si="0"/>
        <v>980.13191615018695</v>
      </c>
      <c r="Q11" s="1"/>
      <c r="R11" s="1"/>
      <c r="S11" s="17">
        <f t="shared" si="9"/>
        <v>980.13191615018695</v>
      </c>
      <c r="T11" s="32">
        <f t="shared" si="4"/>
        <v>3.6237679523765109E-13</v>
      </c>
      <c r="U11" s="27"/>
      <c r="V11" s="41">
        <f t="shared" si="10"/>
        <v>3.782865315342665E-4</v>
      </c>
      <c r="W11" s="43">
        <f t="shared" si="5"/>
        <v>-2.1864783078347249E-5</v>
      </c>
      <c r="X11" s="41">
        <f t="shared" si="11"/>
        <v>-4.0015131461261375E-4</v>
      </c>
    </row>
    <row r="12" spans="1:24" x14ac:dyDescent="0.3">
      <c r="A12" s="13">
        <v>44021</v>
      </c>
      <c r="B12" s="14">
        <v>102.92841656035753</v>
      </c>
      <c r="C12" s="19">
        <f t="shared" si="6"/>
        <v>1.8195999999999213E-3</v>
      </c>
      <c r="D12" s="18">
        <f t="shared" si="12"/>
        <v>3.782865315342665E-4</v>
      </c>
      <c r="F12" s="15">
        <v>1</v>
      </c>
      <c r="J12" s="16">
        <f t="shared" si="1"/>
        <v>100883.42614960787</v>
      </c>
      <c r="K12" s="17">
        <f t="shared" si="2"/>
        <v>183.23406950894449</v>
      </c>
      <c r="L12" s="30">
        <f t="shared" si="3"/>
        <v>1.3708226097895414E-16</v>
      </c>
      <c r="M12" s="30">
        <f t="shared" si="7"/>
        <v>0</v>
      </c>
      <c r="N12" s="30">
        <f t="shared" si="8"/>
        <v>0</v>
      </c>
      <c r="O12" s="40">
        <v>1.1900000000000001E-2</v>
      </c>
      <c r="P12" s="1">
        <f t="shared" si="0"/>
        <v>980.13191615018695</v>
      </c>
      <c r="Q12" s="1"/>
      <c r="R12" s="1"/>
      <c r="S12" s="17">
        <f t="shared" si="9"/>
        <v>0</v>
      </c>
      <c r="T12" s="32">
        <f t="shared" si="4"/>
        <v>3.6251387749863006E-13</v>
      </c>
      <c r="U12" s="27"/>
      <c r="V12" s="41">
        <f t="shared" si="10"/>
        <v>1.8196000000001433E-3</v>
      </c>
      <c r="W12" s="43">
        <f t="shared" si="5"/>
        <v>1.8196000000001433E-3</v>
      </c>
      <c r="X12" s="41">
        <f t="shared" si="11"/>
        <v>0</v>
      </c>
    </row>
    <row r="13" spans="1:24" x14ac:dyDescent="0.3">
      <c r="A13" s="9">
        <v>44022</v>
      </c>
      <c r="B13" s="1">
        <v>103.72651320952488</v>
      </c>
      <c r="C13" s="7">
        <f t="shared" si="6"/>
        <v>7.7538999999999803E-3</v>
      </c>
      <c r="D13" s="6">
        <f t="shared" si="12"/>
        <v>3.782865315342665E-4</v>
      </c>
      <c r="F13" s="12">
        <v>0</v>
      </c>
      <c r="J13" s="16">
        <f t="shared" si="1"/>
        <v>101665.66614762931</v>
      </c>
      <c r="K13" s="17">
        <f t="shared" si="2"/>
        <v>782.2399980214368</v>
      </c>
      <c r="L13" s="30">
        <f t="shared" si="3"/>
        <v>1.3713411735199475E-16</v>
      </c>
      <c r="M13" s="30">
        <f t="shared" si="7"/>
        <v>-40.66626645905172</v>
      </c>
      <c r="N13" s="30">
        <f t="shared" si="8"/>
        <v>0</v>
      </c>
      <c r="O13" s="40">
        <v>2.0300000000000002E-2</v>
      </c>
      <c r="P13" s="1">
        <f t="shared" si="0"/>
        <v>0</v>
      </c>
      <c r="Q13" s="1"/>
      <c r="R13" s="1"/>
      <c r="S13" s="17">
        <f t="shared" si="9"/>
        <v>-980.13191615018695</v>
      </c>
      <c r="T13" s="32">
        <f t="shared" si="4"/>
        <v>101665.66614762929</v>
      </c>
      <c r="U13" s="27"/>
      <c r="V13" s="41">
        <f t="shared" si="10"/>
        <v>7.7538999999999803E-3</v>
      </c>
      <c r="W13" s="43">
        <f t="shared" si="5"/>
        <v>7.3507984399999804E-3</v>
      </c>
      <c r="X13" s="41">
        <f t="shared" si="11"/>
        <v>-4.0310155999999993E-4</v>
      </c>
    </row>
    <row r="14" spans="1:24" x14ac:dyDescent="0.3">
      <c r="A14" s="13">
        <v>44025</v>
      </c>
      <c r="B14" s="14">
        <v>104.1929194761715</v>
      </c>
      <c r="C14" s="19">
        <f t="shared" si="6"/>
        <v>4.4964999999999034E-3</v>
      </c>
      <c r="D14" s="18">
        <f t="shared" si="12"/>
        <v>3.782865315342665E-4</v>
      </c>
      <c r="F14" s="15">
        <v>-1</v>
      </c>
      <c r="J14" s="16">
        <f t="shared" si="1"/>
        <v>101704.12489985241</v>
      </c>
      <c r="K14" s="17">
        <f t="shared" si="2"/>
        <v>0</v>
      </c>
      <c r="L14" s="30">
        <f t="shared" si="3"/>
        <v>38.458752223107382</v>
      </c>
      <c r="M14" s="30">
        <f t="shared" si="7"/>
        <v>-40.681649959940962</v>
      </c>
      <c r="N14" s="30">
        <f t="shared" si="8"/>
        <v>0</v>
      </c>
      <c r="O14" s="40">
        <v>2.0900000000000002E-2</v>
      </c>
      <c r="P14" s="1">
        <f t="shared" si="0"/>
        <v>-976.11359208637714</v>
      </c>
      <c r="Q14" s="1"/>
      <c r="R14" s="1"/>
      <c r="S14" s="17">
        <f t="shared" si="9"/>
        <v>-976.11359208637714</v>
      </c>
      <c r="T14" s="32">
        <f t="shared" si="4"/>
        <v>203408.24979970482</v>
      </c>
      <c r="U14" s="27"/>
      <c r="V14" s="41">
        <f t="shared" si="10"/>
        <v>3.782865315342665E-4</v>
      </c>
      <c r="W14" s="43">
        <f t="shared" si="5"/>
        <v>-2.186478307834714E-5</v>
      </c>
      <c r="X14" s="41">
        <f t="shared" si="11"/>
        <v>-4.0015131461261364E-4</v>
      </c>
    </row>
    <row r="15" spans="1:24" x14ac:dyDescent="0.3">
      <c r="A15" s="9">
        <v>44026</v>
      </c>
      <c r="B15" s="1">
        <v>104.20977789054275</v>
      </c>
      <c r="C15" s="7">
        <f t="shared" si="6"/>
        <v>1.6180000000010075E-4</v>
      </c>
      <c r="D15" s="6">
        <f t="shared" si="12"/>
        <v>3.782865315342665E-4</v>
      </c>
      <c r="F15" s="12">
        <v>-1</v>
      </c>
      <c r="J15" s="16">
        <f t="shared" si="1"/>
        <v>101764.61577374578</v>
      </c>
      <c r="K15" s="17">
        <f t="shared" si="2"/>
        <v>-16.455727408807746</v>
      </c>
      <c r="L15" s="30">
        <f t="shared" si="3"/>
        <v>76.946601302185996</v>
      </c>
      <c r="M15" s="30">
        <f t="shared" si="7"/>
        <v>-1.7614058593828089E-2</v>
      </c>
      <c r="N15" s="30">
        <f t="shared" si="8"/>
        <v>-5.0852062449926203</v>
      </c>
      <c r="O15" s="40">
        <v>1.26E-2</v>
      </c>
      <c r="P15" s="1">
        <f t="shared" si="0"/>
        <v>-976.53615460762944</v>
      </c>
      <c r="Q15" s="1"/>
      <c r="R15" s="1"/>
      <c r="S15" s="17">
        <f t="shared" si="9"/>
        <v>-0.42256252125230276</v>
      </c>
      <c r="T15" s="32">
        <f t="shared" si="4"/>
        <v>203529.23154749157</v>
      </c>
      <c r="U15" s="27"/>
      <c r="V15" s="41">
        <f t="shared" si="10"/>
        <v>5.9477306306843225E-4</v>
      </c>
      <c r="W15" s="43">
        <f t="shared" si="5"/>
        <v>5.4459987384320493E-4</v>
      </c>
      <c r="X15" s="41">
        <f t="shared" si="11"/>
        <v>-5.017318922522732E-5</v>
      </c>
    </row>
    <row r="16" spans="1:24" x14ac:dyDescent="0.3">
      <c r="A16" s="13">
        <v>44027</v>
      </c>
      <c r="B16" s="14">
        <v>104.67703369264838</v>
      </c>
      <c r="C16" s="19">
        <f t="shared" si="6"/>
        <v>4.4838000000000378E-3</v>
      </c>
      <c r="D16" s="18">
        <f t="shared" si="12"/>
        <v>3.782865315342665E-4</v>
      </c>
      <c r="F16" s="15">
        <v>1</v>
      </c>
      <c r="J16" s="16">
        <f t="shared" si="1"/>
        <v>101385.31595660739</v>
      </c>
      <c r="K16" s="17">
        <f t="shared" si="2"/>
        <v>-456.29218420633163</v>
      </c>
      <c r="L16" s="30">
        <f t="shared" si="3"/>
        <v>76.992367067935191</v>
      </c>
      <c r="M16" s="30">
        <f t="shared" si="7"/>
        <v>-81.442489565823806</v>
      </c>
      <c r="N16" s="30">
        <f t="shared" si="8"/>
        <v>-9.3284231125933648</v>
      </c>
      <c r="O16" s="40">
        <v>2.3099999999999999E-2</v>
      </c>
      <c r="P16" s="1">
        <f t="shared" si="0"/>
        <v>968.5535821954403</v>
      </c>
      <c r="Q16" s="1"/>
      <c r="R16" s="1"/>
      <c r="S16" s="17">
        <f t="shared" si="9"/>
        <v>1945.0897368030696</v>
      </c>
      <c r="T16" s="32">
        <f t="shared" si="4"/>
        <v>7.9296569310827181E-12</v>
      </c>
      <c r="U16" s="27"/>
      <c r="V16" s="41">
        <f t="shared" si="10"/>
        <v>-3.7272269369315048E-3</v>
      </c>
      <c r="W16" s="43">
        <f t="shared" si="5"/>
        <v>-4.6191962328233985E-3</v>
      </c>
      <c r="X16" s="41">
        <f t="shared" si="11"/>
        <v>-8.9196929589189415E-4</v>
      </c>
    </row>
    <row r="17" spans="1:24" x14ac:dyDescent="0.3">
      <c r="A17" s="9">
        <v>44028</v>
      </c>
      <c r="B17" s="1">
        <v>105.23484713749315</v>
      </c>
      <c r="C17" s="7">
        <f t="shared" si="6"/>
        <v>5.3289000000000808E-3</v>
      </c>
      <c r="D17" s="6">
        <f t="shared" si="12"/>
        <v>3.782865315342665E-4</v>
      </c>
      <c r="F17" s="12">
        <v>-1</v>
      </c>
      <c r="J17" s="16">
        <f t="shared" si="1"/>
        <v>101925.58816680856</v>
      </c>
      <c r="K17" s="17">
        <f t="shared" si="2"/>
        <v>540.27221020117918</v>
      </c>
      <c r="L17" s="30">
        <f t="shared" si="3"/>
        <v>2.9996824167159376E-15</v>
      </c>
      <c r="M17" s="30">
        <f t="shared" si="7"/>
        <v>-81.54047053344685</v>
      </c>
      <c r="N17" s="30">
        <f t="shared" si="8"/>
        <v>0</v>
      </c>
      <c r="O17" s="40">
        <v>1.5699999999999999E-2</v>
      </c>
      <c r="P17" s="1">
        <f t="shared" si="0"/>
        <v>-968.5535821954403</v>
      </c>
      <c r="Q17" s="1"/>
      <c r="R17" s="1"/>
      <c r="S17" s="17">
        <f t="shared" si="9"/>
        <v>-1937.1071643908806</v>
      </c>
      <c r="T17" s="32">
        <f t="shared" si="4"/>
        <v>203851.17633361713</v>
      </c>
      <c r="U17" s="27"/>
      <c r="V17" s="41">
        <f t="shared" si="10"/>
        <v>5.3289000000000808E-3</v>
      </c>
      <c r="W17" s="43">
        <f t="shared" si="5"/>
        <v>4.5246368800000809E-3</v>
      </c>
      <c r="X17" s="41">
        <f t="shared" si="11"/>
        <v>-8.0426312000000011E-4</v>
      </c>
    </row>
    <row r="18" spans="1:24" x14ac:dyDescent="0.3">
      <c r="A18" s="13">
        <v>44029</v>
      </c>
      <c r="B18" s="14">
        <v>106.02407692057022</v>
      </c>
      <c r="C18" s="19">
        <f t="shared" si="6"/>
        <v>7.4997000000001091E-3</v>
      </c>
      <c r="D18" s="18">
        <f t="shared" si="12"/>
        <v>3.782865315342665E-4</v>
      </c>
      <c r="F18" s="15">
        <v>1</v>
      </c>
      <c r="J18" s="16">
        <f t="shared" si="1"/>
        <v>101238.29098767835</v>
      </c>
      <c r="K18" s="17">
        <f t="shared" si="2"/>
        <v>-764.41133357463207</v>
      </c>
      <c r="L18" s="30">
        <f t="shared" si="3"/>
        <v>77.114154444424173</v>
      </c>
      <c r="M18" s="30">
        <f t="shared" si="7"/>
        <v>-81.571316195224625</v>
      </c>
      <c r="N18" s="30">
        <f t="shared" si="8"/>
        <v>-5.7029793379047655</v>
      </c>
      <c r="O18" s="40">
        <v>1.4100000000000001E-2</v>
      </c>
      <c r="P18" s="1">
        <f t="shared" si="0"/>
        <v>954.86132893684874</v>
      </c>
      <c r="Q18" s="1"/>
      <c r="R18" s="1"/>
      <c r="S18" s="17">
        <f t="shared" si="9"/>
        <v>1923.414911132289</v>
      </c>
      <c r="T18" s="32">
        <f t="shared" si="4"/>
        <v>-1.1937117960769683E-12</v>
      </c>
      <c r="U18" s="27"/>
      <c r="V18" s="41">
        <f t="shared" si="10"/>
        <v>-6.7431269369316871E-3</v>
      </c>
      <c r="W18" s="43">
        <f t="shared" si="5"/>
        <v>-7.5993819471092952E-3</v>
      </c>
      <c r="X18" s="41">
        <f t="shared" si="11"/>
        <v>-8.5625501017760842E-4</v>
      </c>
    </row>
    <row r="19" spans="1:24" x14ac:dyDescent="0.3">
      <c r="A19" s="9">
        <v>44032</v>
      </c>
      <c r="B19" s="1">
        <v>106.61339054731782</v>
      </c>
      <c r="C19" s="7">
        <f t="shared" si="6"/>
        <v>5.558299999999905E-3</v>
      </c>
      <c r="D19" s="6">
        <f t="shared" si="12"/>
        <v>3.782865315342665E-4</v>
      </c>
      <c r="F19" s="12">
        <v>1</v>
      </c>
      <c r="J19" s="16">
        <f t="shared" si="1"/>
        <v>101801.00378047516</v>
      </c>
      <c r="K19" s="17">
        <f t="shared" si="2"/>
        <v>562.71279279680425</v>
      </c>
      <c r="L19" s="30">
        <f t="shared" si="3"/>
        <v>-4.5156509498949598E-16</v>
      </c>
      <c r="M19" s="30">
        <f t="shared" si="7"/>
        <v>0</v>
      </c>
      <c r="N19" s="30">
        <f t="shared" si="8"/>
        <v>0</v>
      </c>
      <c r="O19" s="40">
        <v>2.64E-2</v>
      </c>
      <c r="P19" s="1">
        <f t="shared" si="0"/>
        <v>954.86132893684874</v>
      </c>
      <c r="Q19" s="1"/>
      <c r="R19" s="1"/>
      <c r="S19" s="17">
        <f t="shared" si="9"/>
        <v>0</v>
      </c>
      <c r="T19" s="32">
        <f t="shared" si="4"/>
        <v>-1.1941633611719578E-12</v>
      </c>
      <c r="U19" s="27"/>
      <c r="V19" s="41">
        <f t="shared" si="10"/>
        <v>5.558299999999905E-3</v>
      </c>
      <c r="W19" s="43">
        <f t="shared" si="5"/>
        <v>5.558299999999905E-3</v>
      </c>
      <c r="X19" s="41">
        <f t="shared" si="11"/>
        <v>0</v>
      </c>
    </row>
    <row r="20" spans="1:24" x14ac:dyDescent="0.3">
      <c r="A20" s="13">
        <v>44033</v>
      </c>
      <c r="B20" s="14">
        <v>107.61356274805938</v>
      </c>
      <c r="C20" s="19">
        <f t="shared" si="6"/>
        <v>9.3813000000000368E-3</v>
      </c>
      <c r="D20" s="18">
        <f t="shared" si="12"/>
        <v>3.782865315342665E-4</v>
      </c>
      <c r="F20" s="15">
        <v>-1</v>
      </c>
      <c r="J20" s="16">
        <f t="shared" si="1"/>
        <v>102756.02953724095</v>
      </c>
      <c r="K20" s="17">
        <f t="shared" si="2"/>
        <v>955.02575676577806</v>
      </c>
      <c r="L20" s="30">
        <f t="shared" si="3"/>
        <v>-4.5173591598304155E-16</v>
      </c>
      <c r="M20" s="30">
        <f t="shared" si="7"/>
        <v>-82.204823629792756</v>
      </c>
      <c r="N20" s="30">
        <f t="shared" si="8"/>
        <v>0</v>
      </c>
      <c r="O20" s="40">
        <v>0.03</v>
      </c>
      <c r="P20" s="1">
        <f t="shared" si="0"/>
        <v>-954.86132893684885</v>
      </c>
      <c r="Q20" s="1"/>
      <c r="R20" s="1"/>
      <c r="S20" s="17">
        <f t="shared" si="9"/>
        <v>-1909.7226578736977</v>
      </c>
      <c r="T20" s="32">
        <f t="shared" si="4"/>
        <v>205512.05907448189</v>
      </c>
      <c r="U20" s="27"/>
      <c r="V20" s="41">
        <f t="shared" si="10"/>
        <v>9.3813000000000368E-3</v>
      </c>
      <c r="W20" s="43">
        <f t="shared" si="5"/>
        <v>8.573794960000037E-3</v>
      </c>
      <c r="X20" s="41">
        <f t="shared" si="11"/>
        <v>-8.0750504000000009E-4</v>
      </c>
    </row>
    <row r="21" spans="1:24" x14ac:dyDescent="0.3">
      <c r="A21" s="9">
        <v>44034</v>
      </c>
      <c r="B21" s="1">
        <v>108.05177593692574</v>
      </c>
      <c r="C21" s="7">
        <f t="shared" si="6"/>
        <v>4.0720999999999119E-3</v>
      </c>
      <c r="D21" s="6">
        <f t="shared" si="12"/>
        <v>3.782865315342665E-4</v>
      </c>
      <c r="F21" s="12">
        <v>-1</v>
      </c>
      <c r="J21" s="16">
        <f t="shared" si="1"/>
        <v>102415.33915337811</v>
      </c>
      <c r="K21" s="17">
        <f t="shared" si="2"/>
        <v>-418.43282787858351</v>
      </c>
      <c r="L21" s="30">
        <f t="shared" si="3"/>
        <v>77.742444015751033</v>
      </c>
      <c r="M21" s="30">
        <f t="shared" si="7"/>
        <v>-0.30364928469657188</v>
      </c>
      <c r="N21" s="30">
        <f t="shared" si="8"/>
        <v>-10.642588773499957</v>
      </c>
      <c r="O21" s="40">
        <v>2.6100000000000002E-2</v>
      </c>
      <c r="P21" s="1">
        <f t="shared" si="0"/>
        <v>-947.8357784064757</v>
      </c>
      <c r="Q21" s="1"/>
      <c r="R21" s="1"/>
      <c r="S21" s="17">
        <f t="shared" si="9"/>
        <v>7.0255505303731525</v>
      </c>
      <c r="T21" s="32">
        <f t="shared" si="4"/>
        <v>204830.67830675622</v>
      </c>
      <c r="U21" s="27"/>
      <c r="V21" s="41">
        <f t="shared" si="10"/>
        <v>-3.3155269369313789E-3</v>
      </c>
      <c r="W21" s="43">
        <f t="shared" si="5"/>
        <v>-3.4220534162775801E-3</v>
      </c>
      <c r="X21" s="41">
        <f t="shared" si="11"/>
        <v>-1.0652647934620112E-4</v>
      </c>
    </row>
    <row r="22" spans="1:24" x14ac:dyDescent="0.3">
      <c r="A22" s="13">
        <v>44035</v>
      </c>
      <c r="B22" s="14">
        <v>108.7319510612711</v>
      </c>
      <c r="C22" s="19">
        <f t="shared" si="6"/>
        <v>6.2949000000001032E-3</v>
      </c>
      <c r="D22" s="18">
        <f t="shared" si="12"/>
        <v>3.782865315342665E-4</v>
      </c>
      <c r="F22" s="15">
        <v>1</v>
      </c>
      <c r="J22" s="16">
        <f t="shared" si="1"/>
        <v>101848.12952178998</v>
      </c>
      <c r="K22" s="17">
        <f t="shared" si="2"/>
        <v>-644.69431843661323</v>
      </c>
      <c r="L22" s="30">
        <f t="shared" si="3"/>
        <v>77.484686848473928</v>
      </c>
      <c r="M22" s="30">
        <f t="shared" si="7"/>
        <v>-81.963265197441885</v>
      </c>
      <c r="N22" s="30">
        <f t="shared" si="8"/>
        <v>-10.444738953340543</v>
      </c>
      <c r="O22" s="40">
        <v>2.5700000000000001E-2</v>
      </c>
      <c r="P22" s="1">
        <f t="shared" si="0"/>
        <v>936.68998420158891</v>
      </c>
      <c r="Q22" s="1"/>
      <c r="R22" s="1"/>
      <c r="S22" s="17">
        <f t="shared" si="9"/>
        <v>1884.5257626080647</v>
      </c>
      <c r="T22" s="32">
        <f t="shared" si="4"/>
        <v>-7.3896444519050419E-13</v>
      </c>
      <c r="U22" s="27"/>
      <c r="V22" s="41">
        <f t="shared" si="10"/>
        <v>-5.5383269369315702E-3</v>
      </c>
      <c r="W22" s="43">
        <f t="shared" si="5"/>
        <v>-6.4406136931409244E-3</v>
      </c>
      <c r="X22" s="41">
        <f t="shared" si="11"/>
        <v>-9.0228675620935444E-4</v>
      </c>
    </row>
    <row r="23" spans="1:24" x14ac:dyDescent="0.3">
      <c r="A23" s="9">
        <v>44036</v>
      </c>
      <c r="B23" s="1">
        <v>109.65791235650889</v>
      </c>
      <c r="C23" s="7">
        <f t="shared" si="6"/>
        <v>8.515999999999968E-3</v>
      </c>
      <c r="D23" s="6">
        <f t="shared" si="12"/>
        <v>3.782865315342665E-4</v>
      </c>
      <c r="F23" s="12">
        <v>0</v>
      </c>
      <c r="J23" s="16">
        <f t="shared" si="1"/>
        <v>102715.46819279753</v>
      </c>
      <c r="K23" s="17">
        <f t="shared" si="2"/>
        <v>867.33867100756231</v>
      </c>
      <c r="L23" s="30">
        <f t="shared" si="3"/>
        <v>-2.7954029689825941E-16</v>
      </c>
      <c r="M23" s="30">
        <f t="shared" si="7"/>
        <v>-41.086187277119016</v>
      </c>
      <c r="N23" s="30">
        <f t="shared" si="8"/>
        <v>0</v>
      </c>
      <c r="O23" s="40">
        <v>1.6E-2</v>
      </c>
      <c r="P23" s="1">
        <f t="shared" si="0"/>
        <v>0</v>
      </c>
      <c r="Q23" s="1"/>
      <c r="R23" s="1"/>
      <c r="S23" s="17">
        <f t="shared" si="9"/>
        <v>-936.68998420158891</v>
      </c>
      <c r="T23" s="32">
        <f t="shared" si="4"/>
        <v>102715.46819279753</v>
      </c>
      <c r="U23" s="27"/>
      <c r="V23" s="41">
        <f t="shared" si="10"/>
        <v>8.515999999999968E-3</v>
      </c>
      <c r="W23" s="43">
        <f t="shared" si="5"/>
        <v>8.1125935999999677E-3</v>
      </c>
      <c r="X23" s="41">
        <f t="shared" si="11"/>
        <v>-4.0340640000000001E-4</v>
      </c>
    </row>
    <row r="24" spans="1:24" x14ac:dyDescent="0.3">
      <c r="A24" s="13">
        <v>44039</v>
      </c>
      <c r="B24" s="14">
        <v>109.68628085843552</v>
      </c>
      <c r="C24" s="19">
        <f t="shared" si="6"/>
        <v>2.5870000000005611E-4</v>
      </c>
      <c r="D24" s="18">
        <f t="shared" si="12"/>
        <v>3.782865315342665E-4</v>
      </c>
      <c r="F24" s="15">
        <v>0</v>
      </c>
      <c r="J24" s="16">
        <f t="shared" si="1"/>
        <v>102754.32407099511</v>
      </c>
      <c r="K24" s="17">
        <f t="shared" si="2"/>
        <v>0</v>
      </c>
      <c r="L24" s="30">
        <f t="shared" si="3"/>
        <v>38.855878197571649</v>
      </c>
      <c r="M24" s="30">
        <f t="shared" si="7"/>
        <v>0</v>
      </c>
      <c r="N24" s="30">
        <f t="shared" si="8"/>
        <v>0</v>
      </c>
      <c r="O24" s="40">
        <v>2.8999999999999998E-2</v>
      </c>
      <c r="P24" s="1">
        <f t="shared" si="0"/>
        <v>0</v>
      </c>
      <c r="Q24" s="1"/>
      <c r="R24" s="1"/>
      <c r="S24" s="17">
        <f t="shared" si="9"/>
        <v>0</v>
      </c>
      <c r="T24" s="32">
        <f t="shared" si="4"/>
        <v>102754.32407099511</v>
      </c>
      <c r="U24" s="27"/>
      <c r="V24" s="41">
        <f t="shared" si="10"/>
        <v>3.782865315342665E-4</v>
      </c>
      <c r="W24" s="43">
        <f t="shared" si="5"/>
        <v>3.782865315342665E-4</v>
      </c>
      <c r="X24" s="41">
        <f t="shared" si="11"/>
        <v>0</v>
      </c>
    </row>
    <row r="25" spans="1:24" x14ac:dyDescent="0.3">
      <c r="A25" s="9">
        <v>44040</v>
      </c>
      <c r="B25" s="1">
        <v>110.4838975555819</v>
      </c>
      <c r="C25" s="7">
        <f t="shared" si="6"/>
        <v>7.2718000000000504E-3</v>
      </c>
      <c r="D25" s="6">
        <f t="shared" si="12"/>
        <v>3.782865315342665E-4</v>
      </c>
      <c r="F25" s="12">
        <v>0</v>
      </c>
      <c r="J25" s="16">
        <f t="shared" si="1"/>
        <v>102793.19464784807</v>
      </c>
      <c r="K25" s="17">
        <f t="shared" si="2"/>
        <v>0</v>
      </c>
      <c r="L25" s="30">
        <f t="shared" si="3"/>
        <v>38.870576852964732</v>
      </c>
      <c r="M25" s="30">
        <f t="shared" si="7"/>
        <v>0</v>
      </c>
      <c r="N25" s="30">
        <f t="shared" si="8"/>
        <v>0</v>
      </c>
      <c r="O25" s="40">
        <v>2.6100000000000002E-2</v>
      </c>
      <c r="P25" s="1">
        <f t="shared" si="0"/>
        <v>0</v>
      </c>
      <c r="Q25" s="1"/>
      <c r="R25" s="1"/>
      <c r="S25" s="17">
        <f t="shared" si="9"/>
        <v>0</v>
      </c>
      <c r="T25" s="32">
        <f t="shared" si="4"/>
        <v>102793.19464784807</v>
      </c>
      <c r="U25" s="27"/>
      <c r="V25" s="41">
        <f t="shared" si="10"/>
        <v>3.782865315342665E-4</v>
      </c>
      <c r="W25" s="43">
        <f t="shared" si="5"/>
        <v>3.782865315342665E-4</v>
      </c>
      <c r="X25" s="41">
        <f t="shared" si="11"/>
        <v>0</v>
      </c>
    </row>
    <row r="26" spans="1:24" x14ac:dyDescent="0.3">
      <c r="A26" s="13">
        <v>44041</v>
      </c>
      <c r="B26" s="14">
        <v>110.97430243166185</v>
      </c>
      <c r="C26" s="19">
        <f t="shared" si="6"/>
        <v>4.4386999999999066E-3</v>
      </c>
      <c r="D26" s="18">
        <f t="shared" si="12"/>
        <v>3.782865315342665E-4</v>
      </c>
      <c r="F26" s="15">
        <v>0</v>
      </c>
      <c r="J26" s="16">
        <f t="shared" si="1"/>
        <v>102832.07992891673</v>
      </c>
      <c r="K26" s="17">
        <f t="shared" si="2"/>
        <v>0</v>
      </c>
      <c r="L26" s="30">
        <f t="shared" si="3"/>
        <v>38.885281068661172</v>
      </c>
      <c r="M26" s="30">
        <f t="shared" si="7"/>
        <v>0</v>
      </c>
      <c r="N26" s="30">
        <f t="shared" si="8"/>
        <v>0</v>
      </c>
      <c r="O26" s="40">
        <v>1.4999999999999999E-2</v>
      </c>
      <c r="P26" s="1">
        <f t="shared" si="0"/>
        <v>0</v>
      </c>
      <c r="Q26" s="1"/>
      <c r="R26" s="1"/>
      <c r="S26" s="17">
        <f t="shared" si="9"/>
        <v>0</v>
      </c>
      <c r="T26" s="32">
        <f t="shared" si="4"/>
        <v>102832.07992891673</v>
      </c>
      <c r="U26" s="27"/>
      <c r="V26" s="41">
        <f t="shared" si="10"/>
        <v>3.782865315342665E-4</v>
      </c>
      <c r="W26" s="43">
        <f t="shared" si="5"/>
        <v>3.782865315342665E-4</v>
      </c>
      <c r="X26" s="41">
        <f t="shared" si="11"/>
        <v>0</v>
      </c>
    </row>
  </sheetData>
  <conditionalFormatting sqref="F2:F4 U2:W26">
    <cfRule type="cellIs" dxfId="11" priority="7" operator="lessThan">
      <formula>0</formula>
    </cfRule>
  </conditionalFormatting>
  <conditionalFormatting sqref="F5:F26">
    <cfRule type="cellIs" dxfId="10" priority="6" operator="lessThan">
      <formula>0</formula>
    </cfRule>
  </conditionalFormatting>
  <conditionalFormatting sqref="K3:K26">
    <cfRule type="cellIs" dxfId="9" priority="5" operator="lessThan">
      <formula>0</formula>
    </cfRule>
  </conditionalFormatting>
  <conditionalFormatting sqref="S3:S26">
    <cfRule type="cellIs" dxfId="8" priority="4" operator="lessThan">
      <formula>0</formula>
    </cfRule>
  </conditionalFormatting>
  <conditionalFormatting sqref="S2">
    <cfRule type="cellIs" dxfId="7" priority="3" operator="lessThan">
      <formula>0</formula>
    </cfRule>
  </conditionalFormatting>
  <conditionalFormatting sqref="F1:F1048576">
    <cfRule type="cellIs" dxfId="6" priority="2" operator="equal">
      <formula>0</formula>
    </cfRule>
  </conditionalFormatting>
  <conditionalFormatting sqref="X2:X26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DC9E-8E3A-4565-B51A-97EA88CA68F7}">
  <sheetPr codeName="Sheet5"/>
  <dimension ref="A1:S26"/>
  <sheetViews>
    <sheetView showGridLines="0" zoomScale="115" zoomScaleNormal="115" workbookViewId="0">
      <selection activeCell="F11" sqref="F11"/>
    </sheetView>
  </sheetViews>
  <sheetFormatPr defaultRowHeight="14.4" x14ac:dyDescent="0.3"/>
  <cols>
    <col min="1" max="1" width="15" customWidth="1"/>
    <col min="2" max="2" width="7.88671875" style="1" bestFit="1" customWidth="1"/>
    <col min="3" max="4" width="11.33203125" style="2" customWidth="1"/>
    <col min="5" max="5" width="5.88671875" style="4" customWidth="1"/>
    <col min="6" max="6" width="6.77734375" style="37" customWidth="1"/>
    <col min="7" max="7" width="4.33203125" customWidth="1"/>
    <col min="8" max="8" width="6.88671875" customWidth="1"/>
    <col min="9" max="9" width="14.21875" bestFit="1" customWidth="1"/>
    <col min="10" max="11" width="11.6640625" customWidth="1"/>
    <col min="12" max="12" width="11.6640625" style="29" customWidth="1"/>
    <col min="13" max="13" width="10.21875" customWidth="1"/>
    <col min="14" max="15" width="3.109375" customWidth="1"/>
    <col min="16" max="16" width="11.6640625" customWidth="1"/>
    <col min="17" max="17" width="11.6640625" style="31" customWidth="1"/>
    <col min="18" max="19" width="11.6640625" style="4" customWidth="1"/>
  </cols>
  <sheetData>
    <row r="1" spans="1:19" s="23" customFormat="1" ht="34.799999999999997" customHeight="1" thickBot="1" x14ac:dyDescent="0.35">
      <c r="A1" s="3" t="s">
        <v>4</v>
      </c>
      <c r="B1" s="10" t="s">
        <v>0</v>
      </c>
      <c r="C1" s="3" t="s">
        <v>5</v>
      </c>
      <c r="D1" s="3" t="s">
        <v>3</v>
      </c>
      <c r="E1" s="22"/>
      <c r="F1" s="34" t="s">
        <v>13</v>
      </c>
      <c r="H1" s="24" t="s">
        <v>12</v>
      </c>
      <c r="I1" s="25">
        <v>100000</v>
      </c>
      <c r="J1" s="3" t="s">
        <v>2</v>
      </c>
      <c r="K1" s="3" t="s">
        <v>9</v>
      </c>
      <c r="L1" s="3" t="s">
        <v>10</v>
      </c>
      <c r="M1" s="3" t="s">
        <v>1</v>
      </c>
      <c r="P1" s="3" t="s">
        <v>7</v>
      </c>
      <c r="Q1" s="3" t="s">
        <v>8</v>
      </c>
      <c r="R1" s="3" t="s">
        <v>15</v>
      </c>
      <c r="S1" s="3" t="s">
        <v>14</v>
      </c>
    </row>
    <row r="2" spans="1:19" ht="15" thickTop="1" x14ac:dyDescent="0.3">
      <c r="A2" s="13">
        <v>44007</v>
      </c>
      <c r="B2" s="14">
        <v>100</v>
      </c>
      <c r="C2" s="19"/>
      <c r="D2" s="19"/>
      <c r="F2" s="35">
        <v>0</v>
      </c>
      <c r="J2" s="16">
        <f>I1</f>
        <v>100000</v>
      </c>
      <c r="K2" s="16"/>
      <c r="L2" s="28"/>
      <c r="M2" s="1">
        <f>I1*F2/B2</f>
        <v>0</v>
      </c>
      <c r="N2" s="1"/>
      <c r="O2" s="1"/>
      <c r="P2" s="17">
        <f>M2</f>
        <v>0</v>
      </c>
      <c r="Q2" s="32">
        <f>I1-(P2*B2)</f>
        <v>100000</v>
      </c>
      <c r="R2" s="38">
        <f t="shared" ref="R2:R26" si="0">M2*B2/J2</f>
        <v>0</v>
      </c>
      <c r="S2" s="38">
        <f>Q2/J2</f>
        <v>1</v>
      </c>
    </row>
    <row r="3" spans="1:19" x14ac:dyDescent="0.3">
      <c r="A3" s="9">
        <v>44008</v>
      </c>
      <c r="B3" s="1">
        <v>100.10289999999999</v>
      </c>
      <c r="C3" s="7">
        <f>B3/B2-1</f>
        <v>1.0289999999999466E-3</v>
      </c>
      <c r="D3" s="6">
        <f>(10%+1)^(1/252)-1</f>
        <v>3.782865315342665E-4</v>
      </c>
      <c r="F3" s="36">
        <v>0</v>
      </c>
      <c r="J3" s="16">
        <f>J2+K3+L3</f>
        <v>100037.82865315342</v>
      </c>
      <c r="K3" s="17">
        <f t="shared" ref="K3:K26" si="1">M2*(B3-B2)</f>
        <v>0</v>
      </c>
      <c r="L3" s="30">
        <f t="shared" ref="L3:L26" si="2">Q2*D3</f>
        <v>37.82865315342665</v>
      </c>
      <c r="M3" s="1">
        <f t="shared" ref="M3:M26" si="3">(F3*J3)/B3</f>
        <v>0</v>
      </c>
      <c r="N3" s="1"/>
      <c r="O3" s="1"/>
      <c r="P3" s="17">
        <f>M3-M2</f>
        <v>0</v>
      </c>
      <c r="Q3" s="32">
        <f t="shared" ref="Q3:Q26" si="4">Q2-P3*B3+L3</f>
        <v>100037.82865315342</v>
      </c>
      <c r="R3" s="38">
        <f t="shared" si="0"/>
        <v>0</v>
      </c>
      <c r="S3" s="38">
        <f t="shared" ref="S3:S26" si="5">Q3/J3</f>
        <v>1</v>
      </c>
    </row>
    <row r="4" spans="1:19" x14ac:dyDescent="0.3">
      <c r="A4" s="13">
        <v>44011</v>
      </c>
      <c r="B4" s="14">
        <v>100.25807951557999</v>
      </c>
      <c r="C4" s="19">
        <f t="shared" ref="C4:C26" si="6">B4/B3-1</f>
        <v>1.5502000000000571E-3</v>
      </c>
      <c r="D4" s="18">
        <f>(10%+1)^(1/252)-1</f>
        <v>3.782865315342665E-4</v>
      </c>
      <c r="F4" s="35">
        <v>1</v>
      </c>
      <c r="J4" s="16">
        <f t="shared" ref="J4:J26" si="7">J3+K4+L4</f>
        <v>100075.67161637684</v>
      </c>
      <c r="K4" s="17">
        <f t="shared" si="1"/>
        <v>0</v>
      </c>
      <c r="L4" s="30">
        <f t="shared" si="2"/>
        <v>37.842963223420675</v>
      </c>
      <c r="M4" s="1">
        <f t="shared" si="3"/>
        <v>998.18061646418425</v>
      </c>
      <c r="N4" s="1"/>
      <c r="O4" s="1"/>
      <c r="P4" s="17">
        <f t="shared" ref="P4:P26" si="8">M4-M3</f>
        <v>998.18061646418425</v>
      </c>
      <c r="Q4" s="32">
        <f t="shared" si="4"/>
        <v>2.3376856006507296E-12</v>
      </c>
      <c r="R4" s="38">
        <f t="shared" si="0"/>
        <v>1</v>
      </c>
      <c r="S4" s="38">
        <f t="shared" si="5"/>
        <v>2.3359179737627462E-17</v>
      </c>
    </row>
    <row r="5" spans="1:19" x14ac:dyDescent="0.3">
      <c r="A5" s="9">
        <v>44012</v>
      </c>
      <c r="B5" s="1">
        <v>100.01</v>
      </c>
      <c r="C5" s="7">
        <f t="shared" si="6"/>
        <v>-2.474409212490869E-3</v>
      </c>
      <c r="D5" s="6">
        <f t="shared" ref="D5:D26" si="9">(10%+1)^(1/252)-1</f>
        <v>3.782865315342665E-4</v>
      </c>
      <c r="F5" s="36">
        <v>0.5</v>
      </c>
      <c r="J5" s="16">
        <f t="shared" si="7"/>
        <v>99828.043452583079</v>
      </c>
      <c r="K5" s="17">
        <f t="shared" si="1"/>
        <v>-247.62816379376883</v>
      </c>
      <c r="L5" s="30">
        <f t="shared" si="2"/>
        <v>8.8431497768776295E-16</v>
      </c>
      <c r="M5" s="1">
        <f t="shared" si="3"/>
        <v>499.09030823209218</v>
      </c>
      <c r="N5" s="1"/>
      <c r="O5" s="1"/>
      <c r="P5" s="17">
        <f t="shared" si="8"/>
        <v>-499.09030823209207</v>
      </c>
      <c r="Q5" s="32">
        <f t="shared" si="4"/>
        <v>49914.021726291532</v>
      </c>
      <c r="R5" s="38">
        <f t="shared" si="0"/>
        <v>0.5</v>
      </c>
      <c r="S5" s="38">
        <f t="shared" si="5"/>
        <v>0.49999999999999994</v>
      </c>
    </row>
    <row r="6" spans="1:19" x14ac:dyDescent="0.3">
      <c r="A6" s="13">
        <v>44013</v>
      </c>
      <c r="B6" s="14">
        <v>101.33488036490562</v>
      </c>
      <c r="C6" s="19">
        <f t="shared" si="6"/>
        <v>1.3247478901166065E-2</v>
      </c>
      <c r="D6" s="18">
        <f t="shared" si="9"/>
        <v>3.782865315342665E-4</v>
      </c>
      <c r="F6" s="35">
        <v>0</v>
      </c>
      <c r="J6" s="16">
        <f t="shared" si="7"/>
        <v>100508.16020442822</v>
      </c>
      <c r="K6" s="17">
        <f t="shared" si="1"/>
        <v>661.23494969138767</v>
      </c>
      <c r="L6" s="30">
        <f t="shared" si="2"/>
        <v>18.881802153764845</v>
      </c>
      <c r="M6" s="1">
        <f t="shared" si="3"/>
        <v>0</v>
      </c>
      <c r="N6" s="1"/>
      <c r="O6" s="1"/>
      <c r="P6" s="17">
        <f t="shared" si="8"/>
        <v>-499.09030823209218</v>
      </c>
      <c r="Q6" s="32">
        <f t="shared" si="4"/>
        <v>100508.16020442822</v>
      </c>
      <c r="R6" s="38">
        <f t="shared" si="0"/>
        <v>0</v>
      </c>
      <c r="S6" s="38">
        <f t="shared" si="5"/>
        <v>1</v>
      </c>
    </row>
    <row r="7" spans="1:19" x14ac:dyDescent="0.3">
      <c r="A7" s="9">
        <v>44014</v>
      </c>
      <c r="B7" s="1">
        <v>101.42272757269394</v>
      </c>
      <c r="C7" s="7">
        <f t="shared" si="6"/>
        <v>8.6689999999989276E-4</v>
      </c>
      <c r="D7" s="6">
        <f t="shared" si="9"/>
        <v>3.782865315342665E-4</v>
      </c>
      <c r="F7" s="36">
        <v>0.5</v>
      </c>
      <c r="J7" s="16">
        <f t="shared" si="7"/>
        <v>100546.18108774284</v>
      </c>
      <c r="K7" s="17">
        <f t="shared" si="1"/>
        <v>0</v>
      </c>
      <c r="L7" s="30">
        <f t="shared" si="2"/>
        <v>38.020883314623546</v>
      </c>
      <c r="M7" s="1">
        <f t="shared" si="3"/>
        <v>495.67874722989063</v>
      </c>
      <c r="N7" s="1"/>
      <c r="O7" s="1"/>
      <c r="P7" s="17">
        <f t="shared" si="8"/>
        <v>495.67874722989063</v>
      </c>
      <c r="Q7" s="32">
        <f t="shared" si="4"/>
        <v>50273.090543871425</v>
      </c>
      <c r="R7" s="38">
        <f t="shared" si="0"/>
        <v>0.5</v>
      </c>
      <c r="S7" s="38">
        <f t="shared" si="5"/>
        <v>0.50000000000000011</v>
      </c>
    </row>
    <row r="8" spans="1:19" x14ac:dyDescent="0.3">
      <c r="A8" s="13">
        <v>44015</v>
      </c>
      <c r="B8" s="14">
        <v>101.5634414649283</v>
      </c>
      <c r="C8" s="19">
        <f t="shared" si="6"/>
        <v>1.3874000000000386E-3</v>
      </c>
      <c r="D8" s="18">
        <f t="shared" si="9"/>
        <v>3.782865315342665E-4</v>
      </c>
      <c r="F8" s="35">
        <v>-0.5</v>
      </c>
      <c r="J8" s="16">
        <f t="shared" si="7"/>
        <v>100634.94760661476</v>
      </c>
      <c r="K8" s="17">
        <f t="shared" si="1"/>
        <v>69.748885820568987</v>
      </c>
      <c r="L8" s="30">
        <f t="shared" si="2"/>
        <v>19.017633051349254</v>
      </c>
      <c r="M8" s="1">
        <f t="shared" si="3"/>
        <v>-495.42899568525269</v>
      </c>
      <c r="N8" s="1"/>
      <c r="O8" s="1"/>
      <c r="P8" s="17">
        <f t="shared" si="8"/>
        <v>-991.10774291514326</v>
      </c>
      <c r="Q8" s="32">
        <f t="shared" si="4"/>
        <v>150952.42140992216</v>
      </c>
      <c r="R8" s="38">
        <f t="shared" si="0"/>
        <v>-0.5</v>
      </c>
      <c r="S8" s="38">
        <f t="shared" si="5"/>
        <v>1.5000000000000002</v>
      </c>
    </row>
    <row r="9" spans="1:19" x14ac:dyDescent="0.3">
      <c r="A9" s="9">
        <v>44018</v>
      </c>
      <c r="B9" s="1">
        <v>102.38805535887036</v>
      </c>
      <c r="C9" s="7">
        <f t="shared" si="6"/>
        <v>8.1192000000001041E-3</v>
      </c>
      <c r="D9" s="6">
        <f t="shared" si="9"/>
        <v>3.782865315342665E-4</v>
      </c>
      <c r="F9" s="36">
        <v>-1</v>
      </c>
      <c r="J9" s="16">
        <f t="shared" si="7"/>
        <v>100283.51324123281</v>
      </c>
      <c r="K9" s="17">
        <f t="shared" si="1"/>
        <v>-408.53763330381906</v>
      </c>
      <c r="L9" s="30">
        <f t="shared" si="2"/>
        <v>57.103267921858404</v>
      </c>
      <c r="M9" s="1">
        <f t="shared" si="3"/>
        <v>-979.44543325624136</v>
      </c>
      <c r="N9" s="1"/>
      <c r="O9" s="1"/>
      <c r="P9" s="17">
        <f t="shared" si="8"/>
        <v>-484.01643757098867</v>
      </c>
      <c r="Q9" s="32">
        <f t="shared" si="4"/>
        <v>200567.02648246562</v>
      </c>
      <c r="R9" s="38">
        <f t="shared" si="0"/>
        <v>-1</v>
      </c>
      <c r="S9" s="38">
        <f t="shared" si="5"/>
        <v>2</v>
      </c>
    </row>
    <row r="10" spans="1:19" x14ac:dyDescent="0.3">
      <c r="A10" s="13">
        <v>44019</v>
      </c>
      <c r="B10" s="14">
        <v>102.38510658287602</v>
      </c>
      <c r="C10" s="19">
        <f t="shared" si="6"/>
        <v>-2.8800000000051007E-5</v>
      </c>
      <c r="D10" s="18">
        <f t="shared" si="9"/>
        <v>3.782865315342665E-4</v>
      </c>
      <c r="F10" s="35">
        <v>0</v>
      </c>
      <c r="J10" s="16">
        <f t="shared" si="7"/>
        <v>100362.27321120237</v>
      </c>
      <c r="K10" s="17">
        <f t="shared" si="1"/>
        <v>2.8881651813526656</v>
      </c>
      <c r="L10" s="30">
        <f t="shared" si="2"/>
        <v>75.871804788193302</v>
      </c>
      <c r="M10" s="1">
        <f t="shared" si="3"/>
        <v>0</v>
      </c>
      <c r="N10" s="1"/>
      <c r="O10" s="1"/>
      <c r="P10" s="17">
        <f t="shared" si="8"/>
        <v>979.44543325624136</v>
      </c>
      <c r="Q10" s="32">
        <f t="shared" si="4"/>
        <v>100362.27321120237</v>
      </c>
      <c r="R10" s="38">
        <f t="shared" si="0"/>
        <v>0</v>
      </c>
      <c r="S10" s="38">
        <f t="shared" si="5"/>
        <v>1</v>
      </c>
    </row>
    <row r="11" spans="1:19" x14ac:dyDescent="0.3">
      <c r="A11" s="9">
        <v>44020</v>
      </c>
      <c r="B11" s="1">
        <v>102.74146818484839</v>
      </c>
      <c r="C11" s="7">
        <f t="shared" si="6"/>
        <v>3.4806000000000559E-3</v>
      </c>
      <c r="D11" s="6">
        <f t="shared" si="9"/>
        <v>3.782865315342665E-4</v>
      </c>
      <c r="F11" s="36">
        <v>0</v>
      </c>
      <c r="J11" s="16">
        <f t="shared" si="7"/>
        <v>100400.23890743233</v>
      </c>
      <c r="K11" s="17">
        <f t="shared" si="1"/>
        <v>0</v>
      </c>
      <c r="L11" s="30">
        <f t="shared" si="2"/>
        <v>37.965696229960173</v>
      </c>
      <c r="M11" s="1">
        <f t="shared" si="3"/>
        <v>0</v>
      </c>
      <c r="N11" s="1"/>
      <c r="O11" s="1"/>
      <c r="P11" s="17">
        <f t="shared" si="8"/>
        <v>0</v>
      </c>
      <c r="Q11" s="32">
        <f t="shared" si="4"/>
        <v>100400.23890743233</v>
      </c>
      <c r="R11" s="38">
        <f t="shared" si="0"/>
        <v>0</v>
      </c>
      <c r="S11" s="38">
        <f t="shared" si="5"/>
        <v>1</v>
      </c>
    </row>
    <row r="12" spans="1:19" x14ac:dyDescent="0.3">
      <c r="A12" s="13">
        <v>44021</v>
      </c>
      <c r="B12" s="14">
        <v>102.92841656035753</v>
      </c>
      <c r="C12" s="19">
        <f t="shared" si="6"/>
        <v>1.8195999999999213E-3</v>
      </c>
      <c r="D12" s="18">
        <f t="shared" si="9"/>
        <v>3.782865315342665E-4</v>
      </c>
      <c r="F12" s="35">
        <v>0</v>
      </c>
      <c r="J12" s="16">
        <f t="shared" si="7"/>
        <v>100438.21896557383</v>
      </c>
      <c r="K12" s="17">
        <f t="shared" si="1"/>
        <v>0</v>
      </c>
      <c r="L12" s="30">
        <f t="shared" si="2"/>
        <v>37.980058141504287</v>
      </c>
      <c r="M12" s="1">
        <f t="shared" si="3"/>
        <v>0</v>
      </c>
      <c r="N12" s="1"/>
      <c r="O12" s="1"/>
      <c r="P12" s="17">
        <f t="shared" si="8"/>
        <v>0</v>
      </c>
      <c r="Q12" s="32">
        <f t="shared" si="4"/>
        <v>100438.21896557383</v>
      </c>
      <c r="R12" s="38">
        <f t="shared" si="0"/>
        <v>0</v>
      </c>
      <c r="S12" s="38">
        <f t="shared" si="5"/>
        <v>1</v>
      </c>
    </row>
    <row r="13" spans="1:19" x14ac:dyDescent="0.3">
      <c r="A13" s="9">
        <v>44022</v>
      </c>
      <c r="B13" s="1">
        <v>103.72651320952488</v>
      </c>
      <c r="C13" s="7">
        <f t="shared" si="6"/>
        <v>7.7538999999999803E-3</v>
      </c>
      <c r="D13" s="6">
        <f t="shared" si="9"/>
        <v>3.782865315342665E-4</v>
      </c>
      <c r="F13" s="36">
        <v>0</v>
      </c>
      <c r="J13" s="16">
        <f t="shared" si="7"/>
        <v>100476.21339105981</v>
      </c>
      <c r="K13" s="17">
        <f t="shared" si="1"/>
        <v>0</v>
      </c>
      <c r="L13" s="30">
        <f t="shared" si="2"/>
        <v>37.994425485966111</v>
      </c>
      <c r="M13" s="1">
        <f t="shared" si="3"/>
        <v>0</v>
      </c>
      <c r="N13" s="1"/>
      <c r="O13" s="1"/>
      <c r="P13" s="17">
        <f t="shared" si="8"/>
        <v>0</v>
      </c>
      <c r="Q13" s="32">
        <f t="shared" si="4"/>
        <v>100476.21339105981</v>
      </c>
      <c r="R13" s="38">
        <f t="shared" si="0"/>
        <v>0</v>
      </c>
      <c r="S13" s="38">
        <f t="shared" si="5"/>
        <v>1</v>
      </c>
    </row>
    <row r="14" spans="1:19" x14ac:dyDescent="0.3">
      <c r="A14" s="13">
        <v>44025</v>
      </c>
      <c r="B14" s="14">
        <v>104.1929194761715</v>
      </c>
      <c r="C14" s="19">
        <f t="shared" si="6"/>
        <v>4.4964999999999034E-3</v>
      </c>
      <c r="D14" s="18">
        <f t="shared" si="9"/>
        <v>3.782865315342665E-4</v>
      </c>
      <c r="F14" s="35">
        <v>0.25</v>
      </c>
      <c r="J14" s="16">
        <f t="shared" si="7"/>
        <v>100514.22218932521</v>
      </c>
      <c r="K14" s="17">
        <f t="shared" si="1"/>
        <v>0</v>
      </c>
      <c r="L14" s="30">
        <f t="shared" si="2"/>
        <v>38.008798265400834</v>
      </c>
      <c r="M14" s="1">
        <f t="shared" si="3"/>
        <v>241.17335106516623</v>
      </c>
      <c r="N14" s="1"/>
      <c r="O14" s="1"/>
      <c r="P14" s="17">
        <f t="shared" si="8"/>
        <v>241.17335106516623</v>
      </c>
      <c r="Q14" s="32">
        <f t="shared" si="4"/>
        <v>75385.666641993914</v>
      </c>
      <c r="R14" s="38">
        <f t="shared" si="0"/>
        <v>0.25</v>
      </c>
      <c r="S14" s="38">
        <f t="shared" si="5"/>
        <v>0.75</v>
      </c>
    </row>
    <row r="15" spans="1:19" x14ac:dyDescent="0.3">
      <c r="A15" s="9">
        <v>44026</v>
      </c>
      <c r="B15" s="1">
        <v>104.20977789054275</v>
      </c>
      <c r="C15" s="7">
        <f t="shared" si="6"/>
        <v>1.6180000000010075E-4</v>
      </c>
      <c r="D15" s="6">
        <f t="shared" si="9"/>
        <v>3.782865315342665E-4</v>
      </c>
      <c r="F15" s="36">
        <v>0</v>
      </c>
      <c r="J15" s="16">
        <f t="shared" si="7"/>
        <v>100546.80537197417</v>
      </c>
      <c r="K15" s="17">
        <f t="shared" si="1"/>
        <v>4.0658002875610775</v>
      </c>
      <c r="L15" s="30">
        <f t="shared" si="2"/>
        <v>28.517382361398333</v>
      </c>
      <c r="M15" s="1">
        <f t="shared" si="3"/>
        <v>0</v>
      </c>
      <c r="N15" s="1"/>
      <c r="O15" s="1"/>
      <c r="P15" s="17">
        <f t="shared" si="8"/>
        <v>-241.17335106516623</v>
      </c>
      <c r="Q15" s="32">
        <f t="shared" si="4"/>
        <v>100546.80537197419</v>
      </c>
      <c r="R15" s="38">
        <f t="shared" si="0"/>
        <v>0</v>
      </c>
      <c r="S15" s="38">
        <f t="shared" si="5"/>
        <v>1.0000000000000002</v>
      </c>
    </row>
    <row r="16" spans="1:19" x14ac:dyDescent="0.3">
      <c r="A16" s="13">
        <v>44027</v>
      </c>
      <c r="B16" s="14">
        <v>104.67703369264838</v>
      </c>
      <c r="C16" s="19">
        <f t="shared" si="6"/>
        <v>4.4838000000000378E-3</v>
      </c>
      <c r="D16" s="18">
        <f t="shared" si="9"/>
        <v>3.782865315342665E-4</v>
      </c>
      <c r="F16" s="35">
        <v>0</v>
      </c>
      <c r="J16" s="16">
        <f t="shared" si="7"/>
        <v>100584.84087423519</v>
      </c>
      <c r="K16" s="17">
        <f t="shared" si="1"/>
        <v>0</v>
      </c>
      <c r="L16" s="30">
        <f t="shared" si="2"/>
        <v>38.035502261015068</v>
      </c>
      <c r="M16" s="1">
        <f t="shared" si="3"/>
        <v>0</v>
      </c>
      <c r="N16" s="1"/>
      <c r="O16" s="1"/>
      <c r="P16" s="17">
        <f t="shared" si="8"/>
        <v>0</v>
      </c>
      <c r="Q16" s="32">
        <f t="shared" si="4"/>
        <v>100584.8408742352</v>
      </c>
      <c r="R16" s="38">
        <f t="shared" si="0"/>
        <v>0</v>
      </c>
      <c r="S16" s="38">
        <f t="shared" si="5"/>
        <v>1.0000000000000002</v>
      </c>
    </row>
    <row r="17" spans="1:19" x14ac:dyDescent="0.3">
      <c r="A17" s="9">
        <v>44028</v>
      </c>
      <c r="B17" s="1">
        <v>105.23484713749315</v>
      </c>
      <c r="C17" s="7">
        <f t="shared" si="6"/>
        <v>5.3289000000000808E-3</v>
      </c>
      <c r="D17" s="6">
        <f t="shared" si="9"/>
        <v>3.782865315342665E-4</v>
      </c>
      <c r="F17" s="36">
        <v>0</v>
      </c>
      <c r="J17" s="16">
        <f t="shared" si="7"/>
        <v>100622.89076481442</v>
      </c>
      <c r="K17" s="17">
        <f t="shared" si="1"/>
        <v>0</v>
      </c>
      <c r="L17" s="30">
        <f t="shared" si="2"/>
        <v>38.049890579240554</v>
      </c>
      <c r="M17" s="1">
        <f t="shared" si="3"/>
        <v>0</v>
      </c>
      <c r="N17" s="1"/>
      <c r="O17" s="1"/>
      <c r="P17" s="17">
        <f t="shared" si="8"/>
        <v>0</v>
      </c>
      <c r="Q17" s="32">
        <f t="shared" si="4"/>
        <v>100622.89076481444</v>
      </c>
      <c r="R17" s="38">
        <f t="shared" si="0"/>
        <v>0</v>
      </c>
      <c r="S17" s="38">
        <f t="shared" si="5"/>
        <v>1.0000000000000002</v>
      </c>
    </row>
    <row r="18" spans="1:19" x14ac:dyDescent="0.3">
      <c r="A18" s="13">
        <v>44029</v>
      </c>
      <c r="B18" s="14">
        <v>106.02407692057022</v>
      </c>
      <c r="C18" s="19">
        <f t="shared" si="6"/>
        <v>7.4997000000001091E-3</v>
      </c>
      <c r="D18" s="18">
        <f t="shared" si="9"/>
        <v>3.782865315342665E-4</v>
      </c>
      <c r="F18" s="35">
        <v>0</v>
      </c>
      <c r="J18" s="16">
        <f t="shared" si="7"/>
        <v>100660.9550491548</v>
      </c>
      <c r="K18" s="17">
        <f t="shared" si="1"/>
        <v>0</v>
      </c>
      <c r="L18" s="30">
        <f t="shared" si="2"/>
        <v>38.064284340373028</v>
      </c>
      <c r="M18" s="1">
        <f t="shared" si="3"/>
        <v>0</v>
      </c>
      <c r="N18" s="1"/>
      <c r="O18" s="1"/>
      <c r="P18" s="17">
        <f t="shared" si="8"/>
        <v>0</v>
      </c>
      <c r="Q18" s="32">
        <f t="shared" si="4"/>
        <v>100660.95504915481</v>
      </c>
      <c r="R18" s="38">
        <f t="shared" si="0"/>
        <v>0</v>
      </c>
      <c r="S18" s="38">
        <f t="shared" si="5"/>
        <v>1.0000000000000002</v>
      </c>
    </row>
    <row r="19" spans="1:19" x14ac:dyDescent="0.3">
      <c r="A19" s="9">
        <v>44032</v>
      </c>
      <c r="B19" s="1">
        <v>106.61339054731782</v>
      </c>
      <c r="C19" s="7">
        <f t="shared" si="6"/>
        <v>5.558299999999905E-3</v>
      </c>
      <c r="D19" s="6">
        <f t="shared" si="9"/>
        <v>3.782865315342665E-4</v>
      </c>
      <c r="F19" s="36">
        <v>0</v>
      </c>
      <c r="J19" s="16">
        <f t="shared" si="7"/>
        <v>100699.03373270127</v>
      </c>
      <c r="K19" s="17">
        <f t="shared" si="1"/>
        <v>0</v>
      </c>
      <c r="L19" s="30">
        <f t="shared" si="2"/>
        <v>38.078683546471488</v>
      </c>
      <c r="M19" s="1">
        <f t="shared" si="3"/>
        <v>0</v>
      </c>
      <c r="N19" s="1"/>
      <c r="O19" s="1"/>
      <c r="P19" s="17">
        <f t="shared" si="8"/>
        <v>0</v>
      </c>
      <c r="Q19" s="32">
        <f t="shared" si="4"/>
        <v>100699.03373270128</v>
      </c>
      <c r="R19" s="38">
        <f t="shared" si="0"/>
        <v>0</v>
      </c>
      <c r="S19" s="38">
        <f t="shared" si="5"/>
        <v>1.0000000000000002</v>
      </c>
    </row>
    <row r="20" spans="1:19" x14ac:dyDescent="0.3">
      <c r="A20" s="13">
        <v>44033</v>
      </c>
      <c r="B20" s="14">
        <v>107.61356274805938</v>
      </c>
      <c r="C20" s="19">
        <f t="shared" si="6"/>
        <v>9.3813000000000368E-3</v>
      </c>
      <c r="D20" s="18">
        <f t="shared" si="9"/>
        <v>3.782865315342665E-4</v>
      </c>
      <c r="F20" s="35">
        <v>0</v>
      </c>
      <c r="J20" s="16">
        <f t="shared" si="7"/>
        <v>100737.12682090087</v>
      </c>
      <c r="K20" s="17">
        <f t="shared" si="1"/>
        <v>0</v>
      </c>
      <c r="L20" s="30">
        <f t="shared" si="2"/>
        <v>38.09308819959567</v>
      </c>
      <c r="M20" s="1">
        <f t="shared" si="3"/>
        <v>0</v>
      </c>
      <c r="N20" s="1"/>
      <c r="O20" s="1"/>
      <c r="P20" s="17">
        <f t="shared" si="8"/>
        <v>0</v>
      </c>
      <c r="Q20" s="32">
        <f t="shared" si="4"/>
        <v>100737.12682090088</v>
      </c>
      <c r="R20" s="38">
        <f t="shared" si="0"/>
        <v>0</v>
      </c>
      <c r="S20" s="38">
        <f t="shared" si="5"/>
        <v>1.0000000000000002</v>
      </c>
    </row>
    <row r="21" spans="1:19" x14ac:dyDescent="0.3">
      <c r="A21" s="9">
        <v>44034</v>
      </c>
      <c r="B21" s="1">
        <v>108.05177593692574</v>
      </c>
      <c r="C21" s="7">
        <f t="shared" si="6"/>
        <v>4.0720999999999119E-3</v>
      </c>
      <c r="D21" s="6">
        <f t="shared" si="9"/>
        <v>3.782865315342665E-4</v>
      </c>
      <c r="F21" s="36">
        <v>0</v>
      </c>
      <c r="J21" s="16">
        <f t="shared" si="7"/>
        <v>100775.23431920267</v>
      </c>
      <c r="K21" s="17">
        <f t="shared" si="1"/>
        <v>0</v>
      </c>
      <c r="L21" s="30">
        <f t="shared" si="2"/>
        <v>38.107498301806125</v>
      </c>
      <c r="M21" s="1">
        <f t="shared" si="3"/>
        <v>0</v>
      </c>
      <c r="N21" s="1"/>
      <c r="O21" s="1"/>
      <c r="P21" s="17">
        <f t="shared" si="8"/>
        <v>0</v>
      </c>
      <c r="Q21" s="32">
        <f t="shared" si="4"/>
        <v>100775.23431920269</v>
      </c>
      <c r="R21" s="38">
        <f t="shared" si="0"/>
        <v>0</v>
      </c>
      <c r="S21" s="38">
        <f t="shared" si="5"/>
        <v>1.0000000000000002</v>
      </c>
    </row>
    <row r="22" spans="1:19" x14ac:dyDescent="0.3">
      <c r="A22" s="13">
        <v>44035</v>
      </c>
      <c r="B22" s="14">
        <v>108.7319510612711</v>
      </c>
      <c r="C22" s="19">
        <f t="shared" si="6"/>
        <v>6.2949000000001032E-3</v>
      </c>
      <c r="D22" s="18">
        <f t="shared" si="9"/>
        <v>3.782865315342665E-4</v>
      </c>
      <c r="F22" s="35">
        <v>0</v>
      </c>
      <c r="J22" s="16">
        <f t="shared" si="7"/>
        <v>100813.35623305784</v>
      </c>
      <c r="K22" s="17">
        <f t="shared" si="1"/>
        <v>0</v>
      </c>
      <c r="L22" s="30">
        <f t="shared" si="2"/>
        <v>38.121913855164166</v>
      </c>
      <c r="M22" s="1">
        <f t="shared" si="3"/>
        <v>0</v>
      </c>
      <c r="N22" s="1"/>
      <c r="O22" s="1"/>
      <c r="P22" s="17">
        <f t="shared" si="8"/>
        <v>0</v>
      </c>
      <c r="Q22" s="32">
        <f t="shared" si="4"/>
        <v>100813.35623305786</v>
      </c>
      <c r="R22" s="38">
        <f t="shared" si="0"/>
        <v>0</v>
      </c>
      <c r="S22" s="38">
        <f t="shared" si="5"/>
        <v>1.0000000000000002</v>
      </c>
    </row>
    <row r="23" spans="1:19" x14ac:dyDescent="0.3">
      <c r="A23" s="9">
        <v>44036</v>
      </c>
      <c r="B23" s="1">
        <v>109.65791235650889</v>
      </c>
      <c r="C23" s="7">
        <f t="shared" si="6"/>
        <v>8.515999999999968E-3</v>
      </c>
      <c r="D23" s="6">
        <f t="shared" si="9"/>
        <v>3.782865315342665E-4</v>
      </c>
      <c r="F23" s="36">
        <v>0</v>
      </c>
      <c r="J23" s="16">
        <f t="shared" si="7"/>
        <v>100851.49256791957</v>
      </c>
      <c r="K23" s="17">
        <f t="shared" si="1"/>
        <v>0</v>
      </c>
      <c r="L23" s="30">
        <f t="shared" si="2"/>
        <v>38.136334861731882</v>
      </c>
      <c r="M23" s="1">
        <f t="shared" si="3"/>
        <v>0</v>
      </c>
      <c r="N23" s="1"/>
      <c r="O23" s="1"/>
      <c r="P23" s="17">
        <f t="shared" si="8"/>
        <v>0</v>
      </c>
      <c r="Q23" s="32">
        <f t="shared" si="4"/>
        <v>100851.49256791959</v>
      </c>
      <c r="R23" s="38">
        <f t="shared" si="0"/>
        <v>0</v>
      </c>
      <c r="S23" s="38">
        <f t="shared" si="5"/>
        <v>1.0000000000000002</v>
      </c>
    </row>
    <row r="24" spans="1:19" x14ac:dyDescent="0.3">
      <c r="A24" s="13">
        <v>44039</v>
      </c>
      <c r="B24" s="14">
        <v>109.68628085843552</v>
      </c>
      <c r="C24" s="19">
        <f t="shared" si="6"/>
        <v>2.5870000000005611E-4</v>
      </c>
      <c r="D24" s="18">
        <f t="shared" si="9"/>
        <v>3.782865315342665E-4</v>
      </c>
      <c r="F24" s="35">
        <v>0</v>
      </c>
      <c r="J24" s="16">
        <f t="shared" si="7"/>
        <v>100889.64332924315</v>
      </c>
      <c r="K24" s="17">
        <f t="shared" si="1"/>
        <v>0</v>
      </c>
      <c r="L24" s="30">
        <f t="shared" si="2"/>
        <v>38.150761323572155</v>
      </c>
      <c r="M24" s="1">
        <f t="shared" si="3"/>
        <v>0</v>
      </c>
      <c r="N24" s="1"/>
      <c r="O24" s="1"/>
      <c r="P24" s="17">
        <f t="shared" si="8"/>
        <v>0</v>
      </c>
      <c r="Q24" s="32">
        <f t="shared" si="4"/>
        <v>100889.64332924316</v>
      </c>
      <c r="R24" s="38">
        <f t="shared" si="0"/>
        <v>0</v>
      </c>
      <c r="S24" s="38">
        <f t="shared" si="5"/>
        <v>1.0000000000000002</v>
      </c>
    </row>
    <row r="25" spans="1:19" x14ac:dyDescent="0.3">
      <c r="A25" s="9">
        <v>44040</v>
      </c>
      <c r="B25" s="1">
        <v>110.4838975555819</v>
      </c>
      <c r="C25" s="7">
        <f t="shared" si="6"/>
        <v>7.2718000000000504E-3</v>
      </c>
      <c r="D25" s="6">
        <f t="shared" si="9"/>
        <v>3.782865315342665E-4</v>
      </c>
      <c r="F25" s="36">
        <v>0</v>
      </c>
      <c r="J25" s="16">
        <f t="shared" si="7"/>
        <v>100927.8085224859</v>
      </c>
      <c r="K25" s="17">
        <f t="shared" si="1"/>
        <v>0</v>
      </c>
      <c r="L25" s="30">
        <f t="shared" si="2"/>
        <v>38.165193242748643</v>
      </c>
      <c r="M25" s="1">
        <f t="shared" si="3"/>
        <v>0</v>
      </c>
      <c r="N25" s="1"/>
      <c r="O25" s="1"/>
      <c r="P25" s="17">
        <f t="shared" si="8"/>
        <v>0</v>
      </c>
      <c r="Q25" s="32">
        <f t="shared" si="4"/>
        <v>100927.80852248591</v>
      </c>
      <c r="R25" s="38">
        <f t="shared" si="0"/>
        <v>0</v>
      </c>
      <c r="S25" s="38">
        <f t="shared" si="5"/>
        <v>1.0000000000000002</v>
      </c>
    </row>
    <row r="26" spans="1:19" x14ac:dyDescent="0.3">
      <c r="A26" s="13">
        <v>44041</v>
      </c>
      <c r="B26" s="14">
        <v>110.97430243166185</v>
      </c>
      <c r="C26" s="19">
        <f t="shared" si="6"/>
        <v>4.4386999999999066E-3</v>
      </c>
      <c r="D26" s="18">
        <f t="shared" si="9"/>
        <v>3.782865315342665E-4</v>
      </c>
      <c r="F26" s="35">
        <v>0</v>
      </c>
      <c r="J26" s="16">
        <f t="shared" si="7"/>
        <v>100965.98815310722</v>
      </c>
      <c r="K26" s="17">
        <f t="shared" si="1"/>
        <v>0</v>
      </c>
      <c r="L26" s="30">
        <f t="shared" si="2"/>
        <v>38.179630621325778</v>
      </c>
      <c r="M26" s="1">
        <f t="shared" si="3"/>
        <v>0</v>
      </c>
      <c r="N26" s="1"/>
      <c r="O26" s="1"/>
      <c r="P26" s="17">
        <f t="shared" si="8"/>
        <v>0</v>
      </c>
      <c r="Q26" s="32">
        <f t="shared" si="4"/>
        <v>100965.98815310723</v>
      </c>
      <c r="R26" s="38">
        <f t="shared" si="0"/>
        <v>0</v>
      </c>
      <c r="S26" s="38">
        <f t="shared" si="5"/>
        <v>1.0000000000000002</v>
      </c>
    </row>
  </sheetData>
  <conditionalFormatting sqref="F2:F26">
    <cfRule type="cellIs" dxfId="4" priority="7" operator="lessThan">
      <formula>0</formula>
    </cfRule>
  </conditionalFormatting>
  <conditionalFormatting sqref="K3:K26">
    <cfRule type="cellIs" dxfId="3" priority="5" operator="lessThan">
      <formula>0</formula>
    </cfRule>
  </conditionalFormatting>
  <conditionalFormatting sqref="P3:P26">
    <cfRule type="cellIs" dxfId="2" priority="4" operator="lessThan">
      <formula>0</formula>
    </cfRule>
  </conditionalFormatting>
  <conditionalFormatting sqref="P2">
    <cfRule type="cellIs" dxfId="1" priority="3" operator="lessThan">
      <formula>0</formula>
    </cfRule>
  </conditionalFormatting>
  <conditionalFormatting sqref="F1:F1048576">
    <cfRule type="cellIs" dxfId="0" priority="2" operator="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Simples</vt:lpstr>
      <vt:lpstr>COM_CDI</vt:lpstr>
      <vt:lpstr>COM_Intraday</vt:lpstr>
      <vt:lpstr>COM_Custo</vt:lpstr>
      <vt:lpstr>Com_Peso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USER</cp:lastModifiedBy>
  <dcterms:created xsi:type="dcterms:W3CDTF">2020-05-18T21:32:44Z</dcterms:created>
  <dcterms:modified xsi:type="dcterms:W3CDTF">2020-07-03T09:36:28Z</dcterms:modified>
</cp:coreProperties>
</file>